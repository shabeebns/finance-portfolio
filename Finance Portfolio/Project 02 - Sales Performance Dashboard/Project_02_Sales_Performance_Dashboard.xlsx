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xl/webextensions/webextension2.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defaultThemeVersion="202300"/>
  <mc:AlternateContent xmlns:mc="http://schemas.openxmlformats.org/markup-compatibility/2006">
    <mc:Choice Requires="x15">
      <x15ac:absPath xmlns:x15ac="http://schemas.microsoft.com/office/spreadsheetml/2010/11/ac" url="E:\Finance Portfolio\Project 02 - Sales Performance Dashboard\"/>
    </mc:Choice>
  </mc:AlternateContent>
  <xr:revisionPtr revIDLastSave="0" documentId="13_ncr:1_{F2A5FD3A-A249-49C8-B1E1-5D920A1F71BF}" xr6:coauthVersionLast="47" xr6:coauthVersionMax="47" xr10:uidLastSave="{00000000-0000-0000-0000-000000000000}"/>
  <bookViews>
    <workbookView xWindow="24" yWindow="24" windowWidth="23016" windowHeight="12216" activeTab="4" xr2:uid="{600BF088-C2C8-4402-8D96-652594B0CA29}"/>
  </bookViews>
  <sheets>
    <sheet name="Dashboard" sheetId="9" r:id="rId1"/>
    <sheet name="Pivot" sheetId="1" r:id="rId2"/>
    <sheet name="Calculations" sheetId="6" r:id="rId3"/>
    <sheet name="Lookup" sheetId="7" r:id="rId4"/>
    <sheet name="Raw_Data" sheetId="8" r:id="rId5"/>
  </sheets>
  <definedNames>
    <definedName name="Slicer_Months__Order_Date">#N/A</definedName>
    <definedName name="Slicer_Product">#N/A</definedName>
    <definedName name="Slicer_Region">#N/A</definedName>
    <definedName name="Slicer_Salesperson">#N/A</definedName>
  </definedNames>
  <calcPr calcId="191029"/>
  <pivotCaches>
    <pivotCache cacheId="15" r:id="rId6"/>
  </pivotCaches>
  <extLst>
    <ext xmlns:x14="http://schemas.microsoft.com/office/spreadsheetml/2009/9/main" uri="{BBE1A952-AA13-448e-AADC-164F8A28A991}">
      <x14:slicerCaches>
        <x14:slicerCache r:id="rId7"/>
        <x14:slicerCache r:id="rId8"/>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4" i="9" l="1"/>
  <c r="B22" i="6" a="1"/>
  <c r="B22" i="6" s="1"/>
  <c r="I4" i="9"/>
  <c r="E4" i="9"/>
  <c r="A4" i="9"/>
  <c r="B21" i="6"/>
  <c r="B20" i="6"/>
  <c r="B19" i="6"/>
  <c r="H5002" i="8"/>
  <c r="L5002" i="8"/>
  <c r="M5002" i="8"/>
  <c r="J5002" i="8"/>
  <c r="B14" i="6"/>
  <c r="Q8" i="8"/>
  <c r="P7" i="8" a="1"/>
  <c r="P7" i="8" s="1"/>
  <c r="Q6" i="8" s="1"/>
  <c r="Q5" i="8"/>
  <c r="Q3" i="8"/>
  <c r="Q2" i="8"/>
  <c r="P8" i="8" a="1"/>
  <c r="P8" i="8" s="1"/>
  <c r="P6" i="8" a="1"/>
  <c r="P6" i="8" s="1"/>
  <c r="P5" i="8" a="1"/>
  <c r="P5" i="8" s="1"/>
  <c r="P4" i="8" a="1"/>
  <c r="P4" i="8" s="1"/>
  <c r="P3" i="8"/>
  <c r="P2" i="8"/>
  <c r="B15" i="6"/>
  <c r="B12" i="6"/>
  <c r="C15" i="6"/>
  <c r="C14" i="6"/>
  <c r="B8" i="6" l="1"/>
  <c r="B4" i="6"/>
  <c r="C12" i="6"/>
  <c r="C8" i="6"/>
  <c r="C4" i="6"/>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<sst xmlns="http://schemas.openxmlformats.org/spreadsheetml/2006/main" count="30141" uniqueCount="5217">
  <si>
    <t>Order Date</t>
  </si>
  <si>
    <t>Order ID</t>
  </si>
  <si>
    <t>Region</t>
  </si>
  <si>
    <t>Salesperson</t>
  </si>
  <si>
    <t>Customer Name</t>
  </si>
  <si>
    <t>Product</t>
  </si>
  <si>
    <t>Category</t>
  </si>
  <si>
    <t>Quantity</t>
  </si>
  <si>
    <t>Unit Price</t>
  </si>
  <si>
    <t>Sales</t>
  </si>
  <si>
    <t>Unit Cost</t>
  </si>
  <si>
    <t>Cost</t>
  </si>
  <si>
    <t>Profit</t>
  </si>
  <si>
    <t>Profit Margin %</t>
  </si>
  <si>
    <t>Laptop</t>
  </si>
  <si>
    <t>Computers</t>
  </si>
  <si>
    <t>Desktop</t>
  </si>
  <si>
    <t>Monitor</t>
  </si>
  <si>
    <t>Peripherals</t>
  </si>
  <si>
    <t>Keyboard</t>
  </si>
  <si>
    <t>Accessories</t>
  </si>
  <si>
    <t>Mouse</t>
  </si>
  <si>
    <t>Printer</t>
  </si>
  <si>
    <t>SSD</t>
  </si>
  <si>
    <t>RAM</t>
  </si>
  <si>
    <t>storage</t>
  </si>
  <si>
    <t>North</t>
  </si>
  <si>
    <t>South</t>
  </si>
  <si>
    <t>West</t>
  </si>
  <si>
    <t>East</t>
  </si>
  <si>
    <t>Rahul Sharma</t>
  </si>
  <si>
    <t>Priya Nair</t>
  </si>
  <si>
    <t>Arjun Menon</t>
  </si>
  <si>
    <t>Sneha Patel</t>
  </si>
  <si>
    <t>Ahmed Khan</t>
  </si>
  <si>
    <t>Neha Verma</t>
  </si>
  <si>
    <t>ORD-00001</t>
  </si>
  <si>
    <t>Customer 069</t>
  </si>
  <si>
    <t>ORD-00002</t>
  </si>
  <si>
    <t>Customer 107</t>
  </si>
  <si>
    <t>ORD-00003</t>
  </si>
  <si>
    <t>Customer 042</t>
  </si>
  <si>
    <t>ORD-00004</t>
  </si>
  <si>
    <t>Customer 096</t>
  </si>
  <si>
    <t>ORD-00005</t>
  </si>
  <si>
    <t>Customer 013</t>
  </si>
  <si>
    <t>ORD-00006</t>
  </si>
  <si>
    <t>Customer 118</t>
  </si>
  <si>
    <t>ORD-00007</t>
  </si>
  <si>
    <t>Customer 116</t>
  </si>
  <si>
    <t>ORD-00008</t>
  </si>
  <si>
    <t>Customer 048</t>
  </si>
  <si>
    <t>ORD-00009</t>
  </si>
  <si>
    <t>Customer 095</t>
  </si>
  <si>
    <t>ORD-00010</t>
  </si>
  <si>
    <t>Customer 085</t>
  </si>
  <si>
    <t>ORD-00011</t>
  </si>
  <si>
    <t>Customer 083</t>
  </si>
  <si>
    <t>ORD-00012</t>
  </si>
  <si>
    <t>Customer 106</t>
  </si>
  <si>
    <t>ORD-00013</t>
  </si>
  <si>
    <t>Customer 076</t>
  </si>
  <si>
    <t>ORD-00014</t>
  </si>
  <si>
    <t>Customer 024</t>
  </si>
  <si>
    <t>ORD-00015</t>
  </si>
  <si>
    <t>Customer 015</t>
  </si>
  <si>
    <t>ORD-00016</t>
  </si>
  <si>
    <t>Customer 147</t>
  </si>
  <si>
    <t>ORD-00017</t>
  </si>
  <si>
    <t>Customer 043</t>
  </si>
  <si>
    <t>ORD-00018</t>
  </si>
  <si>
    <t>ORD-00019</t>
  </si>
  <si>
    <t>Customer 033</t>
  </si>
  <si>
    <t>ORD-00020</t>
  </si>
  <si>
    <t>Customer 001</t>
  </si>
  <si>
    <t>ORD-00021</t>
  </si>
  <si>
    <t>Customer 093</t>
  </si>
  <si>
    <t>ORD-00022</t>
  </si>
  <si>
    <t>Customer 125</t>
  </si>
  <si>
    <t>ORD-00023</t>
  </si>
  <si>
    <t>ORD-00024</t>
  </si>
  <si>
    <t>Customer 131</t>
  </si>
  <si>
    <t>ORD-00025</t>
  </si>
  <si>
    <t>Customer 054</t>
  </si>
  <si>
    <t>ORD-00026</t>
  </si>
  <si>
    <t>Customer 103</t>
  </si>
  <si>
    <t>ORD-00027</t>
  </si>
  <si>
    <t>ORD-00028</t>
  </si>
  <si>
    <t>Customer 070</t>
  </si>
  <si>
    <t>ORD-00029</t>
  </si>
  <si>
    <t>Customer 002</t>
  </si>
  <si>
    <t>ORD-00030</t>
  </si>
  <si>
    <t>Customer 124</t>
  </si>
  <si>
    <t>ORD-00031</t>
  </si>
  <si>
    <t>Customer 119</t>
  </si>
  <si>
    <t>ORD-00032</t>
  </si>
  <si>
    <t>Customer 115</t>
  </si>
  <si>
    <t>ORD-00033</t>
  </si>
  <si>
    <t>Customer 065</t>
  </si>
  <si>
    <t>ORD-00034</t>
  </si>
  <si>
    <t>Customer 082</t>
  </si>
  <si>
    <t>ORD-00035</t>
  </si>
  <si>
    <t>Customer 030</t>
  </si>
  <si>
    <t>ORD-00036</t>
  </si>
  <si>
    <t>Customer 105</t>
  </si>
  <si>
    <t>ORD-00037</t>
  </si>
  <si>
    <t>Customer 087</t>
  </si>
  <si>
    <t>ORD-00038</t>
  </si>
  <si>
    <t>Customer 146</t>
  </si>
  <si>
    <t>ORD-00039</t>
  </si>
  <si>
    <t>Customer 028</t>
  </si>
  <si>
    <t>ORD-00040</t>
  </si>
  <si>
    <t>Customer 132</t>
  </si>
  <si>
    <t>ORD-00041</t>
  </si>
  <si>
    <t>Customer 067</t>
  </si>
  <si>
    <t>ORD-00042</t>
  </si>
  <si>
    <t>Customer 079</t>
  </si>
  <si>
    <t>ORD-00043</t>
  </si>
  <si>
    <t>Customer 034</t>
  </si>
  <si>
    <t>ORD-00044</t>
  </si>
  <si>
    <t>Customer 011</t>
  </si>
  <si>
    <t>ORD-00045</t>
  </si>
  <si>
    <t>Customer 141</t>
  </si>
  <si>
    <t>ORD-00046</t>
  </si>
  <si>
    <t>Customer 040</t>
  </si>
  <si>
    <t>ORD-00047</t>
  </si>
  <si>
    <t>Customer 075</t>
  </si>
  <si>
    <t>ORD-00048</t>
  </si>
  <si>
    <t>ORD-00049</t>
  </si>
  <si>
    <t>Customer 134</t>
  </si>
  <si>
    <t>ORD-00050</t>
  </si>
  <si>
    <t>Customer 133</t>
  </si>
  <si>
    <t>ORD-00051</t>
  </si>
  <si>
    <t>ORD-00052</t>
  </si>
  <si>
    <t>Customer 025</t>
  </si>
  <si>
    <t>ORD-00053</t>
  </si>
  <si>
    <t>ORD-00054</t>
  </si>
  <si>
    <t>Customer 058</t>
  </si>
  <si>
    <t>ORD-00055</t>
  </si>
  <si>
    <t>Customer 143</t>
  </si>
  <si>
    <t>ORD-00056</t>
  </si>
  <si>
    <t>ORD-00057</t>
  </si>
  <si>
    <t>Customer 091</t>
  </si>
  <si>
    <t>ORD-00058</t>
  </si>
  <si>
    <t>ORD-00059</t>
  </si>
  <si>
    <t>Customer 130</t>
  </si>
  <si>
    <t>ORD-00060</t>
  </si>
  <si>
    <t>Customer 097</t>
  </si>
  <si>
    <t>ORD-00061</t>
  </si>
  <si>
    <t>Customer 120</t>
  </si>
  <si>
    <t>ORD-00062</t>
  </si>
  <si>
    <t>Customer 123</t>
  </si>
  <si>
    <t>ORD-00063</t>
  </si>
  <si>
    <t>Customer 114</t>
  </si>
  <si>
    <t>ORD-00064</t>
  </si>
  <si>
    <t>Customer 057</t>
  </si>
  <si>
    <t>ORD-00065</t>
  </si>
  <si>
    <t>Customer 055</t>
  </si>
  <si>
    <t>ORD-00066</t>
  </si>
  <si>
    <t>Customer 027</t>
  </si>
  <si>
    <t>ORD-00067</t>
  </si>
  <si>
    <t>Customer 016</t>
  </si>
  <si>
    <t>ORD-00068</t>
  </si>
  <si>
    <t>Customer 017</t>
  </si>
  <si>
    <t>ORD-00069</t>
  </si>
  <si>
    <t>ORD-00070</t>
  </si>
  <si>
    <t>Customer 008</t>
  </si>
  <si>
    <t>ORD-00071</t>
  </si>
  <si>
    <t>ORD-00072</t>
  </si>
  <si>
    <t>Customer 104</t>
  </si>
  <si>
    <t>ORD-00073</t>
  </si>
  <si>
    <t>ORD-00074</t>
  </si>
  <si>
    <t>ORD-00075</t>
  </si>
  <si>
    <t>ORD-00076</t>
  </si>
  <si>
    <t>ORD-00077</t>
  </si>
  <si>
    <t>Customer 110</t>
  </si>
  <si>
    <t>ORD-00078</t>
  </si>
  <si>
    <t>ORD-00079</t>
  </si>
  <si>
    <t>ORD-00080</t>
  </si>
  <si>
    <t>ORD-00081</t>
  </si>
  <si>
    <t>Customer 138</t>
  </si>
  <si>
    <t>ORD-00082</t>
  </si>
  <si>
    <t>ORD-00083</t>
  </si>
  <si>
    <t>ORD-00084</t>
  </si>
  <si>
    <t>Customer 019</t>
  </si>
  <si>
    <t>ORD-00085</t>
  </si>
  <si>
    <t>Customer 078</t>
  </si>
  <si>
    <t>ORD-00086</t>
  </si>
  <si>
    <t>ORD-00087</t>
  </si>
  <si>
    <t>Customer 029</t>
  </si>
  <si>
    <t>ORD-00088</t>
  </si>
  <si>
    <t>ORD-00089</t>
  </si>
  <si>
    <t>ORD-00090</t>
  </si>
  <si>
    <t>Customer 150</t>
  </si>
  <si>
    <t>ORD-00091</t>
  </si>
  <si>
    <t>ORD-00092</t>
  </si>
  <si>
    <t>Customer 086</t>
  </si>
  <si>
    <t>ORD-00093</t>
  </si>
  <si>
    <t>Customer 066</t>
  </si>
  <si>
    <t>ORD-00094</t>
  </si>
  <si>
    <t>ORD-00095</t>
  </si>
  <si>
    <t>Customer 031</t>
  </si>
  <si>
    <t>ORD-00096</t>
  </si>
  <si>
    <t>ORD-00097</t>
  </si>
  <si>
    <t>Customer 081</t>
  </si>
  <si>
    <t>ORD-00098</t>
  </si>
  <si>
    <t>Customer 142</t>
  </si>
  <si>
    <t>ORD-00099</t>
  </si>
  <si>
    <t>Customer 092</t>
  </si>
  <si>
    <t>ORD-00100</t>
  </si>
  <si>
    <t>ORD-00101</t>
  </si>
  <si>
    <t>ORD-00102</t>
  </si>
  <si>
    <t>ORD-00103</t>
  </si>
  <si>
    <t>ORD-00104</t>
  </si>
  <si>
    <t>Customer 039</t>
  </si>
  <si>
    <t>ORD-00105</t>
  </si>
  <si>
    <t>Customer 149</t>
  </si>
  <si>
    <t>ORD-00106</t>
  </si>
  <si>
    <t>Customer 072</t>
  </si>
  <si>
    <t>ORD-00107</t>
  </si>
  <si>
    <t>Customer 108</t>
  </si>
  <si>
    <t>ORD-00108</t>
  </si>
  <si>
    <t>Customer 038</t>
  </si>
  <si>
    <t>ORD-00109</t>
  </si>
  <si>
    <t>ORD-00110</t>
  </si>
  <si>
    <t>ORD-00111</t>
  </si>
  <si>
    <t>Customer 056</t>
  </si>
  <si>
    <t>ORD-00112</t>
  </si>
  <si>
    <t>Customer 047</t>
  </si>
  <si>
    <t>ORD-00113</t>
  </si>
  <si>
    <t>ORD-00114</t>
  </si>
  <si>
    <t>Customer 111</t>
  </si>
  <si>
    <t>ORD-00115</t>
  </si>
  <si>
    <t>Customer 139</t>
  </si>
  <si>
    <t>ORD-00116</t>
  </si>
  <si>
    <t>ORD-00117</t>
  </si>
  <si>
    <t>Customer 026</t>
  </si>
  <si>
    <t>ORD-00118</t>
  </si>
  <si>
    <t>ORD-00119</t>
  </si>
  <si>
    <t>Customer 049</t>
  </si>
  <si>
    <t>ORD-00120</t>
  </si>
  <si>
    <t>ORD-00121</t>
  </si>
  <si>
    <t>ORD-00122</t>
  </si>
  <si>
    <t>Customer 006</t>
  </si>
  <si>
    <t>ORD-00123</t>
  </si>
  <si>
    <t>ORD-00124</t>
  </si>
  <si>
    <t>ORD-00125</t>
  </si>
  <si>
    <t>ORD-00126</t>
  </si>
  <si>
    <t>ORD-00127</t>
  </si>
  <si>
    <t>Customer 061</t>
  </si>
  <si>
    <t>ORD-00128</t>
  </si>
  <si>
    <t>ORD-00129</t>
  </si>
  <si>
    <t>ORD-00130</t>
  </si>
  <si>
    <t>ORD-00131</t>
  </si>
  <si>
    <t>ORD-00132</t>
  </si>
  <si>
    <t>Customer 100</t>
  </si>
  <si>
    <t>ORD-00133</t>
  </si>
  <si>
    <t>ORD-00134</t>
  </si>
  <si>
    <t>ORD-00135</t>
  </si>
  <si>
    <t>ORD-00136</t>
  </si>
  <si>
    <t>ORD-00137</t>
  </si>
  <si>
    <t>ORD-00138</t>
  </si>
  <si>
    <t>ORD-00139</t>
  </si>
  <si>
    <t>Customer 080</t>
  </si>
  <si>
    <t>ORD-00140</t>
  </si>
  <si>
    <t>Customer 068</t>
  </si>
  <si>
    <t>ORD-00141</t>
  </si>
  <si>
    <t>ORD-00142</t>
  </si>
  <si>
    <t>Customer 037</t>
  </si>
  <si>
    <t>ORD-00143</t>
  </si>
  <si>
    <t>ORD-00144</t>
  </si>
  <si>
    <t>ORD-00145</t>
  </si>
  <si>
    <t>ORD-00146</t>
  </si>
  <si>
    <t>Customer 113</t>
  </si>
  <si>
    <t>ORD-00147</t>
  </si>
  <si>
    <t>Customer 084</t>
  </si>
  <si>
    <t>ORD-00148</t>
  </si>
  <si>
    <t>ORD-00149</t>
  </si>
  <si>
    <t>ORD-00150</t>
  </si>
  <si>
    <t>ORD-00151</t>
  </si>
  <si>
    <t>Customer 036</t>
  </si>
  <si>
    <t>ORD-00152</t>
  </si>
  <si>
    <t>ORD-00153</t>
  </si>
  <si>
    <t>Customer 127</t>
  </si>
  <si>
    <t>ORD-00154</t>
  </si>
  <si>
    <t>ORD-00155</t>
  </si>
  <si>
    <t>Customer 046</t>
  </si>
  <si>
    <t>ORD-00156</t>
  </si>
  <si>
    <t>ORD-00157</t>
  </si>
  <si>
    <t>ORD-00158</t>
  </si>
  <si>
    <t>ORD-00159</t>
  </si>
  <si>
    <t>ORD-00160</t>
  </si>
  <si>
    <t>Customer 020</t>
  </si>
  <si>
    <t>ORD-00161</t>
  </si>
  <si>
    <t>ORD-00162</t>
  </si>
  <si>
    <t>ORD-00163</t>
  </si>
  <si>
    <t>ORD-00164</t>
  </si>
  <si>
    <t>ORD-00165</t>
  </si>
  <si>
    <t>ORD-00166</t>
  </si>
  <si>
    <t>ORD-00167</t>
  </si>
  <si>
    <t>ORD-00168</t>
  </si>
  <si>
    <t>ORD-00169</t>
  </si>
  <si>
    <t>Customer 109</t>
  </si>
  <si>
    <t>ORD-00170</t>
  </si>
  <si>
    <t>Customer 099</t>
  </si>
  <si>
    <t>ORD-00171</t>
  </si>
  <si>
    <t>Customer 135</t>
  </si>
  <si>
    <t>ORD-00172</t>
  </si>
  <si>
    <t>Customer 102</t>
  </si>
  <si>
    <t>ORD-00173</t>
  </si>
  <si>
    <t>Customer 121</t>
  </si>
  <si>
    <t>ORD-00174</t>
  </si>
  <si>
    <t>ORD-00175</t>
  </si>
  <si>
    <t>ORD-00176</t>
  </si>
  <si>
    <t>ORD-00177</t>
  </si>
  <si>
    <t>ORD-00178</t>
  </si>
  <si>
    <t>ORD-00179</t>
  </si>
  <si>
    <t>Customer 101</t>
  </si>
  <si>
    <t>ORD-00180</t>
  </si>
  <si>
    <t>Customer 094</t>
  </si>
  <si>
    <t>ORD-00181</t>
  </si>
  <si>
    <t>Customer 117</t>
  </si>
  <si>
    <t>ORD-00182</t>
  </si>
  <si>
    <t>ORD-00183</t>
  </si>
  <si>
    <t>ORD-00184</t>
  </si>
  <si>
    <t>ORD-00185</t>
  </si>
  <si>
    <t>ORD-00186</t>
  </si>
  <si>
    <t>Customer 012</t>
  </si>
  <si>
    <t>ORD-00187</t>
  </si>
  <si>
    <t>Customer 122</t>
  </si>
  <si>
    <t>ORD-00188</t>
  </si>
  <si>
    <t>Customer 112</t>
  </si>
  <si>
    <t>ORD-00189</t>
  </si>
  <si>
    <t>ORD-00190</t>
  </si>
  <si>
    <t>ORD-00191</t>
  </si>
  <si>
    <t>ORD-00192</t>
  </si>
  <si>
    <t>Customer 045</t>
  </si>
  <si>
    <t>ORD-00193</t>
  </si>
  <si>
    <t>ORD-00194</t>
  </si>
  <si>
    <t>ORD-00195</t>
  </si>
  <si>
    <t>ORD-00196</t>
  </si>
  <si>
    <t>ORD-00197</t>
  </si>
  <si>
    <t>Customer 021</t>
  </si>
  <si>
    <t>ORD-00198</t>
  </si>
  <si>
    <t>ORD-00199</t>
  </si>
  <si>
    <t>ORD-00200</t>
  </si>
  <si>
    <t>ORD-00201</t>
  </si>
  <si>
    <t>ORD-00202</t>
  </si>
  <si>
    <t>ORD-00203</t>
  </si>
  <si>
    <t>Customer 128</t>
  </si>
  <si>
    <t>ORD-00204</t>
  </si>
  <si>
    <t>Customer 059</t>
  </si>
  <si>
    <t>ORD-00205</t>
  </si>
  <si>
    <t>ORD-00206</t>
  </si>
  <si>
    <t>ORD-00207</t>
  </si>
  <si>
    <t>Customer 074</t>
  </si>
  <si>
    <t>ORD-00208</t>
  </si>
  <si>
    <t>Customer 144</t>
  </si>
  <si>
    <t>ORD-00209</t>
  </si>
  <si>
    <t>Customer 014</t>
  </si>
  <si>
    <t>ORD-00210</t>
  </si>
  <si>
    <t>Customer 077</t>
  </si>
  <si>
    <t>ORD-00211</t>
  </si>
  <si>
    <t>Customer 140</t>
  </si>
  <si>
    <t>ORD-00212</t>
  </si>
  <si>
    <t>Customer 003</t>
  </si>
  <si>
    <t>ORD-00213</t>
  </si>
  <si>
    <t>ORD-00214</t>
  </si>
  <si>
    <t>ORD-00215</t>
  </si>
  <si>
    <t>Customer 023</t>
  </si>
  <si>
    <t>ORD-00216</t>
  </si>
  <si>
    <t>Customer 148</t>
  </si>
  <si>
    <t>ORD-00217</t>
  </si>
  <si>
    <t>ORD-00218</t>
  </si>
  <si>
    <t>ORD-00219</t>
  </si>
  <si>
    <t>ORD-00220</t>
  </si>
  <si>
    <t>ORD-00221</t>
  </si>
  <si>
    <t>ORD-00222</t>
  </si>
  <si>
    <t>ORD-00223</t>
  </si>
  <si>
    <t>Customer 073</t>
  </si>
  <si>
    <t>ORD-00224</t>
  </si>
  <si>
    <t>Customer 041</t>
  </si>
  <si>
    <t>ORD-00225</t>
  </si>
  <si>
    <t>ORD-00226</t>
  </si>
  <si>
    <t>ORD-00227</t>
  </si>
  <si>
    <t>ORD-00228</t>
  </si>
  <si>
    <t>ORD-00229</t>
  </si>
  <si>
    <t>ORD-00230</t>
  </si>
  <si>
    <t>Customer 004</t>
  </si>
  <si>
    <t>ORD-00231</t>
  </si>
  <si>
    <t>Customer 010</t>
  </si>
  <si>
    <t>ORD-00232</t>
  </si>
  <si>
    <t>ORD-00233</t>
  </si>
  <si>
    <t>ORD-00234</t>
  </si>
  <si>
    <t>ORD-00235</t>
  </si>
  <si>
    <t>ORD-00236</t>
  </si>
  <si>
    <t>ORD-00237</t>
  </si>
  <si>
    <t>ORD-00238</t>
  </si>
  <si>
    <t>ORD-00239</t>
  </si>
  <si>
    <t>ORD-00240</t>
  </si>
  <si>
    <t>Customer 044</t>
  </si>
  <si>
    <t>ORD-00241</t>
  </si>
  <si>
    <t>ORD-00242</t>
  </si>
  <si>
    <t>ORD-00243</t>
  </si>
  <si>
    <t>ORD-00244</t>
  </si>
  <si>
    <t>ORD-00245</t>
  </si>
  <si>
    <t>ORD-00246</t>
  </si>
  <si>
    <t>Customer 060</t>
  </si>
  <si>
    <t>ORD-00247</t>
  </si>
  <si>
    <t>Customer 129</t>
  </si>
  <si>
    <t>ORD-00248</t>
  </si>
  <si>
    <t>Customer 063</t>
  </si>
  <si>
    <t>ORD-00249</t>
  </si>
  <si>
    <t>ORD-00250</t>
  </si>
  <si>
    <t>ORD-00251</t>
  </si>
  <si>
    <t>Customer 137</t>
  </si>
  <si>
    <t>ORD-00252</t>
  </si>
  <si>
    <t>ORD-00253</t>
  </si>
  <si>
    <t>ORD-00254</t>
  </si>
  <si>
    <t>ORD-00255</t>
  </si>
  <si>
    <t>ORD-00256</t>
  </si>
  <si>
    <t>ORD-00257</t>
  </si>
  <si>
    <t>ORD-00258</t>
  </si>
  <si>
    <t>ORD-00259</t>
  </si>
  <si>
    <t>Customer 052</t>
  </si>
  <si>
    <t>ORD-00260</t>
  </si>
  <si>
    <t>ORD-00261</t>
  </si>
  <si>
    <t>Customer 053</t>
  </si>
  <si>
    <t>ORD-00262</t>
  </si>
  <si>
    <t>ORD-00263</t>
  </si>
  <si>
    <t>ORD-00264</t>
  </si>
  <si>
    <t>Customer 064</t>
  </si>
  <si>
    <t>ORD-00265</t>
  </si>
  <si>
    <t>ORD-00266</t>
  </si>
  <si>
    <t>ORD-00267</t>
  </si>
  <si>
    <t>ORD-00268</t>
  </si>
  <si>
    <t>Customer 062</t>
  </si>
  <si>
    <t>ORD-00269</t>
  </si>
  <si>
    <t>ORD-00270</t>
  </si>
  <si>
    <t>ORD-00271</t>
  </si>
  <si>
    <t>ORD-00272</t>
  </si>
  <si>
    <t>ORD-00273</t>
  </si>
  <si>
    <t>Customer 089</t>
  </si>
  <si>
    <t>ORD-00274</t>
  </si>
  <si>
    <t>ORD-00275</t>
  </si>
  <si>
    <t>ORD-00276</t>
  </si>
  <si>
    <t>ORD-00277</t>
  </si>
  <si>
    <t>Customer 090</t>
  </si>
  <si>
    <t>ORD-00278</t>
  </si>
  <si>
    <t>ORD-00279</t>
  </si>
  <si>
    <t>ORD-00280</t>
  </si>
  <si>
    <t>ORD-00281</t>
  </si>
  <si>
    <t>ORD-00282</t>
  </si>
  <si>
    <t>Customer 009</t>
  </si>
  <si>
    <t>ORD-00283</t>
  </si>
  <si>
    <t>ORD-00284</t>
  </si>
  <si>
    <t>ORD-00285</t>
  </si>
  <si>
    <t>ORD-00286</t>
  </si>
  <si>
    <t>ORD-00287</t>
  </si>
  <si>
    <t>ORD-00288</t>
  </si>
  <si>
    <t>ORD-00289</t>
  </si>
  <si>
    <t>ORD-00290</t>
  </si>
  <si>
    <t>ORD-00291</t>
  </si>
  <si>
    <t>ORD-00292</t>
  </si>
  <si>
    <t>ORD-00293</t>
  </si>
  <si>
    <t>ORD-00294</t>
  </si>
  <si>
    <t>ORD-00295</t>
  </si>
  <si>
    <t>ORD-00296</t>
  </si>
  <si>
    <t>ORD-00297</t>
  </si>
  <si>
    <t>ORD-00298</t>
  </si>
  <si>
    <t>ORD-00299</t>
  </si>
  <si>
    <t>ORD-00300</t>
  </si>
  <si>
    <t>ORD-00301</t>
  </si>
  <si>
    <t>ORD-00302</t>
  </si>
  <si>
    <t>ORD-00303</t>
  </si>
  <si>
    <t>ORD-00304</t>
  </si>
  <si>
    <t>ORD-00305</t>
  </si>
  <si>
    <t>ORD-00306</t>
  </si>
  <si>
    <t>ORD-00307</t>
  </si>
  <si>
    <t>ORD-00308</t>
  </si>
  <si>
    <t>ORD-00309</t>
  </si>
  <si>
    <t>ORD-00310</t>
  </si>
  <si>
    <t>ORD-00311</t>
  </si>
  <si>
    <t>ORD-00312</t>
  </si>
  <si>
    <t>ORD-00313</t>
  </si>
  <si>
    <t>ORD-00314</t>
  </si>
  <si>
    <t>ORD-00315</t>
  </si>
  <si>
    <t>ORD-00316</t>
  </si>
  <si>
    <t>ORD-00317</t>
  </si>
  <si>
    <t>ORD-00318</t>
  </si>
  <si>
    <t>ORD-00319</t>
  </si>
  <si>
    <t>ORD-00320</t>
  </si>
  <si>
    <t>ORD-00321</t>
  </si>
  <si>
    <t>ORD-00322</t>
  </si>
  <si>
    <t>ORD-00323</t>
  </si>
  <si>
    <t>ORD-00324</t>
  </si>
  <si>
    <t>ORD-00325</t>
  </si>
  <si>
    <t>ORD-00326</t>
  </si>
  <si>
    <t>ORD-00327</t>
  </si>
  <si>
    <t>ORD-00328</t>
  </si>
  <si>
    <t>ORD-00329</t>
  </si>
  <si>
    <t>ORD-00330</t>
  </si>
  <si>
    <t>ORD-00331</t>
  </si>
  <si>
    <t>ORD-00332</t>
  </si>
  <si>
    <t>ORD-00333</t>
  </si>
  <si>
    <t>ORD-00334</t>
  </si>
  <si>
    <t>Customer 136</t>
  </si>
  <si>
    <t>ORD-00335</t>
  </si>
  <si>
    <t>Customer 007</t>
  </si>
  <si>
    <t>ORD-00336</t>
  </si>
  <si>
    <t>ORD-00337</t>
  </si>
  <si>
    <t>ORD-00338</t>
  </si>
  <si>
    <t>ORD-00339</t>
  </si>
  <si>
    <t>ORD-00340</t>
  </si>
  <si>
    <t>ORD-00341</t>
  </si>
  <si>
    <t>ORD-00342</t>
  </si>
  <si>
    <t>ORD-00343</t>
  </si>
  <si>
    <t>ORD-00344</t>
  </si>
  <si>
    <t>ORD-00345</t>
  </si>
  <si>
    <t>ORD-00346</t>
  </si>
  <si>
    <t>ORD-00347</t>
  </si>
  <si>
    <t>Customer 126</t>
  </si>
  <si>
    <t>ORD-00348</t>
  </si>
  <si>
    <t>ORD-00349</t>
  </si>
  <si>
    <t>Customer 018</t>
  </si>
  <si>
    <t>ORD-00350</t>
  </si>
  <si>
    <t>ORD-00351</t>
  </si>
  <si>
    <t>ORD-00352</t>
  </si>
  <si>
    <t>ORD-00353</t>
  </si>
  <si>
    <t>ORD-00354</t>
  </si>
  <si>
    <t>ORD-00355</t>
  </si>
  <si>
    <t>ORD-00356</t>
  </si>
  <si>
    <t>ORD-00357</t>
  </si>
  <si>
    <t>ORD-00358</t>
  </si>
  <si>
    <t>ORD-00359</t>
  </si>
  <si>
    <t>ORD-00360</t>
  </si>
  <si>
    <t>ORD-00361</t>
  </si>
  <si>
    <t>ORD-00362</t>
  </si>
  <si>
    <t>Customer 032</t>
  </si>
  <si>
    <t>ORD-00363</t>
  </si>
  <si>
    <t>ORD-00364</t>
  </si>
  <si>
    <t>ORD-00365</t>
  </si>
  <si>
    <t>ORD-00366</t>
  </si>
  <si>
    <t>ORD-00367</t>
  </si>
  <si>
    <t>ORD-00368</t>
  </si>
  <si>
    <t>ORD-00369</t>
  </si>
  <si>
    <t>ORD-00370</t>
  </si>
  <si>
    <t>ORD-00371</t>
  </si>
  <si>
    <t>Customer 051</t>
  </si>
  <si>
    <t>ORD-00372</t>
  </si>
  <si>
    <t>ORD-00373</t>
  </si>
  <si>
    <t>ORD-00374</t>
  </si>
  <si>
    <t>ORD-00375</t>
  </si>
  <si>
    <t>ORD-00376</t>
  </si>
  <si>
    <t>ORD-00377</t>
  </si>
  <si>
    <t>ORD-00378</t>
  </si>
  <si>
    <t>ORD-00379</t>
  </si>
  <si>
    <t>ORD-00380</t>
  </si>
  <si>
    <t>ORD-00381</t>
  </si>
  <si>
    <t>ORD-00382</t>
  </si>
  <si>
    <t>ORD-00383</t>
  </si>
  <si>
    <t>ORD-00384</t>
  </si>
  <si>
    <t>ORD-00385</t>
  </si>
  <si>
    <t>ORD-00386</t>
  </si>
  <si>
    <t>ORD-00387</t>
  </si>
  <si>
    <t>Customer 098</t>
  </si>
  <si>
    <t>ORD-00388</t>
  </si>
  <si>
    <t>ORD-00389</t>
  </si>
  <si>
    <t>ORD-00390</t>
  </si>
  <si>
    <t>ORD-00391</t>
  </si>
  <si>
    <t>ORD-00392</t>
  </si>
  <si>
    <t>ORD-00393</t>
  </si>
  <si>
    <t>ORD-00394</t>
  </si>
  <si>
    <t>ORD-00395</t>
  </si>
  <si>
    <t>Customer 005</t>
  </si>
  <si>
    <t>ORD-00396</t>
  </si>
  <si>
    <t>Customer 022</t>
  </si>
  <si>
    <t>ORD-00397</t>
  </si>
  <si>
    <t>ORD-00398</t>
  </si>
  <si>
    <t>ORD-00399</t>
  </si>
  <si>
    <t>ORD-00400</t>
  </si>
  <si>
    <t>ORD-00401</t>
  </si>
  <si>
    <t>Customer 050</t>
  </si>
  <si>
    <t>ORD-00402</t>
  </si>
  <si>
    <t>ORD-00403</t>
  </si>
  <si>
    <t>ORD-00404</t>
  </si>
  <si>
    <t>ORD-00405</t>
  </si>
  <si>
    <t>ORD-00406</t>
  </si>
  <si>
    <t>ORD-00407</t>
  </si>
  <si>
    <t>ORD-00408</t>
  </si>
  <si>
    <t>ORD-00409</t>
  </si>
  <si>
    <t>ORD-00410</t>
  </si>
  <si>
    <t>ORD-00411</t>
  </si>
  <si>
    <t>ORD-00412</t>
  </si>
  <si>
    <t>ORD-00413</t>
  </si>
  <si>
    <t>ORD-00414</t>
  </si>
  <si>
    <t>ORD-00415</t>
  </si>
  <si>
    <t>ORD-00416</t>
  </si>
  <si>
    <t>ORD-00417</t>
  </si>
  <si>
    <t>ORD-00418</t>
  </si>
  <si>
    <t>ORD-00419</t>
  </si>
  <si>
    <t>ORD-00420</t>
  </si>
  <si>
    <t>ORD-00421</t>
  </si>
  <si>
    <t>ORD-00422</t>
  </si>
  <si>
    <t>ORD-00423</t>
  </si>
  <si>
    <t>ORD-00424</t>
  </si>
  <si>
    <t>ORD-00425</t>
  </si>
  <si>
    <t>ORD-00426</t>
  </si>
  <si>
    <t>ORD-00427</t>
  </si>
  <si>
    <t>ORD-00428</t>
  </si>
  <si>
    <t>ORD-00429</t>
  </si>
  <si>
    <t>ORD-00430</t>
  </si>
  <si>
    <t>ORD-00431</t>
  </si>
  <si>
    <t>ORD-00432</t>
  </si>
  <si>
    <t>ORD-00433</t>
  </si>
  <si>
    <t>ORD-00434</t>
  </si>
  <si>
    <t>ORD-00435</t>
  </si>
  <si>
    <t>ORD-00436</t>
  </si>
  <si>
    <t>ORD-00437</t>
  </si>
  <si>
    <t>ORD-00438</t>
  </si>
  <si>
    <t>ORD-00439</t>
  </si>
  <si>
    <t>ORD-00440</t>
  </si>
  <si>
    <t>ORD-00441</t>
  </si>
  <si>
    <t>ORD-00442</t>
  </si>
  <si>
    <t>ORD-00443</t>
  </si>
  <si>
    <t>ORD-00444</t>
  </si>
  <si>
    <t>ORD-00445</t>
  </si>
  <si>
    <t>ORD-00446</t>
  </si>
  <si>
    <t>ORD-00447</t>
  </si>
  <si>
    <t>ORD-00448</t>
  </si>
  <si>
    <t>ORD-00449</t>
  </si>
  <si>
    <t>ORD-00450</t>
  </si>
  <si>
    <t>ORD-00451</t>
  </si>
  <si>
    <t>ORD-00452</t>
  </si>
  <si>
    <t>ORD-00453</t>
  </si>
  <si>
    <t>ORD-00454</t>
  </si>
  <si>
    <t>ORD-00455</t>
  </si>
  <si>
    <t>ORD-00456</t>
  </si>
  <si>
    <t>ORD-00457</t>
  </si>
  <si>
    <t>ORD-00458</t>
  </si>
  <si>
    <t>ORD-00459</t>
  </si>
  <si>
    <t>ORD-00460</t>
  </si>
  <si>
    <t>ORD-00461</t>
  </si>
  <si>
    <t>ORD-00462</t>
  </si>
  <si>
    <t>ORD-00463</t>
  </si>
  <si>
    <t>ORD-00464</t>
  </si>
  <si>
    <t>ORD-00465</t>
  </si>
  <si>
    <t>ORD-00466</t>
  </si>
  <si>
    <t>ORD-00467</t>
  </si>
  <si>
    <t>ORD-00468</t>
  </si>
  <si>
    <t>ORD-00469</t>
  </si>
  <si>
    <t>ORD-00470</t>
  </si>
  <si>
    <t>ORD-00471</t>
  </si>
  <si>
    <t>ORD-00472</t>
  </si>
  <si>
    <t>ORD-00473</t>
  </si>
  <si>
    <t>ORD-00474</t>
  </si>
  <si>
    <t>ORD-00475</t>
  </si>
  <si>
    <t>ORD-00476</t>
  </si>
  <si>
    <t>ORD-00477</t>
  </si>
  <si>
    <t>ORD-00478</t>
  </si>
  <si>
    <t>ORD-00479</t>
  </si>
  <si>
    <t>ORD-00480</t>
  </si>
  <si>
    <t>ORD-00481</t>
  </si>
  <si>
    <t>ORD-00482</t>
  </si>
  <si>
    <t>ORD-00483</t>
  </si>
  <si>
    <t>ORD-00484</t>
  </si>
  <si>
    <t>ORD-00485</t>
  </si>
  <si>
    <t>ORD-00486</t>
  </si>
  <si>
    <t>ORD-00487</t>
  </si>
  <si>
    <t>ORD-00488</t>
  </si>
  <si>
    <t>ORD-00489</t>
  </si>
  <si>
    <t>ORD-00490</t>
  </si>
  <si>
    <t>ORD-00491</t>
  </si>
  <si>
    <t>ORD-00492</t>
  </si>
  <si>
    <t>ORD-00493</t>
  </si>
  <si>
    <t>ORD-00494</t>
  </si>
  <si>
    <t>ORD-00495</t>
  </si>
  <si>
    <t>ORD-00496</t>
  </si>
  <si>
    <t>ORD-00497</t>
  </si>
  <si>
    <t>ORD-00498</t>
  </si>
  <si>
    <t>ORD-00499</t>
  </si>
  <si>
    <t>ORD-00500</t>
  </si>
  <si>
    <t>ORD-00501</t>
  </si>
  <si>
    <t>ORD-00502</t>
  </si>
  <si>
    <t>ORD-00503</t>
  </si>
  <si>
    <t>ORD-00504</t>
  </si>
  <si>
    <t>ORD-00505</t>
  </si>
  <si>
    <t>ORD-00506</t>
  </si>
  <si>
    <t>ORD-00507</t>
  </si>
  <si>
    <t>ORD-00508</t>
  </si>
  <si>
    <t>ORD-00509</t>
  </si>
  <si>
    <t>ORD-00510</t>
  </si>
  <si>
    <t>ORD-00511</t>
  </si>
  <si>
    <t>ORD-00512</t>
  </si>
  <si>
    <t>ORD-00513</t>
  </si>
  <si>
    <t>ORD-00514</t>
  </si>
  <si>
    <t>ORD-00515</t>
  </si>
  <si>
    <t>ORD-00516</t>
  </si>
  <si>
    <t>Customer 035</t>
  </si>
  <si>
    <t>ORD-00517</t>
  </si>
  <si>
    <t>ORD-00518</t>
  </si>
  <si>
    <t>ORD-00519</t>
  </si>
  <si>
    <t>ORD-00520</t>
  </si>
  <si>
    <t>ORD-00521</t>
  </si>
  <si>
    <t>ORD-00522</t>
  </si>
  <si>
    <t>ORD-00523</t>
  </si>
  <si>
    <t>ORD-00524</t>
  </si>
  <si>
    <t>ORD-00525</t>
  </si>
  <si>
    <t>ORD-00526</t>
  </si>
  <si>
    <t>ORD-00527</t>
  </si>
  <si>
    <t>ORD-00528</t>
  </si>
  <si>
    <t>ORD-00529</t>
  </si>
  <si>
    <t>ORD-00530</t>
  </si>
  <si>
    <t>ORD-00531</t>
  </si>
  <si>
    <t>ORD-00532</t>
  </si>
  <si>
    <t>ORD-00533</t>
  </si>
  <si>
    <t>ORD-00534</t>
  </si>
  <si>
    <t>ORD-00535</t>
  </si>
  <si>
    <t>ORD-00536</t>
  </si>
  <si>
    <t>ORD-00537</t>
  </si>
  <si>
    <t>ORD-00538</t>
  </si>
  <si>
    <t>ORD-00539</t>
  </si>
  <si>
    <t>ORD-00540</t>
  </si>
  <si>
    <t>ORD-00541</t>
  </si>
  <si>
    <t>ORD-00542</t>
  </si>
  <si>
    <t>ORD-00543</t>
  </si>
  <si>
    <t>ORD-00544</t>
  </si>
  <si>
    <t>ORD-00545</t>
  </si>
  <si>
    <t>ORD-00546</t>
  </si>
  <si>
    <t>ORD-00547</t>
  </si>
  <si>
    <t>ORD-00548</t>
  </si>
  <si>
    <t>ORD-00549</t>
  </si>
  <si>
    <t>ORD-00550</t>
  </si>
  <si>
    <t>ORD-00551</t>
  </si>
  <si>
    <t>ORD-00552</t>
  </si>
  <si>
    <t>ORD-00553</t>
  </si>
  <si>
    <t>ORD-00554</t>
  </si>
  <si>
    <t>ORD-00555</t>
  </si>
  <si>
    <t>ORD-00556</t>
  </si>
  <si>
    <t>ORD-00557</t>
  </si>
  <si>
    <t>ORD-00558</t>
  </si>
  <si>
    <t>ORD-00559</t>
  </si>
  <si>
    <t>ORD-00560</t>
  </si>
  <si>
    <t>ORD-00561</t>
  </si>
  <si>
    <t>ORD-00562</t>
  </si>
  <si>
    <t>ORD-00563</t>
  </si>
  <si>
    <t>ORD-00564</t>
  </si>
  <si>
    <t>ORD-00565</t>
  </si>
  <si>
    <t>ORD-00566</t>
  </si>
  <si>
    <t>ORD-00567</t>
  </si>
  <si>
    <t>ORD-00568</t>
  </si>
  <si>
    <t>Customer 145</t>
  </si>
  <si>
    <t>ORD-00569</t>
  </si>
  <si>
    <t>ORD-00570</t>
  </si>
  <si>
    <t>ORD-00571</t>
  </si>
  <si>
    <t>ORD-00572</t>
  </si>
  <si>
    <t>ORD-00573</t>
  </si>
  <si>
    <t>ORD-00574</t>
  </si>
  <si>
    <t>ORD-00575</t>
  </si>
  <si>
    <t>ORD-00576</t>
  </si>
  <si>
    <t>ORD-00577</t>
  </si>
  <si>
    <t>ORD-00578</t>
  </si>
  <si>
    <t>ORD-00579</t>
  </si>
  <si>
    <t>ORD-00580</t>
  </si>
  <si>
    <t>ORD-00581</t>
  </si>
  <si>
    <t>ORD-00582</t>
  </si>
  <si>
    <t>ORD-00583</t>
  </si>
  <si>
    <t>ORD-00584</t>
  </si>
  <si>
    <t>ORD-00585</t>
  </si>
  <si>
    <t>ORD-00586</t>
  </si>
  <si>
    <t>ORD-00587</t>
  </si>
  <si>
    <t>ORD-00588</t>
  </si>
  <si>
    <t>ORD-00589</t>
  </si>
  <si>
    <t>ORD-00590</t>
  </si>
  <si>
    <t>ORD-00591</t>
  </si>
  <si>
    <t>ORD-00592</t>
  </si>
  <si>
    <t>ORD-00593</t>
  </si>
  <si>
    <t>ORD-00594</t>
  </si>
  <si>
    <t>ORD-00595</t>
  </si>
  <si>
    <t>ORD-00596</t>
  </si>
  <si>
    <t>ORD-00597</t>
  </si>
  <si>
    <t>ORD-00598</t>
  </si>
  <si>
    <t>ORD-00599</t>
  </si>
  <si>
    <t>ORD-00600</t>
  </si>
  <si>
    <t>ORD-00601</t>
  </si>
  <si>
    <t>ORD-00602</t>
  </si>
  <si>
    <t>ORD-00603</t>
  </si>
  <si>
    <t>ORD-00604</t>
  </si>
  <si>
    <t>ORD-00605</t>
  </si>
  <si>
    <t>ORD-00606</t>
  </si>
  <si>
    <t>ORD-00607</t>
  </si>
  <si>
    <t>ORD-00608</t>
  </si>
  <si>
    <t>ORD-00609</t>
  </si>
  <si>
    <t>ORD-00610</t>
  </si>
  <si>
    <t>ORD-00611</t>
  </si>
  <si>
    <t>ORD-00612</t>
  </si>
  <si>
    <t>ORD-00613</t>
  </si>
  <si>
    <t>ORD-00614</t>
  </si>
  <si>
    <t>ORD-00615</t>
  </si>
  <si>
    <t>ORD-00616</t>
  </si>
  <si>
    <t>ORD-00617</t>
  </si>
  <si>
    <t>ORD-00618</t>
  </si>
  <si>
    <t>ORD-00619</t>
  </si>
  <si>
    <t>ORD-00620</t>
  </si>
  <si>
    <t>ORD-00621</t>
  </si>
  <si>
    <t>ORD-00622</t>
  </si>
  <si>
    <t>ORD-00623</t>
  </si>
  <si>
    <t>Customer 088</t>
  </si>
  <si>
    <t>ORD-00624</t>
  </si>
  <si>
    <t>ORD-00625</t>
  </si>
  <si>
    <t>ORD-00626</t>
  </si>
  <si>
    <t>ORD-00627</t>
  </si>
  <si>
    <t>ORD-00628</t>
  </si>
  <si>
    <t>ORD-00629</t>
  </si>
  <si>
    <t>ORD-00630</t>
  </si>
  <si>
    <t>ORD-00631</t>
  </si>
  <si>
    <t>ORD-00632</t>
  </si>
  <si>
    <t>ORD-00633</t>
  </si>
  <si>
    <t>ORD-00634</t>
  </si>
  <si>
    <t>ORD-00635</t>
  </si>
  <si>
    <t>ORD-00636</t>
  </si>
  <si>
    <t>ORD-00637</t>
  </si>
  <si>
    <t>ORD-00638</t>
  </si>
  <si>
    <t>ORD-00639</t>
  </si>
  <si>
    <t>ORD-00640</t>
  </si>
  <si>
    <t>ORD-00641</t>
  </si>
  <si>
    <t>ORD-00642</t>
  </si>
  <si>
    <t>ORD-00643</t>
  </si>
  <si>
    <t>ORD-00644</t>
  </si>
  <si>
    <t>ORD-00645</t>
  </si>
  <si>
    <t>ORD-00646</t>
  </si>
  <si>
    <t>ORD-00647</t>
  </si>
  <si>
    <t>ORD-00648</t>
  </si>
  <si>
    <t>ORD-00649</t>
  </si>
  <si>
    <t>ORD-00650</t>
  </si>
  <si>
    <t>ORD-00651</t>
  </si>
  <si>
    <t>ORD-00652</t>
  </si>
  <si>
    <t>ORD-00653</t>
  </si>
  <si>
    <t>ORD-00654</t>
  </si>
  <si>
    <t>ORD-00655</t>
  </si>
  <si>
    <t>ORD-00656</t>
  </si>
  <si>
    <t>ORD-00657</t>
  </si>
  <si>
    <t>ORD-00658</t>
  </si>
  <si>
    <t>ORD-00659</t>
  </si>
  <si>
    <t>ORD-00660</t>
  </si>
  <si>
    <t>ORD-00661</t>
  </si>
  <si>
    <t>ORD-00662</t>
  </si>
  <si>
    <t>ORD-00663</t>
  </si>
  <si>
    <t>ORD-00664</t>
  </si>
  <si>
    <t>ORD-00665</t>
  </si>
  <si>
    <t>ORD-00666</t>
  </si>
  <si>
    <t>ORD-00667</t>
  </si>
  <si>
    <t>ORD-00668</t>
  </si>
  <si>
    <t>ORD-00669</t>
  </si>
  <si>
    <t>ORD-00670</t>
  </si>
  <si>
    <t>ORD-00671</t>
  </si>
  <si>
    <t>ORD-00672</t>
  </si>
  <si>
    <t>ORD-00673</t>
  </si>
  <si>
    <t>ORD-00674</t>
  </si>
  <si>
    <t>ORD-00675</t>
  </si>
  <si>
    <t>ORD-00676</t>
  </si>
  <si>
    <t>ORD-00677</t>
  </si>
  <si>
    <t>ORD-00678</t>
  </si>
  <si>
    <t>ORD-00679</t>
  </si>
  <si>
    <t>ORD-00680</t>
  </si>
  <si>
    <t>ORD-00681</t>
  </si>
  <si>
    <t>ORD-00682</t>
  </si>
  <si>
    <t>ORD-00683</t>
  </si>
  <si>
    <t>ORD-00684</t>
  </si>
  <si>
    <t>ORD-00685</t>
  </si>
  <si>
    <t>ORD-00686</t>
  </si>
  <si>
    <t>ORD-00687</t>
  </si>
  <si>
    <t>ORD-00688</t>
  </si>
  <si>
    <t>ORD-00689</t>
  </si>
  <si>
    <t>ORD-00690</t>
  </si>
  <si>
    <t>ORD-00691</t>
  </si>
  <si>
    <t>ORD-00692</t>
  </si>
  <si>
    <t>ORD-00693</t>
  </si>
  <si>
    <t>ORD-00694</t>
  </si>
  <si>
    <t>ORD-00695</t>
  </si>
  <si>
    <t>ORD-00696</t>
  </si>
  <si>
    <t>ORD-00697</t>
  </si>
  <si>
    <t>ORD-00698</t>
  </si>
  <si>
    <t>ORD-00699</t>
  </si>
  <si>
    <t>ORD-00700</t>
  </si>
  <si>
    <t>ORD-00701</t>
  </si>
  <si>
    <t>ORD-00702</t>
  </si>
  <si>
    <t>ORD-00703</t>
  </si>
  <si>
    <t>ORD-00704</t>
  </si>
  <si>
    <t>ORD-00705</t>
  </si>
  <si>
    <t>ORD-00706</t>
  </si>
  <si>
    <t>ORD-00707</t>
  </si>
  <si>
    <t>ORD-00708</t>
  </si>
  <si>
    <t>ORD-00709</t>
  </si>
  <si>
    <t>ORD-00710</t>
  </si>
  <si>
    <t>ORD-00711</t>
  </si>
  <si>
    <t>ORD-00712</t>
  </si>
  <si>
    <t>ORD-00713</t>
  </si>
  <si>
    <t>ORD-00714</t>
  </si>
  <si>
    <t>ORD-00715</t>
  </si>
  <si>
    <t>ORD-00716</t>
  </si>
  <si>
    <t>ORD-00717</t>
  </si>
  <si>
    <t>ORD-00718</t>
  </si>
  <si>
    <t>ORD-00719</t>
  </si>
  <si>
    <t>ORD-00720</t>
  </si>
  <si>
    <t>ORD-00721</t>
  </si>
  <si>
    <t>ORD-00722</t>
  </si>
  <si>
    <t>ORD-00723</t>
  </si>
  <si>
    <t>ORD-00724</t>
  </si>
  <si>
    <t>ORD-00725</t>
  </si>
  <si>
    <t>ORD-00726</t>
  </si>
  <si>
    <t>ORD-00727</t>
  </si>
  <si>
    <t>ORD-00728</t>
  </si>
  <si>
    <t>ORD-00729</t>
  </si>
  <si>
    <t>ORD-00730</t>
  </si>
  <si>
    <t>ORD-00731</t>
  </si>
  <si>
    <t>ORD-00732</t>
  </si>
  <si>
    <t>ORD-00733</t>
  </si>
  <si>
    <t>ORD-00734</t>
  </si>
  <si>
    <t>ORD-00735</t>
  </si>
  <si>
    <t>ORD-00736</t>
  </si>
  <si>
    <t>ORD-00737</t>
  </si>
  <si>
    <t>ORD-00738</t>
  </si>
  <si>
    <t>ORD-00739</t>
  </si>
  <si>
    <t>ORD-00740</t>
  </si>
  <si>
    <t>ORD-00741</t>
  </si>
  <si>
    <t>ORD-00742</t>
  </si>
  <si>
    <t>ORD-00743</t>
  </si>
  <si>
    <t>ORD-00744</t>
  </si>
  <si>
    <t>ORD-00745</t>
  </si>
  <si>
    <t>ORD-00746</t>
  </si>
  <si>
    <t>ORD-00747</t>
  </si>
  <si>
    <t>ORD-00748</t>
  </si>
  <si>
    <t>ORD-00749</t>
  </si>
  <si>
    <t>ORD-00750</t>
  </si>
  <si>
    <t>Customer 071</t>
  </si>
  <si>
    <t>ORD-00751</t>
  </si>
  <si>
    <t>ORD-00752</t>
  </si>
  <si>
    <t>ORD-00753</t>
  </si>
  <si>
    <t>ORD-00754</t>
  </si>
  <si>
    <t>ORD-00755</t>
  </si>
  <si>
    <t>ORD-00756</t>
  </si>
  <si>
    <t>ORD-00757</t>
  </si>
  <si>
    <t>ORD-00758</t>
  </si>
  <si>
    <t>ORD-00759</t>
  </si>
  <si>
    <t>ORD-00760</t>
  </si>
  <si>
    <t>ORD-00761</t>
  </si>
  <si>
    <t>ORD-00762</t>
  </si>
  <si>
    <t>ORD-00763</t>
  </si>
  <si>
    <t>ORD-00764</t>
  </si>
  <si>
    <t>ORD-00765</t>
  </si>
  <si>
    <t>ORD-00766</t>
  </si>
  <si>
    <t>ORD-00767</t>
  </si>
  <si>
    <t>ORD-00768</t>
  </si>
  <si>
    <t>ORD-00769</t>
  </si>
  <si>
    <t>ORD-00770</t>
  </si>
  <si>
    <t>ORD-00771</t>
  </si>
  <si>
    <t>ORD-00772</t>
  </si>
  <si>
    <t>ORD-00773</t>
  </si>
  <si>
    <t>ORD-00774</t>
  </si>
  <si>
    <t>ORD-00775</t>
  </si>
  <si>
    <t>ORD-00776</t>
  </si>
  <si>
    <t>ORD-00777</t>
  </si>
  <si>
    <t>ORD-00778</t>
  </si>
  <si>
    <t>ORD-00779</t>
  </si>
  <si>
    <t>ORD-00780</t>
  </si>
  <si>
    <t>ORD-00781</t>
  </si>
  <si>
    <t>ORD-00782</t>
  </si>
  <si>
    <t>ORD-00783</t>
  </si>
  <si>
    <t>ORD-00784</t>
  </si>
  <si>
    <t>ORD-00785</t>
  </si>
  <si>
    <t>ORD-00786</t>
  </si>
  <si>
    <t>ORD-00787</t>
  </si>
  <si>
    <t>ORD-00788</t>
  </si>
  <si>
    <t>ORD-00789</t>
  </si>
  <si>
    <t>ORD-00790</t>
  </si>
  <si>
    <t>ORD-00791</t>
  </si>
  <si>
    <t>ORD-00792</t>
  </si>
  <si>
    <t>ORD-00793</t>
  </si>
  <si>
    <t>ORD-00794</t>
  </si>
  <si>
    <t>ORD-00795</t>
  </si>
  <si>
    <t>ORD-00796</t>
  </si>
  <si>
    <t>ORD-00797</t>
  </si>
  <si>
    <t>ORD-00798</t>
  </si>
  <si>
    <t>ORD-00799</t>
  </si>
  <si>
    <t>ORD-00800</t>
  </si>
  <si>
    <t>ORD-00801</t>
  </si>
  <si>
    <t>ORD-00802</t>
  </si>
  <si>
    <t>ORD-00803</t>
  </si>
  <si>
    <t>ORD-00804</t>
  </si>
  <si>
    <t>ORD-00805</t>
  </si>
  <si>
    <t>ORD-00806</t>
  </si>
  <si>
    <t>ORD-00807</t>
  </si>
  <si>
    <t>ORD-00808</t>
  </si>
  <si>
    <t>ORD-00809</t>
  </si>
  <si>
    <t>ORD-00810</t>
  </si>
  <si>
    <t>ORD-00811</t>
  </si>
  <si>
    <t>ORD-00812</t>
  </si>
  <si>
    <t>ORD-00813</t>
  </si>
  <si>
    <t>ORD-00814</t>
  </si>
  <si>
    <t>ORD-00815</t>
  </si>
  <si>
    <t>ORD-00816</t>
  </si>
  <si>
    <t>ORD-00817</t>
  </si>
  <si>
    <t>ORD-00818</t>
  </si>
  <si>
    <t>ORD-00819</t>
  </si>
  <si>
    <t>ORD-00820</t>
  </si>
  <si>
    <t>ORD-00821</t>
  </si>
  <si>
    <t>ORD-00822</t>
  </si>
  <si>
    <t>ORD-00823</t>
  </si>
  <si>
    <t>ORD-00824</t>
  </si>
  <si>
    <t>ORD-00825</t>
  </si>
  <si>
    <t>ORD-00826</t>
  </si>
  <si>
    <t>ORD-00827</t>
  </si>
  <si>
    <t>ORD-00828</t>
  </si>
  <si>
    <t>ORD-00829</t>
  </si>
  <si>
    <t>ORD-00830</t>
  </si>
  <si>
    <t>ORD-00831</t>
  </si>
  <si>
    <t>ORD-00832</t>
  </si>
  <si>
    <t>ORD-00833</t>
  </si>
  <si>
    <t>ORD-00834</t>
  </si>
  <si>
    <t>ORD-00835</t>
  </si>
  <si>
    <t>ORD-00836</t>
  </si>
  <si>
    <t>ORD-00837</t>
  </si>
  <si>
    <t>ORD-00838</t>
  </si>
  <si>
    <t>ORD-00839</t>
  </si>
  <si>
    <t>ORD-00840</t>
  </si>
  <si>
    <t>ORD-00841</t>
  </si>
  <si>
    <t>ORD-00842</t>
  </si>
  <si>
    <t>ORD-00843</t>
  </si>
  <si>
    <t>ORD-00844</t>
  </si>
  <si>
    <t>ORD-00845</t>
  </si>
  <si>
    <t>ORD-00846</t>
  </si>
  <si>
    <t>ORD-00847</t>
  </si>
  <si>
    <t>ORD-00848</t>
  </si>
  <si>
    <t>ORD-00849</t>
  </si>
  <si>
    <t>ORD-00850</t>
  </si>
  <si>
    <t>ORD-00851</t>
  </si>
  <si>
    <t>ORD-00852</t>
  </si>
  <si>
    <t>ORD-00853</t>
  </si>
  <si>
    <t>ORD-00854</t>
  </si>
  <si>
    <t>ORD-00855</t>
  </si>
  <si>
    <t>ORD-00856</t>
  </si>
  <si>
    <t>ORD-00857</t>
  </si>
  <si>
    <t>ORD-00858</t>
  </si>
  <si>
    <t>ORD-00859</t>
  </si>
  <si>
    <t>ORD-00860</t>
  </si>
  <si>
    <t>ORD-00861</t>
  </si>
  <si>
    <t>ORD-00862</t>
  </si>
  <si>
    <t>ORD-00863</t>
  </si>
  <si>
    <t>ORD-00864</t>
  </si>
  <si>
    <t>ORD-00865</t>
  </si>
  <si>
    <t>ORD-00866</t>
  </si>
  <si>
    <t>ORD-00867</t>
  </si>
  <si>
    <t>ORD-00868</t>
  </si>
  <si>
    <t>ORD-00869</t>
  </si>
  <si>
    <t>ORD-00870</t>
  </si>
  <si>
    <t>ORD-00871</t>
  </si>
  <si>
    <t>ORD-00872</t>
  </si>
  <si>
    <t>ORD-00873</t>
  </si>
  <si>
    <t>ORD-00874</t>
  </si>
  <si>
    <t>ORD-00875</t>
  </si>
  <si>
    <t>ORD-00876</t>
  </si>
  <si>
    <t>ORD-00877</t>
  </si>
  <si>
    <t>ORD-00878</t>
  </si>
  <si>
    <t>ORD-00879</t>
  </si>
  <si>
    <t>ORD-00880</t>
  </si>
  <si>
    <t>ORD-00881</t>
  </si>
  <si>
    <t>ORD-00882</t>
  </si>
  <si>
    <t>ORD-00883</t>
  </si>
  <si>
    <t>ORD-00884</t>
  </si>
  <si>
    <t>ORD-00885</t>
  </si>
  <si>
    <t>ORD-00886</t>
  </si>
  <si>
    <t>ORD-00887</t>
  </si>
  <si>
    <t>ORD-00888</t>
  </si>
  <si>
    <t>ORD-00889</t>
  </si>
  <si>
    <t>ORD-00890</t>
  </si>
  <si>
    <t>ORD-00891</t>
  </si>
  <si>
    <t>ORD-00892</t>
  </si>
  <si>
    <t>ORD-00893</t>
  </si>
  <si>
    <t>ORD-00894</t>
  </si>
  <si>
    <t>ORD-00895</t>
  </si>
  <si>
    <t>ORD-00896</t>
  </si>
  <si>
    <t>ORD-00897</t>
  </si>
  <si>
    <t>ORD-00898</t>
  </si>
  <si>
    <t>ORD-00899</t>
  </si>
  <si>
    <t>ORD-00900</t>
  </si>
  <si>
    <t>ORD-00901</t>
  </si>
  <si>
    <t>ORD-00902</t>
  </si>
  <si>
    <t>ORD-00903</t>
  </si>
  <si>
    <t>ORD-00904</t>
  </si>
  <si>
    <t>ORD-00905</t>
  </si>
  <si>
    <t>ORD-00906</t>
  </si>
  <si>
    <t>ORD-00907</t>
  </si>
  <si>
    <t>ORD-00908</t>
  </si>
  <si>
    <t>ORD-00909</t>
  </si>
  <si>
    <t>ORD-00910</t>
  </si>
  <si>
    <t>ORD-00911</t>
  </si>
  <si>
    <t>ORD-00912</t>
  </si>
  <si>
    <t>ORD-00913</t>
  </si>
  <si>
    <t>ORD-00914</t>
  </si>
  <si>
    <t>ORD-00915</t>
  </si>
  <si>
    <t>ORD-00916</t>
  </si>
  <si>
    <t>ORD-00917</t>
  </si>
  <si>
    <t>ORD-00918</t>
  </si>
  <si>
    <t>ORD-00919</t>
  </si>
  <si>
    <t>ORD-00920</t>
  </si>
  <si>
    <t>ORD-00921</t>
  </si>
  <si>
    <t>ORD-00922</t>
  </si>
  <si>
    <t>ORD-00923</t>
  </si>
  <si>
    <t>ORD-00924</t>
  </si>
  <si>
    <t>ORD-00925</t>
  </si>
  <si>
    <t>ORD-00926</t>
  </si>
  <si>
    <t>ORD-00927</t>
  </si>
  <si>
    <t>ORD-00928</t>
  </si>
  <si>
    <t>ORD-00929</t>
  </si>
  <si>
    <t>ORD-00930</t>
  </si>
  <si>
    <t>ORD-00931</t>
  </si>
  <si>
    <t>ORD-00932</t>
  </si>
  <si>
    <t>ORD-00933</t>
  </si>
  <si>
    <t>ORD-00934</t>
  </si>
  <si>
    <t>ORD-00935</t>
  </si>
  <si>
    <t>ORD-00936</t>
  </si>
  <si>
    <t>ORD-00937</t>
  </si>
  <si>
    <t>ORD-00938</t>
  </si>
  <si>
    <t>ORD-00939</t>
  </si>
  <si>
    <t>ORD-00940</t>
  </si>
  <si>
    <t>ORD-00941</t>
  </si>
  <si>
    <t>ORD-00942</t>
  </si>
  <si>
    <t>ORD-00943</t>
  </si>
  <si>
    <t>ORD-00944</t>
  </si>
  <si>
    <t>ORD-00945</t>
  </si>
  <si>
    <t>ORD-00946</t>
  </si>
  <si>
    <t>ORD-00947</t>
  </si>
  <si>
    <t>ORD-00948</t>
  </si>
  <si>
    <t>ORD-00949</t>
  </si>
  <si>
    <t>ORD-00950</t>
  </si>
  <si>
    <t>ORD-00951</t>
  </si>
  <si>
    <t>ORD-00952</t>
  </si>
  <si>
    <t>ORD-00953</t>
  </si>
  <si>
    <t>ORD-00954</t>
  </si>
  <si>
    <t>ORD-00955</t>
  </si>
  <si>
    <t>ORD-00956</t>
  </si>
  <si>
    <t>ORD-00957</t>
  </si>
  <si>
    <t>ORD-00958</t>
  </si>
  <si>
    <t>ORD-00959</t>
  </si>
  <si>
    <t>ORD-00960</t>
  </si>
  <si>
    <t>ORD-00961</t>
  </si>
  <si>
    <t>ORD-00962</t>
  </si>
  <si>
    <t>ORD-00963</t>
  </si>
  <si>
    <t>ORD-00964</t>
  </si>
  <si>
    <t>ORD-00965</t>
  </si>
  <si>
    <t>ORD-00966</t>
  </si>
  <si>
    <t>ORD-00967</t>
  </si>
  <si>
    <t>ORD-00968</t>
  </si>
  <si>
    <t>ORD-00969</t>
  </si>
  <si>
    <t>ORD-00970</t>
  </si>
  <si>
    <t>ORD-00971</t>
  </si>
  <si>
    <t>ORD-00972</t>
  </si>
  <si>
    <t>ORD-00973</t>
  </si>
  <si>
    <t>ORD-00974</t>
  </si>
  <si>
    <t>ORD-00975</t>
  </si>
  <si>
    <t>ORD-00976</t>
  </si>
  <si>
    <t>ORD-00977</t>
  </si>
  <si>
    <t>ORD-00978</t>
  </si>
  <si>
    <t>ORD-00979</t>
  </si>
  <si>
    <t>ORD-00980</t>
  </si>
  <si>
    <t>ORD-00981</t>
  </si>
  <si>
    <t>ORD-00982</t>
  </si>
  <si>
    <t>ORD-00983</t>
  </si>
  <si>
    <t>ORD-00984</t>
  </si>
  <si>
    <t>ORD-00985</t>
  </si>
  <si>
    <t>ORD-00986</t>
  </si>
  <si>
    <t>ORD-00987</t>
  </si>
  <si>
    <t>ORD-00988</t>
  </si>
  <si>
    <t>ORD-00989</t>
  </si>
  <si>
    <t>ORD-00990</t>
  </si>
  <si>
    <t>ORD-00991</t>
  </si>
  <si>
    <t>ORD-00992</t>
  </si>
  <si>
    <t>ORD-00993</t>
  </si>
  <si>
    <t>ORD-00994</t>
  </si>
  <si>
    <t>ORD-00995</t>
  </si>
  <si>
    <t>ORD-00996</t>
  </si>
  <si>
    <t>ORD-00997</t>
  </si>
  <si>
    <t>ORD-00998</t>
  </si>
  <si>
    <t>ORD-00999</t>
  </si>
  <si>
    <t>ORD-01000</t>
  </si>
  <si>
    <t>ORD-01001</t>
  </si>
  <si>
    <t>ORD-01002</t>
  </si>
  <si>
    <t>ORD-01003</t>
  </si>
  <si>
    <t>ORD-01004</t>
  </si>
  <si>
    <t>ORD-01005</t>
  </si>
  <si>
    <t>ORD-01006</t>
  </si>
  <si>
    <t>ORD-01007</t>
  </si>
  <si>
    <t>ORD-01008</t>
  </si>
  <si>
    <t>ORD-01009</t>
  </si>
  <si>
    <t>ORD-01010</t>
  </si>
  <si>
    <t>ORD-01011</t>
  </si>
  <si>
    <t>ORD-01012</t>
  </si>
  <si>
    <t>ORD-01013</t>
  </si>
  <si>
    <t>ORD-01014</t>
  </si>
  <si>
    <t>ORD-01015</t>
  </si>
  <si>
    <t>ORD-01016</t>
  </si>
  <si>
    <t>ORD-01017</t>
  </si>
  <si>
    <t>ORD-01018</t>
  </si>
  <si>
    <t>ORD-01019</t>
  </si>
  <si>
    <t>ORD-01020</t>
  </si>
  <si>
    <t>ORD-01021</t>
  </si>
  <si>
    <t>ORD-01022</t>
  </si>
  <si>
    <t>ORD-01023</t>
  </si>
  <si>
    <t>ORD-01024</t>
  </si>
  <si>
    <t>ORD-01025</t>
  </si>
  <si>
    <t>ORD-01026</t>
  </si>
  <si>
    <t>ORD-01027</t>
  </si>
  <si>
    <t>ORD-01028</t>
  </si>
  <si>
    <t>ORD-01029</t>
  </si>
  <si>
    <t>ORD-01030</t>
  </si>
  <si>
    <t>ORD-01031</t>
  </si>
  <si>
    <t>ORD-01032</t>
  </si>
  <si>
    <t>ORD-01033</t>
  </si>
  <si>
    <t>ORD-01034</t>
  </si>
  <si>
    <t>ORD-01035</t>
  </si>
  <si>
    <t>ORD-01036</t>
  </si>
  <si>
    <t>ORD-01037</t>
  </si>
  <si>
    <t>ORD-01038</t>
  </si>
  <si>
    <t>ORD-01039</t>
  </si>
  <si>
    <t>ORD-01040</t>
  </si>
  <si>
    <t>ORD-01041</t>
  </si>
  <si>
    <t>ORD-01042</t>
  </si>
  <si>
    <t>ORD-01043</t>
  </si>
  <si>
    <t>ORD-01044</t>
  </si>
  <si>
    <t>ORD-01045</t>
  </si>
  <si>
    <t>ORD-01046</t>
  </si>
  <si>
    <t>ORD-01047</t>
  </si>
  <si>
    <t>ORD-01048</t>
  </si>
  <si>
    <t>ORD-01049</t>
  </si>
  <si>
    <t>ORD-01050</t>
  </si>
  <si>
    <t>ORD-01051</t>
  </si>
  <si>
    <t>ORD-01052</t>
  </si>
  <si>
    <t>ORD-01053</t>
  </si>
  <si>
    <t>ORD-01054</t>
  </si>
  <si>
    <t>ORD-01055</t>
  </si>
  <si>
    <t>ORD-01056</t>
  </si>
  <si>
    <t>ORD-01057</t>
  </si>
  <si>
    <t>ORD-01058</t>
  </si>
  <si>
    <t>ORD-01059</t>
  </si>
  <si>
    <t>ORD-01060</t>
  </si>
  <si>
    <t>ORD-01061</t>
  </si>
  <si>
    <t>ORD-01062</t>
  </si>
  <si>
    <t>ORD-01063</t>
  </si>
  <si>
    <t>ORD-01064</t>
  </si>
  <si>
    <t>ORD-01065</t>
  </si>
  <si>
    <t>ORD-01066</t>
  </si>
  <si>
    <t>ORD-01067</t>
  </si>
  <si>
    <t>ORD-01068</t>
  </si>
  <si>
    <t>ORD-01069</t>
  </si>
  <si>
    <t>ORD-01070</t>
  </si>
  <si>
    <t>ORD-01071</t>
  </si>
  <si>
    <t>ORD-01072</t>
  </si>
  <si>
    <t>ORD-01073</t>
  </si>
  <si>
    <t>ORD-01074</t>
  </si>
  <si>
    <t>ORD-01075</t>
  </si>
  <si>
    <t>ORD-01076</t>
  </si>
  <si>
    <t>ORD-01077</t>
  </si>
  <si>
    <t>ORD-01078</t>
  </si>
  <si>
    <t>ORD-01079</t>
  </si>
  <si>
    <t>ORD-01080</t>
  </si>
  <si>
    <t>ORD-01081</t>
  </si>
  <si>
    <t>ORD-01082</t>
  </si>
  <si>
    <t>ORD-01083</t>
  </si>
  <si>
    <t>ORD-01084</t>
  </si>
  <si>
    <t>ORD-01085</t>
  </si>
  <si>
    <t>ORD-01086</t>
  </si>
  <si>
    <t>ORD-01087</t>
  </si>
  <si>
    <t>ORD-01088</t>
  </si>
  <si>
    <t>ORD-01089</t>
  </si>
  <si>
    <t>ORD-01090</t>
  </si>
  <si>
    <t>ORD-01091</t>
  </si>
  <si>
    <t>ORD-01092</t>
  </si>
  <si>
    <t>ORD-01093</t>
  </si>
  <si>
    <t>ORD-01094</t>
  </si>
  <si>
    <t>ORD-01095</t>
  </si>
  <si>
    <t>ORD-01096</t>
  </si>
  <si>
    <t>ORD-01097</t>
  </si>
  <si>
    <t>ORD-01098</t>
  </si>
  <si>
    <t>ORD-01099</t>
  </si>
  <si>
    <t>ORD-01100</t>
  </si>
  <si>
    <t>ORD-01101</t>
  </si>
  <si>
    <t>ORD-01102</t>
  </si>
  <si>
    <t>ORD-01103</t>
  </si>
  <si>
    <t>ORD-01104</t>
  </si>
  <si>
    <t>ORD-01105</t>
  </si>
  <si>
    <t>ORD-01106</t>
  </si>
  <si>
    <t>ORD-01107</t>
  </si>
  <si>
    <t>ORD-01108</t>
  </si>
  <si>
    <t>ORD-01109</t>
  </si>
  <si>
    <t>ORD-01110</t>
  </si>
  <si>
    <t>ORD-01111</t>
  </si>
  <si>
    <t>ORD-01112</t>
  </si>
  <si>
    <t>ORD-01113</t>
  </si>
  <si>
    <t>ORD-01114</t>
  </si>
  <si>
    <t>ORD-01115</t>
  </si>
  <si>
    <t>ORD-01116</t>
  </si>
  <si>
    <t>ORD-01117</t>
  </si>
  <si>
    <t>ORD-01118</t>
  </si>
  <si>
    <t>ORD-01119</t>
  </si>
  <si>
    <t>ORD-01120</t>
  </si>
  <si>
    <t>ORD-01121</t>
  </si>
  <si>
    <t>ORD-01122</t>
  </si>
  <si>
    <t>ORD-01123</t>
  </si>
  <si>
    <t>ORD-01124</t>
  </si>
  <si>
    <t>ORD-01125</t>
  </si>
  <si>
    <t>ORD-01126</t>
  </si>
  <si>
    <t>ORD-01127</t>
  </si>
  <si>
    <t>ORD-01128</t>
  </si>
  <si>
    <t>ORD-01129</t>
  </si>
  <si>
    <t>ORD-01130</t>
  </si>
  <si>
    <t>ORD-01131</t>
  </si>
  <si>
    <t>ORD-01132</t>
  </si>
  <si>
    <t>ORD-01133</t>
  </si>
  <si>
    <t>ORD-01134</t>
  </si>
  <si>
    <t>ORD-01135</t>
  </si>
  <si>
    <t>ORD-01136</t>
  </si>
  <si>
    <t>ORD-01137</t>
  </si>
  <si>
    <t>ORD-01138</t>
  </si>
  <si>
    <t>ORD-01139</t>
  </si>
  <si>
    <t>ORD-01140</t>
  </si>
  <si>
    <t>ORD-01141</t>
  </si>
  <si>
    <t>ORD-01142</t>
  </si>
  <si>
    <t>ORD-01143</t>
  </si>
  <si>
    <t>ORD-01144</t>
  </si>
  <si>
    <t>ORD-01145</t>
  </si>
  <si>
    <t>ORD-01146</t>
  </si>
  <si>
    <t>ORD-01147</t>
  </si>
  <si>
    <t>ORD-01148</t>
  </si>
  <si>
    <t>ORD-01149</t>
  </si>
  <si>
    <t>ORD-01150</t>
  </si>
  <si>
    <t>ORD-01151</t>
  </si>
  <si>
    <t>ORD-01152</t>
  </si>
  <si>
    <t>ORD-01153</t>
  </si>
  <si>
    <t>ORD-01154</t>
  </si>
  <si>
    <t>ORD-01155</t>
  </si>
  <si>
    <t>ORD-01156</t>
  </si>
  <si>
    <t>ORD-01157</t>
  </si>
  <si>
    <t>ORD-01158</t>
  </si>
  <si>
    <t>ORD-01159</t>
  </si>
  <si>
    <t>ORD-01160</t>
  </si>
  <si>
    <t>ORD-01161</t>
  </si>
  <si>
    <t>ORD-01162</t>
  </si>
  <si>
    <t>ORD-01163</t>
  </si>
  <si>
    <t>ORD-01164</t>
  </si>
  <si>
    <t>ORD-01165</t>
  </si>
  <si>
    <t>ORD-01166</t>
  </si>
  <si>
    <t>ORD-01167</t>
  </si>
  <si>
    <t>ORD-01168</t>
  </si>
  <si>
    <t>ORD-01169</t>
  </si>
  <si>
    <t>ORD-01170</t>
  </si>
  <si>
    <t>ORD-01171</t>
  </si>
  <si>
    <t>ORD-01172</t>
  </si>
  <si>
    <t>ORD-01173</t>
  </si>
  <si>
    <t>ORD-01174</t>
  </si>
  <si>
    <t>ORD-01175</t>
  </si>
  <si>
    <t>ORD-01176</t>
  </si>
  <si>
    <t>ORD-01177</t>
  </si>
  <si>
    <t>ORD-01178</t>
  </si>
  <si>
    <t>ORD-01179</t>
  </si>
  <si>
    <t>ORD-01180</t>
  </si>
  <si>
    <t>ORD-01181</t>
  </si>
  <si>
    <t>ORD-01182</t>
  </si>
  <si>
    <t>ORD-01183</t>
  </si>
  <si>
    <t>ORD-01184</t>
  </si>
  <si>
    <t>ORD-01185</t>
  </si>
  <si>
    <t>ORD-01186</t>
  </si>
  <si>
    <t>ORD-01187</t>
  </si>
  <si>
    <t>ORD-01188</t>
  </si>
  <si>
    <t>ORD-01189</t>
  </si>
  <si>
    <t>ORD-01190</t>
  </si>
  <si>
    <t>ORD-01191</t>
  </si>
  <si>
    <t>ORD-01192</t>
  </si>
  <si>
    <t>ORD-01193</t>
  </si>
  <si>
    <t>ORD-01194</t>
  </si>
  <si>
    <t>ORD-01195</t>
  </si>
  <si>
    <t>ORD-01196</t>
  </si>
  <si>
    <t>ORD-01197</t>
  </si>
  <si>
    <t>ORD-01198</t>
  </si>
  <si>
    <t>ORD-01199</t>
  </si>
  <si>
    <t>ORD-01200</t>
  </si>
  <si>
    <t>ORD-01201</t>
  </si>
  <si>
    <t>ORD-01202</t>
  </si>
  <si>
    <t>ORD-01203</t>
  </si>
  <si>
    <t>ORD-01204</t>
  </si>
  <si>
    <t>ORD-01205</t>
  </si>
  <si>
    <t>ORD-01206</t>
  </si>
  <si>
    <t>ORD-01207</t>
  </si>
  <si>
    <t>ORD-01208</t>
  </si>
  <si>
    <t>ORD-01209</t>
  </si>
  <si>
    <t>ORD-01210</t>
  </si>
  <si>
    <t>ORD-01211</t>
  </si>
  <si>
    <t>ORD-01212</t>
  </si>
  <si>
    <t>ORD-01213</t>
  </si>
  <si>
    <t>ORD-01214</t>
  </si>
  <si>
    <t>ORD-01215</t>
  </si>
  <si>
    <t>ORD-01216</t>
  </si>
  <si>
    <t>ORD-01217</t>
  </si>
  <si>
    <t>ORD-01218</t>
  </si>
  <si>
    <t>ORD-01219</t>
  </si>
  <si>
    <t>ORD-01220</t>
  </si>
  <si>
    <t>ORD-01221</t>
  </si>
  <si>
    <t>ORD-01222</t>
  </si>
  <si>
    <t>ORD-01223</t>
  </si>
  <si>
    <t>ORD-01224</t>
  </si>
  <si>
    <t>ORD-01225</t>
  </si>
  <si>
    <t>ORD-01226</t>
  </si>
  <si>
    <t>ORD-01227</t>
  </si>
  <si>
    <t>ORD-01228</t>
  </si>
  <si>
    <t>ORD-01229</t>
  </si>
  <si>
    <t>ORD-01230</t>
  </si>
  <si>
    <t>ORD-01231</t>
  </si>
  <si>
    <t>ORD-01232</t>
  </si>
  <si>
    <t>ORD-01233</t>
  </si>
  <si>
    <t>ORD-01234</t>
  </si>
  <si>
    <t>ORD-01235</t>
  </si>
  <si>
    <t>ORD-01236</t>
  </si>
  <si>
    <t>ORD-01237</t>
  </si>
  <si>
    <t>ORD-01238</t>
  </si>
  <si>
    <t>ORD-01239</t>
  </si>
  <si>
    <t>ORD-01240</t>
  </si>
  <si>
    <t>ORD-01241</t>
  </si>
  <si>
    <t>ORD-01242</t>
  </si>
  <si>
    <t>ORD-01243</t>
  </si>
  <si>
    <t>ORD-01244</t>
  </si>
  <si>
    <t>ORD-01245</t>
  </si>
  <si>
    <t>ORD-01246</t>
  </si>
  <si>
    <t>ORD-01247</t>
  </si>
  <si>
    <t>ORD-01248</t>
  </si>
  <si>
    <t>ORD-01249</t>
  </si>
  <si>
    <t>ORD-01250</t>
  </si>
  <si>
    <t>ORD-01251</t>
  </si>
  <si>
    <t>ORD-01252</t>
  </si>
  <si>
    <t>ORD-01253</t>
  </si>
  <si>
    <t>ORD-01254</t>
  </si>
  <si>
    <t>ORD-01255</t>
  </si>
  <si>
    <t>ORD-01256</t>
  </si>
  <si>
    <t>ORD-01257</t>
  </si>
  <si>
    <t>ORD-01258</t>
  </si>
  <si>
    <t>ORD-01259</t>
  </si>
  <si>
    <t>ORD-01260</t>
  </si>
  <si>
    <t>ORD-01261</t>
  </si>
  <si>
    <t>ORD-01262</t>
  </si>
  <si>
    <t>ORD-01263</t>
  </si>
  <si>
    <t>ORD-01264</t>
  </si>
  <si>
    <t>ORD-01265</t>
  </si>
  <si>
    <t>ORD-01266</t>
  </si>
  <si>
    <t>ORD-01267</t>
  </si>
  <si>
    <t>ORD-01268</t>
  </si>
  <si>
    <t>ORD-01269</t>
  </si>
  <si>
    <t>ORD-01270</t>
  </si>
  <si>
    <t>ORD-01271</t>
  </si>
  <si>
    <t>ORD-01272</t>
  </si>
  <si>
    <t>ORD-01273</t>
  </si>
  <si>
    <t>ORD-01274</t>
  </si>
  <si>
    <t>ORD-01275</t>
  </si>
  <si>
    <t>ORD-01276</t>
  </si>
  <si>
    <t>ORD-01277</t>
  </si>
  <si>
    <t>ORD-01278</t>
  </si>
  <si>
    <t>ORD-01279</t>
  </si>
  <si>
    <t>ORD-01280</t>
  </si>
  <si>
    <t>ORD-01281</t>
  </si>
  <si>
    <t>ORD-01282</t>
  </si>
  <si>
    <t>ORD-01283</t>
  </si>
  <si>
    <t>ORD-01284</t>
  </si>
  <si>
    <t>ORD-01285</t>
  </si>
  <si>
    <t>ORD-01286</t>
  </si>
  <si>
    <t>ORD-01287</t>
  </si>
  <si>
    <t>ORD-01288</t>
  </si>
  <si>
    <t>ORD-01289</t>
  </si>
  <si>
    <t>ORD-01290</t>
  </si>
  <si>
    <t>ORD-01291</t>
  </si>
  <si>
    <t>ORD-01292</t>
  </si>
  <si>
    <t>ORD-01293</t>
  </si>
  <si>
    <t>ORD-01294</t>
  </si>
  <si>
    <t>ORD-01295</t>
  </si>
  <si>
    <t>ORD-01296</t>
  </si>
  <si>
    <t>ORD-01297</t>
  </si>
  <si>
    <t>ORD-01298</t>
  </si>
  <si>
    <t>ORD-01299</t>
  </si>
  <si>
    <t>ORD-01300</t>
  </si>
  <si>
    <t>ORD-01301</t>
  </si>
  <si>
    <t>ORD-01302</t>
  </si>
  <si>
    <t>ORD-01303</t>
  </si>
  <si>
    <t>ORD-01304</t>
  </si>
  <si>
    <t>ORD-01305</t>
  </si>
  <si>
    <t>ORD-01306</t>
  </si>
  <si>
    <t>ORD-01307</t>
  </si>
  <si>
    <t>ORD-01308</t>
  </si>
  <si>
    <t>ORD-01309</t>
  </si>
  <si>
    <t>ORD-01310</t>
  </si>
  <si>
    <t>ORD-01311</t>
  </si>
  <si>
    <t>ORD-01312</t>
  </si>
  <si>
    <t>ORD-01313</t>
  </si>
  <si>
    <t>ORD-01314</t>
  </si>
  <si>
    <t>ORD-01315</t>
  </si>
  <si>
    <t>ORD-01316</t>
  </si>
  <si>
    <t>ORD-01317</t>
  </si>
  <si>
    <t>ORD-01318</t>
  </si>
  <si>
    <t>ORD-01319</t>
  </si>
  <si>
    <t>ORD-01320</t>
  </si>
  <si>
    <t>ORD-01321</t>
  </si>
  <si>
    <t>ORD-01322</t>
  </si>
  <si>
    <t>ORD-01323</t>
  </si>
  <si>
    <t>ORD-01324</t>
  </si>
  <si>
    <t>ORD-01325</t>
  </si>
  <si>
    <t>ORD-01326</t>
  </si>
  <si>
    <t>ORD-01327</t>
  </si>
  <si>
    <t>ORD-01328</t>
  </si>
  <si>
    <t>ORD-01329</t>
  </si>
  <si>
    <t>ORD-01330</t>
  </si>
  <si>
    <t>ORD-01331</t>
  </si>
  <si>
    <t>ORD-01332</t>
  </si>
  <si>
    <t>ORD-01333</t>
  </si>
  <si>
    <t>ORD-01334</t>
  </si>
  <si>
    <t>ORD-01335</t>
  </si>
  <si>
    <t>ORD-01336</t>
  </si>
  <si>
    <t>ORD-01337</t>
  </si>
  <si>
    <t>ORD-01338</t>
  </si>
  <si>
    <t>ORD-01339</t>
  </si>
  <si>
    <t>ORD-01340</t>
  </si>
  <si>
    <t>ORD-01341</t>
  </si>
  <si>
    <t>ORD-01342</t>
  </si>
  <si>
    <t>ORD-01343</t>
  </si>
  <si>
    <t>ORD-01344</t>
  </si>
  <si>
    <t>ORD-01345</t>
  </si>
  <si>
    <t>ORD-01346</t>
  </si>
  <si>
    <t>ORD-01347</t>
  </si>
  <si>
    <t>ORD-01348</t>
  </si>
  <si>
    <t>ORD-01349</t>
  </si>
  <si>
    <t>ORD-01350</t>
  </si>
  <si>
    <t>ORD-01351</t>
  </si>
  <si>
    <t>ORD-01352</t>
  </si>
  <si>
    <t>ORD-01353</t>
  </si>
  <si>
    <t>ORD-01354</t>
  </si>
  <si>
    <t>ORD-01355</t>
  </si>
  <si>
    <t>ORD-01356</t>
  </si>
  <si>
    <t>ORD-01357</t>
  </si>
  <si>
    <t>ORD-01358</t>
  </si>
  <si>
    <t>ORD-01359</t>
  </si>
  <si>
    <t>ORD-01360</t>
  </si>
  <si>
    <t>ORD-01361</t>
  </si>
  <si>
    <t>ORD-01362</t>
  </si>
  <si>
    <t>ORD-01363</t>
  </si>
  <si>
    <t>ORD-01364</t>
  </si>
  <si>
    <t>ORD-01365</t>
  </si>
  <si>
    <t>ORD-01366</t>
  </si>
  <si>
    <t>ORD-01367</t>
  </si>
  <si>
    <t>ORD-01368</t>
  </si>
  <si>
    <t>ORD-01369</t>
  </si>
  <si>
    <t>ORD-01370</t>
  </si>
  <si>
    <t>ORD-01371</t>
  </si>
  <si>
    <t>ORD-01372</t>
  </si>
  <si>
    <t>ORD-01373</t>
  </si>
  <si>
    <t>ORD-01374</t>
  </si>
  <si>
    <t>ORD-01375</t>
  </si>
  <si>
    <t>ORD-01376</t>
  </si>
  <si>
    <t>ORD-01377</t>
  </si>
  <si>
    <t>ORD-01378</t>
  </si>
  <si>
    <t>ORD-01379</t>
  </si>
  <si>
    <t>ORD-01380</t>
  </si>
  <si>
    <t>ORD-01381</t>
  </si>
  <si>
    <t>ORD-01382</t>
  </si>
  <si>
    <t>ORD-01383</t>
  </si>
  <si>
    <t>ORD-01384</t>
  </si>
  <si>
    <t>ORD-01385</t>
  </si>
  <si>
    <t>ORD-01386</t>
  </si>
  <si>
    <t>ORD-01387</t>
  </si>
  <si>
    <t>ORD-01388</t>
  </si>
  <si>
    <t>ORD-01389</t>
  </si>
  <si>
    <t>ORD-01390</t>
  </si>
  <si>
    <t>ORD-01391</t>
  </si>
  <si>
    <t>ORD-01392</t>
  </si>
  <si>
    <t>ORD-01393</t>
  </si>
  <si>
    <t>ORD-01394</t>
  </si>
  <si>
    <t>ORD-01395</t>
  </si>
  <si>
    <t>ORD-01396</t>
  </si>
  <si>
    <t>ORD-01397</t>
  </si>
  <si>
    <t>ORD-01398</t>
  </si>
  <si>
    <t>ORD-01399</t>
  </si>
  <si>
    <t>ORD-01400</t>
  </si>
  <si>
    <t>ORD-01401</t>
  </si>
  <si>
    <t>ORD-01402</t>
  </si>
  <si>
    <t>ORD-01403</t>
  </si>
  <si>
    <t>ORD-01404</t>
  </si>
  <si>
    <t>ORD-01405</t>
  </si>
  <si>
    <t>ORD-01406</t>
  </si>
  <si>
    <t>ORD-01407</t>
  </si>
  <si>
    <t>ORD-01408</t>
  </si>
  <si>
    <t>ORD-01409</t>
  </si>
  <si>
    <t>ORD-01410</t>
  </si>
  <si>
    <t>ORD-01411</t>
  </si>
  <si>
    <t>ORD-01412</t>
  </si>
  <si>
    <t>ORD-01413</t>
  </si>
  <si>
    <t>ORD-01414</t>
  </si>
  <si>
    <t>ORD-01415</t>
  </si>
  <si>
    <t>ORD-01416</t>
  </si>
  <si>
    <t>ORD-01417</t>
  </si>
  <si>
    <t>ORD-01418</t>
  </si>
  <si>
    <t>ORD-01419</t>
  </si>
  <si>
    <t>ORD-01420</t>
  </si>
  <si>
    <t>ORD-01421</t>
  </si>
  <si>
    <t>ORD-01422</t>
  </si>
  <si>
    <t>ORD-01423</t>
  </si>
  <si>
    <t>ORD-01424</t>
  </si>
  <si>
    <t>ORD-01425</t>
  </si>
  <si>
    <t>ORD-01426</t>
  </si>
  <si>
    <t>ORD-01427</t>
  </si>
  <si>
    <t>ORD-01428</t>
  </si>
  <si>
    <t>ORD-01429</t>
  </si>
  <si>
    <t>ORD-01430</t>
  </si>
  <si>
    <t>ORD-01431</t>
  </si>
  <si>
    <t>ORD-01432</t>
  </si>
  <si>
    <t>ORD-01433</t>
  </si>
  <si>
    <t>ORD-01434</t>
  </si>
  <si>
    <t>ORD-01435</t>
  </si>
  <si>
    <t>ORD-01436</t>
  </si>
  <si>
    <t>ORD-01437</t>
  </si>
  <si>
    <t>ORD-01438</t>
  </si>
  <si>
    <t>ORD-01439</t>
  </si>
  <si>
    <t>ORD-01440</t>
  </si>
  <si>
    <t>ORD-01441</t>
  </si>
  <si>
    <t>ORD-01442</t>
  </si>
  <si>
    <t>ORD-01443</t>
  </si>
  <si>
    <t>ORD-01444</t>
  </si>
  <si>
    <t>ORD-01445</t>
  </si>
  <si>
    <t>ORD-01446</t>
  </si>
  <si>
    <t>ORD-01447</t>
  </si>
  <si>
    <t>ORD-01448</t>
  </si>
  <si>
    <t>ORD-01449</t>
  </si>
  <si>
    <t>ORD-01450</t>
  </si>
  <si>
    <t>ORD-01451</t>
  </si>
  <si>
    <t>ORD-01452</t>
  </si>
  <si>
    <t>ORD-01453</t>
  </si>
  <si>
    <t>ORD-01454</t>
  </si>
  <si>
    <t>ORD-01455</t>
  </si>
  <si>
    <t>ORD-01456</t>
  </si>
  <si>
    <t>ORD-01457</t>
  </si>
  <si>
    <t>ORD-01458</t>
  </si>
  <si>
    <t>ORD-01459</t>
  </si>
  <si>
    <t>ORD-01460</t>
  </si>
  <si>
    <t>ORD-01461</t>
  </si>
  <si>
    <t>ORD-01462</t>
  </si>
  <si>
    <t>ORD-01463</t>
  </si>
  <si>
    <t>ORD-01464</t>
  </si>
  <si>
    <t>ORD-01465</t>
  </si>
  <si>
    <t>ORD-01466</t>
  </si>
  <si>
    <t>ORD-01467</t>
  </si>
  <si>
    <t>ORD-01468</t>
  </si>
  <si>
    <t>ORD-01469</t>
  </si>
  <si>
    <t>ORD-01470</t>
  </si>
  <si>
    <t>ORD-01471</t>
  </si>
  <si>
    <t>ORD-01472</t>
  </si>
  <si>
    <t>ORD-01473</t>
  </si>
  <si>
    <t>ORD-01474</t>
  </si>
  <si>
    <t>ORD-01475</t>
  </si>
  <si>
    <t>ORD-01476</t>
  </si>
  <si>
    <t>ORD-01477</t>
  </si>
  <si>
    <t>ORD-01478</t>
  </si>
  <si>
    <t>ORD-01479</t>
  </si>
  <si>
    <t>ORD-01480</t>
  </si>
  <si>
    <t>ORD-01481</t>
  </si>
  <si>
    <t>ORD-01482</t>
  </si>
  <si>
    <t>ORD-01483</t>
  </si>
  <si>
    <t>ORD-01484</t>
  </si>
  <si>
    <t>ORD-01485</t>
  </si>
  <si>
    <t>ORD-01486</t>
  </si>
  <si>
    <t>ORD-01487</t>
  </si>
  <si>
    <t>ORD-01488</t>
  </si>
  <si>
    <t>ORD-01489</t>
  </si>
  <si>
    <t>ORD-01490</t>
  </si>
  <si>
    <t>ORD-01491</t>
  </si>
  <si>
    <t>ORD-01492</t>
  </si>
  <si>
    <t>ORD-01493</t>
  </si>
  <si>
    <t>ORD-01494</t>
  </si>
  <si>
    <t>ORD-01495</t>
  </si>
  <si>
    <t>ORD-01496</t>
  </si>
  <si>
    <t>ORD-01497</t>
  </si>
  <si>
    <t>ORD-01498</t>
  </si>
  <si>
    <t>ORD-01499</t>
  </si>
  <si>
    <t>ORD-01500</t>
  </si>
  <si>
    <t>ORD-01501</t>
  </si>
  <si>
    <t>ORD-01502</t>
  </si>
  <si>
    <t>ORD-01503</t>
  </si>
  <si>
    <t>ORD-01504</t>
  </si>
  <si>
    <t>ORD-01505</t>
  </si>
  <si>
    <t>ORD-01506</t>
  </si>
  <si>
    <t>ORD-01507</t>
  </si>
  <si>
    <t>ORD-01508</t>
  </si>
  <si>
    <t>ORD-01509</t>
  </si>
  <si>
    <t>ORD-01510</t>
  </si>
  <si>
    <t>ORD-01511</t>
  </si>
  <si>
    <t>ORD-01512</t>
  </si>
  <si>
    <t>ORD-01513</t>
  </si>
  <si>
    <t>ORD-01514</t>
  </si>
  <si>
    <t>ORD-01515</t>
  </si>
  <si>
    <t>ORD-01516</t>
  </si>
  <si>
    <t>ORD-01517</t>
  </si>
  <si>
    <t>ORD-01518</t>
  </si>
  <si>
    <t>ORD-01519</t>
  </si>
  <si>
    <t>ORD-01520</t>
  </si>
  <si>
    <t>ORD-01521</t>
  </si>
  <si>
    <t>ORD-01522</t>
  </si>
  <si>
    <t>ORD-01523</t>
  </si>
  <si>
    <t>ORD-01524</t>
  </si>
  <si>
    <t>ORD-01525</t>
  </si>
  <si>
    <t>ORD-01526</t>
  </si>
  <si>
    <t>ORD-01527</t>
  </si>
  <si>
    <t>ORD-01528</t>
  </si>
  <si>
    <t>ORD-01529</t>
  </si>
  <si>
    <t>ORD-01530</t>
  </si>
  <si>
    <t>ORD-01531</t>
  </si>
  <si>
    <t>ORD-01532</t>
  </si>
  <si>
    <t>ORD-01533</t>
  </si>
  <si>
    <t>ORD-01534</t>
  </si>
  <si>
    <t>ORD-01535</t>
  </si>
  <si>
    <t>ORD-01536</t>
  </si>
  <si>
    <t>ORD-01537</t>
  </si>
  <si>
    <t>ORD-01538</t>
  </si>
  <si>
    <t>ORD-01539</t>
  </si>
  <si>
    <t>ORD-01540</t>
  </si>
  <si>
    <t>ORD-01541</t>
  </si>
  <si>
    <t>ORD-01542</t>
  </si>
  <si>
    <t>ORD-01543</t>
  </si>
  <si>
    <t>ORD-01544</t>
  </si>
  <si>
    <t>ORD-01545</t>
  </si>
  <si>
    <t>ORD-01546</t>
  </si>
  <si>
    <t>ORD-01547</t>
  </si>
  <si>
    <t>ORD-01548</t>
  </si>
  <si>
    <t>ORD-01549</t>
  </si>
  <si>
    <t>ORD-01550</t>
  </si>
  <si>
    <t>ORD-01551</t>
  </si>
  <si>
    <t>ORD-01552</t>
  </si>
  <si>
    <t>ORD-01553</t>
  </si>
  <si>
    <t>ORD-01554</t>
  </si>
  <si>
    <t>ORD-01555</t>
  </si>
  <si>
    <t>ORD-01556</t>
  </si>
  <si>
    <t>ORD-01557</t>
  </si>
  <si>
    <t>ORD-01558</t>
  </si>
  <si>
    <t>ORD-01559</t>
  </si>
  <si>
    <t>ORD-01560</t>
  </si>
  <si>
    <t>ORD-01561</t>
  </si>
  <si>
    <t>ORD-01562</t>
  </si>
  <si>
    <t>ORD-01563</t>
  </si>
  <si>
    <t>ORD-01564</t>
  </si>
  <si>
    <t>ORD-01565</t>
  </si>
  <si>
    <t>ORD-01566</t>
  </si>
  <si>
    <t>ORD-01567</t>
  </si>
  <si>
    <t>ORD-01568</t>
  </si>
  <si>
    <t>ORD-01569</t>
  </si>
  <si>
    <t>ORD-01570</t>
  </si>
  <si>
    <t>ORD-01571</t>
  </si>
  <si>
    <t>ORD-01572</t>
  </si>
  <si>
    <t>ORD-01573</t>
  </si>
  <si>
    <t>ORD-01574</t>
  </si>
  <si>
    <t>ORD-01575</t>
  </si>
  <si>
    <t>ORD-01576</t>
  </si>
  <si>
    <t>ORD-01577</t>
  </si>
  <si>
    <t>ORD-01578</t>
  </si>
  <si>
    <t>ORD-01579</t>
  </si>
  <si>
    <t>ORD-01580</t>
  </si>
  <si>
    <t>ORD-01581</t>
  </si>
  <si>
    <t>ORD-01582</t>
  </si>
  <si>
    <t>ORD-01583</t>
  </si>
  <si>
    <t>ORD-01584</t>
  </si>
  <si>
    <t>ORD-01585</t>
  </si>
  <si>
    <t>ORD-01586</t>
  </si>
  <si>
    <t>ORD-01587</t>
  </si>
  <si>
    <t>ORD-01588</t>
  </si>
  <si>
    <t>ORD-01589</t>
  </si>
  <si>
    <t>ORD-01590</t>
  </si>
  <si>
    <t>ORD-01591</t>
  </si>
  <si>
    <t>ORD-01592</t>
  </si>
  <si>
    <t>ORD-01593</t>
  </si>
  <si>
    <t>ORD-01594</t>
  </si>
  <si>
    <t>ORD-01595</t>
  </si>
  <si>
    <t>ORD-01596</t>
  </si>
  <si>
    <t>ORD-01597</t>
  </si>
  <si>
    <t>ORD-01598</t>
  </si>
  <si>
    <t>ORD-01599</t>
  </si>
  <si>
    <t>ORD-01600</t>
  </si>
  <si>
    <t>ORD-01601</t>
  </si>
  <si>
    <t>ORD-01602</t>
  </si>
  <si>
    <t>ORD-01603</t>
  </si>
  <si>
    <t>ORD-01604</t>
  </si>
  <si>
    <t>ORD-01605</t>
  </si>
  <si>
    <t>ORD-01606</t>
  </si>
  <si>
    <t>ORD-01607</t>
  </si>
  <si>
    <t>ORD-01608</t>
  </si>
  <si>
    <t>ORD-01609</t>
  </si>
  <si>
    <t>ORD-01610</t>
  </si>
  <si>
    <t>ORD-01611</t>
  </si>
  <si>
    <t>ORD-01612</t>
  </si>
  <si>
    <t>ORD-01613</t>
  </si>
  <si>
    <t>ORD-01614</t>
  </si>
  <si>
    <t>ORD-01615</t>
  </si>
  <si>
    <t>ORD-01616</t>
  </si>
  <si>
    <t>ORD-01617</t>
  </si>
  <si>
    <t>ORD-01618</t>
  </si>
  <si>
    <t>ORD-01619</t>
  </si>
  <si>
    <t>ORD-01620</t>
  </si>
  <si>
    <t>ORD-01621</t>
  </si>
  <si>
    <t>ORD-01622</t>
  </si>
  <si>
    <t>ORD-01623</t>
  </si>
  <si>
    <t>ORD-01624</t>
  </si>
  <si>
    <t>ORD-01625</t>
  </si>
  <si>
    <t>ORD-01626</t>
  </si>
  <si>
    <t>ORD-01627</t>
  </si>
  <si>
    <t>ORD-01628</t>
  </si>
  <si>
    <t>ORD-01629</t>
  </si>
  <si>
    <t>ORD-01630</t>
  </si>
  <si>
    <t>ORD-01631</t>
  </si>
  <si>
    <t>ORD-01632</t>
  </si>
  <si>
    <t>ORD-01633</t>
  </si>
  <si>
    <t>ORD-01634</t>
  </si>
  <si>
    <t>ORD-01635</t>
  </si>
  <si>
    <t>ORD-01636</t>
  </si>
  <si>
    <t>ORD-01637</t>
  </si>
  <si>
    <t>ORD-01638</t>
  </si>
  <si>
    <t>ORD-01639</t>
  </si>
  <si>
    <t>ORD-01640</t>
  </si>
  <si>
    <t>ORD-01641</t>
  </si>
  <si>
    <t>ORD-01642</t>
  </si>
  <si>
    <t>ORD-01643</t>
  </si>
  <si>
    <t>ORD-01644</t>
  </si>
  <si>
    <t>ORD-01645</t>
  </si>
  <si>
    <t>ORD-01646</t>
  </si>
  <si>
    <t>ORD-01647</t>
  </si>
  <si>
    <t>ORD-01648</t>
  </si>
  <si>
    <t>ORD-01649</t>
  </si>
  <si>
    <t>ORD-01650</t>
  </si>
  <si>
    <t>ORD-01651</t>
  </si>
  <si>
    <t>ORD-01652</t>
  </si>
  <si>
    <t>ORD-01653</t>
  </si>
  <si>
    <t>ORD-01654</t>
  </si>
  <si>
    <t>ORD-01655</t>
  </si>
  <si>
    <t>ORD-01656</t>
  </si>
  <si>
    <t>ORD-01657</t>
  </si>
  <si>
    <t>ORD-01658</t>
  </si>
  <si>
    <t>ORD-01659</t>
  </si>
  <si>
    <t>ORD-01660</t>
  </si>
  <si>
    <t>ORD-01661</t>
  </si>
  <si>
    <t>ORD-01662</t>
  </si>
  <si>
    <t>ORD-01663</t>
  </si>
  <si>
    <t>ORD-01664</t>
  </si>
  <si>
    <t>ORD-01665</t>
  </si>
  <si>
    <t>ORD-01666</t>
  </si>
  <si>
    <t>ORD-01667</t>
  </si>
  <si>
    <t>ORD-01668</t>
  </si>
  <si>
    <t>ORD-01669</t>
  </si>
  <si>
    <t>ORD-01670</t>
  </si>
  <si>
    <t>ORD-01671</t>
  </si>
  <si>
    <t>ORD-01672</t>
  </si>
  <si>
    <t>ORD-01673</t>
  </si>
  <si>
    <t>ORD-01674</t>
  </si>
  <si>
    <t>ORD-01675</t>
  </si>
  <si>
    <t>ORD-01676</t>
  </si>
  <si>
    <t>ORD-01677</t>
  </si>
  <si>
    <t>ORD-01678</t>
  </si>
  <si>
    <t>ORD-01679</t>
  </si>
  <si>
    <t>ORD-01680</t>
  </si>
  <si>
    <t>ORD-01681</t>
  </si>
  <si>
    <t>ORD-01682</t>
  </si>
  <si>
    <t>ORD-01683</t>
  </si>
  <si>
    <t>ORD-01684</t>
  </si>
  <si>
    <t>ORD-01685</t>
  </si>
  <si>
    <t>ORD-01686</t>
  </si>
  <si>
    <t>ORD-01687</t>
  </si>
  <si>
    <t>ORD-01688</t>
  </si>
  <si>
    <t>ORD-01689</t>
  </si>
  <si>
    <t>ORD-01690</t>
  </si>
  <si>
    <t>ORD-01691</t>
  </si>
  <si>
    <t>ORD-01692</t>
  </si>
  <si>
    <t>ORD-01693</t>
  </si>
  <si>
    <t>ORD-01694</t>
  </si>
  <si>
    <t>ORD-01695</t>
  </si>
  <si>
    <t>ORD-01696</t>
  </si>
  <si>
    <t>ORD-01697</t>
  </si>
  <si>
    <t>ORD-01698</t>
  </si>
  <si>
    <t>ORD-01699</t>
  </si>
  <si>
    <t>ORD-01700</t>
  </si>
  <si>
    <t>ORD-01701</t>
  </si>
  <si>
    <t>ORD-01702</t>
  </si>
  <si>
    <t>ORD-01703</t>
  </si>
  <si>
    <t>ORD-01704</t>
  </si>
  <si>
    <t>ORD-01705</t>
  </si>
  <si>
    <t>ORD-01706</t>
  </si>
  <si>
    <t>ORD-01707</t>
  </si>
  <si>
    <t>ORD-01708</t>
  </si>
  <si>
    <t>ORD-01709</t>
  </si>
  <si>
    <t>ORD-01710</t>
  </si>
  <si>
    <t>ORD-01711</t>
  </si>
  <si>
    <t>ORD-01712</t>
  </si>
  <si>
    <t>ORD-01713</t>
  </si>
  <si>
    <t>ORD-01714</t>
  </si>
  <si>
    <t>ORD-01715</t>
  </si>
  <si>
    <t>ORD-01716</t>
  </si>
  <si>
    <t>ORD-01717</t>
  </si>
  <si>
    <t>ORD-01718</t>
  </si>
  <si>
    <t>ORD-01719</t>
  </si>
  <si>
    <t>ORD-01720</t>
  </si>
  <si>
    <t>ORD-01721</t>
  </si>
  <si>
    <t>ORD-01722</t>
  </si>
  <si>
    <t>ORD-01723</t>
  </si>
  <si>
    <t>ORD-01724</t>
  </si>
  <si>
    <t>ORD-01725</t>
  </si>
  <si>
    <t>ORD-01726</t>
  </si>
  <si>
    <t>ORD-01727</t>
  </si>
  <si>
    <t>ORD-01728</t>
  </si>
  <si>
    <t>ORD-01729</t>
  </si>
  <si>
    <t>ORD-01730</t>
  </si>
  <si>
    <t>ORD-01731</t>
  </si>
  <si>
    <t>ORD-01732</t>
  </si>
  <si>
    <t>ORD-01733</t>
  </si>
  <si>
    <t>ORD-01734</t>
  </si>
  <si>
    <t>ORD-01735</t>
  </si>
  <si>
    <t>ORD-01736</t>
  </si>
  <si>
    <t>ORD-01737</t>
  </si>
  <si>
    <t>ORD-01738</t>
  </si>
  <si>
    <t>ORD-01739</t>
  </si>
  <si>
    <t>ORD-01740</t>
  </si>
  <si>
    <t>ORD-01741</t>
  </si>
  <si>
    <t>ORD-01742</t>
  </si>
  <si>
    <t>ORD-01743</t>
  </si>
  <si>
    <t>ORD-01744</t>
  </si>
  <si>
    <t>ORD-01745</t>
  </si>
  <si>
    <t>ORD-01746</t>
  </si>
  <si>
    <t>ORD-01747</t>
  </si>
  <si>
    <t>ORD-01748</t>
  </si>
  <si>
    <t>ORD-01749</t>
  </si>
  <si>
    <t>ORD-01750</t>
  </si>
  <si>
    <t>ORD-01751</t>
  </si>
  <si>
    <t>ORD-01752</t>
  </si>
  <si>
    <t>ORD-01753</t>
  </si>
  <si>
    <t>ORD-01754</t>
  </si>
  <si>
    <t>ORD-01755</t>
  </si>
  <si>
    <t>ORD-01756</t>
  </si>
  <si>
    <t>ORD-01757</t>
  </si>
  <si>
    <t>ORD-01758</t>
  </si>
  <si>
    <t>ORD-01759</t>
  </si>
  <si>
    <t>ORD-01760</t>
  </si>
  <si>
    <t>ORD-01761</t>
  </si>
  <si>
    <t>ORD-01762</t>
  </si>
  <si>
    <t>ORD-01763</t>
  </si>
  <si>
    <t>ORD-01764</t>
  </si>
  <si>
    <t>ORD-01765</t>
  </si>
  <si>
    <t>ORD-01766</t>
  </si>
  <si>
    <t>ORD-01767</t>
  </si>
  <si>
    <t>ORD-01768</t>
  </si>
  <si>
    <t>ORD-01769</t>
  </si>
  <si>
    <t>ORD-01770</t>
  </si>
  <si>
    <t>ORD-01771</t>
  </si>
  <si>
    <t>ORD-01772</t>
  </si>
  <si>
    <t>ORD-01773</t>
  </si>
  <si>
    <t>ORD-01774</t>
  </si>
  <si>
    <t>ORD-01775</t>
  </si>
  <si>
    <t>ORD-01776</t>
  </si>
  <si>
    <t>ORD-01777</t>
  </si>
  <si>
    <t>ORD-01778</t>
  </si>
  <si>
    <t>ORD-01779</t>
  </si>
  <si>
    <t>ORD-01780</t>
  </si>
  <si>
    <t>ORD-01781</t>
  </si>
  <si>
    <t>ORD-01782</t>
  </si>
  <si>
    <t>ORD-01783</t>
  </si>
  <si>
    <t>ORD-01784</t>
  </si>
  <si>
    <t>ORD-01785</t>
  </si>
  <si>
    <t>ORD-01786</t>
  </si>
  <si>
    <t>ORD-01787</t>
  </si>
  <si>
    <t>ORD-01788</t>
  </si>
  <si>
    <t>ORD-01789</t>
  </si>
  <si>
    <t>ORD-01790</t>
  </si>
  <si>
    <t>ORD-01791</t>
  </si>
  <si>
    <t>ORD-01792</t>
  </si>
  <si>
    <t>ORD-01793</t>
  </si>
  <si>
    <t>ORD-01794</t>
  </si>
  <si>
    <t>ORD-01795</t>
  </si>
  <si>
    <t>ORD-01796</t>
  </si>
  <si>
    <t>ORD-01797</t>
  </si>
  <si>
    <t>ORD-01798</t>
  </si>
  <si>
    <t>ORD-01799</t>
  </si>
  <si>
    <t>ORD-01800</t>
  </si>
  <si>
    <t>ORD-01801</t>
  </si>
  <si>
    <t>ORD-01802</t>
  </si>
  <si>
    <t>ORD-01803</t>
  </si>
  <si>
    <t>ORD-01804</t>
  </si>
  <si>
    <t>ORD-01805</t>
  </si>
  <si>
    <t>ORD-01806</t>
  </si>
  <si>
    <t>ORD-01807</t>
  </si>
  <si>
    <t>ORD-01808</t>
  </si>
  <si>
    <t>ORD-01809</t>
  </si>
  <si>
    <t>ORD-01810</t>
  </si>
  <si>
    <t>ORD-01811</t>
  </si>
  <si>
    <t>ORD-01812</t>
  </si>
  <si>
    <t>ORD-01813</t>
  </si>
  <si>
    <t>ORD-01814</t>
  </si>
  <si>
    <t>ORD-01815</t>
  </si>
  <si>
    <t>ORD-01816</t>
  </si>
  <si>
    <t>ORD-01817</t>
  </si>
  <si>
    <t>ORD-01818</t>
  </si>
  <si>
    <t>ORD-01819</t>
  </si>
  <si>
    <t>ORD-01820</t>
  </si>
  <si>
    <t>ORD-01821</t>
  </si>
  <si>
    <t>ORD-01822</t>
  </si>
  <si>
    <t>ORD-01823</t>
  </si>
  <si>
    <t>ORD-01824</t>
  </si>
  <si>
    <t>ORD-01825</t>
  </si>
  <si>
    <t>ORD-01826</t>
  </si>
  <si>
    <t>ORD-01827</t>
  </si>
  <si>
    <t>ORD-01828</t>
  </si>
  <si>
    <t>ORD-01829</t>
  </si>
  <si>
    <t>ORD-01830</t>
  </si>
  <si>
    <t>ORD-01831</t>
  </si>
  <si>
    <t>ORD-01832</t>
  </si>
  <si>
    <t>ORD-01833</t>
  </si>
  <si>
    <t>ORD-01834</t>
  </si>
  <si>
    <t>ORD-01835</t>
  </si>
  <si>
    <t>ORD-01836</t>
  </si>
  <si>
    <t>ORD-01837</t>
  </si>
  <si>
    <t>ORD-01838</t>
  </si>
  <si>
    <t>ORD-01839</t>
  </si>
  <si>
    <t>ORD-01840</t>
  </si>
  <si>
    <t>ORD-01841</t>
  </si>
  <si>
    <t>ORD-01842</t>
  </si>
  <si>
    <t>ORD-01843</t>
  </si>
  <si>
    <t>ORD-01844</t>
  </si>
  <si>
    <t>ORD-01845</t>
  </si>
  <si>
    <t>ORD-01846</t>
  </si>
  <si>
    <t>ORD-01847</t>
  </si>
  <si>
    <t>ORD-01848</t>
  </si>
  <si>
    <t>ORD-01849</t>
  </si>
  <si>
    <t>ORD-01850</t>
  </si>
  <si>
    <t>ORD-01851</t>
  </si>
  <si>
    <t>ORD-01852</t>
  </si>
  <si>
    <t>ORD-01853</t>
  </si>
  <si>
    <t>ORD-01854</t>
  </si>
  <si>
    <t>ORD-01855</t>
  </si>
  <si>
    <t>ORD-01856</t>
  </si>
  <si>
    <t>ORD-01857</t>
  </si>
  <si>
    <t>ORD-01858</t>
  </si>
  <si>
    <t>ORD-01859</t>
  </si>
  <si>
    <t>ORD-01860</t>
  </si>
  <si>
    <t>ORD-01861</t>
  </si>
  <si>
    <t>ORD-01862</t>
  </si>
  <si>
    <t>ORD-01863</t>
  </si>
  <si>
    <t>ORD-01864</t>
  </si>
  <si>
    <t>ORD-01865</t>
  </si>
  <si>
    <t>ORD-01866</t>
  </si>
  <si>
    <t>ORD-01867</t>
  </si>
  <si>
    <t>ORD-01868</t>
  </si>
  <si>
    <t>ORD-01869</t>
  </si>
  <si>
    <t>ORD-01870</t>
  </si>
  <si>
    <t>ORD-01871</t>
  </si>
  <si>
    <t>ORD-01872</t>
  </si>
  <si>
    <t>ORD-01873</t>
  </si>
  <si>
    <t>ORD-01874</t>
  </si>
  <si>
    <t>ORD-01875</t>
  </si>
  <si>
    <t>ORD-01876</t>
  </si>
  <si>
    <t>ORD-01877</t>
  </si>
  <si>
    <t>ORD-01878</t>
  </si>
  <si>
    <t>ORD-01879</t>
  </si>
  <si>
    <t>ORD-01880</t>
  </si>
  <si>
    <t>ORD-01881</t>
  </si>
  <si>
    <t>ORD-01882</t>
  </si>
  <si>
    <t>ORD-01883</t>
  </si>
  <si>
    <t>ORD-01884</t>
  </si>
  <si>
    <t>ORD-01885</t>
  </si>
  <si>
    <t>ORD-01886</t>
  </si>
  <si>
    <t>ORD-01887</t>
  </si>
  <si>
    <t>ORD-01888</t>
  </si>
  <si>
    <t>ORD-01889</t>
  </si>
  <si>
    <t>ORD-01890</t>
  </si>
  <si>
    <t>ORD-01891</t>
  </si>
  <si>
    <t>ORD-01892</t>
  </si>
  <si>
    <t>ORD-01893</t>
  </si>
  <si>
    <t>ORD-01894</t>
  </si>
  <si>
    <t>ORD-01895</t>
  </si>
  <si>
    <t>ORD-01896</t>
  </si>
  <si>
    <t>ORD-01897</t>
  </si>
  <si>
    <t>ORD-01898</t>
  </si>
  <si>
    <t>ORD-01899</t>
  </si>
  <si>
    <t>ORD-01900</t>
  </si>
  <si>
    <t>ORD-01901</t>
  </si>
  <si>
    <t>ORD-01902</t>
  </si>
  <si>
    <t>ORD-01903</t>
  </si>
  <si>
    <t>ORD-01904</t>
  </si>
  <si>
    <t>ORD-01905</t>
  </si>
  <si>
    <t>ORD-01906</t>
  </si>
  <si>
    <t>ORD-01907</t>
  </si>
  <si>
    <t>ORD-01908</t>
  </si>
  <si>
    <t>ORD-01909</t>
  </si>
  <si>
    <t>ORD-01910</t>
  </si>
  <si>
    <t>ORD-01911</t>
  </si>
  <si>
    <t>ORD-01912</t>
  </si>
  <si>
    <t>ORD-01913</t>
  </si>
  <si>
    <t>ORD-01914</t>
  </si>
  <si>
    <t>ORD-01915</t>
  </si>
  <si>
    <t>ORD-01916</t>
  </si>
  <si>
    <t>ORD-01917</t>
  </si>
  <si>
    <t>ORD-01918</t>
  </si>
  <si>
    <t>ORD-01919</t>
  </si>
  <si>
    <t>ORD-01920</t>
  </si>
  <si>
    <t>ORD-01921</t>
  </si>
  <si>
    <t>ORD-01922</t>
  </si>
  <si>
    <t>ORD-01923</t>
  </si>
  <si>
    <t>ORD-01924</t>
  </si>
  <si>
    <t>ORD-01925</t>
  </si>
  <si>
    <t>ORD-01926</t>
  </si>
  <si>
    <t>ORD-01927</t>
  </si>
  <si>
    <t>ORD-01928</t>
  </si>
  <si>
    <t>ORD-01929</t>
  </si>
  <si>
    <t>ORD-01930</t>
  </si>
  <si>
    <t>ORD-01931</t>
  </si>
  <si>
    <t>ORD-01932</t>
  </si>
  <si>
    <t>ORD-01933</t>
  </si>
  <si>
    <t>ORD-01934</t>
  </si>
  <si>
    <t>ORD-01935</t>
  </si>
  <si>
    <t>ORD-01936</t>
  </si>
  <si>
    <t>ORD-01937</t>
  </si>
  <si>
    <t>ORD-01938</t>
  </si>
  <si>
    <t>ORD-01939</t>
  </si>
  <si>
    <t>ORD-01940</t>
  </si>
  <si>
    <t>ORD-01941</t>
  </si>
  <si>
    <t>ORD-01942</t>
  </si>
  <si>
    <t>ORD-01943</t>
  </si>
  <si>
    <t>ORD-01944</t>
  </si>
  <si>
    <t>ORD-01945</t>
  </si>
  <si>
    <t>ORD-01946</t>
  </si>
  <si>
    <t>ORD-01947</t>
  </si>
  <si>
    <t>ORD-01948</t>
  </si>
  <si>
    <t>ORD-01949</t>
  </si>
  <si>
    <t>ORD-01950</t>
  </si>
  <si>
    <t>ORD-01951</t>
  </si>
  <si>
    <t>ORD-01952</t>
  </si>
  <si>
    <t>ORD-01953</t>
  </si>
  <si>
    <t>ORD-01954</t>
  </si>
  <si>
    <t>ORD-01955</t>
  </si>
  <si>
    <t>ORD-01956</t>
  </si>
  <si>
    <t>ORD-01957</t>
  </si>
  <si>
    <t>ORD-01958</t>
  </si>
  <si>
    <t>ORD-01959</t>
  </si>
  <si>
    <t>ORD-01960</t>
  </si>
  <si>
    <t>ORD-01961</t>
  </si>
  <si>
    <t>ORD-01962</t>
  </si>
  <si>
    <t>ORD-01963</t>
  </si>
  <si>
    <t>ORD-01964</t>
  </si>
  <si>
    <t>ORD-01965</t>
  </si>
  <si>
    <t>ORD-01966</t>
  </si>
  <si>
    <t>ORD-01967</t>
  </si>
  <si>
    <t>ORD-01968</t>
  </si>
  <si>
    <t>ORD-01969</t>
  </si>
  <si>
    <t>ORD-01970</t>
  </si>
  <si>
    <t>ORD-01971</t>
  </si>
  <si>
    <t>ORD-01972</t>
  </si>
  <si>
    <t>ORD-01973</t>
  </si>
  <si>
    <t>ORD-01974</t>
  </si>
  <si>
    <t>ORD-01975</t>
  </si>
  <si>
    <t>ORD-01976</t>
  </si>
  <si>
    <t>ORD-01977</t>
  </si>
  <si>
    <t>ORD-01978</t>
  </si>
  <si>
    <t>ORD-01979</t>
  </si>
  <si>
    <t>ORD-01980</t>
  </si>
  <si>
    <t>ORD-01981</t>
  </si>
  <si>
    <t>ORD-01982</t>
  </si>
  <si>
    <t>ORD-01983</t>
  </si>
  <si>
    <t>ORD-01984</t>
  </si>
  <si>
    <t>ORD-01985</t>
  </si>
  <si>
    <t>ORD-01986</t>
  </si>
  <si>
    <t>ORD-01987</t>
  </si>
  <si>
    <t>ORD-01988</t>
  </si>
  <si>
    <t>ORD-01989</t>
  </si>
  <si>
    <t>ORD-01990</t>
  </si>
  <si>
    <t>ORD-01991</t>
  </si>
  <si>
    <t>ORD-01992</t>
  </si>
  <si>
    <t>ORD-01993</t>
  </si>
  <si>
    <t>ORD-01994</t>
  </si>
  <si>
    <t>ORD-01995</t>
  </si>
  <si>
    <t>ORD-01996</t>
  </si>
  <si>
    <t>ORD-01997</t>
  </si>
  <si>
    <t>ORD-01998</t>
  </si>
  <si>
    <t>ORD-01999</t>
  </si>
  <si>
    <t>ORD-02000</t>
  </si>
  <si>
    <t>ORD-02001</t>
  </si>
  <si>
    <t>ORD-02002</t>
  </si>
  <si>
    <t>ORD-02003</t>
  </si>
  <si>
    <t>ORD-02004</t>
  </si>
  <si>
    <t>ORD-02005</t>
  </si>
  <si>
    <t>ORD-02006</t>
  </si>
  <si>
    <t>ORD-02007</t>
  </si>
  <si>
    <t>ORD-02008</t>
  </si>
  <si>
    <t>ORD-02009</t>
  </si>
  <si>
    <t>ORD-02010</t>
  </si>
  <si>
    <t>ORD-02011</t>
  </si>
  <si>
    <t>ORD-02012</t>
  </si>
  <si>
    <t>ORD-02013</t>
  </si>
  <si>
    <t>ORD-02014</t>
  </si>
  <si>
    <t>ORD-02015</t>
  </si>
  <si>
    <t>ORD-02016</t>
  </si>
  <si>
    <t>ORD-02017</t>
  </si>
  <si>
    <t>ORD-02018</t>
  </si>
  <si>
    <t>ORD-02019</t>
  </si>
  <si>
    <t>ORD-02020</t>
  </si>
  <si>
    <t>ORD-02021</t>
  </si>
  <si>
    <t>ORD-02022</t>
  </si>
  <si>
    <t>ORD-02023</t>
  </si>
  <si>
    <t>ORD-02024</t>
  </si>
  <si>
    <t>ORD-02025</t>
  </si>
  <si>
    <t>ORD-02026</t>
  </si>
  <si>
    <t>ORD-02027</t>
  </si>
  <si>
    <t>ORD-02028</t>
  </si>
  <si>
    <t>ORD-02029</t>
  </si>
  <si>
    <t>ORD-02030</t>
  </si>
  <si>
    <t>ORD-02031</t>
  </si>
  <si>
    <t>ORD-02032</t>
  </si>
  <si>
    <t>ORD-02033</t>
  </si>
  <si>
    <t>ORD-02034</t>
  </si>
  <si>
    <t>ORD-02035</t>
  </si>
  <si>
    <t>ORD-02036</t>
  </si>
  <si>
    <t>ORD-02037</t>
  </si>
  <si>
    <t>ORD-02038</t>
  </si>
  <si>
    <t>ORD-02039</t>
  </si>
  <si>
    <t>ORD-02040</t>
  </si>
  <si>
    <t>ORD-02041</t>
  </si>
  <si>
    <t>ORD-02042</t>
  </si>
  <si>
    <t>ORD-02043</t>
  </si>
  <si>
    <t>ORD-02044</t>
  </si>
  <si>
    <t>ORD-02045</t>
  </si>
  <si>
    <t>ORD-02046</t>
  </si>
  <si>
    <t>ORD-02047</t>
  </si>
  <si>
    <t>ORD-02048</t>
  </si>
  <si>
    <t>ORD-02049</t>
  </si>
  <si>
    <t>ORD-02050</t>
  </si>
  <si>
    <t>ORD-02051</t>
  </si>
  <si>
    <t>ORD-02052</t>
  </si>
  <si>
    <t>ORD-02053</t>
  </si>
  <si>
    <t>ORD-02054</t>
  </si>
  <si>
    <t>ORD-02055</t>
  </si>
  <si>
    <t>ORD-02056</t>
  </si>
  <si>
    <t>ORD-02057</t>
  </si>
  <si>
    <t>ORD-02058</t>
  </si>
  <si>
    <t>ORD-02059</t>
  </si>
  <si>
    <t>ORD-02060</t>
  </si>
  <si>
    <t>ORD-02061</t>
  </si>
  <si>
    <t>ORD-02062</t>
  </si>
  <si>
    <t>ORD-02063</t>
  </si>
  <si>
    <t>ORD-02064</t>
  </si>
  <si>
    <t>ORD-02065</t>
  </si>
  <si>
    <t>ORD-02066</t>
  </si>
  <si>
    <t>ORD-02067</t>
  </si>
  <si>
    <t>ORD-02068</t>
  </si>
  <si>
    <t>ORD-02069</t>
  </si>
  <si>
    <t>ORD-02070</t>
  </si>
  <si>
    <t>ORD-02071</t>
  </si>
  <si>
    <t>ORD-02072</t>
  </si>
  <si>
    <t>ORD-02073</t>
  </si>
  <si>
    <t>ORD-02074</t>
  </si>
  <si>
    <t>ORD-02075</t>
  </si>
  <si>
    <t>ORD-02076</t>
  </si>
  <si>
    <t>ORD-02077</t>
  </si>
  <si>
    <t>ORD-02078</t>
  </si>
  <si>
    <t>ORD-02079</t>
  </si>
  <si>
    <t>ORD-02080</t>
  </si>
  <si>
    <t>ORD-02081</t>
  </si>
  <si>
    <t>ORD-02082</t>
  </si>
  <si>
    <t>ORD-02083</t>
  </si>
  <si>
    <t>ORD-02084</t>
  </si>
  <si>
    <t>ORD-02085</t>
  </si>
  <si>
    <t>ORD-02086</t>
  </si>
  <si>
    <t>ORD-02087</t>
  </si>
  <si>
    <t>ORD-02088</t>
  </si>
  <si>
    <t>ORD-02089</t>
  </si>
  <si>
    <t>ORD-02090</t>
  </si>
  <si>
    <t>ORD-02091</t>
  </si>
  <si>
    <t>ORD-02092</t>
  </si>
  <si>
    <t>ORD-02093</t>
  </si>
  <si>
    <t>ORD-02094</t>
  </si>
  <si>
    <t>ORD-02095</t>
  </si>
  <si>
    <t>ORD-02096</t>
  </si>
  <si>
    <t>ORD-02097</t>
  </si>
  <si>
    <t>ORD-02098</t>
  </si>
  <si>
    <t>ORD-02099</t>
  </si>
  <si>
    <t>ORD-02100</t>
  </si>
  <si>
    <t>ORD-02101</t>
  </si>
  <si>
    <t>ORD-02102</t>
  </si>
  <si>
    <t>ORD-02103</t>
  </si>
  <si>
    <t>ORD-02104</t>
  </si>
  <si>
    <t>ORD-02105</t>
  </si>
  <si>
    <t>ORD-02106</t>
  </si>
  <si>
    <t>ORD-02107</t>
  </si>
  <si>
    <t>ORD-02108</t>
  </si>
  <si>
    <t>ORD-02109</t>
  </si>
  <si>
    <t>ORD-02110</t>
  </si>
  <si>
    <t>ORD-02111</t>
  </si>
  <si>
    <t>ORD-02112</t>
  </si>
  <si>
    <t>ORD-02113</t>
  </si>
  <si>
    <t>ORD-02114</t>
  </si>
  <si>
    <t>ORD-02115</t>
  </si>
  <si>
    <t>ORD-02116</t>
  </si>
  <si>
    <t>ORD-02117</t>
  </si>
  <si>
    <t>ORD-02118</t>
  </si>
  <si>
    <t>ORD-02119</t>
  </si>
  <si>
    <t>ORD-02120</t>
  </si>
  <si>
    <t>ORD-02121</t>
  </si>
  <si>
    <t>ORD-02122</t>
  </si>
  <si>
    <t>ORD-02123</t>
  </si>
  <si>
    <t>ORD-02124</t>
  </si>
  <si>
    <t>ORD-02125</t>
  </si>
  <si>
    <t>ORD-02126</t>
  </si>
  <si>
    <t>ORD-02127</t>
  </si>
  <si>
    <t>ORD-02128</t>
  </si>
  <si>
    <t>ORD-02129</t>
  </si>
  <si>
    <t>ORD-02130</t>
  </si>
  <si>
    <t>ORD-02131</t>
  </si>
  <si>
    <t>ORD-02132</t>
  </si>
  <si>
    <t>ORD-02133</t>
  </si>
  <si>
    <t>ORD-02134</t>
  </si>
  <si>
    <t>ORD-02135</t>
  </si>
  <si>
    <t>ORD-02136</t>
  </si>
  <si>
    <t>ORD-02137</t>
  </si>
  <si>
    <t>ORD-02138</t>
  </si>
  <si>
    <t>ORD-02139</t>
  </si>
  <si>
    <t>ORD-02140</t>
  </si>
  <si>
    <t>ORD-02141</t>
  </si>
  <si>
    <t>ORD-02142</t>
  </si>
  <si>
    <t>ORD-02143</t>
  </si>
  <si>
    <t>ORD-02144</t>
  </si>
  <si>
    <t>ORD-02145</t>
  </si>
  <si>
    <t>ORD-02146</t>
  </si>
  <si>
    <t>ORD-02147</t>
  </si>
  <si>
    <t>ORD-02148</t>
  </si>
  <si>
    <t>ORD-02149</t>
  </si>
  <si>
    <t>ORD-02150</t>
  </si>
  <si>
    <t>ORD-02151</t>
  </si>
  <si>
    <t>ORD-02152</t>
  </si>
  <si>
    <t>ORD-02153</t>
  </si>
  <si>
    <t>ORD-02154</t>
  </si>
  <si>
    <t>ORD-02155</t>
  </si>
  <si>
    <t>ORD-02156</t>
  </si>
  <si>
    <t>ORD-02157</t>
  </si>
  <si>
    <t>ORD-02158</t>
  </si>
  <si>
    <t>ORD-02159</t>
  </si>
  <si>
    <t>ORD-02160</t>
  </si>
  <si>
    <t>ORD-02161</t>
  </si>
  <si>
    <t>ORD-02162</t>
  </si>
  <si>
    <t>ORD-02163</t>
  </si>
  <si>
    <t>ORD-02164</t>
  </si>
  <si>
    <t>ORD-02165</t>
  </si>
  <si>
    <t>ORD-02166</t>
  </si>
  <si>
    <t>ORD-02167</t>
  </si>
  <si>
    <t>ORD-02168</t>
  </si>
  <si>
    <t>ORD-02169</t>
  </si>
  <si>
    <t>ORD-02170</t>
  </si>
  <si>
    <t>ORD-02171</t>
  </si>
  <si>
    <t>ORD-02172</t>
  </si>
  <si>
    <t>ORD-02173</t>
  </si>
  <si>
    <t>ORD-02174</t>
  </si>
  <si>
    <t>ORD-02175</t>
  </si>
  <si>
    <t>ORD-02176</t>
  </si>
  <si>
    <t>ORD-02177</t>
  </si>
  <si>
    <t>ORD-02178</t>
  </si>
  <si>
    <t>ORD-02179</t>
  </si>
  <si>
    <t>ORD-02180</t>
  </si>
  <si>
    <t>ORD-02181</t>
  </si>
  <si>
    <t>ORD-02182</t>
  </si>
  <si>
    <t>ORD-02183</t>
  </si>
  <si>
    <t>ORD-02184</t>
  </si>
  <si>
    <t>ORD-02185</t>
  </si>
  <si>
    <t>ORD-02186</t>
  </si>
  <si>
    <t>ORD-02187</t>
  </si>
  <si>
    <t>ORD-02188</t>
  </si>
  <si>
    <t>ORD-02189</t>
  </si>
  <si>
    <t>ORD-02190</t>
  </si>
  <si>
    <t>ORD-02191</t>
  </si>
  <si>
    <t>ORD-02192</t>
  </si>
  <si>
    <t>ORD-02193</t>
  </si>
  <si>
    <t>ORD-02194</t>
  </si>
  <si>
    <t>ORD-02195</t>
  </si>
  <si>
    <t>ORD-02196</t>
  </si>
  <si>
    <t>ORD-02197</t>
  </si>
  <si>
    <t>ORD-02198</t>
  </si>
  <si>
    <t>ORD-02199</t>
  </si>
  <si>
    <t>ORD-02200</t>
  </si>
  <si>
    <t>ORD-02201</t>
  </si>
  <si>
    <t>ORD-02202</t>
  </si>
  <si>
    <t>ORD-02203</t>
  </si>
  <si>
    <t>ORD-02204</t>
  </si>
  <si>
    <t>ORD-02205</t>
  </si>
  <si>
    <t>ORD-02206</t>
  </si>
  <si>
    <t>ORD-02207</t>
  </si>
  <si>
    <t>ORD-02208</t>
  </si>
  <si>
    <t>ORD-02209</t>
  </si>
  <si>
    <t>ORD-02210</t>
  </si>
  <si>
    <t>ORD-02211</t>
  </si>
  <si>
    <t>ORD-02212</t>
  </si>
  <si>
    <t>ORD-02213</t>
  </si>
  <si>
    <t>ORD-02214</t>
  </si>
  <si>
    <t>ORD-02215</t>
  </si>
  <si>
    <t>ORD-02216</t>
  </si>
  <si>
    <t>ORD-02217</t>
  </si>
  <si>
    <t>ORD-02218</t>
  </si>
  <si>
    <t>ORD-02219</t>
  </si>
  <si>
    <t>ORD-02220</t>
  </si>
  <si>
    <t>ORD-02221</t>
  </si>
  <si>
    <t>ORD-02222</t>
  </si>
  <si>
    <t>ORD-02223</t>
  </si>
  <si>
    <t>ORD-02224</t>
  </si>
  <si>
    <t>ORD-02225</t>
  </si>
  <si>
    <t>ORD-02226</t>
  </si>
  <si>
    <t>ORD-02227</t>
  </si>
  <si>
    <t>ORD-02228</t>
  </si>
  <si>
    <t>ORD-02229</t>
  </si>
  <si>
    <t>ORD-02230</t>
  </si>
  <si>
    <t>ORD-02231</t>
  </si>
  <si>
    <t>ORD-02232</t>
  </si>
  <si>
    <t>ORD-02233</t>
  </si>
  <si>
    <t>ORD-02234</t>
  </si>
  <si>
    <t>ORD-02235</t>
  </si>
  <si>
    <t>ORD-02236</t>
  </si>
  <si>
    <t>ORD-02237</t>
  </si>
  <si>
    <t>ORD-02238</t>
  </si>
  <si>
    <t>ORD-02239</t>
  </si>
  <si>
    <t>ORD-02240</t>
  </si>
  <si>
    <t>ORD-02241</t>
  </si>
  <si>
    <t>ORD-02242</t>
  </si>
  <si>
    <t>ORD-02243</t>
  </si>
  <si>
    <t>ORD-02244</t>
  </si>
  <si>
    <t>ORD-02245</t>
  </si>
  <si>
    <t>ORD-02246</t>
  </si>
  <si>
    <t>ORD-02247</t>
  </si>
  <si>
    <t>ORD-02248</t>
  </si>
  <si>
    <t>ORD-02249</t>
  </si>
  <si>
    <t>ORD-02250</t>
  </si>
  <si>
    <t>ORD-02251</t>
  </si>
  <si>
    <t>ORD-02252</t>
  </si>
  <si>
    <t>ORD-02253</t>
  </si>
  <si>
    <t>ORD-02254</t>
  </si>
  <si>
    <t>ORD-02255</t>
  </si>
  <si>
    <t>ORD-02256</t>
  </si>
  <si>
    <t>ORD-02257</t>
  </si>
  <si>
    <t>ORD-02258</t>
  </si>
  <si>
    <t>ORD-02259</t>
  </si>
  <si>
    <t>ORD-02260</t>
  </si>
  <si>
    <t>ORD-02261</t>
  </si>
  <si>
    <t>ORD-02262</t>
  </si>
  <si>
    <t>ORD-02263</t>
  </si>
  <si>
    <t>ORD-02264</t>
  </si>
  <si>
    <t>ORD-02265</t>
  </si>
  <si>
    <t>ORD-02266</t>
  </si>
  <si>
    <t>ORD-02267</t>
  </si>
  <si>
    <t>ORD-02268</t>
  </si>
  <si>
    <t>ORD-02269</t>
  </si>
  <si>
    <t>ORD-02270</t>
  </si>
  <si>
    <t>ORD-02271</t>
  </si>
  <si>
    <t>ORD-02272</t>
  </si>
  <si>
    <t>ORD-02273</t>
  </si>
  <si>
    <t>ORD-02274</t>
  </si>
  <si>
    <t>ORD-02275</t>
  </si>
  <si>
    <t>ORD-02276</t>
  </si>
  <si>
    <t>ORD-02277</t>
  </si>
  <si>
    <t>ORD-02278</t>
  </si>
  <si>
    <t>ORD-02279</t>
  </si>
  <si>
    <t>ORD-02280</t>
  </si>
  <si>
    <t>ORD-02281</t>
  </si>
  <si>
    <t>ORD-02282</t>
  </si>
  <si>
    <t>ORD-02283</t>
  </si>
  <si>
    <t>ORD-02284</t>
  </si>
  <si>
    <t>ORD-02285</t>
  </si>
  <si>
    <t>ORD-02286</t>
  </si>
  <si>
    <t>ORD-02287</t>
  </si>
  <si>
    <t>ORD-02288</t>
  </si>
  <si>
    <t>ORD-02289</t>
  </si>
  <si>
    <t>ORD-02290</t>
  </si>
  <si>
    <t>ORD-02291</t>
  </si>
  <si>
    <t>ORD-02292</t>
  </si>
  <si>
    <t>ORD-02293</t>
  </si>
  <si>
    <t>ORD-02294</t>
  </si>
  <si>
    <t>ORD-02295</t>
  </si>
  <si>
    <t>ORD-02296</t>
  </si>
  <si>
    <t>ORD-02297</t>
  </si>
  <si>
    <t>ORD-02298</t>
  </si>
  <si>
    <t>ORD-02299</t>
  </si>
  <si>
    <t>ORD-02300</t>
  </si>
  <si>
    <t>ORD-02301</t>
  </si>
  <si>
    <t>ORD-02302</t>
  </si>
  <si>
    <t>ORD-02303</t>
  </si>
  <si>
    <t>ORD-02304</t>
  </si>
  <si>
    <t>ORD-02305</t>
  </si>
  <si>
    <t>ORD-02306</t>
  </si>
  <si>
    <t>ORD-02307</t>
  </si>
  <si>
    <t>ORD-02308</t>
  </si>
  <si>
    <t>ORD-02309</t>
  </si>
  <si>
    <t>ORD-02310</t>
  </si>
  <si>
    <t>ORD-02311</t>
  </si>
  <si>
    <t>ORD-02312</t>
  </si>
  <si>
    <t>ORD-02313</t>
  </si>
  <si>
    <t>ORD-02314</t>
  </si>
  <si>
    <t>ORD-02315</t>
  </si>
  <si>
    <t>ORD-02316</t>
  </si>
  <si>
    <t>ORD-02317</t>
  </si>
  <si>
    <t>ORD-02318</t>
  </si>
  <si>
    <t>ORD-02319</t>
  </si>
  <si>
    <t>ORD-02320</t>
  </si>
  <si>
    <t>ORD-02321</t>
  </si>
  <si>
    <t>ORD-02322</t>
  </si>
  <si>
    <t>ORD-02323</t>
  </si>
  <si>
    <t>ORD-02324</t>
  </si>
  <si>
    <t>ORD-02325</t>
  </si>
  <si>
    <t>ORD-02326</t>
  </si>
  <si>
    <t>ORD-02327</t>
  </si>
  <si>
    <t>ORD-02328</t>
  </si>
  <si>
    <t>ORD-02329</t>
  </si>
  <si>
    <t>ORD-02330</t>
  </si>
  <si>
    <t>ORD-02331</t>
  </si>
  <si>
    <t>ORD-02332</t>
  </si>
  <si>
    <t>ORD-02333</t>
  </si>
  <si>
    <t>ORD-02334</t>
  </si>
  <si>
    <t>ORD-02335</t>
  </si>
  <si>
    <t>ORD-02336</t>
  </si>
  <si>
    <t>ORD-02337</t>
  </si>
  <si>
    <t>ORD-02338</t>
  </si>
  <si>
    <t>ORD-02339</t>
  </si>
  <si>
    <t>ORD-02340</t>
  </si>
  <si>
    <t>ORD-02341</t>
  </si>
  <si>
    <t>ORD-02342</t>
  </si>
  <si>
    <t>ORD-02343</t>
  </si>
  <si>
    <t>ORD-02344</t>
  </si>
  <si>
    <t>ORD-02345</t>
  </si>
  <si>
    <t>ORD-02346</t>
  </si>
  <si>
    <t>ORD-02347</t>
  </si>
  <si>
    <t>ORD-02348</t>
  </si>
  <si>
    <t>ORD-02349</t>
  </si>
  <si>
    <t>ORD-02350</t>
  </si>
  <si>
    <t>ORD-02351</t>
  </si>
  <si>
    <t>ORD-02352</t>
  </si>
  <si>
    <t>ORD-02353</t>
  </si>
  <si>
    <t>ORD-02354</t>
  </si>
  <si>
    <t>ORD-02355</t>
  </si>
  <si>
    <t>ORD-02356</t>
  </si>
  <si>
    <t>ORD-02357</t>
  </si>
  <si>
    <t>ORD-02358</t>
  </si>
  <si>
    <t>ORD-02359</t>
  </si>
  <si>
    <t>ORD-02360</t>
  </si>
  <si>
    <t>ORD-02361</t>
  </si>
  <si>
    <t>ORD-02362</t>
  </si>
  <si>
    <t>ORD-02363</t>
  </si>
  <si>
    <t>ORD-02364</t>
  </si>
  <si>
    <t>ORD-02365</t>
  </si>
  <si>
    <t>ORD-02366</t>
  </si>
  <si>
    <t>ORD-02367</t>
  </si>
  <si>
    <t>ORD-02368</t>
  </si>
  <si>
    <t>ORD-02369</t>
  </si>
  <si>
    <t>ORD-02370</t>
  </si>
  <si>
    <t>ORD-02371</t>
  </si>
  <si>
    <t>ORD-02372</t>
  </si>
  <si>
    <t>ORD-02373</t>
  </si>
  <si>
    <t>ORD-02374</t>
  </si>
  <si>
    <t>ORD-02375</t>
  </si>
  <si>
    <t>ORD-02376</t>
  </si>
  <si>
    <t>ORD-02377</t>
  </si>
  <si>
    <t>ORD-02378</t>
  </si>
  <si>
    <t>ORD-02379</t>
  </si>
  <si>
    <t>ORD-02380</t>
  </si>
  <si>
    <t>ORD-02381</t>
  </si>
  <si>
    <t>ORD-02382</t>
  </si>
  <si>
    <t>ORD-02383</t>
  </si>
  <si>
    <t>ORD-02384</t>
  </si>
  <si>
    <t>ORD-02385</t>
  </si>
  <si>
    <t>ORD-02386</t>
  </si>
  <si>
    <t>ORD-02387</t>
  </si>
  <si>
    <t>ORD-02388</t>
  </si>
  <si>
    <t>ORD-02389</t>
  </si>
  <si>
    <t>ORD-02390</t>
  </si>
  <si>
    <t>ORD-02391</t>
  </si>
  <si>
    <t>ORD-02392</t>
  </si>
  <si>
    <t>ORD-02393</t>
  </si>
  <si>
    <t>ORD-02394</t>
  </si>
  <si>
    <t>ORD-02395</t>
  </si>
  <si>
    <t>ORD-02396</t>
  </si>
  <si>
    <t>ORD-02397</t>
  </si>
  <si>
    <t>ORD-02398</t>
  </si>
  <si>
    <t>ORD-02399</t>
  </si>
  <si>
    <t>ORD-02400</t>
  </si>
  <si>
    <t>ORD-02401</t>
  </si>
  <si>
    <t>ORD-02402</t>
  </si>
  <si>
    <t>ORD-02403</t>
  </si>
  <si>
    <t>ORD-02404</t>
  </si>
  <si>
    <t>ORD-02405</t>
  </si>
  <si>
    <t>ORD-02406</t>
  </si>
  <si>
    <t>ORD-02407</t>
  </si>
  <si>
    <t>ORD-02408</t>
  </si>
  <si>
    <t>ORD-02409</t>
  </si>
  <si>
    <t>ORD-02410</t>
  </si>
  <si>
    <t>ORD-02411</t>
  </si>
  <si>
    <t>ORD-02412</t>
  </si>
  <si>
    <t>ORD-02413</t>
  </si>
  <si>
    <t>ORD-02414</t>
  </si>
  <si>
    <t>ORD-02415</t>
  </si>
  <si>
    <t>ORD-02416</t>
  </si>
  <si>
    <t>ORD-02417</t>
  </si>
  <si>
    <t>ORD-02418</t>
  </si>
  <si>
    <t>ORD-02419</t>
  </si>
  <si>
    <t>ORD-02420</t>
  </si>
  <si>
    <t>ORD-02421</t>
  </si>
  <si>
    <t>ORD-02422</t>
  </si>
  <si>
    <t>ORD-02423</t>
  </si>
  <si>
    <t>ORD-02424</t>
  </si>
  <si>
    <t>ORD-02425</t>
  </si>
  <si>
    <t>ORD-02426</t>
  </si>
  <si>
    <t>ORD-02427</t>
  </si>
  <si>
    <t>ORD-02428</t>
  </si>
  <si>
    <t>ORD-02429</t>
  </si>
  <si>
    <t>ORD-02430</t>
  </si>
  <si>
    <t>ORD-02431</t>
  </si>
  <si>
    <t>ORD-02432</t>
  </si>
  <si>
    <t>ORD-02433</t>
  </si>
  <si>
    <t>ORD-02434</t>
  </si>
  <si>
    <t>ORD-02435</t>
  </si>
  <si>
    <t>ORD-02436</t>
  </si>
  <si>
    <t>ORD-02437</t>
  </si>
  <si>
    <t>ORD-02438</t>
  </si>
  <si>
    <t>ORD-02439</t>
  </si>
  <si>
    <t>ORD-02440</t>
  </si>
  <si>
    <t>ORD-02441</t>
  </si>
  <si>
    <t>ORD-02442</t>
  </si>
  <si>
    <t>ORD-02443</t>
  </si>
  <si>
    <t>ORD-02444</t>
  </si>
  <si>
    <t>ORD-02445</t>
  </si>
  <si>
    <t>ORD-02446</t>
  </si>
  <si>
    <t>ORD-02447</t>
  </si>
  <si>
    <t>ORD-02448</t>
  </si>
  <si>
    <t>ORD-02449</t>
  </si>
  <si>
    <t>ORD-02450</t>
  </si>
  <si>
    <t>ORD-02451</t>
  </si>
  <si>
    <t>ORD-02452</t>
  </si>
  <si>
    <t>ORD-02453</t>
  </si>
  <si>
    <t>ORD-02454</t>
  </si>
  <si>
    <t>ORD-02455</t>
  </si>
  <si>
    <t>ORD-02456</t>
  </si>
  <si>
    <t>ORD-02457</t>
  </si>
  <si>
    <t>ORD-02458</t>
  </si>
  <si>
    <t>ORD-02459</t>
  </si>
  <si>
    <t>ORD-02460</t>
  </si>
  <si>
    <t>ORD-02461</t>
  </si>
  <si>
    <t>ORD-02462</t>
  </si>
  <si>
    <t>ORD-02463</t>
  </si>
  <si>
    <t>ORD-02464</t>
  </si>
  <si>
    <t>ORD-02465</t>
  </si>
  <si>
    <t>ORD-02466</t>
  </si>
  <si>
    <t>ORD-02467</t>
  </si>
  <si>
    <t>ORD-02468</t>
  </si>
  <si>
    <t>ORD-02469</t>
  </si>
  <si>
    <t>ORD-02470</t>
  </si>
  <si>
    <t>ORD-02471</t>
  </si>
  <si>
    <t>ORD-02472</t>
  </si>
  <si>
    <t>ORD-02473</t>
  </si>
  <si>
    <t>ORD-02474</t>
  </si>
  <si>
    <t>ORD-02475</t>
  </si>
  <si>
    <t>ORD-02476</t>
  </si>
  <si>
    <t>ORD-02477</t>
  </si>
  <si>
    <t>ORD-02478</t>
  </si>
  <si>
    <t>ORD-02479</t>
  </si>
  <si>
    <t>ORD-02480</t>
  </si>
  <si>
    <t>ORD-02481</t>
  </si>
  <si>
    <t>ORD-02482</t>
  </si>
  <si>
    <t>ORD-02483</t>
  </si>
  <si>
    <t>ORD-02484</t>
  </si>
  <si>
    <t>ORD-02485</t>
  </si>
  <si>
    <t>ORD-02486</t>
  </si>
  <si>
    <t>ORD-02487</t>
  </si>
  <si>
    <t>ORD-02488</t>
  </si>
  <si>
    <t>ORD-02489</t>
  </si>
  <si>
    <t>ORD-02490</t>
  </si>
  <si>
    <t>ORD-02491</t>
  </si>
  <si>
    <t>ORD-02492</t>
  </si>
  <si>
    <t>ORD-02493</t>
  </si>
  <si>
    <t>ORD-02494</t>
  </si>
  <si>
    <t>ORD-02495</t>
  </si>
  <si>
    <t>ORD-02496</t>
  </si>
  <si>
    <t>ORD-02497</t>
  </si>
  <si>
    <t>ORD-02498</t>
  </si>
  <si>
    <t>ORD-02499</t>
  </si>
  <si>
    <t>ORD-02500</t>
  </si>
  <si>
    <t>ORD-02501</t>
  </si>
  <si>
    <t>ORD-02502</t>
  </si>
  <si>
    <t>ORD-02503</t>
  </si>
  <si>
    <t>ORD-02504</t>
  </si>
  <si>
    <t>ORD-02505</t>
  </si>
  <si>
    <t>ORD-02506</t>
  </si>
  <si>
    <t>ORD-02507</t>
  </si>
  <si>
    <t>ORD-02508</t>
  </si>
  <si>
    <t>ORD-02509</t>
  </si>
  <si>
    <t>ORD-02510</t>
  </si>
  <si>
    <t>ORD-02511</t>
  </si>
  <si>
    <t>ORD-02512</t>
  </si>
  <si>
    <t>ORD-02513</t>
  </si>
  <si>
    <t>ORD-02514</t>
  </si>
  <si>
    <t>ORD-02515</t>
  </si>
  <si>
    <t>ORD-02516</t>
  </si>
  <si>
    <t>ORD-02517</t>
  </si>
  <si>
    <t>ORD-02518</t>
  </si>
  <si>
    <t>ORD-02519</t>
  </si>
  <si>
    <t>ORD-02520</t>
  </si>
  <si>
    <t>ORD-02521</t>
  </si>
  <si>
    <t>ORD-02522</t>
  </si>
  <si>
    <t>ORD-02523</t>
  </si>
  <si>
    <t>ORD-02524</t>
  </si>
  <si>
    <t>ORD-02525</t>
  </si>
  <si>
    <t>ORD-02526</t>
  </si>
  <si>
    <t>ORD-02527</t>
  </si>
  <si>
    <t>ORD-02528</t>
  </si>
  <si>
    <t>ORD-02529</t>
  </si>
  <si>
    <t>ORD-02530</t>
  </si>
  <si>
    <t>ORD-02531</t>
  </si>
  <si>
    <t>ORD-02532</t>
  </si>
  <si>
    <t>ORD-02533</t>
  </si>
  <si>
    <t>ORD-02534</t>
  </si>
  <si>
    <t>ORD-02535</t>
  </si>
  <si>
    <t>ORD-02536</t>
  </si>
  <si>
    <t>ORD-02537</t>
  </si>
  <si>
    <t>ORD-02538</t>
  </si>
  <si>
    <t>ORD-02539</t>
  </si>
  <si>
    <t>ORD-02540</t>
  </si>
  <si>
    <t>ORD-02541</t>
  </si>
  <si>
    <t>ORD-02542</t>
  </si>
  <si>
    <t>ORD-02543</t>
  </si>
  <si>
    <t>ORD-02544</t>
  </si>
  <si>
    <t>ORD-02545</t>
  </si>
  <si>
    <t>ORD-02546</t>
  </si>
  <si>
    <t>ORD-02547</t>
  </si>
  <si>
    <t>ORD-02548</t>
  </si>
  <si>
    <t>ORD-02549</t>
  </si>
  <si>
    <t>ORD-02550</t>
  </si>
  <si>
    <t>ORD-02551</t>
  </si>
  <si>
    <t>ORD-02552</t>
  </si>
  <si>
    <t>ORD-02553</t>
  </si>
  <si>
    <t>ORD-02554</t>
  </si>
  <si>
    <t>ORD-02555</t>
  </si>
  <si>
    <t>ORD-02556</t>
  </si>
  <si>
    <t>ORD-02557</t>
  </si>
  <si>
    <t>ORD-02558</t>
  </si>
  <si>
    <t>ORD-02559</t>
  </si>
  <si>
    <t>ORD-02560</t>
  </si>
  <si>
    <t>ORD-02561</t>
  </si>
  <si>
    <t>ORD-02562</t>
  </si>
  <si>
    <t>ORD-02563</t>
  </si>
  <si>
    <t>ORD-02564</t>
  </si>
  <si>
    <t>ORD-02565</t>
  </si>
  <si>
    <t>ORD-02566</t>
  </si>
  <si>
    <t>ORD-02567</t>
  </si>
  <si>
    <t>ORD-02568</t>
  </si>
  <si>
    <t>ORD-02569</t>
  </si>
  <si>
    <t>ORD-02570</t>
  </si>
  <si>
    <t>ORD-02571</t>
  </si>
  <si>
    <t>ORD-02572</t>
  </si>
  <si>
    <t>ORD-02573</t>
  </si>
  <si>
    <t>ORD-02574</t>
  </si>
  <si>
    <t>ORD-02575</t>
  </si>
  <si>
    <t>ORD-02576</t>
  </si>
  <si>
    <t>ORD-02577</t>
  </si>
  <si>
    <t>ORD-02578</t>
  </si>
  <si>
    <t>ORD-02579</t>
  </si>
  <si>
    <t>ORD-02580</t>
  </si>
  <si>
    <t>ORD-02581</t>
  </si>
  <si>
    <t>ORD-02582</t>
  </si>
  <si>
    <t>ORD-02583</t>
  </si>
  <si>
    <t>ORD-02584</t>
  </si>
  <si>
    <t>ORD-02585</t>
  </si>
  <si>
    <t>ORD-02586</t>
  </si>
  <si>
    <t>ORD-02587</t>
  </si>
  <si>
    <t>ORD-02588</t>
  </si>
  <si>
    <t>ORD-02589</t>
  </si>
  <si>
    <t>ORD-02590</t>
  </si>
  <si>
    <t>ORD-02591</t>
  </si>
  <si>
    <t>ORD-02592</t>
  </si>
  <si>
    <t>ORD-02593</t>
  </si>
  <si>
    <t>ORD-02594</t>
  </si>
  <si>
    <t>ORD-02595</t>
  </si>
  <si>
    <t>ORD-02596</t>
  </si>
  <si>
    <t>ORD-02597</t>
  </si>
  <si>
    <t>ORD-02598</t>
  </si>
  <si>
    <t>ORD-02599</t>
  </si>
  <si>
    <t>ORD-02600</t>
  </si>
  <si>
    <t>ORD-02601</t>
  </si>
  <si>
    <t>ORD-02602</t>
  </si>
  <si>
    <t>ORD-02603</t>
  </si>
  <si>
    <t>ORD-02604</t>
  </si>
  <si>
    <t>ORD-02605</t>
  </si>
  <si>
    <t>ORD-02606</t>
  </si>
  <si>
    <t>ORD-02607</t>
  </si>
  <si>
    <t>ORD-02608</t>
  </si>
  <si>
    <t>ORD-02609</t>
  </si>
  <si>
    <t>ORD-02610</t>
  </si>
  <si>
    <t>ORD-02611</t>
  </si>
  <si>
    <t>ORD-02612</t>
  </si>
  <si>
    <t>ORD-02613</t>
  </si>
  <si>
    <t>ORD-02614</t>
  </si>
  <si>
    <t>ORD-02615</t>
  </si>
  <si>
    <t>ORD-02616</t>
  </si>
  <si>
    <t>ORD-02617</t>
  </si>
  <si>
    <t>ORD-02618</t>
  </si>
  <si>
    <t>ORD-02619</t>
  </si>
  <si>
    <t>ORD-02620</t>
  </si>
  <si>
    <t>ORD-02621</t>
  </si>
  <si>
    <t>ORD-02622</t>
  </si>
  <si>
    <t>ORD-02623</t>
  </si>
  <si>
    <t>ORD-02624</t>
  </si>
  <si>
    <t>ORD-02625</t>
  </si>
  <si>
    <t>ORD-02626</t>
  </si>
  <si>
    <t>ORD-02627</t>
  </si>
  <si>
    <t>ORD-02628</t>
  </si>
  <si>
    <t>ORD-02629</t>
  </si>
  <si>
    <t>ORD-02630</t>
  </si>
  <si>
    <t>ORD-02631</t>
  </si>
  <si>
    <t>ORD-02632</t>
  </si>
  <si>
    <t>ORD-02633</t>
  </si>
  <si>
    <t>ORD-02634</t>
  </si>
  <si>
    <t>ORD-02635</t>
  </si>
  <si>
    <t>ORD-02636</t>
  </si>
  <si>
    <t>ORD-02637</t>
  </si>
  <si>
    <t>ORD-02638</t>
  </si>
  <si>
    <t>ORD-02639</t>
  </si>
  <si>
    <t>ORD-02640</t>
  </si>
  <si>
    <t>ORD-02641</t>
  </si>
  <si>
    <t>ORD-02642</t>
  </si>
  <si>
    <t>ORD-02643</t>
  </si>
  <si>
    <t>ORD-02644</t>
  </si>
  <si>
    <t>ORD-02645</t>
  </si>
  <si>
    <t>ORD-02646</t>
  </si>
  <si>
    <t>ORD-02647</t>
  </si>
  <si>
    <t>ORD-02648</t>
  </si>
  <si>
    <t>ORD-02649</t>
  </si>
  <si>
    <t>ORD-02650</t>
  </si>
  <si>
    <t>ORD-02651</t>
  </si>
  <si>
    <t>ORD-02652</t>
  </si>
  <si>
    <t>ORD-02653</t>
  </si>
  <si>
    <t>ORD-02654</t>
  </si>
  <si>
    <t>ORD-02655</t>
  </si>
  <si>
    <t>ORD-02656</t>
  </si>
  <si>
    <t>ORD-02657</t>
  </si>
  <si>
    <t>ORD-02658</t>
  </si>
  <si>
    <t>ORD-02659</t>
  </si>
  <si>
    <t>ORD-02660</t>
  </si>
  <si>
    <t>ORD-02661</t>
  </si>
  <si>
    <t>ORD-02662</t>
  </si>
  <si>
    <t>ORD-02663</t>
  </si>
  <si>
    <t>ORD-02664</t>
  </si>
  <si>
    <t>ORD-02665</t>
  </si>
  <si>
    <t>ORD-02666</t>
  </si>
  <si>
    <t>ORD-02667</t>
  </si>
  <si>
    <t>ORD-02668</t>
  </si>
  <si>
    <t>ORD-02669</t>
  </si>
  <si>
    <t>ORD-02670</t>
  </si>
  <si>
    <t>ORD-02671</t>
  </si>
  <si>
    <t>ORD-02672</t>
  </si>
  <si>
    <t>ORD-02673</t>
  </si>
  <si>
    <t>ORD-02674</t>
  </si>
  <si>
    <t>ORD-02675</t>
  </si>
  <si>
    <t>ORD-02676</t>
  </si>
  <si>
    <t>ORD-02677</t>
  </si>
  <si>
    <t>ORD-02678</t>
  </si>
  <si>
    <t>ORD-02679</t>
  </si>
  <si>
    <t>ORD-02680</t>
  </si>
  <si>
    <t>ORD-02681</t>
  </si>
  <si>
    <t>ORD-02682</t>
  </si>
  <si>
    <t>ORD-02683</t>
  </si>
  <si>
    <t>ORD-02684</t>
  </si>
  <si>
    <t>ORD-02685</t>
  </si>
  <si>
    <t>ORD-02686</t>
  </si>
  <si>
    <t>ORD-02687</t>
  </si>
  <si>
    <t>ORD-02688</t>
  </si>
  <si>
    <t>ORD-02689</t>
  </si>
  <si>
    <t>ORD-02690</t>
  </si>
  <si>
    <t>ORD-02691</t>
  </si>
  <si>
    <t>ORD-02692</t>
  </si>
  <si>
    <t>ORD-02693</t>
  </si>
  <si>
    <t>ORD-02694</t>
  </si>
  <si>
    <t>ORD-02695</t>
  </si>
  <si>
    <t>ORD-02696</t>
  </si>
  <si>
    <t>ORD-02697</t>
  </si>
  <si>
    <t>ORD-02698</t>
  </si>
  <si>
    <t>ORD-02699</t>
  </si>
  <si>
    <t>ORD-02700</t>
  </si>
  <si>
    <t>ORD-02701</t>
  </si>
  <si>
    <t>ORD-02702</t>
  </si>
  <si>
    <t>ORD-02703</t>
  </si>
  <si>
    <t>ORD-02704</t>
  </si>
  <si>
    <t>ORD-02705</t>
  </si>
  <si>
    <t>ORD-02706</t>
  </si>
  <si>
    <t>ORD-02707</t>
  </si>
  <si>
    <t>ORD-02708</t>
  </si>
  <si>
    <t>ORD-02709</t>
  </si>
  <si>
    <t>ORD-02710</t>
  </si>
  <si>
    <t>ORD-02711</t>
  </si>
  <si>
    <t>ORD-02712</t>
  </si>
  <si>
    <t>ORD-02713</t>
  </si>
  <si>
    <t>ORD-02714</t>
  </si>
  <si>
    <t>ORD-02715</t>
  </si>
  <si>
    <t>ORD-02716</t>
  </si>
  <si>
    <t>ORD-02717</t>
  </si>
  <si>
    <t>ORD-02718</t>
  </si>
  <si>
    <t>ORD-02719</t>
  </si>
  <si>
    <t>ORD-02720</t>
  </si>
  <si>
    <t>ORD-02721</t>
  </si>
  <si>
    <t>ORD-02722</t>
  </si>
  <si>
    <t>ORD-02723</t>
  </si>
  <si>
    <t>ORD-02724</t>
  </si>
  <si>
    <t>ORD-02725</t>
  </si>
  <si>
    <t>ORD-02726</t>
  </si>
  <si>
    <t>ORD-02727</t>
  </si>
  <si>
    <t>ORD-02728</t>
  </si>
  <si>
    <t>ORD-02729</t>
  </si>
  <si>
    <t>ORD-02730</t>
  </si>
  <si>
    <t>ORD-02731</t>
  </si>
  <si>
    <t>ORD-02732</t>
  </si>
  <si>
    <t>ORD-02733</t>
  </si>
  <si>
    <t>ORD-02734</t>
  </si>
  <si>
    <t>ORD-02735</t>
  </si>
  <si>
    <t>ORD-02736</t>
  </si>
  <si>
    <t>ORD-02737</t>
  </si>
  <si>
    <t>ORD-02738</t>
  </si>
  <si>
    <t>ORD-02739</t>
  </si>
  <si>
    <t>ORD-02740</t>
  </si>
  <si>
    <t>ORD-02741</t>
  </si>
  <si>
    <t>ORD-02742</t>
  </si>
  <si>
    <t>ORD-02743</t>
  </si>
  <si>
    <t>ORD-02744</t>
  </si>
  <si>
    <t>ORD-02745</t>
  </si>
  <si>
    <t>ORD-02746</t>
  </si>
  <si>
    <t>ORD-02747</t>
  </si>
  <si>
    <t>ORD-02748</t>
  </si>
  <si>
    <t>ORD-02749</t>
  </si>
  <si>
    <t>ORD-02750</t>
  </si>
  <si>
    <t>ORD-02751</t>
  </si>
  <si>
    <t>ORD-02752</t>
  </si>
  <si>
    <t>ORD-02753</t>
  </si>
  <si>
    <t>ORD-02754</t>
  </si>
  <si>
    <t>ORD-02755</t>
  </si>
  <si>
    <t>ORD-02756</t>
  </si>
  <si>
    <t>ORD-02757</t>
  </si>
  <si>
    <t>ORD-02758</t>
  </si>
  <si>
    <t>ORD-02759</t>
  </si>
  <si>
    <t>ORD-02760</t>
  </si>
  <si>
    <t>ORD-02761</t>
  </si>
  <si>
    <t>ORD-02762</t>
  </si>
  <si>
    <t>ORD-02763</t>
  </si>
  <si>
    <t>ORD-02764</t>
  </si>
  <si>
    <t>ORD-02765</t>
  </si>
  <si>
    <t>ORD-02766</t>
  </si>
  <si>
    <t>ORD-02767</t>
  </si>
  <si>
    <t>ORD-02768</t>
  </si>
  <si>
    <t>ORD-02769</t>
  </si>
  <si>
    <t>ORD-02770</t>
  </si>
  <si>
    <t>ORD-02771</t>
  </si>
  <si>
    <t>ORD-02772</t>
  </si>
  <si>
    <t>ORD-02773</t>
  </si>
  <si>
    <t>ORD-02774</t>
  </si>
  <si>
    <t>ORD-02775</t>
  </si>
  <si>
    <t>ORD-02776</t>
  </si>
  <si>
    <t>ORD-02777</t>
  </si>
  <si>
    <t>ORD-02778</t>
  </si>
  <si>
    <t>ORD-02779</t>
  </si>
  <si>
    <t>ORD-02780</t>
  </si>
  <si>
    <t>ORD-02781</t>
  </si>
  <si>
    <t>ORD-02782</t>
  </si>
  <si>
    <t>ORD-02783</t>
  </si>
  <si>
    <t>ORD-02784</t>
  </si>
  <si>
    <t>ORD-02785</t>
  </si>
  <si>
    <t>ORD-02786</t>
  </si>
  <si>
    <t>ORD-02787</t>
  </si>
  <si>
    <t>ORD-02788</t>
  </si>
  <si>
    <t>ORD-02789</t>
  </si>
  <si>
    <t>ORD-02790</t>
  </si>
  <si>
    <t>ORD-02791</t>
  </si>
  <si>
    <t>ORD-02792</t>
  </si>
  <si>
    <t>ORD-02793</t>
  </si>
  <si>
    <t>ORD-02794</t>
  </si>
  <si>
    <t>ORD-02795</t>
  </si>
  <si>
    <t>ORD-02796</t>
  </si>
  <si>
    <t>ORD-02797</t>
  </si>
  <si>
    <t>ORD-02798</t>
  </si>
  <si>
    <t>ORD-02799</t>
  </si>
  <si>
    <t>ORD-02800</t>
  </si>
  <si>
    <t>ORD-02801</t>
  </si>
  <si>
    <t>ORD-02802</t>
  </si>
  <si>
    <t>ORD-02803</t>
  </si>
  <si>
    <t>ORD-02804</t>
  </si>
  <si>
    <t>ORD-02805</t>
  </si>
  <si>
    <t>ORD-02806</t>
  </si>
  <si>
    <t>ORD-02807</t>
  </si>
  <si>
    <t>ORD-02808</t>
  </si>
  <si>
    <t>ORD-02809</t>
  </si>
  <si>
    <t>ORD-02810</t>
  </si>
  <si>
    <t>ORD-02811</t>
  </si>
  <si>
    <t>ORD-02812</t>
  </si>
  <si>
    <t>ORD-02813</t>
  </si>
  <si>
    <t>ORD-02814</t>
  </si>
  <si>
    <t>ORD-02815</t>
  </si>
  <si>
    <t>ORD-02816</t>
  </si>
  <si>
    <t>ORD-02817</t>
  </si>
  <si>
    <t>ORD-02818</t>
  </si>
  <si>
    <t>ORD-02819</t>
  </si>
  <si>
    <t>ORD-02820</t>
  </si>
  <si>
    <t>ORD-02821</t>
  </si>
  <si>
    <t>ORD-02822</t>
  </si>
  <si>
    <t>ORD-02823</t>
  </si>
  <si>
    <t>ORD-02824</t>
  </si>
  <si>
    <t>ORD-02825</t>
  </si>
  <si>
    <t>ORD-02826</t>
  </si>
  <si>
    <t>ORD-02827</t>
  </si>
  <si>
    <t>ORD-02828</t>
  </si>
  <si>
    <t>ORD-02829</t>
  </si>
  <si>
    <t>ORD-02830</t>
  </si>
  <si>
    <t>ORD-02831</t>
  </si>
  <si>
    <t>ORD-02832</t>
  </si>
  <si>
    <t>ORD-02833</t>
  </si>
  <si>
    <t>ORD-02834</t>
  </si>
  <si>
    <t>ORD-02835</t>
  </si>
  <si>
    <t>ORD-02836</t>
  </si>
  <si>
    <t>ORD-02837</t>
  </si>
  <si>
    <t>ORD-02838</t>
  </si>
  <si>
    <t>ORD-02839</t>
  </si>
  <si>
    <t>ORD-02840</t>
  </si>
  <si>
    <t>ORD-02841</t>
  </si>
  <si>
    <t>ORD-02842</t>
  </si>
  <si>
    <t>ORD-02843</t>
  </si>
  <si>
    <t>ORD-02844</t>
  </si>
  <si>
    <t>ORD-02845</t>
  </si>
  <si>
    <t>ORD-02846</t>
  </si>
  <si>
    <t>ORD-02847</t>
  </si>
  <si>
    <t>ORD-02848</t>
  </si>
  <si>
    <t>ORD-02849</t>
  </si>
  <si>
    <t>ORD-02850</t>
  </si>
  <si>
    <t>ORD-02851</t>
  </si>
  <si>
    <t>ORD-02852</t>
  </si>
  <si>
    <t>ORD-02853</t>
  </si>
  <si>
    <t>ORD-02854</t>
  </si>
  <si>
    <t>ORD-02855</t>
  </si>
  <si>
    <t>ORD-02856</t>
  </si>
  <si>
    <t>ORD-02857</t>
  </si>
  <si>
    <t>ORD-02858</t>
  </si>
  <si>
    <t>ORD-02859</t>
  </si>
  <si>
    <t>ORD-02860</t>
  </si>
  <si>
    <t>ORD-02861</t>
  </si>
  <si>
    <t>ORD-02862</t>
  </si>
  <si>
    <t>ORD-02863</t>
  </si>
  <si>
    <t>ORD-02864</t>
  </si>
  <si>
    <t>ORD-02865</t>
  </si>
  <si>
    <t>ORD-02866</t>
  </si>
  <si>
    <t>ORD-02867</t>
  </si>
  <si>
    <t>ORD-02868</t>
  </si>
  <si>
    <t>ORD-02869</t>
  </si>
  <si>
    <t>ORD-02870</t>
  </si>
  <si>
    <t>ORD-02871</t>
  </si>
  <si>
    <t>ORD-02872</t>
  </si>
  <si>
    <t>ORD-02873</t>
  </si>
  <si>
    <t>ORD-02874</t>
  </si>
  <si>
    <t>ORD-02875</t>
  </si>
  <si>
    <t>ORD-02876</t>
  </si>
  <si>
    <t>ORD-02877</t>
  </si>
  <si>
    <t>ORD-02878</t>
  </si>
  <si>
    <t>ORD-02879</t>
  </si>
  <si>
    <t>ORD-02880</t>
  </si>
  <si>
    <t>ORD-02881</t>
  </si>
  <si>
    <t>ORD-02882</t>
  </si>
  <si>
    <t>ORD-02883</t>
  </si>
  <si>
    <t>ORD-02884</t>
  </si>
  <si>
    <t>ORD-02885</t>
  </si>
  <si>
    <t>ORD-02886</t>
  </si>
  <si>
    <t>ORD-02887</t>
  </si>
  <si>
    <t>ORD-02888</t>
  </si>
  <si>
    <t>ORD-02889</t>
  </si>
  <si>
    <t>ORD-02890</t>
  </si>
  <si>
    <t>ORD-02891</t>
  </si>
  <si>
    <t>ORD-02892</t>
  </si>
  <si>
    <t>ORD-02893</t>
  </si>
  <si>
    <t>ORD-02894</t>
  </si>
  <si>
    <t>ORD-02895</t>
  </si>
  <si>
    <t>ORD-02896</t>
  </si>
  <si>
    <t>ORD-02897</t>
  </si>
  <si>
    <t>ORD-02898</t>
  </si>
  <si>
    <t>ORD-02899</t>
  </si>
  <si>
    <t>ORD-02900</t>
  </si>
  <si>
    <t>ORD-02901</t>
  </si>
  <si>
    <t>ORD-02902</t>
  </si>
  <si>
    <t>ORD-02903</t>
  </si>
  <si>
    <t>ORD-02904</t>
  </si>
  <si>
    <t>ORD-02905</t>
  </si>
  <si>
    <t>ORD-02906</t>
  </si>
  <si>
    <t>ORD-02907</t>
  </si>
  <si>
    <t>ORD-02908</t>
  </si>
  <si>
    <t>ORD-02909</t>
  </si>
  <si>
    <t>ORD-02910</t>
  </si>
  <si>
    <t>ORD-02911</t>
  </si>
  <si>
    <t>ORD-02912</t>
  </si>
  <si>
    <t>ORD-02913</t>
  </si>
  <si>
    <t>ORD-02914</t>
  </si>
  <si>
    <t>ORD-02915</t>
  </si>
  <si>
    <t>ORD-02916</t>
  </si>
  <si>
    <t>ORD-02917</t>
  </si>
  <si>
    <t>ORD-02918</t>
  </si>
  <si>
    <t>ORD-02919</t>
  </si>
  <si>
    <t>ORD-02920</t>
  </si>
  <si>
    <t>ORD-02921</t>
  </si>
  <si>
    <t>ORD-02922</t>
  </si>
  <si>
    <t>ORD-02923</t>
  </si>
  <si>
    <t>ORD-02924</t>
  </si>
  <si>
    <t>ORD-02925</t>
  </si>
  <si>
    <t>ORD-02926</t>
  </si>
  <si>
    <t>ORD-02927</t>
  </si>
  <si>
    <t>ORD-02928</t>
  </si>
  <si>
    <t>ORD-02929</t>
  </si>
  <si>
    <t>ORD-02930</t>
  </si>
  <si>
    <t>ORD-02931</t>
  </si>
  <si>
    <t>ORD-02932</t>
  </si>
  <si>
    <t>ORD-02933</t>
  </si>
  <si>
    <t>ORD-02934</t>
  </si>
  <si>
    <t>ORD-02935</t>
  </si>
  <si>
    <t>ORD-02936</t>
  </si>
  <si>
    <t>ORD-02937</t>
  </si>
  <si>
    <t>ORD-02938</t>
  </si>
  <si>
    <t>ORD-02939</t>
  </si>
  <si>
    <t>ORD-02940</t>
  </si>
  <si>
    <t>ORD-02941</t>
  </si>
  <si>
    <t>ORD-02942</t>
  </si>
  <si>
    <t>ORD-02943</t>
  </si>
  <si>
    <t>ORD-02944</t>
  </si>
  <si>
    <t>ORD-02945</t>
  </si>
  <si>
    <t>ORD-02946</t>
  </si>
  <si>
    <t>ORD-02947</t>
  </si>
  <si>
    <t>ORD-02948</t>
  </si>
  <si>
    <t>ORD-02949</t>
  </si>
  <si>
    <t>ORD-02950</t>
  </si>
  <si>
    <t>ORD-02951</t>
  </si>
  <si>
    <t>ORD-02952</t>
  </si>
  <si>
    <t>ORD-02953</t>
  </si>
  <si>
    <t>ORD-02954</t>
  </si>
  <si>
    <t>ORD-02955</t>
  </si>
  <si>
    <t>ORD-02956</t>
  </si>
  <si>
    <t>ORD-02957</t>
  </si>
  <si>
    <t>ORD-02958</t>
  </si>
  <si>
    <t>ORD-02959</t>
  </si>
  <si>
    <t>ORD-02960</t>
  </si>
  <si>
    <t>ORD-02961</t>
  </si>
  <si>
    <t>ORD-02962</t>
  </si>
  <si>
    <t>ORD-02963</t>
  </si>
  <si>
    <t>ORD-02964</t>
  </si>
  <si>
    <t>ORD-02965</t>
  </si>
  <si>
    <t>ORD-02966</t>
  </si>
  <si>
    <t>ORD-02967</t>
  </si>
  <si>
    <t>ORD-02968</t>
  </si>
  <si>
    <t>ORD-02969</t>
  </si>
  <si>
    <t>ORD-02970</t>
  </si>
  <si>
    <t>ORD-02971</t>
  </si>
  <si>
    <t>ORD-02972</t>
  </si>
  <si>
    <t>ORD-02973</t>
  </si>
  <si>
    <t>ORD-02974</t>
  </si>
  <si>
    <t>ORD-02975</t>
  </si>
  <si>
    <t>ORD-02976</t>
  </si>
  <si>
    <t>ORD-02977</t>
  </si>
  <si>
    <t>ORD-02978</t>
  </si>
  <si>
    <t>ORD-02979</t>
  </si>
  <si>
    <t>ORD-02980</t>
  </si>
  <si>
    <t>ORD-02981</t>
  </si>
  <si>
    <t>ORD-02982</t>
  </si>
  <si>
    <t>ORD-02983</t>
  </si>
  <si>
    <t>ORD-02984</t>
  </si>
  <si>
    <t>ORD-02985</t>
  </si>
  <si>
    <t>ORD-02986</t>
  </si>
  <si>
    <t>ORD-02987</t>
  </si>
  <si>
    <t>ORD-02988</t>
  </si>
  <si>
    <t>ORD-02989</t>
  </si>
  <si>
    <t>ORD-02990</t>
  </si>
  <si>
    <t>ORD-02991</t>
  </si>
  <si>
    <t>ORD-02992</t>
  </si>
  <si>
    <t>ORD-02993</t>
  </si>
  <si>
    <t>ORD-02994</t>
  </si>
  <si>
    <t>ORD-02995</t>
  </si>
  <si>
    <t>ORD-02996</t>
  </si>
  <si>
    <t>ORD-02997</t>
  </si>
  <si>
    <t>ORD-02998</t>
  </si>
  <si>
    <t>ORD-02999</t>
  </si>
  <si>
    <t>ORD-03000</t>
  </si>
  <si>
    <t>ORD-03001</t>
  </si>
  <si>
    <t>ORD-03002</t>
  </si>
  <si>
    <t>ORD-03003</t>
  </si>
  <si>
    <t>ORD-03004</t>
  </si>
  <si>
    <t>ORD-03005</t>
  </si>
  <si>
    <t>ORD-03006</t>
  </si>
  <si>
    <t>ORD-03007</t>
  </si>
  <si>
    <t>ORD-03008</t>
  </si>
  <si>
    <t>ORD-03009</t>
  </si>
  <si>
    <t>ORD-03010</t>
  </si>
  <si>
    <t>ORD-03011</t>
  </si>
  <si>
    <t>ORD-03012</t>
  </si>
  <si>
    <t>ORD-03013</t>
  </si>
  <si>
    <t>ORD-03014</t>
  </si>
  <si>
    <t>ORD-03015</t>
  </si>
  <si>
    <t>ORD-03016</t>
  </si>
  <si>
    <t>ORD-03017</t>
  </si>
  <si>
    <t>ORD-03018</t>
  </si>
  <si>
    <t>ORD-03019</t>
  </si>
  <si>
    <t>ORD-03020</t>
  </si>
  <si>
    <t>ORD-03021</t>
  </si>
  <si>
    <t>ORD-03022</t>
  </si>
  <si>
    <t>ORD-03023</t>
  </si>
  <si>
    <t>ORD-03024</t>
  </si>
  <si>
    <t>ORD-03025</t>
  </si>
  <si>
    <t>ORD-03026</t>
  </si>
  <si>
    <t>ORD-03027</t>
  </si>
  <si>
    <t>ORD-03028</t>
  </si>
  <si>
    <t>ORD-03029</t>
  </si>
  <si>
    <t>ORD-03030</t>
  </si>
  <si>
    <t>ORD-03031</t>
  </si>
  <si>
    <t>ORD-03032</t>
  </si>
  <si>
    <t>ORD-03033</t>
  </si>
  <si>
    <t>ORD-03034</t>
  </si>
  <si>
    <t>ORD-03035</t>
  </si>
  <si>
    <t>ORD-03036</t>
  </si>
  <si>
    <t>ORD-03037</t>
  </si>
  <si>
    <t>ORD-03038</t>
  </si>
  <si>
    <t>ORD-03039</t>
  </si>
  <si>
    <t>ORD-03040</t>
  </si>
  <si>
    <t>ORD-03041</t>
  </si>
  <si>
    <t>ORD-03042</t>
  </si>
  <si>
    <t>ORD-03043</t>
  </si>
  <si>
    <t>ORD-03044</t>
  </si>
  <si>
    <t>ORD-03045</t>
  </si>
  <si>
    <t>ORD-03046</t>
  </si>
  <si>
    <t>ORD-03047</t>
  </si>
  <si>
    <t>ORD-03048</t>
  </si>
  <si>
    <t>ORD-03049</t>
  </si>
  <si>
    <t>ORD-03050</t>
  </si>
  <si>
    <t>ORD-03051</t>
  </si>
  <si>
    <t>ORD-03052</t>
  </si>
  <si>
    <t>ORD-03053</t>
  </si>
  <si>
    <t>ORD-03054</t>
  </si>
  <si>
    <t>ORD-03055</t>
  </si>
  <si>
    <t>ORD-03056</t>
  </si>
  <si>
    <t>ORD-03057</t>
  </si>
  <si>
    <t>ORD-03058</t>
  </si>
  <si>
    <t>ORD-03059</t>
  </si>
  <si>
    <t>ORD-03060</t>
  </si>
  <si>
    <t>ORD-03061</t>
  </si>
  <si>
    <t>ORD-03062</t>
  </si>
  <si>
    <t>ORD-03063</t>
  </si>
  <si>
    <t>ORD-03064</t>
  </si>
  <si>
    <t>ORD-03065</t>
  </si>
  <si>
    <t>ORD-03066</t>
  </si>
  <si>
    <t>ORD-03067</t>
  </si>
  <si>
    <t>ORD-03068</t>
  </si>
  <si>
    <t>ORD-03069</t>
  </si>
  <si>
    <t>ORD-03070</t>
  </si>
  <si>
    <t>ORD-03071</t>
  </si>
  <si>
    <t>ORD-03072</t>
  </si>
  <si>
    <t>ORD-03073</t>
  </si>
  <si>
    <t>ORD-03074</t>
  </si>
  <si>
    <t>ORD-03075</t>
  </si>
  <si>
    <t>ORD-03076</t>
  </si>
  <si>
    <t>ORD-03077</t>
  </si>
  <si>
    <t>ORD-03078</t>
  </si>
  <si>
    <t>ORD-03079</t>
  </si>
  <si>
    <t>ORD-03080</t>
  </si>
  <si>
    <t>ORD-03081</t>
  </si>
  <si>
    <t>ORD-03082</t>
  </si>
  <si>
    <t>ORD-03083</t>
  </si>
  <si>
    <t>ORD-03084</t>
  </si>
  <si>
    <t>ORD-03085</t>
  </si>
  <si>
    <t>ORD-03086</t>
  </si>
  <si>
    <t>ORD-03087</t>
  </si>
  <si>
    <t>ORD-03088</t>
  </si>
  <si>
    <t>ORD-03089</t>
  </si>
  <si>
    <t>ORD-03090</t>
  </si>
  <si>
    <t>ORD-03091</t>
  </si>
  <si>
    <t>ORD-03092</t>
  </si>
  <si>
    <t>ORD-03093</t>
  </si>
  <si>
    <t>ORD-03094</t>
  </si>
  <si>
    <t>ORD-03095</t>
  </si>
  <si>
    <t>ORD-03096</t>
  </si>
  <si>
    <t>ORD-03097</t>
  </si>
  <si>
    <t>ORD-03098</t>
  </si>
  <si>
    <t>ORD-03099</t>
  </si>
  <si>
    <t>ORD-03100</t>
  </si>
  <si>
    <t>ORD-03101</t>
  </si>
  <si>
    <t>ORD-03102</t>
  </si>
  <si>
    <t>ORD-03103</t>
  </si>
  <si>
    <t>ORD-03104</t>
  </si>
  <si>
    <t>ORD-03105</t>
  </si>
  <si>
    <t>ORD-03106</t>
  </si>
  <si>
    <t>ORD-03107</t>
  </si>
  <si>
    <t>ORD-03108</t>
  </si>
  <si>
    <t>ORD-03109</t>
  </si>
  <si>
    <t>ORD-03110</t>
  </si>
  <si>
    <t>ORD-03111</t>
  </si>
  <si>
    <t>ORD-03112</t>
  </si>
  <si>
    <t>ORD-03113</t>
  </si>
  <si>
    <t>ORD-03114</t>
  </si>
  <si>
    <t>ORD-03115</t>
  </si>
  <si>
    <t>ORD-03116</t>
  </si>
  <si>
    <t>ORD-03117</t>
  </si>
  <si>
    <t>ORD-03118</t>
  </si>
  <si>
    <t>ORD-03119</t>
  </si>
  <si>
    <t>ORD-03120</t>
  </si>
  <si>
    <t>ORD-03121</t>
  </si>
  <si>
    <t>ORD-03122</t>
  </si>
  <si>
    <t>ORD-03123</t>
  </si>
  <si>
    <t>ORD-03124</t>
  </si>
  <si>
    <t>ORD-03125</t>
  </si>
  <si>
    <t>ORD-03126</t>
  </si>
  <si>
    <t>ORD-03127</t>
  </si>
  <si>
    <t>ORD-03128</t>
  </si>
  <si>
    <t>ORD-03129</t>
  </si>
  <si>
    <t>ORD-03130</t>
  </si>
  <si>
    <t>ORD-03131</t>
  </si>
  <si>
    <t>ORD-03132</t>
  </si>
  <si>
    <t>ORD-03133</t>
  </si>
  <si>
    <t>ORD-03134</t>
  </si>
  <si>
    <t>ORD-03135</t>
  </si>
  <si>
    <t>ORD-03136</t>
  </si>
  <si>
    <t>ORD-03137</t>
  </si>
  <si>
    <t>ORD-03138</t>
  </si>
  <si>
    <t>ORD-03139</t>
  </si>
  <si>
    <t>ORD-03140</t>
  </si>
  <si>
    <t>ORD-03141</t>
  </si>
  <si>
    <t>ORD-03142</t>
  </si>
  <si>
    <t>ORD-03143</t>
  </si>
  <si>
    <t>ORD-03144</t>
  </si>
  <si>
    <t>ORD-03145</t>
  </si>
  <si>
    <t>ORD-03146</t>
  </si>
  <si>
    <t>ORD-03147</t>
  </si>
  <si>
    <t>ORD-03148</t>
  </si>
  <si>
    <t>ORD-03149</t>
  </si>
  <si>
    <t>ORD-03150</t>
  </si>
  <si>
    <t>ORD-03151</t>
  </si>
  <si>
    <t>ORD-03152</t>
  </si>
  <si>
    <t>ORD-03153</t>
  </si>
  <si>
    <t>ORD-03154</t>
  </si>
  <si>
    <t>ORD-03155</t>
  </si>
  <si>
    <t>ORD-03156</t>
  </si>
  <si>
    <t>ORD-03157</t>
  </si>
  <si>
    <t>ORD-03158</t>
  </si>
  <si>
    <t>ORD-03159</t>
  </si>
  <si>
    <t>ORD-03160</t>
  </si>
  <si>
    <t>ORD-03161</t>
  </si>
  <si>
    <t>ORD-03162</t>
  </si>
  <si>
    <t>ORD-03163</t>
  </si>
  <si>
    <t>ORD-03164</t>
  </si>
  <si>
    <t>ORD-03165</t>
  </si>
  <si>
    <t>ORD-03166</t>
  </si>
  <si>
    <t>ORD-03167</t>
  </si>
  <si>
    <t>ORD-03168</t>
  </si>
  <si>
    <t>ORD-03169</t>
  </si>
  <si>
    <t>ORD-03170</t>
  </si>
  <si>
    <t>ORD-03171</t>
  </si>
  <si>
    <t>ORD-03172</t>
  </si>
  <si>
    <t>ORD-03173</t>
  </si>
  <si>
    <t>ORD-03174</t>
  </si>
  <si>
    <t>ORD-03175</t>
  </si>
  <si>
    <t>ORD-03176</t>
  </si>
  <si>
    <t>ORD-03177</t>
  </si>
  <si>
    <t>ORD-03178</t>
  </si>
  <si>
    <t>ORD-03179</t>
  </si>
  <si>
    <t>ORD-03180</t>
  </si>
  <si>
    <t>ORD-03181</t>
  </si>
  <si>
    <t>ORD-03182</t>
  </si>
  <si>
    <t>ORD-03183</t>
  </si>
  <si>
    <t>ORD-03184</t>
  </si>
  <si>
    <t>ORD-03185</t>
  </si>
  <si>
    <t>ORD-03186</t>
  </si>
  <si>
    <t>ORD-03187</t>
  </si>
  <si>
    <t>ORD-03188</t>
  </si>
  <si>
    <t>ORD-03189</t>
  </si>
  <si>
    <t>ORD-03190</t>
  </si>
  <si>
    <t>ORD-03191</t>
  </si>
  <si>
    <t>ORD-03192</t>
  </si>
  <si>
    <t>ORD-03193</t>
  </si>
  <si>
    <t>ORD-03194</t>
  </si>
  <si>
    <t>ORD-03195</t>
  </si>
  <si>
    <t>ORD-03196</t>
  </si>
  <si>
    <t>ORD-03197</t>
  </si>
  <si>
    <t>ORD-03198</t>
  </si>
  <si>
    <t>ORD-03199</t>
  </si>
  <si>
    <t>ORD-03200</t>
  </si>
  <si>
    <t>ORD-03201</t>
  </si>
  <si>
    <t>ORD-03202</t>
  </si>
  <si>
    <t>ORD-03203</t>
  </si>
  <si>
    <t>ORD-03204</t>
  </si>
  <si>
    <t>ORD-03205</t>
  </si>
  <si>
    <t>ORD-03206</t>
  </si>
  <si>
    <t>ORD-03207</t>
  </si>
  <si>
    <t>ORD-03208</t>
  </si>
  <si>
    <t>ORD-03209</t>
  </si>
  <si>
    <t>ORD-03210</t>
  </si>
  <si>
    <t>ORD-03211</t>
  </si>
  <si>
    <t>ORD-03212</t>
  </si>
  <si>
    <t>ORD-03213</t>
  </si>
  <si>
    <t>ORD-03214</t>
  </si>
  <si>
    <t>ORD-03215</t>
  </si>
  <si>
    <t>ORD-03216</t>
  </si>
  <si>
    <t>ORD-03217</t>
  </si>
  <si>
    <t>ORD-03218</t>
  </si>
  <si>
    <t>ORD-03219</t>
  </si>
  <si>
    <t>ORD-03220</t>
  </si>
  <si>
    <t>ORD-03221</t>
  </si>
  <si>
    <t>ORD-03222</t>
  </si>
  <si>
    <t>ORD-03223</t>
  </si>
  <si>
    <t>ORD-03224</t>
  </si>
  <si>
    <t>ORD-03225</t>
  </si>
  <si>
    <t>ORD-03226</t>
  </si>
  <si>
    <t>ORD-03227</t>
  </si>
  <si>
    <t>ORD-03228</t>
  </si>
  <si>
    <t>ORD-03229</t>
  </si>
  <si>
    <t>ORD-03230</t>
  </si>
  <si>
    <t>ORD-03231</t>
  </si>
  <si>
    <t>ORD-03232</t>
  </si>
  <si>
    <t>ORD-03233</t>
  </si>
  <si>
    <t>ORD-03234</t>
  </si>
  <si>
    <t>ORD-03235</t>
  </si>
  <si>
    <t>ORD-03236</t>
  </si>
  <si>
    <t>ORD-03237</t>
  </si>
  <si>
    <t>ORD-03238</t>
  </si>
  <si>
    <t>ORD-03239</t>
  </si>
  <si>
    <t>ORD-03240</t>
  </si>
  <si>
    <t>ORD-03241</t>
  </si>
  <si>
    <t>ORD-03242</t>
  </si>
  <si>
    <t>ORD-03243</t>
  </si>
  <si>
    <t>ORD-03244</t>
  </si>
  <si>
    <t>ORD-03245</t>
  </si>
  <si>
    <t>ORD-03246</t>
  </si>
  <si>
    <t>ORD-03247</t>
  </si>
  <si>
    <t>ORD-03248</t>
  </si>
  <si>
    <t>ORD-03249</t>
  </si>
  <si>
    <t>ORD-03250</t>
  </si>
  <si>
    <t>ORD-03251</t>
  </si>
  <si>
    <t>ORD-03252</t>
  </si>
  <si>
    <t>ORD-03253</t>
  </si>
  <si>
    <t>ORD-03254</t>
  </si>
  <si>
    <t>ORD-03255</t>
  </si>
  <si>
    <t>ORD-03256</t>
  </si>
  <si>
    <t>ORD-03257</t>
  </si>
  <si>
    <t>ORD-03258</t>
  </si>
  <si>
    <t>ORD-03259</t>
  </si>
  <si>
    <t>ORD-03260</t>
  </si>
  <si>
    <t>ORD-03261</t>
  </si>
  <si>
    <t>ORD-03262</t>
  </si>
  <si>
    <t>ORD-03263</t>
  </si>
  <si>
    <t>ORD-03264</t>
  </si>
  <si>
    <t>ORD-03265</t>
  </si>
  <si>
    <t>ORD-03266</t>
  </si>
  <si>
    <t>ORD-03267</t>
  </si>
  <si>
    <t>ORD-03268</t>
  </si>
  <si>
    <t>ORD-03269</t>
  </si>
  <si>
    <t>ORD-03270</t>
  </si>
  <si>
    <t>ORD-03271</t>
  </si>
  <si>
    <t>ORD-03272</t>
  </si>
  <si>
    <t>ORD-03273</t>
  </si>
  <si>
    <t>ORD-03274</t>
  </si>
  <si>
    <t>ORD-03275</t>
  </si>
  <si>
    <t>ORD-03276</t>
  </si>
  <si>
    <t>ORD-03277</t>
  </si>
  <si>
    <t>ORD-03278</t>
  </si>
  <si>
    <t>ORD-03279</t>
  </si>
  <si>
    <t>ORD-03280</t>
  </si>
  <si>
    <t>ORD-03281</t>
  </si>
  <si>
    <t>ORD-03282</t>
  </si>
  <si>
    <t>ORD-03283</t>
  </si>
  <si>
    <t>ORD-03284</t>
  </si>
  <si>
    <t>ORD-03285</t>
  </si>
  <si>
    <t>ORD-03286</t>
  </si>
  <si>
    <t>ORD-03287</t>
  </si>
  <si>
    <t>ORD-03288</t>
  </si>
  <si>
    <t>ORD-03289</t>
  </si>
  <si>
    <t>ORD-03290</t>
  </si>
  <si>
    <t>ORD-03291</t>
  </si>
  <si>
    <t>ORD-03292</t>
  </si>
  <si>
    <t>ORD-03293</t>
  </si>
  <si>
    <t>ORD-03294</t>
  </si>
  <si>
    <t>ORD-03295</t>
  </si>
  <si>
    <t>ORD-03296</t>
  </si>
  <si>
    <t>ORD-03297</t>
  </si>
  <si>
    <t>ORD-03298</t>
  </si>
  <si>
    <t>ORD-03299</t>
  </si>
  <si>
    <t>ORD-03300</t>
  </si>
  <si>
    <t>ORD-03301</t>
  </si>
  <si>
    <t>ORD-03302</t>
  </si>
  <si>
    <t>ORD-03303</t>
  </si>
  <si>
    <t>ORD-03304</t>
  </si>
  <si>
    <t>ORD-03305</t>
  </si>
  <si>
    <t>ORD-03306</t>
  </si>
  <si>
    <t>ORD-03307</t>
  </si>
  <si>
    <t>ORD-03308</t>
  </si>
  <si>
    <t>ORD-03309</t>
  </si>
  <si>
    <t>ORD-03310</t>
  </si>
  <si>
    <t>ORD-03311</t>
  </si>
  <si>
    <t>ORD-03312</t>
  </si>
  <si>
    <t>ORD-03313</t>
  </si>
  <si>
    <t>ORD-03314</t>
  </si>
  <si>
    <t>ORD-03315</t>
  </si>
  <si>
    <t>ORD-03316</t>
  </si>
  <si>
    <t>ORD-03317</t>
  </si>
  <si>
    <t>ORD-03318</t>
  </si>
  <si>
    <t>ORD-03319</t>
  </si>
  <si>
    <t>ORD-03320</t>
  </si>
  <si>
    <t>ORD-03321</t>
  </si>
  <si>
    <t>ORD-03322</t>
  </si>
  <si>
    <t>ORD-03323</t>
  </si>
  <si>
    <t>ORD-03324</t>
  </si>
  <si>
    <t>ORD-03325</t>
  </si>
  <si>
    <t>ORD-03326</t>
  </si>
  <si>
    <t>ORD-03327</t>
  </si>
  <si>
    <t>ORD-03328</t>
  </si>
  <si>
    <t>ORD-03329</t>
  </si>
  <si>
    <t>ORD-03330</t>
  </si>
  <si>
    <t>ORD-03331</t>
  </si>
  <si>
    <t>ORD-03332</t>
  </si>
  <si>
    <t>ORD-03333</t>
  </si>
  <si>
    <t>ORD-03334</t>
  </si>
  <si>
    <t>ORD-03335</t>
  </si>
  <si>
    <t>ORD-03336</t>
  </si>
  <si>
    <t>ORD-03337</t>
  </si>
  <si>
    <t>ORD-03338</t>
  </si>
  <si>
    <t>ORD-03339</t>
  </si>
  <si>
    <t>ORD-03340</t>
  </si>
  <si>
    <t>ORD-03341</t>
  </si>
  <si>
    <t>ORD-03342</t>
  </si>
  <si>
    <t>ORD-03343</t>
  </si>
  <si>
    <t>ORD-03344</t>
  </si>
  <si>
    <t>ORD-03345</t>
  </si>
  <si>
    <t>ORD-03346</t>
  </si>
  <si>
    <t>ORD-03347</t>
  </si>
  <si>
    <t>ORD-03348</t>
  </si>
  <si>
    <t>ORD-03349</t>
  </si>
  <si>
    <t>ORD-03350</t>
  </si>
  <si>
    <t>ORD-03351</t>
  </si>
  <si>
    <t>ORD-03352</t>
  </si>
  <si>
    <t>ORD-03353</t>
  </si>
  <si>
    <t>ORD-03354</t>
  </si>
  <si>
    <t>ORD-03355</t>
  </si>
  <si>
    <t>ORD-03356</t>
  </si>
  <si>
    <t>ORD-03357</t>
  </si>
  <si>
    <t>ORD-03358</t>
  </si>
  <si>
    <t>ORD-03359</t>
  </si>
  <si>
    <t>ORD-03360</t>
  </si>
  <si>
    <t>ORD-03361</t>
  </si>
  <si>
    <t>ORD-03362</t>
  </si>
  <si>
    <t>ORD-03363</t>
  </si>
  <si>
    <t>ORD-03364</t>
  </si>
  <si>
    <t>ORD-03365</t>
  </si>
  <si>
    <t>ORD-03366</t>
  </si>
  <si>
    <t>ORD-03367</t>
  </si>
  <si>
    <t>ORD-03368</t>
  </si>
  <si>
    <t>ORD-03369</t>
  </si>
  <si>
    <t>ORD-03370</t>
  </si>
  <si>
    <t>ORD-03371</t>
  </si>
  <si>
    <t>ORD-03372</t>
  </si>
  <si>
    <t>ORD-03373</t>
  </si>
  <si>
    <t>ORD-03374</t>
  </si>
  <si>
    <t>ORD-03375</t>
  </si>
  <si>
    <t>ORD-03376</t>
  </si>
  <si>
    <t>ORD-03377</t>
  </si>
  <si>
    <t>ORD-03378</t>
  </si>
  <si>
    <t>ORD-03379</t>
  </si>
  <si>
    <t>ORD-03380</t>
  </si>
  <si>
    <t>ORD-03381</t>
  </si>
  <si>
    <t>ORD-03382</t>
  </si>
  <si>
    <t>ORD-03383</t>
  </si>
  <si>
    <t>ORD-03384</t>
  </si>
  <si>
    <t>ORD-03385</t>
  </si>
  <si>
    <t>ORD-03386</t>
  </si>
  <si>
    <t>ORD-03387</t>
  </si>
  <si>
    <t>ORD-03388</t>
  </si>
  <si>
    <t>ORD-03389</t>
  </si>
  <si>
    <t>ORD-03390</t>
  </si>
  <si>
    <t>ORD-03391</t>
  </si>
  <si>
    <t>ORD-03392</t>
  </si>
  <si>
    <t>ORD-03393</t>
  </si>
  <si>
    <t>ORD-03394</t>
  </si>
  <si>
    <t>ORD-03395</t>
  </si>
  <si>
    <t>ORD-03396</t>
  </si>
  <si>
    <t>ORD-03397</t>
  </si>
  <si>
    <t>ORD-03398</t>
  </si>
  <si>
    <t>ORD-03399</t>
  </si>
  <si>
    <t>ORD-03400</t>
  </si>
  <si>
    <t>ORD-03401</t>
  </si>
  <si>
    <t>ORD-03402</t>
  </si>
  <si>
    <t>ORD-03403</t>
  </si>
  <si>
    <t>ORD-03404</t>
  </si>
  <si>
    <t>ORD-03405</t>
  </si>
  <si>
    <t>ORD-03406</t>
  </si>
  <si>
    <t>ORD-03407</t>
  </si>
  <si>
    <t>ORD-03408</t>
  </si>
  <si>
    <t>ORD-03409</t>
  </si>
  <si>
    <t>ORD-03410</t>
  </si>
  <si>
    <t>ORD-03411</t>
  </si>
  <si>
    <t>ORD-03412</t>
  </si>
  <si>
    <t>ORD-03413</t>
  </si>
  <si>
    <t>ORD-03414</t>
  </si>
  <si>
    <t>ORD-03415</t>
  </si>
  <si>
    <t>ORD-03416</t>
  </si>
  <si>
    <t>ORD-03417</t>
  </si>
  <si>
    <t>ORD-03418</t>
  </si>
  <si>
    <t>ORD-03419</t>
  </si>
  <si>
    <t>ORD-03420</t>
  </si>
  <si>
    <t>ORD-03421</t>
  </si>
  <si>
    <t>ORD-03422</t>
  </si>
  <si>
    <t>ORD-03423</t>
  </si>
  <si>
    <t>ORD-03424</t>
  </si>
  <si>
    <t>ORD-03425</t>
  </si>
  <si>
    <t>ORD-03426</t>
  </si>
  <si>
    <t>ORD-03427</t>
  </si>
  <si>
    <t>ORD-03428</t>
  </si>
  <si>
    <t>ORD-03429</t>
  </si>
  <si>
    <t>ORD-03430</t>
  </si>
  <si>
    <t>ORD-03431</t>
  </si>
  <si>
    <t>ORD-03432</t>
  </si>
  <si>
    <t>ORD-03433</t>
  </si>
  <si>
    <t>ORD-03434</t>
  </si>
  <si>
    <t>ORD-03435</t>
  </si>
  <si>
    <t>ORD-03436</t>
  </si>
  <si>
    <t>ORD-03437</t>
  </si>
  <si>
    <t>ORD-03438</t>
  </si>
  <si>
    <t>ORD-03439</t>
  </si>
  <si>
    <t>ORD-03440</t>
  </si>
  <si>
    <t>ORD-03441</t>
  </si>
  <si>
    <t>ORD-03442</t>
  </si>
  <si>
    <t>ORD-03443</t>
  </si>
  <si>
    <t>ORD-03444</t>
  </si>
  <si>
    <t>ORD-03445</t>
  </si>
  <si>
    <t>ORD-03446</t>
  </si>
  <si>
    <t>ORD-03447</t>
  </si>
  <si>
    <t>ORD-03448</t>
  </si>
  <si>
    <t>ORD-03449</t>
  </si>
  <si>
    <t>ORD-03450</t>
  </si>
  <si>
    <t>ORD-03451</t>
  </si>
  <si>
    <t>ORD-03452</t>
  </si>
  <si>
    <t>ORD-03453</t>
  </si>
  <si>
    <t>ORD-03454</t>
  </si>
  <si>
    <t>ORD-03455</t>
  </si>
  <si>
    <t>ORD-03456</t>
  </si>
  <si>
    <t>ORD-03457</t>
  </si>
  <si>
    <t>ORD-03458</t>
  </si>
  <si>
    <t>ORD-03459</t>
  </si>
  <si>
    <t>ORD-03460</t>
  </si>
  <si>
    <t>ORD-03461</t>
  </si>
  <si>
    <t>ORD-03462</t>
  </si>
  <si>
    <t>ORD-03463</t>
  </si>
  <si>
    <t>ORD-03464</t>
  </si>
  <si>
    <t>ORD-03465</t>
  </si>
  <si>
    <t>ORD-03466</t>
  </si>
  <si>
    <t>ORD-03467</t>
  </si>
  <si>
    <t>ORD-03468</t>
  </si>
  <si>
    <t>ORD-03469</t>
  </si>
  <si>
    <t>ORD-03470</t>
  </si>
  <si>
    <t>ORD-03471</t>
  </si>
  <si>
    <t>ORD-03472</t>
  </si>
  <si>
    <t>ORD-03473</t>
  </si>
  <si>
    <t>ORD-03474</t>
  </si>
  <si>
    <t>ORD-03475</t>
  </si>
  <si>
    <t>ORD-03476</t>
  </si>
  <si>
    <t>ORD-03477</t>
  </si>
  <si>
    <t>ORD-03478</t>
  </si>
  <si>
    <t>ORD-03479</t>
  </si>
  <si>
    <t>ORD-03480</t>
  </si>
  <si>
    <t>ORD-03481</t>
  </si>
  <si>
    <t>ORD-03482</t>
  </si>
  <si>
    <t>ORD-03483</t>
  </si>
  <si>
    <t>ORD-03484</t>
  </si>
  <si>
    <t>ORD-03485</t>
  </si>
  <si>
    <t>ORD-03486</t>
  </si>
  <si>
    <t>ORD-03487</t>
  </si>
  <si>
    <t>ORD-03488</t>
  </si>
  <si>
    <t>ORD-03489</t>
  </si>
  <si>
    <t>ORD-03490</t>
  </si>
  <si>
    <t>ORD-03491</t>
  </si>
  <si>
    <t>ORD-03492</t>
  </si>
  <si>
    <t>ORD-03493</t>
  </si>
  <si>
    <t>ORD-03494</t>
  </si>
  <si>
    <t>ORD-03495</t>
  </si>
  <si>
    <t>ORD-03496</t>
  </si>
  <si>
    <t>ORD-03497</t>
  </si>
  <si>
    <t>ORD-03498</t>
  </si>
  <si>
    <t>ORD-03499</t>
  </si>
  <si>
    <t>ORD-03500</t>
  </si>
  <si>
    <t>ORD-03501</t>
  </si>
  <si>
    <t>ORD-03502</t>
  </si>
  <si>
    <t>ORD-03503</t>
  </si>
  <si>
    <t>ORD-03504</t>
  </si>
  <si>
    <t>ORD-03505</t>
  </si>
  <si>
    <t>ORD-03506</t>
  </si>
  <si>
    <t>ORD-03507</t>
  </si>
  <si>
    <t>ORD-03508</t>
  </si>
  <si>
    <t>ORD-03509</t>
  </si>
  <si>
    <t>ORD-03510</t>
  </si>
  <si>
    <t>ORD-03511</t>
  </si>
  <si>
    <t>ORD-03512</t>
  </si>
  <si>
    <t>ORD-03513</t>
  </si>
  <si>
    <t>ORD-03514</t>
  </si>
  <si>
    <t>ORD-03515</t>
  </si>
  <si>
    <t>ORD-03516</t>
  </si>
  <si>
    <t>ORD-03517</t>
  </si>
  <si>
    <t>ORD-03518</t>
  </si>
  <si>
    <t>ORD-03519</t>
  </si>
  <si>
    <t>ORD-03520</t>
  </si>
  <si>
    <t>ORD-03521</t>
  </si>
  <si>
    <t>ORD-03522</t>
  </si>
  <si>
    <t>ORD-03523</t>
  </si>
  <si>
    <t>ORD-03524</t>
  </si>
  <si>
    <t>ORD-03525</t>
  </si>
  <si>
    <t>ORD-03526</t>
  </si>
  <si>
    <t>ORD-03527</t>
  </si>
  <si>
    <t>ORD-03528</t>
  </si>
  <si>
    <t>ORD-03529</t>
  </si>
  <si>
    <t>ORD-03530</t>
  </si>
  <si>
    <t>ORD-03531</t>
  </si>
  <si>
    <t>ORD-03532</t>
  </si>
  <si>
    <t>ORD-03533</t>
  </si>
  <si>
    <t>ORD-03534</t>
  </si>
  <si>
    <t>ORD-03535</t>
  </si>
  <si>
    <t>ORD-03536</t>
  </si>
  <si>
    <t>ORD-03537</t>
  </si>
  <si>
    <t>ORD-03538</t>
  </si>
  <si>
    <t>ORD-03539</t>
  </si>
  <si>
    <t>ORD-03540</t>
  </si>
  <si>
    <t>ORD-03541</t>
  </si>
  <si>
    <t>ORD-03542</t>
  </si>
  <si>
    <t>ORD-03543</t>
  </si>
  <si>
    <t>ORD-03544</t>
  </si>
  <si>
    <t>ORD-03545</t>
  </si>
  <si>
    <t>ORD-03546</t>
  </si>
  <si>
    <t>ORD-03547</t>
  </si>
  <si>
    <t>ORD-03548</t>
  </si>
  <si>
    <t>ORD-03549</t>
  </si>
  <si>
    <t>ORD-03550</t>
  </si>
  <si>
    <t>ORD-03551</t>
  </si>
  <si>
    <t>ORD-03552</t>
  </si>
  <si>
    <t>ORD-03553</t>
  </si>
  <si>
    <t>ORD-03554</t>
  </si>
  <si>
    <t>ORD-03555</t>
  </si>
  <si>
    <t>ORD-03556</t>
  </si>
  <si>
    <t>ORD-03557</t>
  </si>
  <si>
    <t>ORD-03558</t>
  </si>
  <si>
    <t>ORD-03559</t>
  </si>
  <si>
    <t>ORD-03560</t>
  </si>
  <si>
    <t>ORD-03561</t>
  </si>
  <si>
    <t>ORD-03562</t>
  </si>
  <si>
    <t>ORD-03563</t>
  </si>
  <si>
    <t>ORD-03564</t>
  </si>
  <si>
    <t>ORD-03565</t>
  </si>
  <si>
    <t>ORD-03566</t>
  </si>
  <si>
    <t>ORD-03567</t>
  </si>
  <si>
    <t>ORD-03568</t>
  </si>
  <si>
    <t>ORD-03569</t>
  </si>
  <si>
    <t>ORD-03570</t>
  </si>
  <si>
    <t>ORD-03571</t>
  </si>
  <si>
    <t>ORD-03572</t>
  </si>
  <si>
    <t>ORD-03573</t>
  </si>
  <si>
    <t>ORD-03574</t>
  </si>
  <si>
    <t>ORD-03575</t>
  </si>
  <si>
    <t>ORD-03576</t>
  </si>
  <si>
    <t>ORD-03577</t>
  </si>
  <si>
    <t>ORD-03578</t>
  </si>
  <si>
    <t>ORD-03579</t>
  </si>
  <si>
    <t>ORD-03580</t>
  </si>
  <si>
    <t>ORD-03581</t>
  </si>
  <si>
    <t>ORD-03582</t>
  </si>
  <si>
    <t>ORD-03583</t>
  </si>
  <si>
    <t>ORD-03584</t>
  </si>
  <si>
    <t>ORD-03585</t>
  </si>
  <si>
    <t>ORD-03586</t>
  </si>
  <si>
    <t>ORD-03587</t>
  </si>
  <si>
    <t>ORD-03588</t>
  </si>
  <si>
    <t>ORD-03589</t>
  </si>
  <si>
    <t>ORD-03590</t>
  </si>
  <si>
    <t>ORD-03591</t>
  </si>
  <si>
    <t>ORD-03592</t>
  </si>
  <si>
    <t>ORD-03593</t>
  </si>
  <si>
    <t>ORD-03594</t>
  </si>
  <si>
    <t>ORD-03595</t>
  </si>
  <si>
    <t>ORD-03596</t>
  </si>
  <si>
    <t>ORD-03597</t>
  </si>
  <si>
    <t>ORD-03598</t>
  </si>
  <si>
    <t>ORD-03599</t>
  </si>
  <si>
    <t>ORD-03600</t>
  </si>
  <si>
    <t>ORD-03601</t>
  </si>
  <si>
    <t>ORD-03602</t>
  </si>
  <si>
    <t>ORD-03603</t>
  </si>
  <si>
    <t>ORD-03604</t>
  </si>
  <si>
    <t>ORD-03605</t>
  </si>
  <si>
    <t>ORD-03606</t>
  </si>
  <si>
    <t>ORD-03607</t>
  </si>
  <si>
    <t>ORD-03608</t>
  </si>
  <si>
    <t>ORD-03609</t>
  </si>
  <si>
    <t>ORD-03610</t>
  </si>
  <si>
    <t>ORD-03611</t>
  </si>
  <si>
    <t>ORD-03612</t>
  </si>
  <si>
    <t>ORD-03613</t>
  </si>
  <si>
    <t>ORD-03614</t>
  </si>
  <si>
    <t>ORD-03615</t>
  </si>
  <si>
    <t>ORD-03616</t>
  </si>
  <si>
    <t>ORD-03617</t>
  </si>
  <si>
    <t>ORD-03618</t>
  </si>
  <si>
    <t>ORD-03619</t>
  </si>
  <si>
    <t>ORD-03620</t>
  </si>
  <si>
    <t>ORD-03621</t>
  </si>
  <si>
    <t>ORD-03622</t>
  </si>
  <si>
    <t>ORD-03623</t>
  </si>
  <si>
    <t>ORD-03624</t>
  </si>
  <si>
    <t>ORD-03625</t>
  </si>
  <si>
    <t>ORD-03626</t>
  </si>
  <si>
    <t>ORD-03627</t>
  </si>
  <si>
    <t>ORD-03628</t>
  </si>
  <si>
    <t>ORD-03629</t>
  </si>
  <si>
    <t>ORD-03630</t>
  </si>
  <si>
    <t>ORD-03631</t>
  </si>
  <si>
    <t>ORD-03632</t>
  </si>
  <si>
    <t>ORD-03633</t>
  </si>
  <si>
    <t>ORD-03634</t>
  </si>
  <si>
    <t>ORD-03635</t>
  </si>
  <si>
    <t>ORD-03636</t>
  </si>
  <si>
    <t>ORD-03637</t>
  </si>
  <si>
    <t>ORD-03638</t>
  </si>
  <si>
    <t>ORD-03639</t>
  </si>
  <si>
    <t>ORD-03640</t>
  </si>
  <si>
    <t>ORD-03641</t>
  </si>
  <si>
    <t>ORD-03642</t>
  </si>
  <si>
    <t>ORD-03643</t>
  </si>
  <si>
    <t>ORD-03644</t>
  </si>
  <si>
    <t>ORD-03645</t>
  </si>
  <si>
    <t>ORD-03646</t>
  </si>
  <si>
    <t>ORD-03647</t>
  </si>
  <si>
    <t>ORD-03648</t>
  </si>
  <si>
    <t>ORD-03649</t>
  </si>
  <si>
    <t>ORD-03650</t>
  </si>
  <si>
    <t>ORD-03651</t>
  </si>
  <si>
    <t>ORD-03652</t>
  </si>
  <si>
    <t>ORD-03653</t>
  </si>
  <si>
    <t>ORD-03654</t>
  </si>
  <si>
    <t>ORD-03655</t>
  </si>
  <si>
    <t>ORD-03656</t>
  </si>
  <si>
    <t>ORD-03657</t>
  </si>
  <si>
    <t>ORD-03658</t>
  </si>
  <si>
    <t>ORD-03659</t>
  </si>
  <si>
    <t>ORD-03660</t>
  </si>
  <si>
    <t>ORD-03661</t>
  </si>
  <si>
    <t>ORD-03662</t>
  </si>
  <si>
    <t>ORD-03663</t>
  </si>
  <si>
    <t>ORD-03664</t>
  </si>
  <si>
    <t>ORD-03665</t>
  </si>
  <si>
    <t>ORD-03666</t>
  </si>
  <si>
    <t>ORD-03667</t>
  </si>
  <si>
    <t>ORD-03668</t>
  </si>
  <si>
    <t>ORD-03669</t>
  </si>
  <si>
    <t>ORD-03670</t>
  </si>
  <si>
    <t>ORD-03671</t>
  </si>
  <si>
    <t>ORD-03672</t>
  </si>
  <si>
    <t>ORD-03673</t>
  </si>
  <si>
    <t>ORD-03674</t>
  </si>
  <si>
    <t>ORD-03675</t>
  </si>
  <si>
    <t>ORD-03676</t>
  </si>
  <si>
    <t>ORD-03677</t>
  </si>
  <si>
    <t>ORD-03678</t>
  </si>
  <si>
    <t>ORD-03679</t>
  </si>
  <si>
    <t>ORD-03680</t>
  </si>
  <si>
    <t>ORD-03681</t>
  </si>
  <si>
    <t>ORD-03682</t>
  </si>
  <si>
    <t>ORD-03683</t>
  </si>
  <si>
    <t>ORD-03684</t>
  </si>
  <si>
    <t>ORD-03685</t>
  </si>
  <si>
    <t>ORD-03686</t>
  </si>
  <si>
    <t>ORD-03687</t>
  </si>
  <si>
    <t>ORD-03688</t>
  </si>
  <si>
    <t>ORD-03689</t>
  </si>
  <si>
    <t>ORD-03690</t>
  </si>
  <si>
    <t>ORD-03691</t>
  </si>
  <si>
    <t>ORD-03692</t>
  </si>
  <si>
    <t>ORD-03693</t>
  </si>
  <si>
    <t>ORD-03694</t>
  </si>
  <si>
    <t>ORD-03695</t>
  </si>
  <si>
    <t>ORD-03696</t>
  </si>
  <si>
    <t>ORD-03697</t>
  </si>
  <si>
    <t>ORD-03698</t>
  </si>
  <si>
    <t>ORD-03699</t>
  </si>
  <si>
    <t>ORD-03700</t>
  </si>
  <si>
    <t>ORD-03701</t>
  </si>
  <si>
    <t>ORD-03702</t>
  </si>
  <si>
    <t>ORD-03703</t>
  </si>
  <si>
    <t>ORD-03704</t>
  </si>
  <si>
    <t>ORD-03705</t>
  </si>
  <si>
    <t>ORD-03706</t>
  </si>
  <si>
    <t>ORD-03707</t>
  </si>
  <si>
    <t>ORD-03708</t>
  </si>
  <si>
    <t>ORD-03709</t>
  </si>
  <si>
    <t>ORD-03710</t>
  </si>
  <si>
    <t>ORD-03711</t>
  </si>
  <si>
    <t>ORD-03712</t>
  </si>
  <si>
    <t>ORD-03713</t>
  </si>
  <si>
    <t>ORD-03714</t>
  </si>
  <si>
    <t>ORD-03715</t>
  </si>
  <si>
    <t>ORD-03716</t>
  </si>
  <si>
    <t>ORD-03717</t>
  </si>
  <si>
    <t>ORD-03718</t>
  </si>
  <si>
    <t>ORD-03719</t>
  </si>
  <si>
    <t>ORD-03720</t>
  </si>
  <si>
    <t>ORD-03721</t>
  </si>
  <si>
    <t>ORD-03722</t>
  </si>
  <si>
    <t>ORD-03723</t>
  </si>
  <si>
    <t>ORD-03724</t>
  </si>
  <si>
    <t>ORD-03725</t>
  </si>
  <si>
    <t>ORD-03726</t>
  </si>
  <si>
    <t>ORD-03727</t>
  </si>
  <si>
    <t>ORD-03728</t>
  </si>
  <si>
    <t>ORD-03729</t>
  </si>
  <si>
    <t>ORD-03730</t>
  </si>
  <si>
    <t>ORD-03731</t>
  </si>
  <si>
    <t>ORD-03732</t>
  </si>
  <si>
    <t>ORD-03733</t>
  </si>
  <si>
    <t>ORD-03734</t>
  </si>
  <si>
    <t>ORD-03735</t>
  </si>
  <si>
    <t>ORD-03736</t>
  </si>
  <si>
    <t>ORD-03737</t>
  </si>
  <si>
    <t>ORD-03738</t>
  </si>
  <si>
    <t>ORD-03739</t>
  </si>
  <si>
    <t>ORD-03740</t>
  </si>
  <si>
    <t>ORD-03741</t>
  </si>
  <si>
    <t>ORD-03742</t>
  </si>
  <si>
    <t>ORD-03743</t>
  </si>
  <si>
    <t>ORD-03744</t>
  </si>
  <si>
    <t>ORD-03745</t>
  </si>
  <si>
    <t>ORD-03746</t>
  </si>
  <si>
    <t>ORD-03747</t>
  </si>
  <si>
    <t>ORD-03748</t>
  </si>
  <si>
    <t>ORD-03749</t>
  </si>
  <si>
    <t>ORD-03750</t>
  </si>
  <si>
    <t>ORD-03751</t>
  </si>
  <si>
    <t>ORD-03752</t>
  </si>
  <si>
    <t>ORD-03753</t>
  </si>
  <si>
    <t>ORD-03754</t>
  </si>
  <si>
    <t>ORD-03755</t>
  </si>
  <si>
    <t>ORD-03756</t>
  </si>
  <si>
    <t>ORD-03757</t>
  </si>
  <si>
    <t>ORD-03758</t>
  </si>
  <si>
    <t>ORD-03759</t>
  </si>
  <si>
    <t>ORD-03760</t>
  </si>
  <si>
    <t>ORD-03761</t>
  </si>
  <si>
    <t>ORD-03762</t>
  </si>
  <si>
    <t>ORD-03763</t>
  </si>
  <si>
    <t>ORD-03764</t>
  </si>
  <si>
    <t>ORD-03765</t>
  </si>
  <si>
    <t>ORD-03766</t>
  </si>
  <si>
    <t>ORD-03767</t>
  </si>
  <si>
    <t>ORD-03768</t>
  </si>
  <si>
    <t>ORD-03769</t>
  </si>
  <si>
    <t>ORD-03770</t>
  </si>
  <si>
    <t>ORD-03771</t>
  </si>
  <si>
    <t>ORD-03772</t>
  </si>
  <si>
    <t>ORD-03773</t>
  </si>
  <si>
    <t>ORD-03774</t>
  </si>
  <si>
    <t>ORD-03775</t>
  </si>
  <si>
    <t>ORD-03776</t>
  </si>
  <si>
    <t>ORD-03777</t>
  </si>
  <si>
    <t>ORD-03778</t>
  </si>
  <si>
    <t>ORD-03779</t>
  </si>
  <si>
    <t>ORD-03780</t>
  </si>
  <si>
    <t>ORD-03781</t>
  </si>
  <si>
    <t>ORD-03782</t>
  </si>
  <si>
    <t>ORD-03783</t>
  </si>
  <si>
    <t>ORD-03784</t>
  </si>
  <si>
    <t>ORD-03785</t>
  </si>
  <si>
    <t>ORD-03786</t>
  </si>
  <si>
    <t>ORD-03787</t>
  </si>
  <si>
    <t>ORD-03788</t>
  </si>
  <si>
    <t>ORD-03789</t>
  </si>
  <si>
    <t>ORD-03790</t>
  </si>
  <si>
    <t>ORD-03791</t>
  </si>
  <si>
    <t>ORD-03792</t>
  </si>
  <si>
    <t>ORD-03793</t>
  </si>
  <si>
    <t>ORD-03794</t>
  </si>
  <si>
    <t>ORD-03795</t>
  </si>
  <si>
    <t>ORD-03796</t>
  </si>
  <si>
    <t>ORD-03797</t>
  </si>
  <si>
    <t>ORD-03798</t>
  </si>
  <si>
    <t>ORD-03799</t>
  </si>
  <si>
    <t>ORD-03800</t>
  </si>
  <si>
    <t>ORD-03801</t>
  </si>
  <si>
    <t>ORD-03802</t>
  </si>
  <si>
    <t>ORD-03803</t>
  </si>
  <si>
    <t>ORD-03804</t>
  </si>
  <si>
    <t>ORD-03805</t>
  </si>
  <si>
    <t>ORD-03806</t>
  </si>
  <si>
    <t>ORD-03807</t>
  </si>
  <si>
    <t>ORD-03808</t>
  </si>
  <si>
    <t>ORD-03809</t>
  </si>
  <si>
    <t>ORD-03810</t>
  </si>
  <si>
    <t>ORD-03811</t>
  </si>
  <si>
    <t>ORD-03812</t>
  </si>
  <si>
    <t>ORD-03813</t>
  </si>
  <si>
    <t>ORD-03814</t>
  </si>
  <si>
    <t>ORD-03815</t>
  </si>
  <si>
    <t>ORD-03816</t>
  </si>
  <si>
    <t>ORD-03817</t>
  </si>
  <si>
    <t>ORD-03818</t>
  </si>
  <si>
    <t>ORD-03819</t>
  </si>
  <si>
    <t>ORD-03820</t>
  </si>
  <si>
    <t>ORD-03821</t>
  </si>
  <si>
    <t>ORD-03822</t>
  </si>
  <si>
    <t>ORD-03823</t>
  </si>
  <si>
    <t>ORD-03824</t>
  </si>
  <si>
    <t>ORD-03825</t>
  </si>
  <si>
    <t>ORD-03826</t>
  </si>
  <si>
    <t>ORD-03827</t>
  </si>
  <si>
    <t>ORD-03828</t>
  </si>
  <si>
    <t>ORD-03829</t>
  </si>
  <si>
    <t>ORD-03830</t>
  </si>
  <si>
    <t>ORD-03831</t>
  </si>
  <si>
    <t>ORD-03832</t>
  </si>
  <si>
    <t>ORD-03833</t>
  </si>
  <si>
    <t>ORD-03834</t>
  </si>
  <si>
    <t>ORD-03835</t>
  </si>
  <si>
    <t>ORD-03836</t>
  </si>
  <si>
    <t>ORD-03837</t>
  </si>
  <si>
    <t>ORD-03838</t>
  </si>
  <si>
    <t>ORD-03839</t>
  </si>
  <si>
    <t>ORD-03840</t>
  </si>
  <si>
    <t>ORD-03841</t>
  </si>
  <si>
    <t>ORD-03842</t>
  </si>
  <si>
    <t>ORD-03843</t>
  </si>
  <si>
    <t>ORD-03844</t>
  </si>
  <si>
    <t>ORD-03845</t>
  </si>
  <si>
    <t>ORD-03846</t>
  </si>
  <si>
    <t>ORD-03847</t>
  </si>
  <si>
    <t>ORD-03848</t>
  </si>
  <si>
    <t>ORD-03849</t>
  </si>
  <si>
    <t>ORD-03850</t>
  </si>
  <si>
    <t>ORD-03851</t>
  </si>
  <si>
    <t>ORD-03852</t>
  </si>
  <si>
    <t>ORD-03853</t>
  </si>
  <si>
    <t>ORD-03854</t>
  </si>
  <si>
    <t>ORD-03855</t>
  </si>
  <si>
    <t>ORD-03856</t>
  </si>
  <si>
    <t>ORD-03857</t>
  </si>
  <si>
    <t>ORD-03858</t>
  </si>
  <si>
    <t>ORD-03859</t>
  </si>
  <si>
    <t>ORD-03860</t>
  </si>
  <si>
    <t>ORD-03861</t>
  </si>
  <si>
    <t>ORD-03862</t>
  </si>
  <si>
    <t>ORD-03863</t>
  </si>
  <si>
    <t>ORD-03864</t>
  </si>
  <si>
    <t>ORD-03865</t>
  </si>
  <si>
    <t>ORD-03866</t>
  </si>
  <si>
    <t>ORD-03867</t>
  </si>
  <si>
    <t>ORD-03868</t>
  </si>
  <si>
    <t>ORD-03869</t>
  </si>
  <si>
    <t>ORD-03870</t>
  </si>
  <si>
    <t>ORD-03871</t>
  </si>
  <si>
    <t>ORD-03872</t>
  </si>
  <si>
    <t>ORD-03873</t>
  </si>
  <si>
    <t>ORD-03874</t>
  </si>
  <si>
    <t>ORD-03875</t>
  </si>
  <si>
    <t>ORD-03876</t>
  </si>
  <si>
    <t>ORD-03877</t>
  </si>
  <si>
    <t>ORD-03878</t>
  </si>
  <si>
    <t>ORD-03879</t>
  </si>
  <si>
    <t>ORD-03880</t>
  </si>
  <si>
    <t>ORD-03881</t>
  </si>
  <si>
    <t>ORD-03882</t>
  </si>
  <si>
    <t>ORD-03883</t>
  </si>
  <si>
    <t>ORD-03884</t>
  </si>
  <si>
    <t>ORD-03885</t>
  </si>
  <si>
    <t>ORD-03886</t>
  </si>
  <si>
    <t>ORD-03887</t>
  </si>
  <si>
    <t>ORD-03888</t>
  </si>
  <si>
    <t>ORD-03889</t>
  </si>
  <si>
    <t>ORD-03890</t>
  </si>
  <si>
    <t>ORD-03891</t>
  </si>
  <si>
    <t>ORD-03892</t>
  </si>
  <si>
    <t>ORD-03893</t>
  </si>
  <si>
    <t>ORD-03894</t>
  </si>
  <si>
    <t>ORD-03895</t>
  </si>
  <si>
    <t>ORD-03896</t>
  </si>
  <si>
    <t>ORD-03897</t>
  </si>
  <si>
    <t>ORD-03898</t>
  </si>
  <si>
    <t>ORD-03899</t>
  </si>
  <si>
    <t>ORD-03900</t>
  </si>
  <si>
    <t>ORD-03901</t>
  </si>
  <si>
    <t>ORD-03902</t>
  </si>
  <si>
    <t>ORD-03903</t>
  </si>
  <si>
    <t>ORD-03904</t>
  </si>
  <si>
    <t>ORD-03905</t>
  </si>
  <si>
    <t>ORD-03906</t>
  </si>
  <si>
    <t>ORD-03907</t>
  </si>
  <si>
    <t>ORD-03908</t>
  </si>
  <si>
    <t>ORD-03909</t>
  </si>
  <si>
    <t>ORD-03910</t>
  </si>
  <si>
    <t>ORD-03911</t>
  </si>
  <si>
    <t>ORD-03912</t>
  </si>
  <si>
    <t>ORD-03913</t>
  </si>
  <si>
    <t>ORD-03914</t>
  </si>
  <si>
    <t>ORD-03915</t>
  </si>
  <si>
    <t>ORD-03916</t>
  </si>
  <si>
    <t>ORD-03917</t>
  </si>
  <si>
    <t>ORD-03918</t>
  </si>
  <si>
    <t>ORD-03919</t>
  </si>
  <si>
    <t>ORD-03920</t>
  </si>
  <si>
    <t>ORD-03921</t>
  </si>
  <si>
    <t>ORD-03922</t>
  </si>
  <si>
    <t>ORD-03923</t>
  </si>
  <si>
    <t>ORD-03924</t>
  </si>
  <si>
    <t>ORD-03925</t>
  </si>
  <si>
    <t>ORD-03926</t>
  </si>
  <si>
    <t>ORD-03927</t>
  </si>
  <si>
    <t>ORD-03928</t>
  </si>
  <si>
    <t>ORD-03929</t>
  </si>
  <si>
    <t>ORD-03930</t>
  </si>
  <si>
    <t>ORD-03931</t>
  </si>
  <si>
    <t>ORD-03932</t>
  </si>
  <si>
    <t>ORD-03933</t>
  </si>
  <si>
    <t>ORD-03934</t>
  </si>
  <si>
    <t>ORD-03935</t>
  </si>
  <si>
    <t>ORD-03936</t>
  </si>
  <si>
    <t>ORD-03937</t>
  </si>
  <si>
    <t>ORD-03938</t>
  </si>
  <si>
    <t>ORD-03939</t>
  </si>
  <si>
    <t>ORD-03940</t>
  </si>
  <si>
    <t>ORD-03941</t>
  </si>
  <si>
    <t>ORD-03942</t>
  </si>
  <si>
    <t>ORD-03943</t>
  </si>
  <si>
    <t>ORD-03944</t>
  </si>
  <si>
    <t>ORD-03945</t>
  </si>
  <si>
    <t>ORD-03946</t>
  </si>
  <si>
    <t>ORD-03947</t>
  </si>
  <si>
    <t>ORD-03948</t>
  </si>
  <si>
    <t>ORD-03949</t>
  </si>
  <si>
    <t>ORD-03950</t>
  </si>
  <si>
    <t>ORD-03951</t>
  </si>
  <si>
    <t>ORD-03952</t>
  </si>
  <si>
    <t>ORD-03953</t>
  </si>
  <si>
    <t>ORD-03954</t>
  </si>
  <si>
    <t>ORD-03955</t>
  </si>
  <si>
    <t>ORD-03956</t>
  </si>
  <si>
    <t>ORD-03957</t>
  </si>
  <si>
    <t>ORD-03958</t>
  </si>
  <si>
    <t>ORD-03959</t>
  </si>
  <si>
    <t>ORD-03960</t>
  </si>
  <si>
    <t>ORD-03961</t>
  </si>
  <si>
    <t>ORD-03962</t>
  </si>
  <si>
    <t>ORD-03963</t>
  </si>
  <si>
    <t>ORD-03964</t>
  </si>
  <si>
    <t>ORD-03965</t>
  </si>
  <si>
    <t>ORD-03966</t>
  </si>
  <si>
    <t>ORD-03967</t>
  </si>
  <si>
    <t>ORD-03968</t>
  </si>
  <si>
    <t>ORD-03969</t>
  </si>
  <si>
    <t>ORD-03970</t>
  </si>
  <si>
    <t>ORD-03971</t>
  </si>
  <si>
    <t>ORD-03972</t>
  </si>
  <si>
    <t>ORD-03973</t>
  </si>
  <si>
    <t>ORD-03974</t>
  </si>
  <si>
    <t>ORD-03975</t>
  </si>
  <si>
    <t>ORD-03976</t>
  </si>
  <si>
    <t>ORD-03977</t>
  </si>
  <si>
    <t>ORD-03978</t>
  </si>
  <si>
    <t>ORD-03979</t>
  </si>
  <si>
    <t>ORD-03980</t>
  </si>
  <si>
    <t>ORD-03981</t>
  </si>
  <si>
    <t>ORD-03982</t>
  </si>
  <si>
    <t>ORD-03983</t>
  </si>
  <si>
    <t>ORD-03984</t>
  </si>
  <si>
    <t>ORD-03985</t>
  </si>
  <si>
    <t>ORD-03986</t>
  </si>
  <si>
    <t>ORD-03987</t>
  </si>
  <si>
    <t>ORD-03988</t>
  </si>
  <si>
    <t>ORD-03989</t>
  </si>
  <si>
    <t>ORD-03990</t>
  </si>
  <si>
    <t>ORD-03991</t>
  </si>
  <si>
    <t>ORD-03992</t>
  </si>
  <si>
    <t>ORD-03993</t>
  </si>
  <si>
    <t>ORD-03994</t>
  </si>
  <si>
    <t>ORD-03995</t>
  </si>
  <si>
    <t>ORD-03996</t>
  </si>
  <si>
    <t>ORD-03997</t>
  </si>
  <si>
    <t>ORD-03998</t>
  </si>
  <si>
    <t>ORD-03999</t>
  </si>
  <si>
    <t>ORD-04000</t>
  </si>
  <si>
    <t>ORD-04001</t>
  </si>
  <si>
    <t>ORD-04002</t>
  </si>
  <si>
    <t>ORD-04003</t>
  </si>
  <si>
    <t>ORD-04004</t>
  </si>
  <si>
    <t>ORD-04005</t>
  </si>
  <si>
    <t>ORD-04006</t>
  </si>
  <si>
    <t>ORD-04007</t>
  </si>
  <si>
    <t>ORD-04008</t>
  </si>
  <si>
    <t>ORD-04009</t>
  </si>
  <si>
    <t>ORD-04010</t>
  </si>
  <si>
    <t>ORD-04011</t>
  </si>
  <si>
    <t>ORD-04012</t>
  </si>
  <si>
    <t>ORD-04013</t>
  </si>
  <si>
    <t>ORD-04014</t>
  </si>
  <si>
    <t>ORD-04015</t>
  </si>
  <si>
    <t>ORD-04016</t>
  </si>
  <si>
    <t>ORD-04017</t>
  </si>
  <si>
    <t>ORD-04018</t>
  </si>
  <si>
    <t>ORD-04019</t>
  </si>
  <si>
    <t>ORD-04020</t>
  </si>
  <si>
    <t>ORD-04021</t>
  </si>
  <si>
    <t>ORD-04022</t>
  </si>
  <si>
    <t>ORD-04023</t>
  </si>
  <si>
    <t>ORD-04024</t>
  </si>
  <si>
    <t>ORD-04025</t>
  </si>
  <si>
    <t>ORD-04026</t>
  </si>
  <si>
    <t>ORD-04027</t>
  </si>
  <si>
    <t>ORD-04028</t>
  </si>
  <si>
    <t>ORD-04029</t>
  </si>
  <si>
    <t>ORD-04030</t>
  </si>
  <si>
    <t>ORD-04031</t>
  </si>
  <si>
    <t>ORD-04032</t>
  </si>
  <si>
    <t>ORD-04033</t>
  </si>
  <si>
    <t>ORD-04034</t>
  </si>
  <si>
    <t>ORD-04035</t>
  </si>
  <si>
    <t>ORD-04036</t>
  </si>
  <si>
    <t>ORD-04037</t>
  </si>
  <si>
    <t>ORD-04038</t>
  </si>
  <si>
    <t>ORD-04039</t>
  </si>
  <si>
    <t>ORD-04040</t>
  </si>
  <si>
    <t>ORD-04041</t>
  </si>
  <si>
    <t>ORD-04042</t>
  </si>
  <si>
    <t>ORD-04043</t>
  </si>
  <si>
    <t>ORD-04044</t>
  </si>
  <si>
    <t>ORD-04045</t>
  </si>
  <si>
    <t>ORD-04046</t>
  </si>
  <si>
    <t>ORD-04047</t>
  </si>
  <si>
    <t>ORD-04048</t>
  </si>
  <si>
    <t>ORD-04049</t>
  </si>
  <si>
    <t>ORD-04050</t>
  </si>
  <si>
    <t>ORD-04051</t>
  </si>
  <si>
    <t>ORD-04052</t>
  </si>
  <si>
    <t>ORD-04053</t>
  </si>
  <si>
    <t>ORD-04054</t>
  </si>
  <si>
    <t>ORD-04055</t>
  </si>
  <si>
    <t>ORD-04056</t>
  </si>
  <si>
    <t>ORD-04057</t>
  </si>
  <si>
    <t>ORD-04058</t>
  </si>
  <si>
    <t>ORD-04059</t>
  </si>
  <si>
    <t>ORD-04060</t>
  </si>
  <si>
    <t>ORD-04061</t>
  </si>
  <si>
    <t>ORD-04062</t>
  </si>
  <si>
    <t>ORD-04063</t>
  </si>
  <si>
    <t>ORD-04064</t>
  </si>
  <si>
    <t>ORD-04065</t>
  </si>
  <si>
    <t>ORD-04066</t>
  </si>
  <si>
    <t>ORD-04067</t>
  </si>
  <si>
    <t>ORD-04068</t>
  </si>
  <si>
    <t>ORD-04069</t>
  </si>
  <si>
    <t>ORD-04070</t>
  </si>
  <si>
    <t>ORD-04071</t>
  </si>
  <si>
    <t>ORD-04072</t>
  </si>
  <si>
    <t>ORD-04073</t>
  </si>
  <si>
    <t>ORD-04074</t>
  </si>
  <si>
    <t>ORD-04075</t>
  </si>
  <si>
    <t>ORD-04076</t>
  </si>
  <si>
    <t>ORD-04077</t>
  </si>
  <si>
    <t>ORD-04078</t>
  </si>
  <si>
    <t>ORD-04079</t>
  </si>
  <si>
    <t>ORD-04080</t>
  </si>
  <si>
    <t>ORD-04081</t>
  </si>
  <si>
    <t>ORD-04082</t>
  </si>
  <si>
    <t>ORD-04083</t>
  </si>
  <si>
    <t>ORD-04084</t>
  </si>
  <si>
    <t>ORD-04085</t>
  </si>
  <si>
    <t>ORD-04086</t>
  </si>
  <si>
    <t>ORD-04087</t>
  </si>
  <si>
    <t>ORD-04088</t>
  </si>
  <si>
    <t>ORD-04089</t>
  </si>
  <si>
    <t>ORD-04090</t>
  </si>
  <si>
    <t>ORD-04091</t>
  </si>
  <si>
    <t>ORD-04092</t>
  </si>
  <si>
    <t>ORD-04093</t>
  </si>
  <si>
    <t>ORD-04094</t>
  </si>
  <si>
    <t>ORD-04095</t>
  </si>
  <si>
    <t>ORD-04096</t>
  </si>
  <si>
    <t>ORD-04097</t>
  </si>
  <si>
    <t>ORD-04098</t>
  </si>
  <si>
    <t>ORD-04099</t>
  </si>
  <si>
    <t>ORD-04100</t>
  </si>
  <si>
    <t>ORD-04101</t>
  </si>
  <si>
    <t>ORD-04102</t>
  </si>
  <si>
    <t>ORD-04103</t>
  </si>
  <si>
    <t>ORD-04104</t>
  </si>
  <si>
    <t>ORD-04105</t>
  </si>
  <si>
    <t>ORD-04106</t>
  </si>
  <si>
    <t>ORD-04107</t>
  </si>
  <si>
    <t>ORD-04108</t>
  </si>
  <si>
    <t>ORD-04109</t>
  </si>
  <si>
    <t>ORD-04110</t>
  </si>
  <si>
    <t>ORD-04111</t>
  </si>
  <si>
    <t>ORD-04112</t>
  </si>
  <si>
    <t>ORD-04113</t>
  </si>
  <si>
    <t>ORD-04114</t>
  </si>
  <si>
    <t>ORD-04115</t>
  </si>
  <si>
    <t>ORD-04116</t>
  </si>
  <si>
    <t>ORD-04117</t>
  </si>
  <si>
    <t>ORD-04118</t>
  </si>
  <si>
    <t>ORD-04119</t>
  </si>
  <si>
    <t>ORD-04120</t>
  </si>
  <si>
    <t>ORD-04121</t>
  </si>
  <si>
    <t>ORD-04122</t>
  </si>
  <si>
    <t>ORD-04123</t>
  </si>
  <si>
    <t>ORD-04124</t>
  </si>
  <si>
    <t>ORD-04125</t>
  </si>
  <si>
    <t>ORD-04126</t>
  </si>
  <si>
    <t>ORD-04127</t>
  </si>
  <si>
    <t>ORD-04128</t>
  </si>
  <si>
    <t>ORD-04129</t>
  </si>
  <si>
    <t>ORD-04130</t>
  </si>
  <si>
    <t>ORD-04131</t>
  </si>
  <si>
    <t>ORD-04132</t>
  </si>
  <si>
    <t>ORD-04133</t>
  </si>
  <si>
    <t>ORD-04134</t>
  </si>
  <si>
    <t>ORD-04135</t>
  </si>
  <si>
    <t>ORD-04136</t>
  </si>
  <si>
    <t>ORD-04137</t>
  </si>
  <si>
    <t>ORD-04138</t>
  </si>
  <si>
    <t>ORD-04139</t>
  </si>
  <si>
    <t>ORD-04140</t>
  </si>
  <si>
    <t>ORD-04141</t>
  </si>
  <si>
    <t>ORD-04142</t>
  </si>
  <si>
    <t>ORD-04143</t>
  </si>
  <si>
    <t>ORD-04144</t>
  </si>
  <si>
    <t>ORD-04145</t>
  </si>
  <si>
    <t>ORD-04146</t>
  </si>
  <si>
    <t>ORD-04147</t>
  </si>
  <si>
    <t>ORD-04148</t>
  </si>
  <si>
    <t>ORD-04149</t>
  </si>
  <si>
    <t>ORD-04150</t>
  </si>
  <si>
    <t>ORD-04151</t>
  </si>
  <si>
    <t>ORD-04152</t>
  </si>
  <si>
    <t>ORD-04153</t>
  </si>
  <si>
    <t>ORD-04154</t>
  </si>
  <si>
    <t>ORD-04155</t>
  </si>
  <si>
    <t>ORD-04156</t>
  </si>
  <si>
    <t>ORD-04157</t>
  </si>
  <si>
    <t>ORD-04158</t>
  </si>
  <si>
    <t>ORD-04159</t>
  </si>
  <si>
    <t>ORD-04160</t>
  </si>
  <si>
    <t>ORD-04161</t>
  </si>
  <si>
    <t>ORD-04162</t>
  </si>
  <si>
    <t>ORD-04163</t>
  </si>
  <si>
    <t>ORD-04164</t>
  </si>
  <si>
    <t>ORD-04165</t>
  </si>
  <si>
    <t>ORD-04166</t>
  </si>
  <si>
    <t>ORD-04167</t>
  </si>
  <si>
    <t>ORD-04168</t>
  </si>
  <si>
    <t>ORD-04169</t>
  </si>
  <si>
    <t>ORD-04170</t>
  </si>
  <si>
    <t>ORD-04171</t>
  </si>
  <si>
    <t>ORD-04172</t>
  </si>
  <si>
    <t>ORD-04173</t>
  </si>
  <si>
    <t>ORD-04174</t>
  </si>
  <si>
    <t>ORD-04175</t>
  </si>
  <si>
    <t>ORD-04176</t>
  </si>
  <si>
    <t>ORD-04177</t>
  </si>
  <si>
    <t>ORD-04178</t>
  </si>
  <si>
    <t>ORD-04179</t>
  </si>
  <si>
    <t>ORD-04180</t>
  </si>
  <si>
    <t>ORD-04181</t>
  </si>
  <si>
    <t>ORD-04182</t>
  </si>
  <si>
    <t>ORD-04183</t>
  </si>
  <si>
    <t>ORD-04184</t>
  </si>
  <si>
    <t>ORD-04185</t>
  </si>
  <si>
    <t>ORD-04186</t>
  </si>
  <si>
    <t>ORD-04187</t>
  </si>
  <si>
    <t>ORD-04188</t>
  </si>
  <si>
    <t>ORD-04189</t>
  </si>
  <si>
    <t>ORD-04190</t>
  </si>
  <si>
    <t>ORD-04191</t>
  </si>
  <si>
    <t>ORD-04192</t>
  </si>
  <si>
    <t>ORD-04193</t>
  </si>
  <si>
    <t>ORD-04194</t>
  </si>
  <si>
    <t>ORD-04195</t>
  </si>
  <si>
    <t>ORD-04196</t>
  </si>
  <si>
    <t>ORD-04197</t>
  </si>
  <si>
    <t>ORD-04198</t>
  </si>
  <si>
    <t>ORD-04199</t>
  </si>
  <si>
    <t>ORD-04200</t>
  </si>
  <si>
    <t>ORD-04201</t>
  </si>
  <si>
    <t>ORD-04202</t>
  </si>
  <si>
    <t>ORD-04203</t>
  </si>
  <si>
    <t>ORD-04204</t>
  </si>
  <si>
    <t>ORD-04205</t>
  </si>
  <si>
    <t>ORD-04206</t>
  </si>
  <si>
    <t>ORD-04207</t>
  </si>
  <si>
    <t>ORD-04208</t>
  </si>
  <si>
    <t>ORD-04209</t>
  </si>
  <si>
    <t>ORD-04210</t>
  </si>
  <si>
    <t>ORD-04211</t>
  </si>
  <si>
    <t>ORD-04212</t>
  </si>
  <si>
    <t>ORD-04213</t>
  </si>
  <si>
    <t>ORD-04214</t>
  </si>
  <si>
    <t>ORD-04215</t>
  </si>
  <si>
    <t>ORD-04216</t>
  </si>
  <si>
    <t>ORD-04217</t>
  </si>
  <si>
    <t>ORD-04218</t>
  </si>
  <si>
    <t>ORD-04219</t>
  </si>
  <si>
    <t>ORD-04220</t>
  </si>
  <si>
    <t>ORD-04221</t>
  </si>
  <si>
    <t>ORD-04222</t>
  </si>
  <si>
    <t>ORD-04223</t>
  </si>
  <si>
    <t>ORD-04224</t>
  </si>
  <si>
    <t>ORD-04225</t>
  </si>
  <si>
    <t>ORD-04226</t>
  </si>
  <si>
    <t>ORD-04227</t>
  </si>
  <si>
    <t>ORD-04228</t>
  </si>
  <si>
    <t>ORD-04229</t>
  </si>
  <si>
    <t>ORD-04230</t>
  </si>
  <si>
    <t>ORD-04231</t>
  </si>
  <si>
    <t>ORD-04232</t>
  </si>
  <si>
    <t>ORD-04233</t>
  </si>
  <si>
    <t>ORD-04234</t>
  </si>
  <si>
    <t>ORD-04235</t>
  </si>
  <si>
    <t>ORD-04236</t>
  </si>
  <si>
    <t>ORD-04237</t>
  </si>
  <si>
    <t>ORD-04238</t>
  </si>
  <si>
    <t>ORD-04239</t>
  </si>
  <si>
    <t>ORD-04240</t>
  </si>
  <si>
    <t>ORD-04241</t>
  </si>
  <si>
    <t>ORD-04242</t>
  </si>
  <si>
    <t>ORD-04243</t>
  </si>
  <si>
    <t>ORD-04244</t>
  </si>
  <si>
    <t>ORD-04245</t>
  </si>
  <si>
    <t>ORD-04246</t>
  </si>
  <si>
    <t>ORD-04247</t>
  </si>
  <si>
    <t>ORD-04248</t>
  </si>
  <si>
    <t>ORD-04249</t>
  </si>
  <si>
    <t>ORD-04250</t>
  </si>
  <si>
    <t>ORD-04251</t>
  </si>
  <si>
    <t>ORD-04252</t>
  </si>
  <si>
    <t>ORD-04253</t>
  </si>
  <si>
    <t>ORD-04254</t>
  </si>
  <si>
    <t>ORD-04255</t>
  </si>
  <si>
    <t>ORD-04256</t>
  </si>
  <si>
    <t>ORD-04257</t>
  </si>
  <si>
    <t>ORD-04258</t>
  </si>
  <si>
    <t>ORD-04259</t>
  </si>
  <si>
    <t>ORD-04260</t>
  </si>
  <si>
    <t>ORD-04261</t>
  </si>
  <si>
    <t>ORD-04262</t>
  </si>
  <si>
    <t>ORD-04263</t>
  </si>
  <si>
    <t>ORD-04264</t>
  </si>
  <si>
    <t>ORD-04265</t>
  </si>
  <si>
    <t>ORD-04266</t>
  </si>
  <si>
    <t>ORD-04267</t>
  </si>
  <si>
    <t>ORD-04268</t>
  </si>
  <si>
    <t>ORD-04269</t>
  </si>
  <si>
    <t>ORD-04270</t>
  </si>
  <si>
    <t>ORD-04271</t>
  </si>
  <si>
    <t>ORD-04272</t>
  </si>
  <si>
    <t>ORD-04273</t>
  </si>
  <si>
    <t>ORD-04274</t>
  </si>
  <si>
    <t>ORD-04275</t>
  </si>
  <si>
    <t>ORD-04276</t>
  </si>
  <si>
    <t>ORD-04277</t>
  </si>
  <si>
    <t>ORD-04278</t>
  </si>
  <si>
    <t>ORD-04279</t>
  </si>
  <si>
    <t>ORD-04280</t>
  </si>
  <si>
    <t>ORD-04281</t>
  </si>
  <si>
    <t>ORD-04282</t>
  </si>
  <si>
    <t>ORD-04283</t>
  </si>
  <si>
    <t>ORD-04284</t>
  </si>
  <si>
    <t>ORD-04285</t>
  </si>
  <si>
    <t>ORD-04286</t>
  </si>
  <si>
    <t>ORD-04287</t>
  </si>
  <si>
    <t>ORD-04288</t>
  </si>
  <si>
    <t>ORD-04289</t>
  </si>
  <si>
    <t>ORD-04290</t>
  </si>
  <si>
    <t>ORD-04291</t>
  </si>
  <si>
    <t>ORD-04292</t>
  </si>
  <si>
    <t>ORD-04293</t>
  </si>
  <si>
    <t>ORD-04294</t>
  </si>
  <si>
    <t>ORD-04295</t>
  </si>
  <si>
    <t>ORD-04296</t>
  </si>
  <si>
    <t>ORD-04297</t>
  </si>
  <si>
    <t>ORD-04298</t>
  </si>
  <si>
    <t>ORD-04299</t>
  </si>
  <si>
    <t>ORD-04300</t>
  </si>
  <si>
    <t>ORD-04301</t>
  </si>
  <si>
    <t>ORD-04302</t>
  </si>
  <si>
    <t>ORD-04303</t>
  </si>
  <si>
    <t>ORD-04304</t>
  </si>
  <si>
    <t>ORD-04305</t>
  </si>
  <si>
    <t>ORD-04306</t>
  </si>
  <si>
    <t>ORD-04307</t>
  </si>
  <si>
    <t>ORD-04308</t>
  </si>
  <si>
    <t>ORD-04309</t>
  </si>
  <si>
    <t>ORD-04310</t>
  </si>
  <si>
    <t>ORD-04311</t>
  </si>
  <si>
    <t>ORD-04312</t>
  </si>
  <si>
    <t>ORD-04313</t>
  </si>
  <si>
    <t>ORD-04314</t>
  </si>
  <si>
    <t>ORD-04315</t>
  </si>
  <si>
    <t>ORD-04316</t>
  </si>
  <si>
    <t>ORD-04317</t>
  </si>
  <si>
    <t>ORD-04318</t>
  </si>
  <si>
    <t>ORD-04319</t>
  </si>
  <si>
    <t>ORD-04320</t>
  </si>
  <si>
    <t>ORD-04321</t>
  </si>
  <si>
    <t>ORD-04322</t>
  </si>
  <si>
    <t>ORD-04323</t>
  </si>
  <si>
    <t>ORD-04324</t>
  </si>
  <si>
    <t>ORD-04325</t>
  </si>
  <si>
    <t>ORD-04326</t>
  </si>
  <si>
    <t>ORD-04327</t>
  </si>
  <si>
    <t>ORD-04328</t>
  </si>
  <si>
    <t>ORD-04329</t>
  </si>
  <si>
    <t>ORD-04330</t>
  </si>
  <si>
    <t>ORD-04331</t>
  </si>
  <si>
    <t>ORD-04332</t>
  </si>
  <si>
    <t>ORD-04333</t>
  </si>
  <si>
    <t>ORD-04334</t>
  </si>
  <si>
    <t>ORD-04335</t>
  </si>
  <si>
    <t>ORD-04336</t>
  </si>
  <si>
    <t>ORD-04337</t>
  </si>
  <si>
    <t>ORD-04338</t>
  </si>
  <si>
    <t>ORD-04339</t>
  </si>
  <si>
    <t>ORD-04340</t>
  </si>
  <si>
    <t>ORD-04341</t>
  </si>
  <si>
    <t>ORD-04342</t>
  </si>
  <si>
    <t>ORD-04343</t>
  </si>
  <si>
    <t>ORD-04344</t>
  </si>
  <si>
    <t>ORD-04345</t>
  </si>
  <si>
    <t>ORD-04346</t>
  </si>
  <si>
    <t>ORD-04347</t>
  </si>
  <si>
    <t>ORD-04348</t>
  </si>
  <si>
    <t>ORD-04349</t>
  </si>
  <si>
    <t>ORD-04350</t>
  </si>
  <si>
    <t>ORD-04351</t>
  </si>
  <si>
    <t>ORD-04352</t>
  </si>
  <si>
    <t>ORD-04353</t>
  </si>
  <si>
    <t>ORD-04354</t>
  </si>
  <si>
    <t>ORD-04355</t>
  </si>
  <si>
    <t>ORD-04356</t>
  </si>
  <si>
    <t>ORD-04357</t>
  </si>
  <si>
    <t>ORD-04358</t>
  </si>
  <si>
    <t>ORD-04359</t>
  </si>
  <si>
    <t>ORD-04360</t>
  </si>
  <si>
    <t>ORD-04361</t>
  </si>
  <si>
    <t>ORD-04362</t>
  </si>
  <si>
    <t>ORD-04363</t>
  </si>
  <si>
    <t>ORD-04364</t>
  </si>
  <si>
    <t>ORD-04365</t>
  </si>
  <si>
    <t>ORD-04366</t>
  </si>
  <si>
    <t>ORD-04367</t>
  </si>
  <si>
    <t>ORD-04368</t>
  </si>
  <si>
    <t>ORD-04369</t>
  </si>
  <si>
    <t>ORD-04370</t>
  </si>
  <si>
    <t>ORD-04371</t>
  </si>
  <si>
    <t>ORD-04372</t>
  </si>
  <si>
    <t>ORD-04373</t>
  </si>
  <si>
    <t>ORD-04374</t>
  </si>
  <si>
    <t>ORD-04375</t>
  </si>
  <si>
    <t>ORD-04376</t>
  </si>
  <si>
    <t>ORD-04377</t>
  </si>
  <si>
    <t>ORD-04378</t>
  </si>
  <si>
    <t>ORD-04379</t>
  </si>
  <si>
    <t>ORD-04380</t>
  </si>
  <si>
    <t>ORD-04381</t>
  </si>
  <si>
    <t>ORD-04382</t>
  </si>
  <si>
    <t>ORD-04383</t>
  </si>
  <si>
    <t>ORD-04384</t>
  </si>
  <si>
    <t>ORD-04385</t>
  </si>
  <si>
    <t>ORD-04386</t>
  </si>
  <si>
    <t>ORD-04387</t>
  </si>
  <si>
    <t>ORD-04388</t>
  </si>
  <si>
    <t>ORD-04389</t>
  </si>
  <si>
    <t>ORD-04390</t>
  </si>
  <si>
    <t>ORD-04391</t>
  </si>
  <si>
    <t>ORD-04392</t>
  </si>
  <si>
    <t>ORD-04393</t>
  </si>
  <si>
    <t>ORD-04394</t>
  </si>
  <si>
    <t>ORD-04395</t>
  </si>
  <si>
    <t>ORD-04396</t>
  </si>
  <si>
    <t>ORD-04397</t>
  </si>
  <si>
    <t>ORD-04398</t>
  </si>
  <si>
    <t>ORD-04399</t>
  </si>
  <si>
    <t>ORD-04400</t>
  </si>
  <si>
    <t>ORD-04401</t>
  </si>
  <si>
    <t>ORD-04402</t>
  </si>
  <si>
    <t>ORD-04403</t>
  </si>
  <si>
    <t>ORD-04404</t>
  </si>
  <si>
    <t>ORD-04405</t>
  </si>
  <si>
    <t>ORD-04406</t>
  </si>
  <si>
    <t>ORD-04407</t>
  </si>
  <si>
    <t>ORD-04408</t>
  </si>
  <si>
    <t>ORD-04409</t>
  </si>
  <si>
    <t>ORD-04410</t>
  </si>
  <si>
    <t>ORD-04411</t>
  </si>
  <si>
    <t>ORD-04412</t>
  </si>
  <si>
    <t>ORD-04413</t>
  </si>
  <si>
    <t>ORD-04414</t>
  </si>
  <si>
    <t>ORD-04415</t>
  </si>
  <si>
    <t>ORD-04416</t>
  </si>
  <si>
    <t>ORD-04417</t>
  </si>
  <si>
    <t>ORD-04418</t>
  </si>
  <si>
    <t>ORD-04419</t>
  </si>
  <si>
    <t>ORD-04420</t>
  </si>
  <si>
    <t>ORD-04421</t>
  </si>
  <si>
    <t>ORD-04422</t>
  </si>
  <si>
    <t>ORD-04423</t>
  </si>
  <si>
    <t>ORD-04424</t>
  </si>
  <si>
    <t>ORD-04425</t>
  </si>
  <si>
    <t>ORD-04426</t>
  </si>
  <si>
    <t>ORD-04427</t>
  </si>
  <si>
    <t>ORD-04428</t>
  </si>
  <si>
    <t>ORD-04429</t>
  </si>
  <si>
    <t>ORD-04430</t>
  </si>
  <si>
    <t>ORD-04431</t>
  </si>
  <si>
    <t>ORD-04432</t>
  </si>
  <si>
    <t>ORD-04433</t>
  </si>
  <si>
    <t>ORD-04434</t>
  </si>
  <si>
    <t>ORD-04435</t>
  </si>
  <si>
    <t>ORD-04436</t>
  </si>
  <si>
    <t>ORD-04437</t>
  </si>
  <si>
    <t>ORD-04438</t>
  </si>
  <si>
    <t>ORD-04439</t>
  </si>
  <si>
    <t>ORD-04440</t>
  </si>
  <si>
    <t>ORD-04441</t>
  </si>
  <si>
    <t>ORD-04442</t>
  </si>
  <si>
    <t>ORD-04443</t>
  </si>
  <si>
    <t>ORD-04444</t>
  </si>
  <si>
    <t>ORD-04445</t>
  </si>
  <si>
    <t>ORD-04446</t>
  </si>
  <si>
    <t>ORD-04447</t>
  </si>
  <si>
    <t>ORD-04448</t>
  </si>
  <si>
    <t>ORD-04449</t>
  </si>
  <si>
    <t>ORD-04450</t>
  </si>
  <si>
    <t>ORD-04451</t>
  </si>
  <si>
    <t>ORD-04452</t>
  </si>
  <si>
    <t>ORD-04453</t>
  </si>
  <si>
    <t>ORD-04454</t>
  </si>
  <si>
    <t>ORD-04455</t>
  </si>
  <si>
    <t>ORD-04456</t>
  </si>
  <si>
    <t>ORD-04457</t>
  </si>
  <si>
    <t>ORD-04458</t>
  </si>
  <si>
    <t>ORD-04459</t>
  </si>
  <si>
    <t>ORD-04460</t>
  </si>
  <si>
    <t>ORD-04461</t>
  </si>
  <si>
    <t>ORD-04462</t>
  </si>
  <si>
    <t>ORD-04463</t>
  </si>
  <si>
    <t>ORD-04464</t>
  </si>
  <si>
    <t>ORD-04465</t>
  </si>
  <si>
    <t>ORD-04466</t>
  </si>
  <si>
    <t>ORD-04467</t>
  </si>
  <si>
    <t>ORD-04468</t>
  </si>
  <si>
    <t>ORD-04469</t>
  </si>
  <si>
    <t>ORD-04470</t>
  </si>
  <si>
    <t>ORD-04471</t>
  </si>
  <si>
    <t>ORD-04472</t>
  </si>
  <si>
    <t>ORD-04473</t>
  </si>
  <si>
    <t>ORD-04474</t>
  </si>
  <si>
    <t>ORD-04475</t>
  </si>
  <si>
    <t>ORD-04476</t>
  </si>
  <si>
    <t>ORD-04477</t>
  </si>
  <si>
    <t>ORD-04478</t>
  </si>
  <si>
    <t>ORD-04479</t>
  </si>
  <si>
    <t>ORD-04480</t>
  </si>
  <si>
    <t>ORD-04481</t>
  </si>
  <si>
    <t>ORD-04482</t>
  </si>
  <si>
    <t>ORD-04483</t>
  </si>
  <si>
    <t>ORD-04484</t>
  </si>
  <si>
    <t>ORD-04485</t>
  </si>
  <si>
    <t>ORD-04486</t>
  </si>
  <si>
    <t>ORD-04487</t>
  </si>
  <si>
    <t>ORD-04488</t>
  </si>
  <si>
    <t>ORD-04489</t>
  </si>
  <si>
    <t>ORD-04490</t>
  </si>
  <si>
    <t>ORD-04491</t>
  </si>
  <si>
    <t>ORD-04492</t>
  </si>
  <si>
    <t>ORD-04493</t>
  </si>
  <si>
    <t>ORD-04494</t>
  </si>
  <si>
    <t>ORD-04495</t>
  </si>
  <si>
    <t>ORD-04496</t>
  </si>
  <si>
    <t>ORD-04497</t>
  </si>
  <si>
    <t>ORD-04498</t>
  </si>
  <si>
    <t>ORD-04499</t>
  </si>
  <si>
    <t>ORD-04500</t>
  </si>
  <si>
    <t>ORD-04501</t>
  </si>
  <si>
    <t>ORD-04502</t>
  </si>
  <si>
    <t>ORD-04503</t>
  </si>
  <si>
    <t>ORD-04504</t>
  </si>
  <si>
    <t>ORD-04505</t>
  </si>
  <si>
    <t>ORD-04506</t>
  </si>
  <si>
    <t>ORD-04507</t>
  </si>
  <si>
    <t>ORD-04508</t>
  </si>
  <si>
    <t>ORD-04509</t>
  </si>
  <si>
    <t>ORD-04510</t>
  </si>
  <si>
    <t>ORD-04511</t>
  </si>
  <si>
    <t>ORD-04512</t>
  </si>
  <si>
    <t>ORD-04513</t>
  </si>
  <si>
    <t>ORD-04514</t>
  </si>
  <si>
    <t>ORD-04515</t>
  </si>
  <si>
    <t>ORD-04516</t>
  </si>
  <si>
    <t>ORD-04517</t>
  </si>
  <si>
    <t>ORD-04518</t>
  </si>
  <si>
    <t>ORD-04519</t>
  </si>
  <si>
    <t>ORD-04520</t>
  </si>
  <si>
    <t>ORD-04521</t>
  </si>
  <si>
    <t>ORD-04522</t>
  </si>
  <si>
    <t>ORD-04523</t>
  </si>
  <si>
    <t>ORD-04524</t>
  </si>
  <si>
    <t>ORD-04525</t>
  </si>
  <si>
    <t>ORD-04526</t>
  </si>
  <si>
    <t>ORD-04527</t>
  </si>
  <si>
    <t>ORD-04528</t>
  </si>
  <si>
    <t>ORD-04529</t>
  </si>
  <si>
    <t>ORD-04530</t>
  </si>
  <si>
    <t>ORD-04531</t>
  </si>
  <si>
    <t>ORD-04532</t>
  </si>
  <si>
    <t>ORD-04533</t>
  </si>
  <si>
    <t>ORD-04534</t>
  </si>
  <si>
    <t>ORD-04535</t>
  </si>
  <si>
    <t>ORD-04536</t>
  </si>
  <si>
    <t>ORD-04537</t>
  </si>
  <si>
    <t>ORD-04538</t>
  </si>
  <si>
    <t>ORD-04539</t>
  </si>
  <si>
    <t>ORD-04540</t>
  </si>
  <si>
    <t>ORD-04541</t>
  </si>
  <si>
    <t>ORD-04542</t>
  </si>
  <si>
    <t>ORD-04543</t>
  </si>
  <si>
    <t>ORD-04544</t>
  </si>
  <si>
    <t>ORD-04545</t>
  </si>
  <si>
    <t>ORD-04546</t>
  </si>
  <si>
    <t>ORD-04547</t>
  </si>
  <si>
    <t>ORD-04548</t>
  </si>
  <si>
    <t>ORD-04549</t>
  </si>
  <si>
    <t>ORD-04550</t>
  </si>
  <si>
    <t>ORD-04551</t>
  </si>
  <si>
    <t>ORD-04552</t>
  </si>
  <si>
    <t>ORD-04553</t>
  </si>
  <si>
    <t>ORD-04554</t>
  </si>
  <si>
    <t>ORD-04555</t>
  </si>
  <si>
    <t>ORD-04556</t>
  </si>
  <si>
    <t>ORD-04557</t>
  </si>
  <si>
    <t>ORD-04558</t>
  </si>
  <si>
    <t>ORD-04559</t>
  </si>
  <si>
    <t>ORD-04560</t>
  </si>
  <si>
    <t>ORD-04561</t>
  </si>
  <si>
    <t>ORD-04562</t>
  </si>
  <si>
    <t>ORD-04563</t>
  </si>
  <si>
    <t>ORD-04564</t>
  </si>
  <si>
    <t>ORD-04565</t>
  </si>
  <si>
    <t>ORD-04566</t>
  </si>
  <si>
    <t>ORD-04567</t>
  </si>
  <si>
    <t>ORD-04568</t>
  </si>
  <si>
    <t>ORD-04569</t>
  </si>
  <si>
    <t>ORD-04570</t>
  </si>
  <si>
    <t>ORD-04571</t>
  </si>
  <si>
    <t>ORD-04572</t>
  </si>
  <si>
    <t>ORD-04573</t>
  </si>
  <si>
    <t>ORD-04574</t>
  </si>
  <si>
    <t>ORD-04575</t>
  </si>
  <si>
    <t>ORD-04576</t>
  </si>
  <si>
    <t>ORD-04577</t>
  </si>
  <si>
    <t>ORD-04578</t>
  </si>
  <si>
    <t>ORD-04579</t>
  </si>
  <si>
    <t>ORD-04580</t>
  </si>
  <si>
    <t>ORD-04581</t>
  </si>
  <si>
    <t>ORD-04582</t>
  </si>
  <si>
    <t>ORD-04583</t>
  </si>
  <si>
    <t>ORD-04584</t>
  </si>
  <si>
    <t>ORD-04585</t>
  </si>
  <si>
    <t>ORD-04586</t>
  </si>
  <si>
    <t>ORD-04587</t>
  </si>
  <si>
    <t>ORD-04588</t>
  </si>
  <si>
    <t>ORD-04589</t>
  </si>
  <si>
    <t>ORD-04590</t>
  </si>
  <si>
    <t>ORD-04591</t>
  </si>
  <si>
    <t>ORD-04592</t>
  </si>
  <si>
    <t>ORD-04593</t>
  </si>
  <si>
    <t>ORD-04594</t>
  </si>
  <si>
    <t>ORD-04595</t>
  </si>
  <si>
    <t>ORD-04596</t>
  </si>
  <si>
    <t>ORD-04597</t>
  </si>
  <si>
    <t>ORD-04598</t>
  </si>
  <si>
    <t>ORD-04599</t>
  </si>
  <si>
    <t>ORD-04600</t>
  </si>
  <si>
    <t>ORD-04601</t>
  </si>
  <si>
    <t>ORD-04602</t>
  </si>
  <si>
    <t>ORD-04603</t>
  </si>
  <si>
    <t>ORD-04604</t>
  </si>
  <si>
    <t>ORD-04605</t>
  </si>
  <si>
    <t>ORD-04606</t>
  </si>
  <si>
    <t>ORD-04607</t>
  </si>
  <si>
    <t>ORD-04608</t>
  </si>
  <si>
    <t>ORD-04609</t>
  </si>
  <si>
    <t>ORD-04610</t>
  </si>
  <si>
    <t>ORD-04611</t>
  </si>
  <si>
    <t>ORD-04612</t>
  </si>
  <si>
    <t>ORD-04613</t>
  </si>
  <si>
    <t>ORD-04614</t>
  </si>
  <si>
    <t>ORD-04615</t>
  </si>
  <si>
    <t>ORD-04616</t>
  </si>
  <si>
    <t>ORD-04617</t>
  </si>
  <si>
    <t>ORD-04618</t>
  </si>
  <si>
    <t>ORD-04619</t>
  </si>
  <si>
    <t>ORD-04620</t>
  </si>
  <si>
    <t>ORD-04621</t>
  </si>
  <si>
    <t>ORD-04622</t>
  </si>
  <si>
    <t>ORD-04623</t>
  </si>
  <si>
    <t>ORD-04624</t>
  </si>
  <si>
    <t>ORD-04625</t>
  </si>
  <si>
    <t>ORD-04626</t>
  </si>
  <si>
    <t>ORD-04627</t>
  </si>
  <si>
    <t>ORD-04628</t>
  </si>
  <si>
    <t>ORD-04629</t>
  </si>
  <si>
    <t>ORD-04630</t>
  </si>
  <si>
    <t>ORD-04631</t>
  </si>
  <si>
    <t>ORD-04632</t>
  </si>
  <si>
    <t>ORD-04633</t>
  </si>
  <si>
    <t>ORD-04634</t>
  </si>
  <si>
    <t>ORD-04635</t>
  </si>
  <si>
    <t>ORD-04636</t>
  </si>
  <si>
    <t>ORD-04637</t>
  </si>
  <si>
    <t>ORD-04638</t>
  </si>
  <si>
    <t>ORD-04639</t>
  </si>
  <si>
    <t>ORD-04640</t>
  </si>
  <si>
    <t>ORD-04641</t>
  </si>
  <si>
    <t>ORD-04642</t>
  </si>
  <si>
    <t>ORD-04643</t>
  </si>
  <si>
    <t>ORD-04644</t>
  </si>
  <si>
    <t>ORD-04645</t>
  </si>
  <si>
    <t>ORD-04646</t>
  </si>
  <si>
    <t>ORD-04647</t>
  </si>
  <si>
    <t>ORD-04648</t>
  </si>
  <si>
    <t>ORD-04649</t>
  </si>
  <si>
    <t>ORD-04650</t>
  </si>
  <si>
    <t>ORD-04651</t>
  </si>
  <si>
    <t>ORD-04652</t>
  </si>
  <si>
    <t>ORD-04653</t>
  </si>
  <si>
    <t>ORD-04654</t>
  </si>
  <si>
    <t>ORD-04655</t>
  </si>
  <si>
    <t>ORD-04656</t>
  </si>
  <si>
    <t>ORD-04657</t>
  </si>
  <si>
    <t>ORD-04658</t>
  </si>
  <si>
    <t>ORD-04659</t>
  </si>
  <si>
    <t>ORD-04660</t>
  </si>
  <si>
    <t>ORD-04661</t>
  </si>
  <si>
    <t>ORD-04662</t>
  </si>
  <si>
    <t>ORD-04663</t>
  </si>
  <si>
    <t>ORD-04664</t>
  </si>
  <si>
    <t>ORD-04665</t>
  </si>
  <si>
    <t>ORD-04666</t>
  </si>
  <si>
    <t>ORD-04667</t>
  </si>
  <si>
    <t>ORD-04668</t>
  </si>
  <si>
    <t>ORD-04669</t>
  </si>
  <si>
    <t>ORD-04670</t>
  </si>
  <si>
    <t>ORD-04671</t>
  </si>
  <si>
    <t>ORD-04672</t>
  </si>
  <si>
    <t>ORD-04673</t>
  </si>
  <si>
    <t>ORD-04674</t>
  </si>
  <si>
    <t>ORD-04675</t>
  </si>
  <si>
    <t>ORD-04676</t>
  </si>
  <si>
    <t>ORD-04677</t>
  </si>
  <si>
    <t>ORD-04678</t>
  </si>
  <si>
    <t>ORD-04679</t>
  </si>
  <si>
    <t>ORD-04680</t>
  </si>
  <si>
    <t>ORD-04681</t>
  </si>
  <si>
    <t>ORD-04682</t>
  </si>
  <si>
    <t>ORD-04683</t>
  </si>
  <si>
    <t>ORD-04684</t>
  </si>
  <si>
    <t>ORD-04685</t>
  </si>
  <si>
    <t>ORD-04686</t>
  </si>
  <si>
    <t>ORD-04687</t>
  </si>
  <si>
    <t>ORD-04688</t>
  </si>
  <si>
    <t>ORD-04689</t>
  </si>
  <si>
    <t>ORD-04690</t>
  </si>
  <si>
    <t>ORD-04691</t>
  </si>
  <si>
    <t>ORD-04692</t>
  </si>
  <si>
    <t>ORD-04693</t>
  </si>
  <si>
    <t>ORD-04694</t>
  </si>
  <si>
    <t>ORD-04695</t>
  </si>
  <si>
    <t>ORD-04696</t>
  </si>
  <si>
    <t>ORD-04697</t>
  </si>
  <si>
    <t>ORD-04698</t>
  </si>
  <si>
    <t>ORD-04699</t>
  </si>
  <si>
    <t>ORD-04700</t>
  </si>
  <si>
    <t>ORD-04701</t>
  </si>
  <si>
    <t>ORD-04702</t>
  </si>
  <si>
    <t>ORD-04703</t>
  </si>
  <si>
    <t>ORD-04704</t>
  </si>
  <si>
    <t>ORD-04705</t>
  </si>
  <si>
    <t>ORD-04706</t>
  </si>
  <si>
    <t>ORD-04707</t>
  </si>
  <si>
    <t>ORD-04708</t>
  </si>
  <si>
    <t>ORD-04709</t>
  </si>
  <si>
    <t>ORD-04710</t>
  </si>
  <si>
    <t>ORD-04711</t>
  </si>
  <si>
    <t>ORD-04712</t>
  </si>
  <si>
    <t>ORD-04713</t>
  </si>
  <si>
    <t>ORD-04714</t>
  </si>
  <si>
    <t>ORD-04715</t>
  </si>
  <si>
    <t>ORD-04716</t>
  </si>
  <si>
    <t>ORD-04717</t>
  </si>
  <si>
    <t>ORD-04718</t>
  </si>
  <si>
    <t>ORD-04719</t>
  </si>
  <si>
    <t>ORD-04720</t>
  </si>
  <si>
    <t>ORD-04721</t>
  </si>
  <si>
    <t>ORD-04722</t>
  </si>
  <si>
    <t>ORD-04723</t>
  </si>
  <si>
    <t>ORD-04724</t>
  </si>
  <si>
    <t>ORD-04725</t>
  </si>
  <si>
    <t>ORD-04726</t>
  </si>
  <si>
    <t>ORD-04727</t>
  </si>
  <si>
    <t>ORD-04728</t>
  </si>
  <si>
    <t>ORD-04729</t>
  </si>
  <si>
    <t>ORD-04730</t>
  </si>
  <si>
    <t>ORD-04731</t>
  </si>
  <si>
    <t>ORD-04732</t>
  </si>
  <si>
    <t>ORD-04733</t>
  </si>
  <si>
    <t>ORD-04734</t>
  </si>
  <si>
    <t>ORD-04735</t>
  </si>
  <si>
    <t>ORD-04736</t>
  </si>
  <si>
    <t>ORD-04737</t>
  </si>
  <si>
    <t>ORD-04738</t>
  </si>
  <si>
    <t>ORD-04739</t>
  </si>
  <si>
    <t>ORD-04740</t>
  </si>
  <si>
    <t>ORD-04741</t>
  </si>
  <si>
    <t>ORD-04742</t>
  </si>
  <si>
    <t>ORD-04743</t>
  </si>
  <si>
    <t>ORD-04744</t>
  </si>
  <si>
    <t>ORD-04745</t>
  </si>
  <si>
    <t>ORD-04746</t>
  </si>
  <si>
    <t>ORD-04747</t>
  </si>
  <si>
    <t>ORD-04748</t>
  </si>
  <si>
    <t>ORD-04749</t>
  </si>
  <si>
    <t>ORD-04750</t>
  </si>
  <si>
    <t>ORD-04751</t>
  </si>
  <si>
    <t>ORD-04752</t>
  </si>
  <si>
    <t>ORD-04753</t>
  </si>
  <si>
    <t>ORD-04754</t>
  </si>
  <si>
    <t>ORD-04755</t>
  </si>
  <si>
    <t>ORD-04756</t>
  </si>
  <si>
    <t>ORD-04757</t>
  </si>
  <si>
    <t>ORD-04758</t>
  </si>
  <si>
    <t>ORD-04759</t>
  </si>
  <si>
    <t>ORD-04760</t>
  </si>
  <si>
    <t>ORD-04761</t>
  </si>
  <si>
    <t>ORD-04762</t>
  </si>
  <si>
    <t>ORD-04763</t>
  </si>
  <si>
    <t>ORD-04764</t>
  </si>
  <si>
    <t>ORD-04765</t>
  </si>
  <si>
    <t>ORD-04766</t>
  </si>
  <si>
    <t>ORD-04767</t>
  </si>
  <si>
    <t>ORD-04768</t>
  </si>
  <si>
    <t>ORD-04769</t>
  </si>
  <si>
    <t>ORD-04770</t>
  </si>
  <si>
    <t>ORD-04771</t>
  </si>
  <si>
    <t>ORD-04772</t>
  </si>
  <si>
    <t>ORD-04773</t>
  </si>
  <si>
    <t>ORD-04774</t>
  </si>
  <si>
    <t>ORD-04775</t>
  </si>
  <si>
    <t>ORD-04776</t>
  </si>
  <si>
    <t>ORD-04777</t>
  </si>
  <si>
    <t>ORD-04778</t>
  </si>
  <si>
    <t>ORD-04779</t>
  </si>
  <si>
    <t>ORD-04780</t>
  </si>
  <si>
    <t>ORD-04781</t>
  </si>
  <si>
    <t>ORD-04782</t>
  </si>
  <si>
    <t>ORD-04783</t>
  </si>
  <si>
    <t>ORD-04784</t>
  </si>
  <si>
    <t>ORD-04785</t>
  </si>
  <si>
    <t>ORD-04786</t>
  </si>
  <si>
    <t>ORD-04787</t>
  </si>
  <si>
    <t>ORD-04788</t>
  </si>
  <si>
    <t>ORD-04789</t>
  </si>
  <si>
    <t>ORD-04790</t>
  </si>
  <si>
    <t>ORD-04791</t>
  </si>
  <si>
    <t>ORD-04792</t>
  </si>
  <si>
    <t>ORD-04793</t>
  </si>
  <si>
    <t>ORD-04794</t>
  </si>
  <si>
    <t>ORD-04795</t>
  </si>
  <si>
    <t>ORD-04796</t>
  </si>
  <si>
    <t>ORD-04797</t>
  </si>
  <si>
    <t>ORD-04798</t>
  </si>
  <si>
    <t>ORD-04799</t>
  </si>
  <si>
    <t>ORD-04800</t>
  </si>
  <si>
    <t>ORD-04801</t>
  </si>
  <si>
    <t>ORD-04802</t>
  </si>
  <si>
    <t>ORD-04803</t>
  </si>
  <si>
    <t>ORD-04804</t>
  </si>
  <si>
    <t>ORD-04805</t>
  </si>
  <si>
    <t>ORD-04806</t>
  </si>
  <si>
    <t>ORD-04807</t>
  </si>
  <si>
    <t>ORD-04808</t>
  </si>
  <si>
    <t>ORD-04809</t>
  </si>
  <si>
    <t>ORD-04810</t>
  </si>
  <si>
    <t>ORD-04811</t>
  </si>
  <si>
    <t>ORD-04812</t>
  </si>
  <si>
    <t>ORD-04813</t>
  </si>
  <si>
    <t>ORD-04814</t>
  </si>
  <si>
    <t>ORD-04815</t>
  </si>
  <si>
    <t>ORD-04816</t>
  </si>
  <si>
    <t>ORD-04817</t>
  </si>
  <si>
    <t>ORD-04818</t>
  </si>
  <si>
    <t>ORD-04819</t>
  </si>
  <si>
    <t>ORD-04820</t>
  </si>
  <si>
    <t>ORD-04821</t>
  </si>
  <si>
    <t>ORD-04822</t>
  </si>
  <si>
    <t>ORD-04823</t>
  </si>
  <si>
    <t>ORD-04824</t>
  </si>
  <si>
    <t>ORD-04825</t>
  </si>
  <si>
    <t>ORD-04826</t>
  </si>
  <si>
    <t>ORD-04827</t>
  </si>
  <si>
    <t>ORD-04828</t>
  </si>
  <si>
    <t>ORD-04829</t>
  </si>
  <si>
    <t>ORD-04830</t>
  </si>
  <si>
    <t>ORD-04831</t>
  </si>
  <si>
    <t>ORD-04832</t>
  </si>
  <si>
    <t>ORD-04833</t>
  </si>
  <si>
    <t>ORD-04834</t>
  </si>
  <si>
    <t>ORD-04835</t>
  </si>
  <si>
    <t>ORD-04836</t>
  </si>
  <si>
    <t>ORD-04837</t>
  </si>
  <si>
    <t>ORD-04838</t>
  </si>
  <si>
    <t>ORD-04839</t>
  </si>
  <si>
    <t>ORD-04840</t>
  </si>
  <si>
    <t>ORD-04841</t>
  </si>
  <si>
    <t>ORD-04842</t>
  </si>
  <si>
    <t>ORD-04843</t>
  </si>
  <si>
    <t>ORD-04844</t>
  </si>
  <si>
    <t>ORD-04845</t>
  </si>
  <si>
    <t>ORD-04846</t>
  </si>
  <si>
    <t>ORD-04847</t>
  </si>
  <si>
    <t>ORD-04848</t>
  </si>
  <si>
    <t>ORD-04849</t>
  </si>
  <si>
    <t>ORD-04850</t>
  </si>
  <si>
    <t>ORD-04851</t>
  </si>
  <si>
    <t>ORD-04852</t>
  </si>
  <si>
    <t>ORD-04853</t>
  </si>
  <si>
    <t>ORD-04854</t>
  </si>
  <si>
    <t>ORD-04855</t>
  </si>
  <si>
    <t>ORD-04856</t>
  </si>
  <si>
    <t>ORD-04857</t>
  </si>
  <si>
    <t>ORD-04858</t>
  </si>
  <si>
    <t>ORD-04859</t>
  </si>
  <si>
    <t>ORD-04860</t>
  </si>
  <si>
    <t>ORD-04861</t>
  </si>
  <si>
    <t>ORD-04862</t>
  </si>
  <si>
    <t>ORD-04863</t>
  </si>
  <si>
    <t>ORD-04864</t>
  </si>
  <si>
    <t>ORD-04865</t>
  </si>
  <si>
    <t>ORD-04866</t>
  </si>
  <si>
    <t>ORD-04867</t>
  </si>
  <si>
    <t>ORD-04868</t>
  </si>
  <si>
    <t>ORD-04869</t>
  </si>
  <si>
    <t>ORD-04870</t>
  </si>
  <si>
    <t>ORD-04871</t>
  </si>
  <si>
    <t>ORD-04872</t>
  </si>
  <si>
    <t>ORD-04873</t>
  </si>
  <si>
    <t>ORD-04874</t>
  </si>
  <si>
    <t>ORD-04875</t>
  </si>
  <si>
    <t>ORD-04876</t>
  </si>
  <si>
    <t>ORD-04877</t>
  </si>
  <si>
    <t>ORD-04878</t>
  </si>
  <si>
    <t>ORD-04879</t>
  </si>
  <si>
    <t>ORD-04880</t>
  </si>
  <si>
    <t>ORD-04881</t>
  </si>
  <si>
    <t>ORD-04882</t>
  </si>
  <si>
    <t>ORD-04883</t>
  </si>
  <si>
    <t>ORD-04884</t>
  </si>
  <si>
    <t>ORD-04885</t>
  </si>
  <si>
    <t>ORD-04886</t>
  </si>
  <si>
    <t>ORD-04887</t>
  </si>
  <si>
    <t>ORD-04888</t>
  </si>
  <si>
    <t>ORD-04889</t>
  </si>
  <si>
    <t>ORD-04890</t>
  </si>
  <si>
    <t>ORD-04891</t>
  </si>
  <si>
    <t>ORD-04892</t>
  </si>
  <si>
    <t>ORD-04893</t>
  </si>
  <si>
    <t>ORD-04894</t>
  </si>
  <si>
    <t>ORD-04895</t>
  </si>
  <si>
    <t>ORD-04896</t>
  </si>
  <si>
    <t>ORD-04897</t>
  </si>
  <si>
    <t>ORD-04898</t>
  </si>
  <si>
    <t>ORD-04899</t>
  </si>
  <si>
    <t>ORD-04900</t>
  </si>
  <si>
    <t>ORD-04901</t>
  </si>
  <si>
    <t>ORD-04902</t>
  </si>
  <si>
    <t>ORD-04903</t>
  </si>
  <si>
    <t>ORD-04904</t>
  </si>
  <si>
    <t>ORD-04905</t>
  </si>
  <si>
    <t>ORD-04906</t>
  </si>
  <si>
    <t>ORD-04907</t>
  </si>
  <si>
    <t>ORD-04908</t>
  </si>
  <si>
    <t>ORD-04909</t>
  </si>
  <si>
    <t>ORD-04910</t>
  </si>
  <si>
    <t>ORD-04911</t>
  </si>
  <si>
    <t>ORD-04912</t>
  </si>
  <si>
    <t>ORD-04913</t>
  </si>
  <si>
    <t>ORD-04914</t>
  </si>
  <si>
    <t>ORD-04915</t>
  </si>
  <si>
    <t>ORD-04916</t>
  </si>
  <si>
    <t>ORD-04917</t>
  </si>
  <si>
    <t>ORD-04918</t>
  </si>
  <si>
    <t>ORD-04919</t>
  </si>
  <si>
    <t>ORD-04920</t>
  </si>
  <si>
    <t>ORD-04921</t>
  </si>
  <si>
    <t>ORD-04922</t>
  </si>
  <si>
    <t>ORD-04923</t>
  </si>
  <si>
    <t>ORD-04924</t>
  </si>
  <si>
    <t>ORD-04925</t>
  </si>
  <si>
    <t>ORD-04926</t>
  </si>
  <si>
    <t>ORD-04927</t>
  </si>
  <si>
    <t>ORD-04928</t>
  </si>
  <si>
    <t>ORD-04929</t>
  </si>
  <si>
    <t>ORD-04930</t>
  </si>
  <si>
    <t>ORD-04931</t>
  </si>
  <si>
    <t>ORD-04932</t>
  </si>
  <si>
    <t>ORD-04933</t>
  </si>
  <si>
    <t>ORD-04934</t>
  </si>
  <si>
    <t>ORD-04935</t>
  </si>
  <si>
    <t>ORD-04936</t>
  </si>
  <si>
    <t>ORD-04937</t>
  </si>
  <si>
    <t>ORD-04938</t>
  </si>
  <si>
    <t>ORD-04939</t>
  </si>
  <si>
    <t>ORD-04940</t>
  </si>
  <si>
    <t>ORD-04941</t>
  </si>
  <si>
    <t>ORD-04942</t>
  </si>
  <si>
    <t>ORD-04943</t>
  </si>
  <si>
    <t>ORD-04944</t>
  </si>
  <si>
    <t>ORD-04945</t>
  </si>
  <si>
    <t>ORD-04946</t>
  </si>
  <si>
    <t>ORD-04947</t>
  </si>
  <si>
    <t>ORD-04948</t>
  </si>
  <si>
    <t>ORD-04949</t>
  </si>
  <si>
    <t>ORD-04950</t>
  </si>
  <si>
    <t>ORD-04951</t>
  </si>
  <si>
    <t>ORD-04952</t>
  </si>
  <si>
    <t>ORD-04953</t>
  </si>
  <si>
    <t>ORD-04954</t>
  </si>
  <si>
    <t>ORD-04955</t>
  </si>
  <si>
    <t>ORD-04956</t>
  </si>
  <si>
    <t>ORD-04957</t>
  </si>
  <si>
    <t>ORD-04958</t>
  </si>
  <si>
    <t>ORD-04959</t>
  </si>
  <si>
    <t>ORD-04960</t>
  </si>
  <si>
    <t>ORD-04961</t>
  </si>
  <si>
    <t>ORD-04962</t>
  </si>
  <si>
    <t>ORD-04963</t>
  </si>
  <si>
    <t>ORD-04964</t>
  </si>
  <si>
    <t>ORD-04965</t>
  </si>
  <si>
    <t>ORD-04966</t>
  </si>
  <si>
    <t>ORD-04967</t>
  </si>
  <si>
    <t>ORD-04968</t>
  </si>
  <si>
    <t>ORD-04969</t>
  </si>
  <si>
    <t>ORD-04970</t>
  </si>
  <si>
    <t>ORD-04971</t>
  </si>
  <si>
    <t>ORD-04972</t>
  </si>
  <si>
    <t>ORD-04973</t>
  </si>
  <si>
    <t>ORD-04974</t>
  </si>
  <si>
    <t>ORD-04975</t>
  </si>
  <si>
    <t>ORD-04976</t>
  </si>
  <si>
    <t>ORD-04977</t>
  </si>
  <si>
    <t>ORD-04978</t>
  </si>
  <si>
    <t>ORD-04979</t>
  </si>
  <si>
    <t>ORD-04980</t>
  </si>
  <si>
    <t>ORD-04981</t>
  </si>
  <si>
    <t>ORD-04982</t>
  </si>
  <si>
    <t>ORD-04983</t>
  </si>
  <si>
    <t>ORD-04984</t>
  </si>
  <si>
    <t>ORD-04985</t>
  </si>
  <si>
    <t>ORD-04986</t>
  </si>
  <si>
    <t>ORD-04987</t>
  </si>
  <si>
    <t>ORD-04988</t>
  </si>
  <si>
    <t>ORD-04989</t>
  </si>
  <si>
    <t>ORD-04990</t>
  </si>
  <si>
    <t>ORD-04991</t>
  </si>
  <si>
    <t>ORD-04992</t>
  </si>
  <si>
    <t>ORD-04993</t>
  </si>
  <si>
    <t>ORD-04994</t>
  </si>
  <si>
    <t>ORD-04995</t>
  </si>
  <si>
    <t>ORD-04996</t>
  </si>
  <si>
    <t>ORD-04997</t>
  </si>
  <si>
    <t>ORD-04998</t>
  </si>
  <si>
    <t>ORD-04999</t>
  </si>
  <si>
    <t>ORD-05000</t>
  </si>
  <si>
    <t>A</t>
  </si>
  <si>
    <t>B</t>
  </si>
  <si>
    <t>Orders</t>
  </si>
  <si>
    <t>Average Sales</t>
  </si>
  <si>
    <t>Camera</t>
  </si>
  <si>
    <t>Sum of Sales</t>
  </si>
  <si>
    <t>Grand Total</t>
  </si>
  <si>
    <t>Jan</t>
  </si>
  <si>
    <t>Feb</t>
  </si>
  <si>
    <t>Mar</t>
  </si>
  <si>
    <t>Apr</t>
  </si>
  <si>
    <t>May</t>
  </si>
  <si>
    <t>Jun</t>
  </si>
  <si>
    <t>Jul</t>
  </si>
  <si>
    <t>Aug</t>
  </si>
  <si>
    <t>Sep</t>
  </si>
  <si>
    <t>Oct</t>
  </si>
  <si>
    <t>Nov</t>
  </si>
  <si>
    <t>Dec</t>
  </si>
  <si>
    <t>2025</t>
  </si>
  <si>
    <t>Monthly Sales</t>
  </si>
  <si>
    <t>Sum of Profit</t>
  </si>
  <si>
    <t>Customer</t>
  </si>
  <si>
    <t>Total</t>
  </si>
  <si>
    <t>Total Sales</t>
  </si>
  <si>
    <t>Total Profit</t>
  </si>
  <si>
    <t>Total Orders</t>
  </si>
  <si>
    <t>Profit Margin</t>
  </si>
  <si>
    <t>Sales Performance Dashboard</t>
  </si>
  <si>
    <t>Dashboard Calculations</t>
  </si>
  <si>
    <t>Financial Year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</si>
</sst>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1" formatCode="_ * #,##0_ ;_ * \-#,##0_ ;_ * &quot;-&quot;_ ;_ @_ "/>
    <numFmt numFmtId="173" formatCode="dd/mmm/yyyy"/>
    <numFmt numFmtId="174" formatCode="&quot;₹&quot;\ #,##0"/>
  </numFmts>
  <fonts count="5" x14ac:knownFonts="1">
    <font>
      <sz val="11"/>
      <color theme="1"/>
      <name val="Aptos Narrow"/>
      <family val="2"/>
      <scheme val="minor"/>
    </font>
    <font>
      <b/>
      <sz val="11"/>
      <color theme="1"/>
      <name val="Aptos Narrow"/>
      <family val="2"/>
      <scheme val="minor"/>
    </font>
    <font>
      <i/>
      <sz val="11"/>
      <color theme="1"/>
      <name val="Aptos Narrow"/>
      <family val="2"/>
      <scheme val="minor"/>
    </font>
    <font>
      <b/>
      <sz val="28"/>
      <color theme="0"/>
      <name val="Aptos Narrow"/>
      <family val="2"/>
      <scheme val="minor"/>
    </font>
    <font>
      <b/>
      <sz val="22"/>
      <color theme="1" tint="4.9989318521683403E-2"/>
      <name val="Aptos Narrow"/>
      <family val="2"/>
      <scheme val="minor"/>
    </font>
  </fonts>
  <fills count="4">
    <fill>
      <patternFill patternType="none"/>
    </fill>
    <fill>
      <patternFill patternType="gray125"/>
    </fill>
    <fill>
      <patternFill patternType="solid">
        <fgColor theme="3"/>
        <bgColor indexed="64"/>
      </patternFill>
    </fill>
    <fill>
      <patternFill patternType="solid">
        <fgColor theme="3" tint="0.749992370372631"/>
        <bgColor indexed="64"/>
      </patternFill>
    </fill>
  </fills>
  <borders count="8">
    <border>
      <left/>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diagonal/>
    </border>
    <border>
      <left/>
      <right/>
      <top/>
      <bottom style="medium">
        <color indexed="64"/>
      </bottom>
      <diagonal/>
    </border>
    <border>
      <left style="medium">
        <color indexed="64"/>
      </left>
      <right/>
      <top/>
      <bottom/>
      <diagonal/>
    </border>
  </borders>
  <cellStyleXfs count="1">
    <xf numFmtId="0" fontId="0" fillId="0" borderId="0"/>
  </cellStyleXfs>
  <cellXfs count="27">
    <xf numFmtId="0" fontId="0" fillId="0" borderId="0" xfId="0"/>
    <xf numFmtId="0" fontId="0" fillId="0" borderId="0" xfId="0" applyAlignment="1">
      <alignment vertical="center" wrapText="1"/>
    </xf>
    <xf numFmtId="0" fontId="1" fillId="0" borderId="0" xfId="0" applyFont="1" applyAlignment="1">
      <alignment horizontal="center" vertical="center" wrapText="1"/>
    </xf>
    <xf numFmtId="3" fontId="0" fillId="0" borderId="0" xfId="0" applyNumberFormat="1"/>
    <xf numFmtId="10" fontId="0" fillId="0" borderId="0" xfId="0" applyNumberFormat="1"/>
    <xf numFmtId="15" fontId="0" fillId="0" borderId="0" xfId="0" applyNumberFormat="1"/>
    <xf numFmtId="173" fontId="0" fillId="0" borderId="0" xfId="0" applyNumberFormat="1"/>
    <xf numFmtId="0" fontId="2" fillId="0" borderId="0" xfId="0" applyFont="1" applyAlignment="1">
      <alignment vertical="center" wrapText="1"/>
    </xf>
    <xf numFmtId="4"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41" fontId="0" fillId="0" borderId="0" xfId="0" applyNumberFormat="1"/>
    <xf numFmtId="0" fontId="3" fillId="2" borderId="0" xfId="0" applyFont="1" applyFill="1" applyBorder="1" applyAlignment="1">
      <alignment horizontal="center"/>
    </xf>
    <xf numFmtId="0" fontId="3" fillId="2" borderId="7" xfId="0" applyFont="1" applyFill="1" applyBorder="1" applyAlignment="1">
      <alignment horizontal="center"/>
    </xf>
    <xf numFmtId="0" fontId="1" fillId="3" borderId="1" xfId="0" applyFont="1" applyFill="1" applyBorder="1" applyAlignment="1">
      <alignment horizontal="center"/>
    </xf>
    <xf numFmtId="0" fontId="1" fillId="3" borderId="2" xfId="0" applyFont="1" applyFill="1" applyBorder="1" applyAlignment="1">
      <alignment horizontal="center"/>
    </xf>
    <xf numFmtId="174" fontId="4" fillId="3" borderId="3" xfId="0" applyNumberFormat="1" applyFont="1" applyFill="1" applyBorder="1" applyAlignment="1">
      <alignment horizontal="center"/>
    </xf>
    <xf numFmtId="174" fontId="4" fillId="3" borderId="4" xfId="0" applyNumberFormat="1" applyFont="1" applyFill="1" applyBorder="1" applyAlignment="1">
      <alignment horizontal="center"/>
    </xf>
    <xf numFmtId="3" fontId="4" fillId="3" borderId="3" xfId="0" applyNumberFormat="1" applyFont="1" applyFill="1" applyBorder="1" applyAlignment="1">
      <alignment horizontal="center"/>
    </xf>
    <xf numFmtId="3" fontId="4" fillId="3" borderId="4" xfId="0" applyNumberFormat="1" applyFont="1" applyFill="1" applyBorder="1" applyAlignment="1">
      <alignment horizontal="center"/>
    </xf>
    <xf numFmtId="10" fontId="4" fillId="3" borderId="3" xfId="0" applyNumberFormat="1" applyFont="1" applyFill="1" applyBorder="1" applyAlignment="1">
      <alignment horizontal="center"/>
    </xf>
    <xf numFmtId="10" fontId="4" fillId="3" borderId="4" xfId="0" applyNumberFormat="1" applyFont="1" applyFill="1" applyBorder="1" applyAlignment="1">
      <alignment horizontal="center"/>
    </xf>
    <xf numFmtId="0" fontId="1" fillId="3" borderId="5" xfId="0" applyFont="1" applyFill="1" applyBorder="1" applyAlignment="1">
      <alignment horizontal="center"/>
    </xf>
    <xf numFmtId="10" fontId="4" fillId="3" borderId="6" xfId="0" applyNumberFormat="1" applyFont="1" applyFill="1" applyBorder="1" applyAlignment="1">
      <alignment horizontal="center"/>
    </xf>
    <xf numFmtId="3" fontId="4" fillId="3" borderId="6" xfId="0" applyNumberFormat="1" applyFont="1" applyFill="1" applyBorder="1" applyAlignment="1">
      <alignment horizontal="center"/>
    </xf>
    <xf numFmtId="174" fontId="4" fillId="3" borderId="6" xfId="0" applyNumberFormat="1" applyFont="1" applyFill="1" applyBorder="1" applyAlignment="1">
      <alignment horizontal="center"/>
    </xf>
  </cellXfs>
  <cellStyles count="1">
    <cellStyle name="Normal" xfId="0" builtinId="0"/>
  </cellStyles>
  <dxfs count="16">
    <dxf>
      <numFmt numFmtId="3" formatCode="#,##0"/>
    </dxf>
    <dxf>
      <numFmt numFmtId="3" formatCode="#,##0"/>
    </dxf>
    <dxf>
      <numFmt numFmtId="14" formatCode="0.00%"/>
    </dxf>
    <dxf>
      <alignment horizontal="general" vertical="center" textRotation="0" wrapText="1" indent="0" justifyLastLine="0" shrinkToFit="0" readingOrder="0"/>
    </dxf>
    <dxf>
      <alignment horizontal="general" vertical="center" textRotation="0" wrapText="1" indent="0" justifyLastLine="0" shrinkToFit="0" readingOrder="0"/>
    </dxf>
    <dxf>
      <numFmt numFmtId="14" formatCode="0.00%"/>
    </dxf>
    <dxf>
      <numFmt numFmtId="3" formatCode="#,##0"/>
    </dxf>
    <dxf>
      <numFmt numFmtId="3" formatCode="#,##0"/>
    </dxf>
    <dxf>
      <numFmt numFmtId="3" formatCode="#,##0"/>
    </dxf>
    <dxf>
      <numFmt numFmtId="3" formatCode="#,##0"/>
    </dxf>
    <dxf>
      <numFmt numFmtId="3" formatCode="#,##0"/>
    </dxf>
    <dxf>
      <numFmt numFmtId="3" formatCode="#,##0"/>
    </dxf>
    <dxf>
      <alignment horizontal="general" vertical="center" textRotation="0" wrapText="1" indent="0" justifyLastLine="0" shrinkToFit="0" readingOrder="0"/>
    </dxf>
    <dxf>
      <alignment horizontal="general" vertical="center" textRotation="0" wrapText="1" indent="0" justifyLastLine="0" shrinkToFit="0" readingOrder="0"/>
    </dxf>
    <dxf>
      <numFmt numFmtId="173" formatCode="dd/mmm/yyyy"/>
    </dxf>
    <dxf>
      <numFmt numFmtId="3"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[Project_02_Sales_Performance_Dashboard.xlsx]Pivot!Total Sales by Region</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chemeClr val="tx1"/>
                </a:solidFill>
              </a:rPr>
              <a:t>Sales</a:t>
            </a:r>
            <a:r>
              <a:rPr lang="en-IN" b="1" baseline="0">
                <a:solidFill>
                  <a:schemeClr val="tx1"/>
                </a:solidFill>
              </a:rPr>
              <a:t>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Pivot!$B$3</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Pivot!$A$4:$A$8</c:f>
              <c:strCache>
                <c:ptCount val="4"/>
                <c:pt idx="0">
                  <c:v>West</c:v>
                </c:pt>
                <c:pt idx="1">
                  <c:v>East</c:v>
                </c:pt>
                <c:pt idx="2">
                  <c:v>South</c:v>
                </c:pt>
                <c:pt idx="3">
                  <c:v>North</c:v>
                </c:pt>
              </c:strCache>
            </c:strRef>
          </c:cat>
          <c:val>
            <c:numRef>
              <c:f>Pivot!$B$4:$B$8</c:f>
              <c:numCache>
                <c:formatCode>#,##0</c:formatCode>
                <c:ptCount val="4"/>
                <c:pt idx="0">
                  <c:v>130146740</c:v>
                </c:pt>
                <c:pt idx="1">
                  <c:v>129838857</c:v>
                </c:pt>
                <c:pt idx="2">
                  <c:v>126742357</c:v>
                </c:pt>
                <c:pt idx="3">
                  <c:v>117608269</c:v>
                </c:pt>
              </c:numCache>
            </c:numRef>
          </c:val>
          <c:extLst>
            <c:ext xmlns:c16="http://schemas.microsoft.com/office/drawing/2014/chart" uri="{C3380CC4-5D6E-409C-BE32-E72D297353CC}">
              <c16:uniqueId val="{00000000-4701-4FE8-9E72-9D4A2BD42B2A}"/>
            </c:ext>
          </c:extLst>
        </c:ser>
        <c:dLbls>
          <c:dLblPos val="outEnd"/>
          <c:showLegendKey val="0"/>
          <c:showVal val="1"/>
          <c:showCatName val="0"/>
          <c:showSerName val="0"/>
          <c:showPercent val="0"/>
          <c:showBubbleSize val="0"/>
        </c:dLbls>
        <c:gapWidth val="182"/>
        <c:axId val="1731446687"/>
        <c:axId val="1729075727"/>
      </c:barChart>
      <c:catAx>
        <c:axId val="1731446687"/>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9075727"/>
        <c:crosses val="autoZero"/>
        <c:auto val="1"/>
        <c:lblAlgn val="ctr"/>
        <c:lblOffset val="100"/>
        <c:noMultiLvlLbl val="0"/>
      </c:catAx>
      <c:valAx>
        <c:axId val="1729075727"/>
        <c:scaling>
          <c:orientation val="minMax"/>
        </c:scaling>
        <c:delete val="1"/>
        <c:axPos val="b"/>
        <c:numFmt formatCode="#,##0" sourceLinked="1"/>
        <c:majorTickMark val="out"/>
        <c:minorTickMark val="none"/>
        <c:tickLblPos val="nextTo"/>
        <c:crossAx val="17314466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[Project_02_Sales_Performance_Dashboard.xlsx]Pivot!Total Sales by Product</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Sales</a:t>
            </a:r>
            <a:r>
              <a:rPr lang="en-US" b="1" baseline="0">
                <a:solidFill>
                  <a:schemeClr val="tx1"/>
                </a:solidFill>
              </a:rPr>
              <a:t> by Product</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Pivot!$E$3</c:f>
              <c:strCache>
                <c:ptCount val="1"/>
                <c:pt idx="0">
                  <c:v>Total</c:v>
                </c:pt>
              </c:strCache>
            </c:strRef>
          </c:tx>
          <c:spPr>
            <a:solidFill>
              <a:schemeClr val="accent6"/>
            </a:solidFill>
            <a:ln>
              <a:noFill/>
            </a:ln>
            <a:effectLst/>
          </c:spPr>
          <c:invertIfNegative val="0"/>
          <c:cat>
            <c:strRef>
              <c:f>Pivot!$D$4:$D$12</c:f>
              <c:strCache>
                <c:ptCount val="8"/>
                <c:pt idx="0">
                  <c:v>Laptop</c:v>
                </c:pt>
                <c:pt idx="1">
                  <c:v>Desktop</c:v>
                </c:pt>
                <c:pt idx="2">
                  <c:v>Monitor</c:v>
                </c:pt>
                <c:pt idx="3">
                  <c:v>Printer</c:v>
                </c:pt>
                <c:pt idx="4">
                  <c:v>SSD</c:v>
                </c:pt>
                <c:pt idx="5">
                  <c:v>RAM</c:v>
                </c:pt>
                <c:pt idx="6">
                  <c:v>Keyboard</c:v>
                </c:pt>
                <c:pt idx="7">
                  <c:v>Mouse</c:v>
                </c:pt>
              </c:strCache>
            </c:strRef>
          </c:cat>
          <c:val>
            <c:numRef>
              <c:f>Pivot!$E$4:$E$12</c:f>
              <c:numCache>
                <c:formatCode>#,##0</c:formatCode>
                <c:ptCount val="8"/>
                <c:pt idx="0">
                  <c:v>217582200</c:v>
                </c:pt>
                <c:pt idx="1">
                  <c:v>184773100</c:v>
                </c:pt>
                <c:pt idx="2">
                  <c:v>36216970</c:v>
                </c:pt>
                <c:pt idx="3">
                  <c:v>33166350</c:v>
                </c:pt>
                <c:pt idx="4">
                  <c:v>14091168</c:v>
                </c:pt>
                <c:pt idx="5">
                  <c:v>11713775</c:v>
                </c:pt>
                <c:pt idx="6">
                  <c:v>4046670</c:v>
                </c:pt>
                <c:pt idx="7">
                  <c:v>2745990</c:v>
                </c:pt>
              </c:numCache>
            </c:numRef>
          </c:val>
          <c:extLst>
            <c:ext xmlns:c16="http://schemas.microsoft.com/office/drawing/2014/chart" uri="{C3380CC4-5D6E-409C-BE32-E72D297353CC}">
              <c16:uniqueId val="{00000000-DFEE-49BC-9FD7-AD0038E43CFB}"/>
            </c:ext>
          </c:extLst>
        </c:ser>
        <c:dLbls>
          <c:showLegendKey val="0"/>
          <c:showVal val="0"/>
          <c:showCatName val="0"/>
          <c:showSerName val="0"/>
          <c:showPercent val="0"/>
          <c:showBubbleSize val="0"/>
        </c:dLbls>
        <c:gapWidth val="219"/>
        <c:overlap val="-27"/>
        <c:axId val="1731974607"/>
        <c:axId val="1729074287"/>
      </c:barChart>
      <c:catAx>
        <c:axId val="17319746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9074287"/>
        <c:crosses val="autoZero"/>
        <c:auto val="1"/>
        <c:lblAlgn val="ctr"/>
        <c:lblOffset val="100"/>
        <c:noMultiLvlLbl val="0"/>
      </c:catAx>
      <c:valAx>
        <c:axId val="1729074287"/>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19746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[Project_02_Sales_Performance_Dashboard.xlsx]Pivot!Total Sales by Salesperson</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Sales</a:t>
            </a:r>
            <a:r>
              <a:rPr lang="en-US" b="1" baseline="0">
                <a:solidFill>
                  <a:schemeClr val="tx1"/>
                </a:solidFill>
              </a:rPr>
              <a:t> by Salesperson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Pivot!$H$3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Pivot!$G$4:$G$10</c:f>
              <c:strCache>
                <c:ptCount val="6"/>
                <c:pt idx="0">
                  <c:v>Sneha Patel</c:v>
                </c:pt>
                <c:pt idx="1">
                  <c:v>Rahul Sharma</c:v>
                </c:pt>
                <c:pt idx="2">
                  <c:v>Neha Verma</c:v>
                </c:pt>
                <c:pt idx="3">
                  <c:v>Ahmed Khan</c:v>
                </c:pt>
                <c:pt idx="4">
                  <c:v>Priya Nair</c:v>
                </c:pt>
                <c:pt idx="5">
                  <c:v>Arjun Menon</c:v>
                </c:pt>
              </c:strCache>
            </c:strRef>
          </c:cat>
          <c:val>
            <c:numRef>
              <c:f>Pivot!$H$4:$H$10</c:f>
              <c:numCache>
                <c:formatCode>#,##0</c:formatCode>
                <c:ptCount val="6"/>
                <c:pt idx="0">
                  <c:v>87439775</c:v>
                </c:pt>
                <c:pt idx="1">
                  <c:v>86796666</c:v>
                </c:pt>
                <c:pt idx="2">
                  <c:v>86078048</c:v>
                </c:pt>
                <c:pt idx="3">
                  <c:v>85963323</c:v>
                </c:pt>
                <c:pt idx="4">
                  <c:v>81016208</c:v>
                </c:pt>
                <c:pt idx="5">
                  <c:v>77042203</c:v>
                </c:pt>
              </c:numCache>
            </c:numRef>
          </c:val>
          <c:extLst>
            <c:ext xmlns:c16="http://schemas.microsoft.com/office/drawing/2014/chart" uri="{C3380CC4-5D6E-409C-BE32-E72D297353CC}">
              <c16:uniqueId val="{00000000-9CA3-4238-8B50-4301364925D3}"/>
            </c:ext>
          </c:extLst>
        </c:ser>
        <c:dLbls>
          <c:dLblPos val="outEnd"/>
          <c:showLegendKey val="0"/>
          <c:showVal val="1"/>
          <c:showCatName val="0"/>
          <c:showSerName val="0"/>
          <c:showPercent val="0"/>
          <c:showBubbleSize val="0"/>
        </c:dLbls>
        <c:gapWidth val="182"/>
        <c:axId val="1427289071"/>
        <c:axId val="1729065167"/>
      </c:barChart>
      <c:catAx>
        <c:axId val="142728907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9065167"/>
        <c:crosses val="autoZero"/>
        <c:auto val="1"/>
        <c:lblAlgn val="ctr"/>
        <c:lblOffset val="100"/>
        <c:noMultiLvlLbl val="0"/>
      </c:catAx>
      <c:valAx>
        <c:axId val="1729065167"/>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72890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[Project_02_Sales_Performance_Dashboard.xlsx]Pivot!Monthly SalesTrend</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Monthly</a:t>
            </a:r>
            <a:r>
              <a:rPr lang="en-US" b="1" baseline="0">
                <a:solidFill>
                  <a:schemeClr val="tx1"/>
                </a:solidFill>
              </a:rPr>
              <a:t> Sales</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Pivot!$K$3</c:f>
              <c:strCache>
                <c:ptCount val="1"/>
                <c:pt idx="0">
                  <c:v>Total</c:v>
                </c:pt>
              </c:strCache>
            </c:strRef>
          </c:tx>
          <c:spPr>
            <a:ln w="28575" cap="rnd">
              <a:solidFill>
                <a:schemeClr val="accent2"/>
              </a:solidFill>
              <a:round/>
            </a:ln>
            <a:effectLst/>
          </c:spPr>
          <c:marker>
            <c:symbol val="none"/>
          </c:marker>
          <c:cat>
            <c:multiLvlStrRef>
              <c:f>Pivot!$J$4:$J$17</c:f>
              <c:multiLvlStrCache>
                <c:ptCount val="12"/>
                <c:lvl>
                  <c:pt idx="0">
                    <c:v>Jan</c:v>
                  </c:pt>
                  <c:pt idx="1">
                    <c:v>Feb</c:v>
                  </c:pt>
                  <c:pt idx="2">
                    <c:v>Mar</c:v>
                  </c:pt>
                  <c:pt idx="3">
                    <c:v>Apr</c:v>
                  </c:pt>
                  <c:pt idx="4">
                    <c:v>May</c:v>
                  </c:pt>
                  <c:pt idx="5">
                    <c:v>Jun</c:v>
                  </c:pt>
                  <c:pt idx="6">
                    <c:v>Jul</c:v>
                  </c:pt>
                  <c:pt idx="7">
                    <c:v>Aug</c:v>
                  </c:pt>
                  <c:pt idx="8">
                    <c:v>Sep</c:v>
                  </c:pt>
                  <c:pt idx="9">
                    <c:v>Oct</c:v>
                  </c:pt>
                  <c:pt idx="10">
                    <c:v>Nov</c:v>
                  </c:pt>
                  <c:pt idx="11">
                    <c:v>Dec</c:v>
                  </c:pt>
                </c:lvl>
                <c:lvl>
                  <c:pt idx="0">
                    <c:v>2025</c:v>
                  </c:pt>
                </c:lvl>
              </c:multiLvlStrCache>
            </c:multiLvlStrRef>
          </c:cat>
          <c:val>
            <c:numRef>
              <c:f>Pivot!$K$4:$K$17</c:f>
              <c:numCache>
                <c:formatCode>_(* #,##0_);_(* \(#,##0\);_(* "-"_);_(@_)</c:formatCode>
                <c:ptCount val="12"/>
                <c:pt idx="0">
                  <c:v>41650427</c:v>
                </c:pt>
                <c:pt idx="1">
                  <c:v>40013397</c:v>
                </c:pt>
                <c:pt idx="2">
                  <c:v>48926680</c:v>
                </c:pt>
                <c:pt idx="3">
                  <c:v>41773493</c:v>
                </c:pt>
                <c:pt idx="4">
                  <c:v>42188315</c:v>
                </c:pt>
                <c:pt idx="5">
                  <c:v>35067681</c:v>
                </c:pt>
                <c:pt idx="6">
                  <c:v>42995416</c:v>
                </c:pt>
                <c:pt idx="7">
                  <c:v>43982280</c:v>
                </c:pt>
                <c:pt idx="8">
                  <c:v>44691400</c:v>
                </c:pt>
                <c:pt idx="9">
                  <c:v>48485294</c:v>
                </c:pt>
                <c:pt idx="10">
                  <c:v>44924233</c:v>
                </c:pt>
                <c:pt idx="11">
                  <c:v>29637607</c:v>
                </c:pt>
              </c:numCache>
            </c:numRef>
          </c:val>
          <c:smooth val="0"/>
          <c:extLst>
            <c:ext xmlns:c16="http://schemas.microsoft.com/office/drawing/2014/chart" uri="{C3380CC4-5D6E-409C-BE32-E72D297353CC}">
              <c16:uniqueId val="{00000000-7FFA-441B-8B2C-A71A9C7E4F44}"/>
            </c:ext>
          </c:extLst>
        </c:ser>
        <c:dLbls>
          <c:showLegendKey val="0"/>
          <c:showVal val="0"/>
          <c:showCatName val="0"/>
          <c:showSerName val="0"/>
          <c:showPercent val="0"/>
          <c:showBubbleSize val="0"/>
        </c:dLbls>
        <c:smooth val="0"/>
        <c:axId val="1730550367"/>
        <c:axId val="1729042607"/>
      </c:lineChart>
      <c:catAx>
        <c:axId val="17305503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9042607"/>
        <c:crosses val="autoZero"/>
        <c:auto val="1"/>
        <c:lblAlgn val="ctr"/>
        <c:lblOffset val="100"/>
        <c:noMultiLvlLbl val="0"/>
      </c:catAx>
      <c:valAx>
        <c:axId val="1729042607"/>
        <c:scaling>
          <c:orientation val="minMax"/>
        </c:scaling>
        <c:delete val="0"/>
        <c:axPos val="l"/>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05503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[Project_02_Sales_Performance_Dashboard.xlsx]Pivot!Profit by Product</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Profit</a:t>
            </a:r>
            <a:r>
              <a:rPr lang="en-US" b="1" baseline="0">
                <a:solidFill>
                  <a:schemeClr val="tx1"/>
                </a:solidFill>
              </a:rPr>
              <a:t> by Product</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Pivot!$N$3</c:f>
              <c:strCache>
                <c:ptCount val="1"/>
                <c:pt idx="0">
                  <c:v>Total</c:v>
                </c:pt>
              </c:strCache>
            </c:strRef>
          </c:tx>
          <c:spPr>
            <a:solidFill>
              <a:schemeClr val="accent6"/>
            </a:solidFill>
            <a:ln>
              <a:noFill/>
            </a:ln>
            <a:effectLst/>
          </c:spPr>
          <c:invertIfNegative val="0"/>
          <c:cat>
            <c:strRef>
              <c:f>Pivot!$M$4:$M$12</c:f>
              <c:strCache>
                <c:ptCount val="8"/>
                <c:pt idx="0">
                  <c:v>Laptop</c:v>
                </c:pt>
                <c:pt idx="1">
                  <c:v>Desktop</c:v>
                </c:pt>
                <c:pt idx="2">
                  <c:v>Monitor</c:v>
                </c:pt>
                <c:pt idx="3">
                  <c:v>Printer</c:v>
                </c:pt>
                <c:pt idx="4">
                  <c:v>SSD</c:v>
                </c:pt>
                <c:pt idx="5">
                  <c:v>RAM</c:v>
                </c:pt>
                <c:pt idx="6">
                  <c:v>Keyboard</c:v>
                </c:pt>
                <c:pt idx="7">
                  <c:v>Mouse</c:v>
                </c:pt>
              </c:strCache>
            </c:strRef>
          </c:cat>
          <c:val>
            <c:numRef>
              <c:f>Pivot!$N$4:$N$12</c:f>
              <c:numCache>
                <c:formatCode>#,##0</c:formatCode>
                <c:ptCount val="8"/>
                <c:pt idx="0">
                  <c:v>53152200</c:v>
                </c:pt>
                <c:pt idx="1">
                  <c:v>45199100</c:v>
                </c:pt>
                <c:pt idx="2">
                  <c:v>8829970</c:v>
                </c:pt>
                <c:pt idx="3">
                  <c:v>8057350</c:v>
                </c:pt>
                <c:pt idx="4">
                  <c:v>3470368</c:v>
                </c:pt>
                <c:pt idx="5">
                  <c:v>2893775</c:v>
                </c:pt>
                <c:pt idx="6">
                  <c:v>988470</c:v>
                </c:pt>
                <c:pt idx="7">
                  <c:v>657990</c:v>
                </c:pt>
              </c:numCache>
            </c:numRef>
          </c:val>
          <c:extLst>
            <c:ext xmlns:c16="http://schemas.microsoft.com/office/drawing/2014/chart" uri="{C3380CC4-5D6E-409C-BE32-E72D297353CC}">
              <c16:uniqueId val="{00000000-7387-4545-8326-650EB0C40212}"/>
            </c:ext>
          </c:extLst>
        </c:ser>
        <c:dLbls>
          <c:showLegendKey val="0"/>
          <c:showVal val="0"/>
          <c:showCatName val="0"/>
          <c:showSerName val="0"/>
          <c:showPercent val="0"/>
          <c:showBubbleSize val="0"/>
        </c:dLbls>
        <c:gapWidth val="219"/>
        <c:overlap val="-27"/>
        <c:axId val="1775696239"/>
        <c:axId val="1729035887"/>
      </c:barChart>
      <c:catAx>
        <c:axId val="17756962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9035887"/>
        <c:crosses val="autoZero"/>
        <c:auto val="1"/>
        <c:lblAlgn val="ctr"/>
        <c:lblOffset val="100"/>
        <c:noMultiLvlLbl val="0"/>
      </c:catAx>
      <c:valAx>
        <c:axId val="1729035887"/>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56962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[Project_02_Sales_Performance_Dashboard.xlsx]Pivot!Top 10 Customers</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Top</a:t>
            </a:r>
            <a:r>
              <a:rPr lang="en-US" b="1" baseline="0">
                <a:solidFill>
                  <a:schemeClr val="tx1"/>
                </a:solidFill>
              </a:rPr>
              <a:t> 10 Customers</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Pivot!$Q$3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Pivot!$P$4:$P$14</c:f>
              <c:strCache>
                <c:ptCount val="10"/>
                <c:pt idx="0">
                  <c:v>Customer 146</c:v>
                </c:pt>
                <c:pt idx="1">
                  <c:v>Customer 052</c:v>
                </c:pt>
                <c:pt idx="2">
                  <c:v>Customer 075</c:v>
                </c:pt>
                <c:pt idx="3">
                  <c:v>Customer 053</c:v>
                </c:pt>
                <c:pt idx="4">
                  <c:v>Customer 051</c:v>
                </c:pt>
                <c:pt idx="5">
                  <c:v>Customer 036</c:v>
                </c:pt>
                <c:pt idx="6">
                  <c:v>Customer 047</c:v>
                </c:pt>
                <c:pt idx="7">
                  <c:v>Customer 061</c:v>
                </c:pt>
                <c:pt idx="8">
                  <c:v>Customer 006</c:v>
                </c:pt>
                <c:pt idx="9">
                  <c:v>Customer 124</c:v>
                </c:pt>
              </c:strCache>
            </c:strRef>
          </c:cat>
          <c:val>
            <c:numRef>
              <c:f>Pivot!$Q$4:$Q$14</c:f>
              <c:numCache>
                <c:formatCode>#,##0</c:formatCode>
                <c:ptCount val="10"/>
                <c:pt idx="0">
                  <c:v>6748684</c:v>
                </c:pt>
                <c:pt idx="1">
                  <c:v>6026428</c:v>
                </c:pt>
                <c:pt idx="2">
                  <c:v>5973199</c:v>
                </c:pt>
                <c:pt idx="3">
                  <c:v>5935821</c:v>
                </c:pt>
                <c:pt idx="4">
                  <c:v>5680290</c:v>
                </c:pt>
                <c:pt idx="5">
                  <c:v>5082726</c:v>
                </c:pt>
                <c:pt idx="6">
                  <c:v>4832134</c:v>
                </c:pt>
                <c:pt idx="7">
                  <c:v>4828632</c:v>
                </c:pt>
                <c:pt idx="8">
                  <c:v>4753987</c:v>
                </c:pt>
                <c:pt idx="9">
                  <c:v>4673148</c:v>
                </c:pt>
              </c:numCache>
            </c:numRef>
          </c:val>
          <c:extLst>
            <c:ext xmlns:c16="http://schemas.microsoft.com/office/drawing/2014/chart" uri="{C3380CC4-5D6E-409C-BE32-E72D297353CC}">
              <c16:uniqueId val="{00000000-9482-4A61-B68A-71DF2E4CC1DF}"/>
            </c:ext>
          </c:extLst>
        </c:ser>
        <c:dLbls>
          <c:dLblPos val="outEnd"/>
          <c:showLegendKey val="0"/>
          <c:showVal val="1"/>
          <c:showCatName val="0"/>
          <c:showSerName val="0"/>
          <c:showPercent val="0"/>
          <c:showBubbleSize val="0"/>
        </c:dLbls>
        <c:gapWidth val="182"/>
        <c:axId val="1767857455"/>
        <c:axId val="1729053647"/>
      </c:barChart>
      <c:catAx>
        <c:axId val="176785745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9053647"/>
        <c:crosses val="autoZero"/>
        <c:auto val="1"/>
        <c:lblAlgn val="ctr"/>
        <c:lblOffset val="100"/>
        <c:noMultiLvlLbl val="0"/>
      </c:catAx>
      <c:valAx>
        <c:axId val="1729053647"/>
        <c:scaling>
          <c:orientation val="minMax"/>
        </c:scaling>
        <c:delete val="1"/>
        <c:axPos val="b"/>
        <c:numFmt formatCode="#,##0" sourceLinked="1"/>
        <c:majorTickMark val="none"/>
        <c:minorTickMark val="none"/>
        <c:tickLblPos val="nextTo"/>
        <c:crossAx val="17678574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5</xdr:row>
      <xdr:rowOff>0</xdr:rowOff>
    </xdr:from>
    <xdr:to>
      <xdr:col>7</xdr:col>
      <xdr:colOff>525780</xdr:colOff>
      <xdr:row>15</xdr:row>
      <xdr:rowOff>7620</xdr:rowOff>
    </xdr:to>
    <xdr:graphicFrame macro="">
      <xdr:nvGraphicFramePr>
        <xdr:cNvPr id="5" name="Chart 4">
          <a:extLst>
            <a:ext uri="{FF2B5EF4-FFF2-40B4-BE49-F238E27FC236}">
              <a16:creationId xmlns:a16="http://schemas.microsoft.com/office/drawing/2014/main" id="{5F061CF6-021B-4916-ACBB-0B9C86E687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0</xdr:colOff>
      <xdr:row>5</xdr:row>
      <xdr:rowOff>0</xdr:rowOff>
    </xdr:from>
    <xdr:to>
      <xdr:col>16</xdr:col>
      <xdr:colOff>7620</xdr:colOff>
      <xdr:row>15</xdr:row>
      <xdr:rowOff>22860</xdr:rowOff>
    </xdr:to>
    <xdr:graphicFrame macro="">
      <xdr:nvGraphicFramePr>
        <xdr:cNvPr id="6" name="Chart 5">
          <a:extLst>
            <a:ext uri="{FF2B5EF4-FFF2-40B4-BE49-F238E27FC236}">
              <a16:creationId xmlns:a16="http://schemas.microsoft.com/office/drawing/2014/main" id="{6FED8788-09F8-475F-AD5D-4A14CE8290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16</xdr:row>
      <xdr:rowOff>0</xdr:rowOff>
    </xdr:from>
    <xdr:to>
      <xdr:col>7</xdr:col>
      <xdr:colOff>518160</xdr:colOff>
      <xdr:row>26</xdr:row>
      <xdr:rowOff>0</xdr:rowOff>
    </xdr:to>
    <xdr:graphicFrame macro="">
      <xdr:nvGraphicFramePr>
        <xdr:cNvPr id="7" name="Chart 6">
          <a:extLst>
            <a:ext uri="{FF2B5EF4-FFF2-40B4-BE49-F238E27FC236}">
              <a16:creationId xmlns:a16="http://schemas.microsoft.com/office/drawing/2014/main" id="{8739C5E5-2782-4714-A117-14F3F435E7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0</xdr:colOff>
      <xdr:row>16</xdr:row>
      <xdr:rowOff>0</xdr:rowOff>
    </xdr:from>
    <xdr:to>
      <xdr:col>16</xdr:col>
      <xdr:colOff>15240</xdr:colOff>
      <xdr:row>25</xdr:row>
      <xdr:rowOff>175260</xdr:rowOff>
    </xdr:to>
    <xdr:graphicFrame macro="">
      <xdr:nvGraphicFramePr>
        <xdr:cNvPr id="8" name="Chart 7">
          <a:extLst>
            <a:ext uri="{FF2B5EF4-FFF2-40B4-BE49-F238E27FC236}">
              <a16:creationId xmlns:a16="http://schemas.microsoft.com/office/drawing/2014/main" id="{EA4657F6-1FD1-4539-9CE3-CFD6D42097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27</xdr:row>
      <xdr:rowOff>0</xdr:rowOff>
    </xdr:from>
    <xdr:to>
      <xdr:col>7</xdr:col>
      <xdr:colOff>533400</xdr:colOff>
      <xdr:row>39</xdr:row>
      <xdr:rowOff>106680</xdr:rowOff>
    </xdr:to>
    <xdr:graphicFrame macro="">
      <xdr:nvGraphicFramePr>
        <xdr:cNvPr id="9" name="Chart 8">
          <a:extLst>
            <a:ext uri="{FF2B5EF4-FFF2-40B4-BE49-F238E27FC236}">
              <a16:creationId xmlns:a16="http://schemas.microsoft.com/office/drawing/2014/main" id="{61F1D827-6D13-41EB-83DB-B773622103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0</xdr:colOff>
      <xdr:row>27</xdr:row>
      <xdr:rowOff>0</xdr:rowOff>
    </xdr:from>
    <xdr:to>
      <xdr:col>16</xdr:col>
      <xdr:colOff>30480</xdr:colOff>
      <xdr:row>39</xdr:row>
      <xdr:rowOff>91440</xdr:rowOff>
    </xdr:to>
    <xdr:graphicFrame macro="">
      <xdr:nvGraphicFramePr>
        <xdr:cNvPr id="10" name="Chart 9">
          <a:extLst>
            <a:ext uri="{FF2B5EF4-FFF2-40B4-BE49-F238E27FC236}">
              <a16:creationId xmlns:a16="http://schemas.microsoft.com/office/drawing/2014/main" id="{A363A860-F3A9-41EE-A95B-63DE4D84D5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16</xdr:col>
      <xdr:colOff>272143</xdr:colOff>
      <xdr:row>5</xdr:row>
      <xdr:rowOff>54428</xdr:rowOff>
    </xdr:from>
    <xdr:to>
      <xdr:col>19</xdr:col>
      <xdr:colOff>272143</xdr:colOff>
      <xdr:row>13</xdr:row>
      <xdr:rowOff>130628</xdr:rowOff>
    </xdr:to>
    <mc:AlternateContent xmlns:mc="http://schemas.openxmlformats.org/markup-compatibility/2006">
      <mc:Choice xmlns:a14="http://schemas.microsoft.com/office/drawing/2010/main" Requires="a14">
        <xdr:graphicFrame macro="">
          <xdr:nvGraphicFramePr>
            <xdr:cNvPr id="12" name="Region">
              <a:extLst>
                <a:ext uri="{FF2B5EF4-FFF2-40B4-BE49-F238E27FC236}">
                  <a16:creationId xmlns:a16="http://schemas.microsoft.com/office/drawing/2014/main" id="{0D4176E3-B95E-48F2-BC17-076D118C8BEC}"/>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0025743" y="1730828"/>
              <a:ext cx="1828800" cy="155665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566057</xdr:colOff>
      <xdr:row>5</xdr:row>
      <xdr:rowOff>74024</xdr:rowOff>
    </xdr:from>
    <xdr:to>
      <xdr:col>22</xdr:col>
      <xdr:colOff>566057</xdr:colOff>
      <xdr:row>13</xdr:row>
      <xdr:rowOff>167640</xdr:rowOff>
    </xdr:to>
    <mc:AlternateContent xmlns:mc="http://schemas.openxmlformats.org/markup-compatibility/2006">
      <mc:Choice xmlns:a14="http://schemas.microsoft.com/office/drawing/2010/main" Requires="a14">
        <xdr:graphicFrame macro="">
          <xdr:nvGraphicFramePr>
            <xdr:cNvPr id="13" name="Product">
              <a:extLst>
                <a:ext uri="{FF2B5EF4-FFF2-40B4-BE49-F238E27FC236}">
                  <a16:creationId xmlns:a16="http://schemas.microsoft.com/office/drawing/2014/main" id="{65517150-B99E-4FB3-9038-3D1F09D7C158}"/>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12148457" y="1750424"/>
              <a:ext cx="1828800" cy="157407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563880</xdr:colOff>
      <xdr:row>14</xdr:row>
      <xdr:rowOff>91441</xdr:rowOff>
    </xdr:from>
    <xdr:to>
      <xdr:col>22</xdr:col>
      <xdr:colOff>563880</xdr:colOff>
      <xdr:row>23</xdr:row>
      <xdr:rowOff>45721</xdr:rowOff>
    </xdr:to>
    <mc:AlternateContent xmlns:mc="http://schemas.openxmlformats.org/markup-compatibility/2006">
      <mc:Choice xmlns:a14="http://schemas.microsoft.com/office/drawing/2010/main" Requires="a14">
        <xdr:graphicFrame macro="">
          <xdr:nvGraphicFramePr>
            <xdr:cNvPr id="14" name="Months (Order Date)">
              <a:extLst>
                <a:ext uri="{FF2B5EF4-FFF2-40B4-BE49-F238E27FC236}">
                  <a16:creationId xmlns:a16="http://schemas.microsoft.com/office/drawing/2014/main" id="{0EB43598-9DAD-4BC5-BF31-96834EC673E7}"/>
                </a:ext>
              </a:extLst>
            </xdr:cNvPr>
            <xdr:cNvGraphicFramePr/>
          </xdr:nvGraphicFramePr>
          <xdr:xfrm>
            <a:off x="0" y="0"/>
            <a:ext cx="0" cy="0"/>
          </xdr:xfrm>
          <a:graphic>
            <a:graphicData uri="http://schemas.microsoft.com/office/drawing/2010/slicer">
              <sle:slicer xmlns:sle="http://schemas.microsoft.com/office/drawing/2010/slicer" name="Months (Order Date)"/>
            </a:graphicData>
          </a:graphic>
        </xdr:graphicFrame>
      </mc:Choice>
      <mc:Fallback>
        <xdr:sp macro="" textlink="">
          <xdr:nvSpPr>
            <xdr:cNvPr id="0" name=""/>
            <xdr:cNvSpPr>
              <a:spLocks noTextEdit="1"/>
            </xdr:cNvSpPr>
          </xdr:nvSpPr>
          <xdr:spPr>
            <a:xfrm>
              <a:off x="12146280" y="3433355"/>
              <a:ext cx="1828800" cy="161979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274320</xdr:colOff>
      <xdr:row>14</xdr:row>
      <xdr:rowOff>106681</xdr:rowOff>
    </xdr:from>
    <xdr:to>
      <xdr:col>19</xdr:col>
      <xdr:colOff>274320</xdr:colOff>
      <xdr:row>23</xdr:row>
      <xdr:rowOff>53341</xdr:rowOff>
    </xdr:to>
    <mc:AlternateContent xmlns:mc="http://schemas.openxmlformats.org/markup-compatibility/2006">
      <mc:Choice xmlns:a14="http://schemas.microsoft.com/office/drawing/2010/main" Requires="a14">
        <xdr:graphicFrame macro="">
          <xdr:nvGraphicFramePr>
            <xdr:cNvPr id="15" name="Salesperson">
              <a:extLst>
                <a:ext uri="{FF2B5EF4-FFF2-40B4-BE49-F238E27FC236}">
                  <a16:creationId xmlns:a16="http://schemas.microsoft.com/office/drawing/2014/main" id="{F3A33D72-8CB2-4E10-801D-033ABCE4D7C6}"/>
                </a:ext>
              </a:extLst>
            </xdr:cNvPr>
            <xdr:cNvGraphicFramePr/>
          </xdr:nvGraphicFramePr>
          <xdr:xfrm>
            <a:off x="0" y="0"/>
            <a:ext cx="0" cy="0"/>
          </xdr:xfrm>
          <a:graphic>
            <a:graphicData uri="http://schemas.microsoft.com/office/drawing/2010/slicer">
              <sle:slicer xmlns:sle="http://schemas.microsoft.com/office/drawing/2010/slicer" name="Salesperson"/>
            </a:graphicData>
          </a:graphic>
        </xdr:graphicFrame>
      </mc:Choice>
      <mc:Fallback>
        <xdr:sp macro="" textlink="">
          <xdr:nvSpPr>
            <xdr:cNvPr id="0" name=""/>
            <xdr:cNvSpPr>
              <a:spLocks noTextEdit="1"/>
            </xdr:cNvSpPr>
          </xdr:nvSpPr>
          <xdr:spPr>
            <a:xfrm>
              <a:off x="10027920" y="3448595"/>
              <a:ext cx="1828800" cy="16121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abeeb" refreshedDate="46239.241067013892" createdVersion="8" refreshedVersion="8" minRefreshableVersion="3" recordCount="5000" xr:uid="{A95A972F-DD6C-411A-A09B-C5D0868A7ED1}">
  <cacheSource type="worksheet">
    <worksheetSource name="tblSales"/>
  </cacheSource>
  <cacheFields count="16">
    <cacheField name="Order Date" numFmtId="173">
      <sharedItems containsSemiMixedTypes="0" containsNonDate="0" containsDate="1" containsString="0" minDate="2025-01-01T00:00:00" maxDate="2025-12-25T00:00:00" count="358">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5T00:00:00"/>
        <d v="2025-02-16T00:00:00"/>
        <d v="2025-02-17T00:00:00"/>
        <d v="2025-02-18T00:00:00"/>
        <d v="2025-02-19T00:00:00"/>
        <d v="2025-02-20T00:00:00"/>
        <d v="2025-02-21T00:00:00"/>
        <d v="2025-02-22T00:00:00"/>
        <d v="2025-02-23T00:00:00"/>
        <d v="2025-02-24T00:00:00"/>
        <d v="2025-02-25T00:00:00"/>
        <d v="2025-02-26T00:00:00"/>
        <d v="2025-02-27T00:00:00"/>
        <d v="2025-02-28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6T00:00:00"/>
        <d v="2025-03-17T00:00:00"/>
        <d v="2025-03-18T00:00:00"/>
        <d v="2025-03-19T00:00:00"/>
        <d v="2025-03-20T00:00:00"/>
        <d v="2025-03-21T00:00:00"/>
        <d v="2025-03-22T00:00:00"/>
        <d v="2025-03-23T00:00:00"/>
        <d v="2025-03-24T00:00:00"/>
        <d v="2025-03-25T00:00:00"/>
        <d v="2025-03-26T00:00:00"/>
        <d v="2025-03-27T00:00:00"/>
        <d v="2025-03-28T00:00:00"/>
        <d v="2025-03-29T00:00:00"/>
        <d v="2025-03-30T00:00:00"/>
        <d v="2025-03-31T00:00:00"/>
        <d v="2025-04-01T00:00:00"/>
        <d v="2025-04-02T00:00:00"/>
        <d v="2025-04-03T00:00:00"/>
        <d v="2025-04-04T00:00:00"/>
        <d v="2025-04-05T00:00:00"/>
        <d v="2025-04-06T00:00:00"/>
        <d v="2025-04-07T00:00:00"/>
        <d v="2025-04-08T00:00:00"/>
        <d v="2025-04-09T00:00:00"/>
        <d v="2025-04-10T00:00:00"/>
        <d v="2025-04-11T00:00:00"/>
        <d v="2025-04-12T00:00:00"/>
        <d v="2025-04-13T00:00:00"/>
        <d v="2025-04-14T00:00:00"/>
        <d v="2025-04-15T00:00:00"/>
        <d v="2025-04-16T00:00:00"/>
        <d v="2025-04-17T00:00:00"/>
        <d v="2025-04-18T00:00:00"/>
        <d v="2025-04-19T00:00:00"/>
        <d v="2025-04-20T00:00:00"/>
        <d v="2025-04-21T00:00:00"/>
        <d v="2025-04-22T00:00:00"/>
        <d v="2025-04-23T00:00:00"/>
        <d v="2025-04-24T00:00:00"/>
        <d v="2025-04-25T00:00:00"/>
        <d v="2025-04-26T00:00:00"/>
        <d v="2025-04-27T00:00:00"/>
        <d v="2025-04-28T00:00:00"/>
        <d v="2025-04-29T00:00:00"/>
        <d v="2025-04-30T00:00:00"/>
        <d v="2025-05-01T00:00:00"/>
        <d v="2025-05-02T00:00:00"/>
        <d v="2025-05-03T00:00:00"/>
        <d v="2025-05-04T00:00:00"/>
        <d v="2025-05-05T00:00:00"/>
        <d v="2025-05-06T00:00:00"/>
        <d v="2025-05-07T00:00:00"/>
        <d v="2025-05-08T00:00:00"/>
        <d v="2025-05-09T00:00:00"/>
        <d v="2025-05-10T00:00:00"/>
        <d v="2025-05-11T00:00:00"/>
        <d v="2025-05-12T00:00:00"/>
        <d v="2025-05-13T00:00:00"/>
        <d v="2025-05-14T00:00:00"/>
        <d v="2025-05-15T00:00:00"/>
        <d v="2025-05-16T00:00:00"/>
        <d v="2025-05-17T00:00:00"/>
        <d v="2025-05-18T00:00:00"/>
        <d v="2025-05-19T00:00:00"/>
        <d v="2025-05-20T00:00:00"/>
        <d v="2025-05-21T00:00:00"/>
        <d v="2025-05-22T00:00:00"/>
        <d v="2025-05-23T00:00:00"/>
        <d v="2025-05-24T00:00:00"/>
        <d v="2025-05-25T00:00:00"/>
        <d v="2025-05-26T00:00:00"/>
        <d v="2025-05-27T00:00:00"/>
        <d v="2025-05-28T00:00:00"/>
        <d v="2025-05-29T00:00:00"/>
        <d v="2025-05-30T00:00:00"/>
        <d v="2025-05-31T00:00:00"/>
        <d v="2025-06-01T00:00:00"/>
        <d v="2025-06-02T00:00:00"/>
        <d v="2025-06-03T00:00:00"/>
        <d v="2025-06-04T00:00:00"/>
        <d v="2025-06-05T00:00:00"/>
        <d v="2025-06-06T00:00:00"/>
        <d v="2025-06-07T00:00:00"/>
        <d v="2025-06-08T00:00:00"/>
        <d v="2025-06-09T00:00:00"/>
        <d v="2025-06-10T00:00:00"/>
        <d v="2025-06-11T00:00:00"/>
        <d v="2025-06-12T00:00:00"/>
        <d v="2025-06-13T00:00:00"/>
        <d v="2025-06-14T00:00:00"/>
        <d v="2025-06-15T00:00:00"/>
        <d v="2025-06-16T00:00:00"/>
        <d v="2025-06-17T00:00:00"/>
        <d v="2025-06-18T00:00:00"/>
        <d v="2025-06-19T00:00:00"/>
        <d v="2025-06-20T00:00:00"/>
        <d v="2025-06-21T00:00:00"/>
        <d v="2025-06-22T00:00:00"/>
        <d v="2025-06-23T00:00:00"/>
        <d v="2025-06-24T00:00:00"/>
        <d v="2025-06-25T00:00:00"/>
        <d v="2025-06-26T00:00:00"/>
        <d v="2025-06-27T00:00:00"/>
        <d v="2025-06-28T00:00:00"/>
        <d v="2025-06-29T00:00:00"/>
        <d v="2025-06-30T00:00:00"/>
        <d v="2025-07-01T00:00:00"/>
        <d v="2025-07-02T00:00:00"/>
        <d v="2025-07-03T00:00:00"/>
        <d v="2025-07-04T00:00:00"/>
        <d v="2025-07-05T00:00:00"/>
        <d v="2025-07-06T00:00:00"/>
        <d v="2025-07-07T00:00:00"/>
        <d v="2025-07-08T00:00:00"/>
        <d v="2025-07-09T00:00:00"/>
        <d v="2025-07-10T00:00:00"/>
        <d v="2025-07-11T00:00:00"/>
        <d v="2025-07-12T00:00:00"/>
        <d v="2025-07-13T00:00:00"/>
        <d v="2025-07-14T00:00:00"/>
        <d v="2025-07-15T00:00:00"/>
        <d v="2025-07-16T00:00:00"/>
        <d v="2025-07-17T00:00:00"/>
        <d v="2025-07-18T00:00:00"/>
        <d v="2025-07-19T00:00:00"/>
        <d v="2025-07-20T00:00:00"/>
        <d v="2025-07-21T00:00:00"/>
        <d v="2025-07-22T00:00:00"/>
        <d v="2025-07-23T00:00:00"/>
        <d v="2025-07-24T00:00:00"/>
        <d v="2025-07-25T00:00:00"/>
        <d v="2025-07-26T00:00:00"/>
        <d v="2025-07-27T00:00:00"/>
        <d v="2025-07-28T00:00:00"/>
        <d v="2025-07-29T00:00:00"/>
        <d v="2025-07-30T00:00:00"/>
        <d v="2025-07-31T00:00:00"/>
        <d v="2025-08-01T00:00:00"/>
        <d v="2025-08-02T00:00:00"/>
        <d v="2025-08-03T00:00:00"/>
        <d v="2025-08-04T00:00:00"/>
        <d v="2025-08-05T00:00:00"/>
        <d v="2025-08-06T00:00:00"/>
        <d v="2025-08-07T00:00:00"/>
        <d v="2025-08-08T00:00:00"/>
        <d v="2025-08-09T00:00:00"/>
        <d v="2025-08-10T00:00:00"/>
        <d v="2025-08-11T00:00:00"/>
        <d v="2025-08-12T00:00:00"/>
        <d v="2025-08-13T00:00:00"/>
        <d v="2025-08-14T00:00:00"/>
        <d v="2025-08-15T00:00:00"/>
        <d v="2025-08-16T00:00:00"/>
        <d v="2025-08-17T00:00:00"/>
        <d v="2025-08-18T00:00:00"/>
        <d v="2025-08-19T00:00:00"/>
        <d v="2025-08-20T00:00:00"/>
        <d v="2025-08-21T00:00:00"/>
        <d v="2025-08-22T00:00:00"/>
        <d v="2025-08-23T00:00:00"/>
        <d v="2025-08-24T00:00:00"/>
        <d v="2025-08-25T00:00:00"/>
        <d v="2025-08-26T00:00:00"/>
        <d v="2025-08-27T00:00:00"/>
        <d v="2025-08-28T00:00:00"/>
        <d v="2025-08-29T00:00:00"/>
        <d v="2025-08-30T00:00:00"/>
        <d v="2025-08-31T00:00:00"/>
        <d v="2025-09-01T00:00:00"/>
        <d v="2025-09-02T00:00:00"/>
        <d v="2025-09-03T00:00:00"/>
        <d v="2025-09-04T00:00:00"/>
        <d v="2025-09-05T00:00:00"/>
        <d v="2025-09-06T00:00:00"/>
        <d v="2025-09-07T00:00:00"/>
        <d v="2025-09-08T00:00:00"/>
        <d v="2025-09-09T00:00:00"/>
        <d v="2025-09-10T00:00:00"/>
        <d v="2025-09-11T00:00:00"/>
        <d v="2025-09-12T00:00:00"/>
        <d v="2025-09-13T00:00:00"/>
        <d v="2025-09-14T00:00:00"/>
        <d v="2025-09-15T00:00:00"/>
        <d v="2025-09-16T00:00:00"/>
        <d v="2025-09-17T00:00:00"/>
        <d v="2025-09-18T00:00:00"/>
        <d v="2025-09-19T00:00:00"/>
        <d v="2025-09-20T00:00:00"/>
        <d v="2025-09-21T00:00:00"/>
        <d v="2025-09-22T00:00:00"/>
        <d v="2025-09-23T00:00:00"/>
        <d v="2025-09-24T00:00:00"/>
        <d v="2025-09-25T00:00:00"/>
        <d v="2025-09-26T00:00:00"/>
        <d v="2025-09-27T00:00:00"/>
        <d v="2025-09-28T00:00:00"/>
        <d v="2025-09-29T00:00:00"/>
        <d v="2025-09-30T00:00:00"/>
        <d v="2025-10-01T00:00:00"/>
        <d v="2025-10-02T00:00:00"/>
        <d v="2025-10-03T00:00:00"/>
        <d v="2025-10-04T00:00:00"/>
        <d v="2025-10-05T00:00:00"/>
        <d v="2025-10-06T00:00:00"/>
        <d v="2025-10-07T00:00:00"/>
        <d v="2025-10-08T00:00:00"/>
        <d v="2025-10-09T00:00:00"/>
        <d v="2025-10-10T00:00:00"/>
        <d v="2025-10-11T00:00:00"/>
        <d v="2025-10-12T00:00:00"/>
        <d v="2025-10-13T00:00:00"/>
        <d v="2025-10-14T00:00:00"/>
        <d v="2025-10-15T00:00:00"/>
        <d v="2025-10-16T00:00:00"/>
        <d v="2025-10-17T00:00:00"/>
        <d v="2025-10-18T00:00:00"/>
        <d v="2025-10-19T00:00:00"/>
        <d v="2025-10-20T00:00:00"/>
        <d v="2025-10-21T00:00:00"/>
        <d v="2025-10-22T00:00:00"/>
        <d v="2025-10-23T00:00:00"/>
        <d v="2025-10-24T00:00:00"/>
        <d v="2025-10-25T00:00:00"/>
        <d v="2025-10-26T00:00:00"/>
        <d v="2025-10-27T00:00:00"/>
        <d v="2025-10-28T00:00:00"/>
        <d v="2025-10-29T00:00:00"/>
        <d v="2025-10-30T00:00:00"/>
        <d v="2025-10-31T00:00:00"/>
        <d v="2025-11-01T00:00:00"/>
        <d v="2025-11-02T00:00:00"/>
        <d v="2025-11-03T00:00:00"/>
        <d v="2025-11-04T00:00:00"/>
        <d v="2025-11-05T00:00:00"/>
        <d v="2025-11-06T00:00:00"/>
        <d v="2025-11-07T00:00:00"/>
        <d v="2025-11-08T00:00:00"/>
        <d v="2025-11-09T00:00:00"/>
        <d v="2025-11-10T00:00:00"/>
        <d v="2025-11-11T00:00:00"/>
        <d v="2025-11-12T00:00:00"/>
        <d v="2025-11-13T00:00:00"/>
        <d v="2025-11-14T00:00:00"/>
        <d v="2025-11-15T00:00:00"/>
        <d v="2025-11-16T00:00:00"/>
        <d v="2025-11-17T00:00:00"/>
        <d v="2025-11-18T00:00:00"/>
        <d v="2025-11-19T00:00:00"/>
        <d v="2025-11-20T00:00:00"/>
        <d v="2025-11-21T00:00:00"/>
        <d v="2025-11-22T00:00:00"/>
        <d v="2025-11-23T00:00:00"/>
        <d v="2025-11-24T00:00:00"/>
        <d v="2025-11-25T00:00:00"/>
        <d v="2025-11-26T00:00:00"/>
        <d v="2025-11-27T00:00:00"/>
        <d v="2025-11-28T00:00:00"/>
        <d v="2025-11-29T00:00:00"/>
        <d v="2025-11-30T00:00:00"/>
        <d v="2025-12-01T00:00:00"/>
        <d v="2025-12-02T00:00:00"/>
        <d v="2025-12-03T00:00:00"/>
        <d v="2025-12-04T00:00:00"/>
        <d v="2025-12-05T00:00:00"/>
        <d v="2025-12-06T00:00:00"/>
        <d v="2025-12-07T00:00:00"/>
        <d v="2025-12-08T00:00:00"/>
        <d v="2025-12-09T00:00:00"/>
        <d v="2025-12-10T00:00:00"/>
        <d v="2025-12-11T00:00:00"/>
        <d v="2025-12-12T00:00:00"/>
        <d v="2025-12-13T00:00:00"/>
        <d v="2025-12-14T00:00:00"/>
        <d v="2025-12-15T00:00:00"/>
        <d v="2025-12-16T00:00:00"/>
        <d v="2025-12-17T00:00:00"/>
        <d v="2025-12-18T00:00:00"/>
        <d v="2025-12-19T00:00:00"/>
        <d v="2025-12-20T00:00:00"/>
        <d v="2025-12-21T00:00:00"/>
        <d v="2025-12-22T00:00:00"/>
        <d v="2025-12-23T00:00:00"/>
        <d v="2025-12-24T00:00:00"/>
      </sharedItems>
      <fieldGroup par="15"/>
    </cacheField>
    <cacheField name="Order ID" numFmtId="0">
      <sharedItems/>
    </cacheField>
    <cacheField name="Region" numFmtId="0">
      <sharedItems count="4">
        <s v="East"/>
        <s v="South"/>
        <s v="North"/>
        <s v="West"/>
      </sharedItems>
    </cacheField>
    <cacheField name="Salesperson" numFmtId="0">
      <sharedItems count="6">
        <s v="Neha Verma"/>
        <s v="Ahmed Khan"/>
        <s v="Priya Nair"/>
        <s v="Arjun Menon"/>
        <s v="Rahul Sharma"/>
        <s v="Sneha Patel"/>
      </sharedItems>
    </cacheField>
    <cacheField name="Customer Name" numFmtId="0">
      <sharedItems count="150">
        <s v="Customer 067"/>
        <s v="Customer 051"/>
        <s v="Customer 025"/>
        <s v="Customer 114"/>
        <s v="Customer 131"/>
        <s v="Customer 005"/>
        <s v="Customer 008"/>
        <s v="Customer 065"/>
        <s v="Customer 111"/>
        <s v="Customer 032"/>
        <s v="Customer 074"/>
        <s v="Customer 141"/>
        <s v="Customer 127"/>
        <s v="Customer 041"/>
        <s v="Customer 115"/>
        <s v="Customer 095"/>
        <s v="Customer 094"/>
        <s v="Customer 002"/>
        <s v="Customer 124"/>
        <s v="Customer 062"/>
        <s v="Customer 036"/>
        <s v="Customer 016"/>
        <s v="Customer 102"/>
        <s v="Customer 055"/>
        <s v="Customer 034"/>
        <s v="Customer 061"/>
        <s v="Customer 050"/>
        <s v="Customer 150"/>
        <s v="Customer 070"/>
        <s v="Customer 132"/>
        <s v="Customer 140"/>
        <s v="Customer 071"/>
        <s v="Customer 089"/>
        <s v="Customer 003"/>
        <s v="Customer 023"/>
        <s v="Customer 144"/>
        <s v="Customer 101"/>
        <s v="Customer 007"/>
        <s v="Customer 137"/>
        <s v="Customer 010"/>
        <s v="Customer 118"/>
        <s v="Customer 136"/>
        <s v="Customer 001"/>
        <s v="Customer 045"/>
        <s v="Customer 012"/>
        <s v="Customer 052"/>
        <s v="Customer 123"/>
        <s v="Customer 033"/>
        <s v="Customer 120"/>
        <s v="Customer 004"/>
        <s v="Customer 014"/>
        <s v="Customer 146"/>
        <s v="Customer 059"/>
        <s v="Customer 044"/>
        <s v="Customer 078"/>
        <s v="Customer 053"/>
        <s v="Customer 082"/>
        <s v="Customer 090"/>
        <s v="Customer 075"/>
        <s v="Customer 020"/>
        <s v="Customer 104"/>
        <s v="Customer 110"/>
        <s v="Customer 107"/>
        <s v="Customer 088"/>
        <s v="Customer 117"/>
        <s v="Customer 047"/>
        <s v="Customer 009"/>
        <s v="Customer 109"/>
        <s v="Customer 106"/>
        <s v="Customer 022"/>
        <s v="Customer 011"/>
        <s v="Customer 135"/>
        <s v="Customer 063"/>
        <s v="Customer 076"/>
        <s v="Customer 105"/>
        <s v="Customer 049"/>
        <s v="Customer 113"/>
        <s v="Customer 046"/>
        <s v="Customer 134"/>
        <s v="Customer 013"/>
        <s v="Customer 093"/>
        <s v="Customer 108"/>
        <s v="Customer 125"/>
        <s v="Customer 026"/>
        <s v="Customer 096"/>
        <s v="Customer 084"/>
        <s v="Customer 056"/>
        <s v="Customer 083"/>
        <s v="Customer 069"/>
        <s v="Customer 064"/>
        <s v="Customer 086"/>
        <s v="Customer 129"/>
        <s v="Customer 060"/>
        <s v="Customer 038"/>
        <s v="Customer 138"/>
        <s v="Customer 099"/>
        <s v="Customer 100"/>
        <s v="Customer 035"/>
        <s v="Customer 121"/>
        <s v="Customer 054"/>
        <s v="Customer 147"/>
        <s v="Customer 058"/>
        <s v="Customer 081"/>
        <s v="Customer 042"/>
        <s v="Customer 080"/>
        <s v="Customer 130"/>
        <s v="Customer 018"/>
        <s v="Customer 139"/>
        <s v="Customer 021"/>
        <s v="Customer 039"/>
        <s v="Customer 122"/>
        <s v="Customer 149"/>
        <s v="Customer 091"/>
        <s v="Customer 029"/>
        <s v="Customer 043"/>
        <s v="Customer 098"/>
        <s v="Customer 097"/>
        <s v="Customer 126"/>
        <s v="Customer 024"/>
        <s v="Customer 128"/>
        <s v="Customer 031"/>
        <s v="Customer 027"/>
        <s v="Customer 057"/>
        <s v="Customer 028"/>
        <s v="Customer 040"/>
        <s v="Customer 068"/>
        <s v="Customer 103"/>
        <s v="Customer 030"/>
        <s v="Customer 072"/>
        <s v="Customer 079"/>
        <s v="Customer 006"/>
        <s v="Customer 085"/>
        <s v="Customer 073"/>
        <s v="Customer 048"/>
        <s v="Customer 142"/>
        <s v="Customer 066"/>
        <s v="Customer 145"/>
        <s v="Customer 133"/>
        <s v="Customer 019"/>
        <s v="Customer 015"/>
        <s v="Customer 017"/>
        <s v="Customer 087"/>
        <s v="Customer 112"/>
        <s v="Customer 119"/>
        <s v="Customer 143"/>
        <s v="Customer 092"/>
        <s v="Customer 037"/>
        <s v="Customer 077"/>
        <s v="Customer 148"/>
        <s v="Customer 116"/>
      </sharedItems>
    </cacheField>
    <cacheField name="Product" numFmtId="0">
      <sharedItems count="8">
        <s v="SSD"/>
        <s v="Laptop"/>
        <s v="Desktop"/>
        <s v="RAM"/>
        <s v="Monitor"/>
        <s v="Mouse"/>
        <s v="Keyboard"/>
        <s v="Printer"/>
      </sharedItems>
    </cacheField>
    <cacheField name="Category" numFmtId="0">
      <sharedItems count="4">
        <s v="storage"/>
        <s v="Computers"/>
        <s v="Peripherals"/>
        <s v="Accessories"/>
      </sharedItems>
    </cacheField>
    <cacheField name="Quantity" numFmtId="3">
      <sharedItems containsSemiMixedTypes="0" containsString="0" containsNumber="1" containsInteger="1" minValue="1" maxValue="10"/>
    </cacheField>
    <cacheField name="Unit Price" numFmtId="3">
      <sharedItems containsSemiMixedTypes="0" containsString="0" containsNumber="1" minValue="720" maxValue="65250"/>
    </cacheField>
    <cacheField name="Sales" numFmtId="3">
      <sharedItems containsSemiMixedTypes="0" containsString="0" containsNumber="1" minValue="720" maxValue="652500"/>
    </cacheField>
    <cacheField name="Unit Cost" numFmtId="3">
      <sharedItems containsSemiMixedTypes="0" containsString="0" containsNumber="1" containsInteger="1" minValue="600" maxValue="45000"/>
    </cacheField>
    <cacheField name="Cost" numFmtId="3">
      <sharedItems containsSemiMixedTypes="0" containsString="0" containsNumber="1" containsInteger="1" minValue="600" maxValue="450000"/>
    </cacheField>
    <cacheField name="Profit" numFmtId="3">
      <sharedItems containsSemiMixedTypes="0" containsString="0" containsNumber="1" minValue="120" maxValue="202500"/>
    </cacheField>
    <cacheField name="Profit Margin %" numFmtId="10">
      <sharedItems containsSemiMixedTypes="0" containsString="0" containsNumber="1" minValue="0.16666666666666666" maxValue="0.31034482758620691"/>
    </cacheField>
    <cacheField name="Months (Order Date)" numFmtId="0" databaseField="0">
      <fieldGroup base="0">
        <rangePr groupBy="months" startDate="2025-01-01T00:00:00" endDate="2025-12-25T00:00:00"/>
        <groupItems count="14">
          <s v="&lt;01-01-2025"/>
          <s v="Jan"/>
          <s v="Feb"/>
          <s v="Mar"/>
          <s v="Apr"/>
          <s v="May"/>
          <s v="Jun"/>
          <s v="Jul"/>
          <s v="Aug"/>
          <s v="Sep"/>
          <s v="Oct"/>
          <s v="Nov"/>
          <s v="Dec"/>
          <s v="&gt;25-12-2025"/>
        </groupItems>
      </fieldGroup>
    </cacheField>
    <cacheField name="Years (Order Date)" numFmtId="0" databaseField="0">
      <fieldGroup base="0">
        <rangePr groupBy="years" startDate="2025-01-01T00:00:00" endDate="2025-12-25T00:00:00"/>
        <groupItems count="3">
          <s v="&lt;01-01-2025"/>
          <s v="2025"/>
          <s v="&gt;25-12-2025"/>
        </groupItems>
      </fieldGroup>
    </cacheField>
  </cacheFields>
  <extLst>
    <ext xmlns:x14="http://schemas.microsoft.com/office/spreadsheetml/2009/9/main" uri="{725AE2AE-9491-48be-B2B4-4EB974FC3084}">
      <x14:pivotCacheDefinition pivotCacheId="124513596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0">
  <r>
    <x v="0"/>
    <s v="ORD-00001"/>
    <x v="0"/>
    <x v="0"/>
    <x v="0"/>
    <x v="0"/>
    <x v="0"/>
    <n v="6"/>
    <n v="4096"/>
    <n v="24576"/>
    <n v="3200"/>
    <n v="19200"/>
    <n v="5376"/>
    <n v="0.21875"/>
  </r>
  <r>
    <x v="0"/>
    <s v="ORD-00002"/>
    <x v="1"/>
    <x v="1"/>
    <x v="1"/>
    <x v="1"/>
    <x v="1"/>
    <n v="9"/>
    <n v="60300"/>
    <n v="542700"/>
    <n v="45000"/>
    <n v="405000"/>
    <n v="137700"/>
    <n v="0.2537313432835821"/>
  </r>
  <r>
    <x v="0"/>
    <s v="ORD-00003"/>
    <x v="2"/>
    <x v="1"/>
    <x v="2"/>
    <x v="2"/>
    <x v="1"/>
    <n v="8"/>
    <n v="51679.999999999993"/>
    <n v="413439.99999999994"/>
    <n v="38000"/>
    <n v="304000"/>
    <n v="109439.99999999994"/>
    <n v="0.26470588235294107"/>
  </r>
  <r>
    <x v="0"/>
    <s v="ORD-00004"/>
    <x v="2"/>
    <x v="2"/>
    <x v="3"/>
    <x v="3"/>
    <x v="0"/>
    <n v="1"/>
    <n v="3175"/>
    <n v="3175"/>
    <n v="2500"/>
    <n v="2500"/>
    <n v="675"/>
    <n v="0.2125984251968504"/>
  </r>
  <r>
    <x v="0"/>
    <s v="ORD-00005"/>
    <x v="2"/>
    <x v="1"/>
    <x v="4"/>
    <x v="3"/>
    <x v="0"/>
    <n v="6"/>
    <n v="3500"/>
    <n v="21000"/>
    <n v="2500"/>
    <n v="15000"/>
    <n v="6000"/>
    <n v="0.2857142857142857"/>
  </r>
  <r>
    <x v="0"/>
    <s v="ORD-00006"/>
    <x v="3"/>
    <x v="3"/>
    <x v="5"/>
    <x v="4"/>
    <x v="2"/>
    <n v="2"/>
    <n v="12155"/>
    <n v="24310"/>
    <n v="8500"/>
    <n v="17000"/>
    <n v="7310"/>
    <n v="0.30069930069930068"/>
  </r>
  <r>
    <x v="0"/>
    <s v="ORD-00007"/>
    <x v="0"/>
    <x v="3"/>
    <x v="6"/>
    <x v="0"/>
    <x v="0"/>
    <n v="1"/>
    <n v="4384"/>
    <n v="4384"/>
    <n v="3200"/>
    <n v="3200"/>
    <n v="1184"/>
    <n v="0.27007299270072993"/>
  </r>
  <r>
    <x v="0"/>
    <s v="ORD-00008"/>
    <x v="0"/>
    <x v="3"/>
    <x v="7"/>
    <x v="5"/>
    <x v="3"/>
    <n v="5"/>
    <n v="834.00000000000011"/>
    <n v="4170.0000000000009"/>
    <n v="600"/>
    <n v="3000"/>
    <n v="1170.0000000000009"/>
    <n v="0.28057553956834547"/>
  </r>
  <r>
    <x v="0"/>
    <s v="ORD-00009"/>
    <x v="0"/>
    <x v="3"/>
    <x v="8"/>
    <x v="0"/>
    <x v="0"/>
    <n v="7"/>
    <n v="4096"/>
    <n v="28672"/>
    <n v="3200"/>
    <n v="22400"/>
    <n v="6272"/>
    <n v="0.21875"/>
  </r>
  <r>
    <x v="0"/>
    <s v="ORD-00010"/>
    <x v="3"/>
    <x v="4"/>
    <x v="9"/>
    <x v="0"/>
    <x v="0"/>
    <n v="9"/>
    <n v="4096"/>
    <n v="36864"/>
    <n v="3200"/>
    <n v="28800"/>
    <n v="8064"/>
    <n v="0.21875"/>
  </r>
  <r>
    <x v="0"/>
    <s v="ORD-00011"/>
    <x v="0"/>
    <x v="2"/>
    <x v="10"/>
    <x v="0"/>
    <x v="0"/>
    <n v="9"/>
    <n v="4096"/>
    <n v="36864"/>
    <n v="3200"/>
    <n v="28800"/>
    <n v="8064"/>
    <n v="0.21875"/>
  </r>
  <r>
    <x v="0"/>
    <s v="ORD-00012"/>
    <x v="0"/>
    <x v="4"/>
    <x v="11"/>
    <x v="0"/>
    <x v="0"/>
    <n v="2"/>
    <n v="3936"/>
    <n v="7872"/>
    <n v="3200"/>
    <n v="6400"/>
    <n v="1472"/>
    <n v="0.18699186991869918"/>
  </r>
  <r>
    <x v="1"/>
    <s v="ORD-00013"/>
    <x v="3"/>
    <x v="0"/>
    <x v="6"/>
    <x v="4"/>
    <x v="2"/>
    <n v="8"/>
    <n v="12240"/>
    <n v="97920"/>
    <n v="8500"/>
    <n v="68000"/>
    <n v="29920"/>
    <n v="0.30555555555555558"/>
  </r>
  <r>
    <x v="1"/>
    <s v="ORD-00014"/>
    <x v="0"/>
    <x v="0"/>
    <x v="12"/>
    <x v="3"/>
    <x v="0"/>
    <n v="9"/>
    <n v="3250"/>
    <n v="29250"/>
    <n v="2500"/>
    <n v="22500"/>
    <n v="6750"/>
    <n v="0.23076923076923078"/>
  </r>
  <r>
    <x v="1"/>
    <s v="ORD-00015"/>
    <x v="2"/>
    <x v="1"/>
    <x v="13"/>
    <x v="1"/>
    <x v="1"/>
    <n v="2"/>
    <n v="58950"/>
    <n v="117900"/>
    <n v="45000"/>
    <n v="90000"/>
    <n v="27900"/>
    <n v="0.23664122137404581"/>
  </r>
  <r>
    <x v="1"/>
    <s v="ORD-00016"/>
    <x v="0"/>
    <x v="2"/>
    <x v="14"/>
    <x v="0"/>
    <x v="0"/>
    <n v="6"/>
    <n v="4512"/>
    <n v="27072"/>
    <n v="3200"/>
    <n v="19200"/>
    <n v="7872"/>
    <n v="0.29078014184397161"/>
  </r>
  <r>
    <x v="1"/>
    <s v="ORD-00017"/>
    <x v="3"/>
    <x v="0"/>
    <x v="15"/>
    <x v="6"/>
    <x v="3"/>
    <n v="6"/>
    <n v="1152"/>
    <n v="6912"/>
    <n v="900"/>
    <n v="5400"/>
    <n v="1512"/>
    <n v="0.21875"/>
  </r>
  <r>
    <x v="1"/>
    <s v="ORD-00018"/>
    <x v="2"/>
    <x v="1"/>
    <x v="16"/>
    <x v="3"/>
    <x v="0"/>
    <n v="5"/>
    <n v="3550"/>
    <n v="17750"/>
    <n v="2500"/>
    <n v="12500"/>
    <n v="5250"/>
    <n v="0.29577464788732394"/>
  </r>
  <r>
    <x v="1"/>
    <s v="ORD-00019"/>
    <x v="3"/>
    <x v="2"/>
    <x v="17"/>
    <x v="7"/>
    <x v="2"/>
    <n v="10"/>
    <n v="8890"/>
    <n v="88900"/>
    <n v="7000"/>
    <n v="70000"/>
    <n v="18900"/>
    <n v="0.2125984251968504"/>
  </r>
  <r>
    <x v="1"/>
    <s v="ORD-00020"/>
    <x v="3"/>
    <x v="2"/>
    <x v="18"/>
    <x v="1"/>
    <x v="1"/>
    <n v="2"/>
    <n v="58500"/>
    <n v="117000"/>
    <n v="45000"/>
    <n v="90000"/>
    <n v="27000"/>
    <n v="0.23076923076923078"/>
  </r>
  <r>
    <x v="1"/>
    <s v="ORD-00021"/>
    <x v="3"/>
    <x v="3"/>
    <x v="19"/>
    <x v="3"/>
    <x v="0"/>
    <n v="4"/>
    <n v="3575"/>
    <n v="14300"/>
    <n v="2500"/>
    <n v="10000"/>
    <n v="4300"/>
    <n v="0.30069930069930068"/>
  </r>
  <r>
    <x v="1"/>
    <s v="ORD-00022"/>
    <x v="2"/>
    <x v="5"/>
    <x v="20"/>
    <x v="1"/>
    <x v="1"/>
    <n v="9"/>
    <n v="61650.000000000007"/>
    <n v="554850.00000000012"/>
    <n v="45000"/>
    <n v="405000"/>
    <n v="149850.00000000012"/>
    <n v="0.2700729927007301"/>
  </r>
  <r>
    <x v="1"/>
    <s v="ORD-00023"/>
    <x v="0"/>
    <x v="1"/>
    <x v="21"/>
    <x v="4"/>
    <x v="2"/>
    <n v="4"/>
    <n v="10795"/>
    <n v="43180"/>
    <n v="8500"/>
    <n v="34000"/>
    <n v="9180"/>
    <n v="0.2125984251968504"/>
  </r>
  <r>
    <x v="1"/>
    <s v="ORD-00024"/>
    <x v="1"/>
    <x v="4"/>
    <x v="22"/>
    <x v="2"/>
    <x v="1"/>
    <n v="6"/>
    <n v="47120"/>
    <n v="282720"/>
    <n v="38000"/>
    <n v="228000"/>
    <n v="54720"/>
    <n v="0.19354838709677419"/>
  </r>
  <r>
    <x v="1"/>
    <s v="ORD-00025"/>
    <x v="0"/>
    <x v="4"/>
    <x v="23"/>
    <x v="7"/>
    <x v="2"/>
    <n v="8"/>
    <n v="9380"/>
    <n v="75040"/>
    <n v="7000"/>
    <n v="56000"/>
    <n v="19040"/>
    <n v="0.2537313432835821"/>
  </r>
  <r>
    <x v="1"/>
    <s v="ORD-00026"/>
    <x v="3"/>
    <x v="3"/>
    <x v="24"/>
    <x v="0"/>
    <x v="0"/>
    <n v="9"/>
    <n v="4128"/>
    <n v="37152"/>
    <n v="3200"/>
    <n v="28800"/>
    <n v="8352"/>
    <n v="0.22480620155038761"/>
  </r>
  <r>
    <x v="2"/>
    <s v="ORD-00027"/>
    <x v="1"/>
    <x v="5"/>
    <x v="25"/>
    <x v="1"/>
    <x v="1"/>
    <n v="6"/>
    <n v="57150"/>
    <n v="342900"/>
    <n v="45000"/>
    <n v="270000"/>
    <n v="72900"/>
    <n v="0.2125984251968504"/>
  </r>
  <r>
    <x v="2"/>
    <s v="ORD-00028"/>
    <x v="1"/>
    <x v="2"/>
    <x v="26"/>
    <x v="0"/>
    <x v="0"/>
    <n v="10"/>
    <n v="4320"/>
    <n v="43200"/>
    <n v="3200"/>
    <n v="32000"/>
    <n v="11200"/>
    <n v="0.25925925925925924"/>
  </r>
  <r>
    <x v="2"/>
    <s v="ORD-00029"/>
    <x v="2"/>
    <x v="4"/>
    <x v="10"/>
    <x v="3"/>
    <x v="0"/>
    <n v="3"/>
    <n v="3550"/>
    <n v="10650"/>
    <n v="2500"/>
    <n v="7500"/>
    <n v="3150"/>
    <n v="0.29577464788732394"/>
  </r>
  <r>
    <x v="2"/>
    <s v="ORD-00030"/>
    <x v="1"/>
    <x v="3"/>
    <x v="27"/>
    <x v="3"/>
    <x v="0"/>
    <n v="9"/>
    <n v="3075"/>
    <n v="27675"/>
    <n v="2500"/>
    <n v="22500"/>
    <n v="5175"/>
    <n v="0.18699186991869918"/>
  </r>
  <r>
    <x v="2"/>
    <s v="ORD-00031"/>
    <x v="0"/>
    <x v="2"/>
    <x v="28"/>
    <x v="6"/>
    <x v="3"/>
    <n v="8"/>
    <n v="1089"/>
    <n v="8712"/>
    <n v="900"/>
    <n v="7200"/>
    <n v="1512"/>
    <n v="0.17355371900826447"/>
  </r>
  <r>
    <x v="2"/>
    <s v="ORD-00032"/>
    <x v="3"/>
    <x v="2"/>
    <x v="27"/>
    <x v="2"/>
    <x v="1"/>
    <n v="4"/>
    <n v="45980"/>
    <n v="183920"/>
    <n v="38000"/>
    <n v="152000"/>
    <n v="31920"/>
    <n v="0.17355371900826447"/>
  </r>
  <r>
    <x v="2"/>
    <s v="ORD-00033"/>
    <x v="1"/>
    <x v="2"/>
    <x v="29"/>
    <x v="2"/>
    <x v="1"/>
    <n v="5"/>
    <n v="51300"/>
    <n v="256500"/>
    <n v="38000"/>
    <n v="190000"/>
    <n v="66500"/>
    <n v="0.25925925925925924"/>
  </r>
  <r>
    <x v="2"/>
    <s v="ORD-00034"/>
    <x v="1"/>
    <x v="4"/>
    <x v="30"/>
    <x v="5"/>
    <x v="3"/>
    <n v="7"/>
    <n v="858"/>
    <n v="6006"/>
    <n v="600"/>
    <n v="4200"/>
    <n v="1806"/>
    <n v="0.30069930069930068"/>
  </r>
  <r>
    <x v="2"/>
    <s v="ORD-00035"/>
    <x v="2"/>
    <x v="0"/>
    <x v="31"/>
    <x v="3"/>
    <x v="0"/>
    <n v="2"/>
    <n v="3175"/>
    <n v="6350"/>
    <n v="2500"/>
    <n v="5000"/>
    <n v="1350"/>
    <n v="0.2125984251968504"/>
  </r>
  <r>
    <x v="2"/>
    <s v="ORD-00036"/>
    <x v="3"/>
    <x v="2"/>
    <x v="32"/>
    <x v="0"/>
    <x v="0"/>
    <n v="10"/>
    <n v="4128"/>
    <n v="41280"/>
    <n v="3200"/>
    <n v="32000"/>
    <n v="9280"/>
    <n v="0.22480620155038761"/>
  </r>
  <r>
    <x v="2"/>
    <s v="ORD-00037"/>
    <x v="0"/>
    <x v="2"/>
    <x v="33"/>
    <x v="0"/>
    <x v="0"/>
    <n v="1"/>
    <n v="4320"/>
    <n v="4320"/>
    <n v="3200"/>
    <n v="3200"/>
    <n v="1120"/>
    <n v="0.25925925925925924"/>
  </r>
  <r>
    <x v="2"/>
    <s v="ORD-00038"/>
    <x v="0"/>
    <x v="4"/>
    <x v="31"/>
    <x v="6"/>
    <x v="3"/>
    <n v="10"/>
    <n v="1116"/>
    <n v="11160"/>
    <n v="900"/>
    <n v="9000"/>
    <n v="2160"/>
    <n v="0.19354838709677419"/>
  </r>
  <r>
    <x v="2"/>
    <s v="ORD-00039"/>
    <x v="2"/>
    <x v="0"/>
    <x v="34"/>
    <x v="2"/>
    <x v="1"/>
    <n v="9"/>
    <n v="49020"/>
    <n v="441180"/>
    <n v="38000"/>
    <n v="342000"/>
    <n v="99180"/>
    <n v="0.22480620155038761"/>
  </r>
  <r>
    <x v="2"/>
    <s v="ORD-00040"/>
    <x v="2"/>
    <x v="3"/>
    <x v="35"/>
    <x v="0"/>
    <x v="0"/>
    <n v="3"/>
    <n v="4096"/>
    <n v="12288"/>
    <n v="3200"/>
    <n v="9600"/>
    <n v="2688"/>
    <n v="0.21875"/>
  </r>
  <r>
    <x v="3"/>
    <s v="ORD-00041"/>
    <x v="2"/>
    <x v="0"/>
    <x v="36"/>
    <x v="7"/>
    <x v="2"/>
    <n v="8"/>
    <n v="9170"/>
    <n v="73360"/>
    <n v="7000"/>
    <n v="56000"/>
    <n v="17360"/>
    <n v="0.23664122137404581"/>
  </r>
  <r>
    <x v="3"/>
    <s v="ORD-00042"/>
    <x v="1"/>
    <x v="4"/>
    <x v="37"/>
    <x v="1"/>
    <x v="1"/>
    <n v="3"/>
    <n v="65250"/>
    <n v="195750"/>
    <n v="45000"/>
    <n v="135000"/>
    <n v="60750"/>
    <n v="0.31034482758620691"/>
  </r>
  <r>
    <x v="3"/>
    <s v="ORD-00043"/>
    <x v="3"/>
    <x v="0"/>
    <x v="14"/>
    <x v="0"/>
    <x v="0"/>
    <n v="3"/>
    <n v="4576"/>
    <n v="13728"/>
    <n v="3200"/>
    <n v="9600"/>
    <n v="4128"/>
    <n v="0.30069930069930068"/>
  </r>
  <r>
    <x v="3"/>
    <s v="ORD-00044"/>
    <x v="3"/>
    <x v="4"/>
    <x v="38"/>
    <x v="1"/>
    <x v="1"/>
    <n v="3"/>
    <n v="62550.000000000007"/>
    <n v="187650.00000000003"/>
    <n v="45000"/>
    <n v="135000"/>
    <n v="52650.000000000029"/>
    <n v="0.28057553956834541"/>
  </r>
  <r>
    <x v="3"/>
    <s v="ORD-00045"/>
    <x v="1"/>
    <x v="4"/>
    <x v="39"/>
    <x v="3"/>
    <x v="0"/>
    <n v="7"/>
    <n v="3000"/>
    <n v="21000"/>
    <n v="2500"/>
    <n v="17500"/>
    <n v="3500"/>
    <n v="0.16666666666666666"/>
  </r>
  <r>
    <x v="3"/>
    <s v="ORD-00046"/>
    <x v="1"/>
    <x v="1"/>
    <x v="2"/>
    <x v="1"/>
    <x v="1"/>
    <n v="4"/>
    <n v="55350"/>
    <n v="221400"/>
    <n v="45000"/>
    <n v="180000"/>
    <n v="41400"/>
    <n v="0.18699186991869918"/>
  </r>
  <r>
    <x v="3"/>
    <s v="ORD-00047"/>
    <x v="1"/>
    <x v="5"/>
    <x v="40"/>
    <x v="5"/>
    <x v="3"/>
    <n v="8"/>
    <n v="792"/>
    <n v="6336"/>
    <n v="600"/>
    <n v="4800"/>
    <n v="1536"/>
    <n v="0.24242424242424243"/>
  </r>
  <r>
    <x v="3"/>
    <s v="ORD-00048"/>
    <x v="3"/>
    <x v="0"/>
    <x v="17"/>
    <x v="5"/>
    <x v="3"/>
    <n v="3"/>
    <n v="864"/>
    <n v="2592"/>
    <n v="600"/>
    <n v="1800"/>
    <n v="792"/>
    <n v="0.30555555555555558"/>
  </r>
  <r>
    <x v="3"/>
    <s v="ORD-00049"/>
    <x v="3"/>
    <x v="4"/>
    <x v="34"/>
    <x v="3"/>
    <x v="0"/>
    <n v="8"/>
    <n v="3225"/>
    <n v="25800"/>
    <n v="2500"/>
    <n v="20000"/>
    <n v="5800"/>
    <n v="0.22480620155038761"/>
  </r>
  <r>
    <x v="3"/>
    <s v="ORD-00050"/>
    <x v="0"/>
    <x v="3"/>
    <x v="41"/>
    <x v="5"/>
    <x v="3"/>
    <n v="4"/>
    <n v="726"/>
    <n v="2904"/>
    <n v="600"/>
    <n v="2400"/>
    <n v="504"/>
    <n v="0.17355371900826447"/>
  </r>
  <r>
    <x v="3"/>
    <s v="ORD-00051"/>
    <x v="1"/>
    <x v="0"/>
    <x v="42"/>
    <x v="0"/>
    <x v="0"/>
    <n v="5"/>
    <n v="4032"/>
    <n v="20160"/>
    <n v="3200"/>
    <n v="16000"/>
    <n v="4160"/>
    <n v="0.20634920634920634"/>
  </r>
  <r>
    <x v="3"/>
    <s v="ORD-00052"/>
    <x v="0"/>
    <x v="5"/>
    <x v="43"/>
    <x v="6"/>
    <x v="3"/>
    <n v="4"/>
    <n v="1125"/>
    <n v="4500"/>
    <n v="900"/>
    <n v="3600"/>
    <n v="900"/>
    <n v="0.2"/>
  </r>
  <r>
    <x v="3"/>
    <s v="ORD-00053"/>
    <x v="2"/>
    <x v="2"/>
    <x v="44"/>
    <x v="2"/>
    <x v="1"/>
    <n v="6"/>
    <n v="50540"/>
    <n v="303240"/>
    <n v="38000"/>
    <n v="228000"/>
    <n v="75240"/>
    <n v="0.24812030075187969"/>
  </r>
  <r>
    <x v="3"/>
    <s v="ORD-00054"/>
    <x v="0"/>
    <x v="3"/>
    <x v="7"/>
    <x v="5"/>
    <x v="3"/>
    <n v="6"/>
    <n v="780"/>
    <n v="4680"/>
    <n v="600"/>
    <n v="3600"/>
    <n v="1080"/>
    <n v="0.23076923076923078"/>
  </r>
  <r>
    <x v="4"/>
    <s v="ORD-00055"/>
    <x v="1"/>
    <x v="5"/>
    <x v="45"/>
    <x v="5"/>
    <x v="3"/>
    <n v="7"/>
    <n v="815.99999999999989"/>
    <n v="5711.9999999999991"/>
    <n v="600"/>
    <n v="4200"/>
    <n v="1511.9999999999991"/>
    <n v="0.26470588235294107"/>
  </r>
  <r>
    <x v="4"/>
    <s v="ORD-00056"/>
    <x v="1"/>
    <x v="5"/>
    <x v="46"/>
    <x v="5"/>
    <x v="3"/>
    <n v="2"/>
    <n v="762"/>
    <n v="1524"/>
    <n v="600"/>
    <n v="1200"/>
    <n v="324"/>
    <n v="0.2125984251968504"/>
  </r>
  <r>
    <x v="4"/>
    <s v="ORD-00057"/>
    <x v="2"/>
    <x v="1"/>
    <x v="39"/>
    <x v="2"/>
    <x v="1"/>
    <n v="6"/>
    <n v="49400"/>
    <n v="296400"/>
    <n v="38000"/>
    <n v="228000"/>
    <n v="68400"/>
    <n v="0.23076923076923078"/>
  </r>
  <r>
    <x v="4"/>
    <s v="ORD-00058"/>
    <x v="1"/>
    <x v="2"/>
    <x v="47"/>
    <x v="7"/>
    <x v="2"/>
    <n v="3"/>
    <n v="9940"/>
    <n v="29820"/>
    <n v="7000"/>
    <n v="21000"/>
    <n v="8820"/>
    <n v="0.29577464788732394"/>
  </r>
  <r>
    <x v="4"/>
    <s v="ORD-00059"/>
    <x v="1"/>
    <x v="5"/>
    <x v="48"/>
    <x v="7"/>
    <x v="2"/>
    <n v="5"/>
    <n v="9940"/>
    <n v="49700"/>
    <n v="7000"/>
    <n v="35000"/>
    <n v="14700"/>
    <n v="0.29577464788732394"/>
  </r>
  <r>
    <x v="4"/>
    <s v="ORD-00060"/>
    <x v="3"/>
    <x v="4"/>
    <x v="49"/>
    <x v="1"/>
    <x v="1"/>
    <n v="5"/>
    <n v="54000"/>
    <n v="270000"/>
    <n v="45000"/>
    <n v="225000"/>
    <n v="45000"/>
    <n v="0.16666666666666666"/>
  </r>
  <r>
    <x v="4"/>
    <s v="ORD-00061"/>
    <x v="0"/>
    <x v="0"/>
    <x v="50"/>
    <x v="7"/>
    <x v="2"/>
    <n v="8"/>
    <n v="9660"/>
    <n v="77280"/>
    <n v="7000"/>
    <n v="56000"/>
    <n v="21280"/>
    <n v="0.27536231884057971"/>
  </r>
  <r>
    <x v="4"/>
    <s v="ORD-00062"/>
    <x v="2"/>
    <x v="2"/>
    <x v="51"/>
    <x v="1"/>
    <x v="1"/>
    <n v="10"/>
    <n v="64800"/>
    <n v="648000"/>
    <n v="45000"/>
    <n v="450000"/>
    <n v="198000"/>
    <n v="0.30555555555555558"/>
  </r>
  <r>
    <x v="4"/>
    <s v="ORD-00063"/>
    <x v="0"/>
    <x v="4"/>
    <x v="52"/>
    <x v="3"/>
    <x v="0"/>
    <n v="8"/>
    <n v="3250"/>
    <n v="26000"/>
    <n v="2500"/>
    <n v="20000"/>
    <n v="6000"/>
    <n v="0.23076923076923078"/>
  </r>
  <r>
    <x v="4"/>
    <s v="ORD-00064"/>
    <x v="0"/>
    <x v="3"/>
    <x v="4"/>
    <x v="2"/>
    <x v="1"/>
    <n v="7"/>
    <n v="46740"/>
    <n v="327180"/>
    <n v="38000"/>
    <n v="266000"/>
    <n v="61180"/>
    <n v="0.18699186991869918"/>
  </r>
  <r>
    <x v="4"/>
    <s v="ORD-00065"/>
    <x v="3"/>
    <x v="0"/>
    <x v="53"/>
    <x v="6"/>
    <x v="3"/>
    <n v="2"/>
    <n v="1170"/>
    <n v="2340"/>
    <n v="900"/>
    <n v="1800"/>
    <n v="540"/>
    <n v="0.23076923076923078"/>
  </r>
  <r>
    <x v="4"/>
    <s v="ORD-00066"/>
    <x v="3"/>
    <x v="0"/>
    <x v="54"/>
    <x v="5"/>
    <x v="3"/>
    <n v="3"/>
    <n v="744"/>
    <n v="2232"/>
    <n v="600"/>
    <n v="1800"/>
    <n v="432"/>
    <n v="0.19354838709677419"/>
  </r>
  <r>
    <x v="4"/>
    <s v="ORD-00067"/>
    <x v="3"/>
    <x v="2"/>
    <x v="55"/>
    <x v="6"/>
    <x v="3"/>
    <n v="4"/>
    <n v="1179"/>
    <n v="4716"/>
    <n v="900"/>
    <n v="3600"/>
    <n v="1116"/>
    <n v="0.23664122137404581"/>
  </r>
  <r>
    <x v="4"/>
    <s v="ORD-00068"/>
    <x v="1"/>
    <x v="4"/>
    <x v="56"/>
    <x v="4"/>
    <x v="2"/>
    <n v="2"/>
    <n v="10200"/>
    <n v="20400"/>
    <n v="8500"/>
    <n v="17000"/>
    <n v="3400"/>
    <n v="0.16666666666666666"/>
  </r>
  <r>
    <x v="5"/>
    <s v="ORD-00069"/>
    <x v="0"/>
    <x v="4"/>
    <x v="8"/>
    <x v="3"/>
    <x v="0"/>
    <n v="6"/>
    <n v="3575"/>
    <n v="21450"/>
    <n v="2500"/>
    <n v="15000"/>
    <n v="6450"/>
    <n v="0.30069930069930068"/>
  </r>
  <r>
    <x v="5"/>
    <s v="ORD-00070"/>
    <x v="3"/>
    <x v="2"/>
    <x v="36"/>
    <x v="3"/>
    <x v="0"/>
    <n v="6"/>
    <n v="3325"/>
    <n v="19950"/>
    <n v="2500"/>
    <n v="15000"/>
    <n v="4950"/>
    <n v="0.24812030075187969"/>
  </r>
  <r>
    <x v="5"/>
    <s v="ORD-00071"/>
    <x v="3"/>
    <x v="3"/>
    <x v="47"/>
    <x v="7"/>
    <x v="2"/>
    <n v="2"/>
    <n v="8610"/>
    <n v="17220"/>
    <n v="7000"/>
    <n v="14000"/>
    <n v="3220"/>
    <n v="0.18699186991869918"/>
  </r>
  <r>
    <x v="5"/>
    <s v="ORD-00072"/>
    <x v="2"/>
    <x v="3"/>
    <x v="57"/>
    <x v="0"/>
    <x v="0"/>
    <n v="8"/>
    <n v="4160"/>
    <n v="33280"/>
    <n v="3200"/>
    <n v="25600"/>
    <n v="7680"/>
    <n v="0.23076923076923078"/>
  </r>
  <r>
    <x v="5"/>
    <s v="ORD-00073"/>
    <x v="2"/>
    <x v="4"/>
    <x v="40"/>
    <x v="6"/>
    <x v="3"/>
    <n v="5"/>
    <n v="1125"/>
    <n v="5625"/>
    <n v="900"/>
    <n v="4500"/>
    <n v="1125"/>
    <n v="0.2"/>
  </r>
  <r>
    <x v="5"/>
    <s v="ORD-00074"/>
    <x v="2"/>
    <x v="4"/>
    <x v="58"/>
    <x v="7"/>
    <x v="2"/>
    <n v="10"/>
    <n v="8540"/>
    <n v="85400"/>
    <n v="7000"/>
    <n v="70000"/>
    <n v="15400"/>
    <n v="0.18032786885245902"/>
  </r>
  <r>
    <x v="5"/>
    <s v="ORD-00075"/>
    <x v="3"/>
    <x v="1"/>
    <x v="59"/>
    <x v="7"/>
    <x v="2"/>
    <n v="5"/>
    <n v="9100"/>
    <n v="45500"/>
    <n v="7000"/>
    <n v="35000"/>
    <n v="10500"/>
    <n v="0.23076923076923078"/>
  </r>
  <r>
    <x v="5"/>
    <s v="ORD-00076"/>
    <x v="1"/>
    <x v="5"/>
    <x v="60"/>
    <x v="5"/>
    <x v="3"/>
    <n v="6"/>
    <n v="810"/>
    <n v="4860"/>
    <n v="600"/>
    <n v="3600"/>
    <n v="1260"/>
    <n v="0.25925925925925924"/>
  </r>
  <r>
    <x v="5"/>
    <s v="ORD-00077"/>
    <x v="0"/>
    <x v="4"/>
    <x v="61"/>
    <x v="1"/>
    <x v="1"/>
    <n v="5"/>
    <n v="56700"/>
    <n v="283500"/>
    <n v="45000"/>
    <n v="225000"/>
    <n v="58500"/>
    <n v="0.20634920634920634"/>
  </r>
  <r>
    <x v="5"/>
    <s v="ORD-00078"/>
    <x v="0"/>
    <x v="5"/>
    <x v="55"/>
    <x v="2"/>
    <x v="1"/>
    <n v="6"/>
    <n v="53580"/>
    <n v="321480"/>
    <n v="38000"/>
    <n v="228000"/>
    <n v="93480"/>
    <n v="0.29078014184397161"/>
  </r>
  <r>
    <x v="5"/>
    <s v="ORD-00079"/>
    <x v="0"/>
    <x v="3"/>
    <x v="62"/>
    <x v="2"/>
    <x v="1"/>
    <n v="9"/>
    <n v="50920"/>
    <n v="458280"/>
    <n v="38000"/>
    <n v="342000"/>
    <n v="116280"/>
    <n v="0.2537313432835821"/>
  </r>
  <r>
    <x v="5"/>
    <s v="ORD-00080"/>
    <x v="0"/>
    <x v="3"/>
    <x v="29"/>
    <x v="0"/>
    <x v="0"/>
    <n v="9"/>
    <n v="4448"/>
    <n v="40032"/>
    <n v="3200"/>
    <n v="28800"/>
    <n v="11232"/>
    <n v="0.2805755395683453"/>
  </r>
  <r>
    <x v="5"/>
    <s v="ORD-00081"/>
    <x v="1"/>
    <x v="0"/>
    <x v="37"/>
    <x v="0"/>
    <x v="0"/>
    <n v="10"/>
    <n v="4448"/>
    <n v="44480"/>
    <n v="3200"/>
    <n v="32000"/>
    <n v="12480"/>
    <n v="0.2805755395683453"/>
  </r>
  <r>
    <x v="5"/>
    <s v="ORD-00082"/>
    <x v="0"/>
    <x v="3"/>
    <x v="63"/>
    <x v="4"/>
    <x v="2"/>
    <n v="2"/>
    <n v="10540"/>
    <n v="21080"/>
    <n v="8500"/>
    <n v="17000"/>
    <n v="4080"/>
    <n v="0.19354838709677419"/>
  </r>
  <r>
    <x v="6"/>
    <s v="ORD-00083"/>
    <x v="0"/>
    <x v="4"/>
    <x v="64"/>
    <x v="2"/>
    <x v="1"/>
    <n v="9"/>
    <n v="47880"/>
    <n v="430920"/>
    <n v="38000"/>
    <n v="342000"/>
    <n v="88920"/>
    <n v="0.20634920634920634"/>
  </r>
  <r>
    <x v="6"/>
    <s v="ORD-00084"/>
    <x v="2"/>
    <x v="5"/>
    <x v="7"/>
    <x v="4"/>
    <x v="2"/>
    <n v="10"/>
    <n v="11985"/>
    <n v="119850"/>
    <n v="8500"/>
    <n v="85000"/>
    <n v="34850"/>
    <n v="0.29078014184397161"/>
  </r>
  <r>
    <x v="6"/>
    <s v="ORD-00085"/>
    <x v="3"/>
    <x v="1"/>
    <x v="65"/>
    <x v="7"/>
    <x v="2"/>
    <n v="7"/>
    <n v="8820"/>
    <n v="61740"/>
    <n v="7000"/>
    <n v="49000"/>
    <n v="12740"/>
    <n v="0.20634920634920634"/>
  </r>
  <r>
    <x v="6"/>
    <s v="ORD-00086"/>
    <x v="0"/>
    <x v="4"/>
    <x v="66"/>
    <x v="6"/>
    <x v="3"/>
    <n v="6"/>
    <n v="1089"/>
    <n v="6534"/>
    <n v="900"/>
    <n v="5400"/>
    <n v="1134"/>
    <n v="0.17355371900826447"/>
  </r>
  <r>
    <x v="6"/>
    <s v="ORD-00087"/>
    <x v="2"/>
    <x v="0"/>
    <x v="67"/>
    <x v="0"/>
    <x v="0"/>
    <n v="7"/>
    <n v="4288"/>
    <n v="30016"/>
    <n v="3200"/>
    <n v="22400"/>
    <n v="7616"/>
    <n v="0.2537313432835821"/>
  </r>
  <r>
    <x v="6"/>
    <s v="ORD-00088"/>
    <x v="0"/>
    <x v="4"/>
    <x v="5"/>
    <x v="6"/>
    <x v="3"/>
    <n v="9"/>
    <n v="1269"/>
    <n v="11421"/>
    <n v="900"/>
    <n v="8100"/>
    <n v="3321"/>
    <n v="0.29078014184397161"/>
  </r>
  <r>
    <x v="6"/>
    <s v="ORD-00089"/>
    <x v="2"/>
    <x v="3"/>
    <x v="60"/>
    <x v="3"/>
    <x v="0"/>
    <n v="8"/>
    <n v="3250"/>
    <n v="26000"/>
    <n v="2500"/>
    <n v="20000"/>
    <n v="6000"/>
    <n v="0.23076923076923078"/>
  </r>
  <r>
    <x v="6"/>
    <s v="ORD-00090"/>
    <x v="3"/>
    <x v="0"/>
    <x v="9"/>
    <x v="4"/>
    <x v="2"/>
    <n v="6"/>
    <n v="11900"/>
    <n v="71400"/>
    <n v="8500"/>
    <n v="51000"/>
    <n v="20400"/>
    <n v="0.2857142857142857"/>
  </r>
  <r>
    <x v="6"/>
    <s v="ORD-00091"/>
    <x v="2"/>
    <x v="1"/>
    <x v="43"/>
    <x v="0"/>
    <x v="0"/>
    <n v="4"/>
    <n v="4320"/>
    <n v="17280"/>
    <n v="3200"/>
    <n v="12800"/>
    <n v="4480"/>
    <n v="0.25925925925925924"/>
  </r>
  <r>
    <x v="6"/>
    <s v="ORD-00092"/>
    <x v="0"/>
    <x v="4"/>
    <x v="68"/>
    <x v="2"/>
    <x v="1"/>
    <n v="2"/>
    <n v="52060.000000000007"/>
    <n v="104120.00000000001"/>
    <n v="38000"/>
    <n v="76000"/>
    <n v="28120.000000000015"/>
    <n v="0.27007299270073004"/>
  </r>
  <r>
    <x v="6"/>
    <s v="ORD-00093"/>
    <x v="2"/>
    <x v="5"/>
    <x v="69"/>
    <x v="2"/>
    <x v="1"/>
    <n v="9"/>
    <n v="45980"/>
    <n v="413820"/>
    <n v="38000"/>
    <n v="342000"/>
    <n v="71820"/>
    <n v="0.17355371900826447"/>
  </r>
  <r>
    <x v="6"/>
    <s v="ORD-00094"/>
    <x v="1"/>
    <x v="1"/>
    <x v="32"/>
    <x v="3"/>
    <x v="0"/>
    <n v="2"/>
    <n v="3350"/>
    <n v="6700"/>
    <n v="2500"/>
    <n v="5000"/>
    <n v="1700"/>
    <n v="0.2537313432835821"/>
  </r>
  <r>
    <x v="6"/>
    <s v="ORD-00095"/>
    <x v="3"/>
    <x v="0"/>
    <x v="70"/>
    <x v="6"/>
    <x v="3"/>
    <n v="3"/>
    <n v="1269"/>
    <n v="3807"/>
    <n v="900"/>
    <n v="2700"/>
    <n v="1107"/>
    <n v="0.29078014184397161"/>
  </r>
  <r>
    <x v="6"/>
    <s v="ORD-00096"/>
    <x v="1"/>
    <x v="5"/>
    <x v="14"/>
    <x v="7"/>
    <x v="2"/>
    <n v="2"/>
    <n v="9800"/>
    <n v="19600"/>
    <n v="7000"/>
    <n v="14000"/>
    <n v="5600"/>
    <n v="0.2857142857142857"/>
  </r>
  <r>
    <x v="7"/>
    <s v="ORD-00097"/>
    <x v="3"/>
    <x v="5"/>
    <x v="71"/>
    <x v="2"/>
    <x v="1"/>
    <n v="5"/>
    <n v="46740"/>
    <n v="233700"/>
    <n v="38000"/>
    <n v="190000"/>
    <n v="43700"/>
    <n v="0.18699186991869918"/>
  </r>
  <r>
    <x v="7"/>
    <s v="ORD-00098"/>
    <x v="3"/>
    <x v="4"/>
    <x v="72"/>
    <x v="7"/>
    <x v="2"/>
    <n v="10"/>
    <n v="8820"/>
    <n v="88200"/>
    <n v="7000"/>
    <n v="70000"/>
    <n v="18200"/>
    <n v="0.20634920634920634"/>
  </r>
  <r>
    <x v="7"/>
    <s v="ORD-00099"/>
    <x v="1"/>
    <x v="2"/>
    <x v="73"/>
    <x v="5"/>
    <x v="3"/>
    <n v="4"/>
    <n v="827.99999999999989"/>
    <n v="3311.9999999999995"/>
    <n v="600"/>
    <n v="2400"/>
    <n v="911.99999999999955"/>
    <n v="0.2753623188405796"/>
  </r>
  <r>
    <x v="7"/>
    <s v="ORD-00100"/>
    <x v="2"/>
    <x v="0"/>
    <x v="74"/>
    <x v="5"/>
    <x v="3"/>
    <n v="4"/>
    <n v="827.99999999999989"/>
    <n v="3311.9999999999995"/>
    <n v="600"/>
    <n v="2400"/>
    <n v="911.99999999999955"/>
    <n v="0.2753623188405796"/>
  </r>
  <r>
    <x v="7"/>
    <s v="ORD-00101"/>
    <x v="3"/>
    <x v="4"/>
    <x v="75"/>
    <x v="5"/>
    <x v="3"/>
    <n v="3"/>
    <n v="744"/>
    <n v="2232"/>
    <n v="600"/>
    <n v="1800"/>
    <n v="432"/>
    <n v="0.19354838709677419"/>
  </r>
  <r>
    <x v="7"/>
    <s v="ORD-00102"/>
    <x v="2"/>
    <x v="0"/>
    <x v="19"/>
    <x v="2"/>
    <x v="1"/>
    <n v="5"/>
    <n v="54340"/>
    <n v="271700"/>
    <n v="38000"/>
    <n v="190000"/>
    <n v="81700"/>
    <n v="0.30069930069930068"/>
  </r>
  <r>
    <x v="7"/>
    <s v="ORD-00103"/>
    <x v="3"/>
    <x v="0"/>
    <x v="23"/>
    <x v="3"/>
    <x v="0"/>
    <n v="1"/>
    <n v="3550"/>
    <n v="3550"/>
    <n v="2500"/>
    <n v="2500"/>
    <n v="1050"/>
    <n v="0.29577464788732394"/>
  </r>
  <r>
    <x v="7"/>
    <s v="ORD-00104"/>
    <x v="1"/>
    <x v="3"/>
    <x v="76"/>
    <x v="5"/>
    <x v="3"/>
    <n v="6"/>
    <n v="870"/>
    <n v="5220"/>
    <n v="600"/>
    <n v="3600"/>
    <n v="1620"/>
    <n v="0.31034482758620691"/>
  </r>
  <r>
    <x v="7"/>
    <s v="ORD-00105"/>
    <x v="2"/>
    <x v="2"/>
    <x v="77"/>
    <x v="0"/>
    <x v="0"/>
    <n v="1"/>
    <n v="4512"/>
    <n v="4512"/>
    <n v="3200"/>
    <n v="3200"/>
    <n v="1312"/>
    <n v="0.29078014184397161"/>
  </r>
  <r>
    <x v="7"/>
    <s v="ORD-00106"/>
    <x v="0"/>
    <x v="1"/>
    <x v="78"/>
    <x v="3"/>
    <x v="0"/>
    <n v="8"/>
    <n v="3225"/>
    <n v="25800"/>
    <n v="2500"/>
    <n v="20000"/>
    <n v="5800"/>
    <n v="0.22480620155038761"/>
  </r>
  <r>
    <x v="7"/>
    <s v="ORD-00107"/>
    <x v="0"/>
    <x v="3"/>
    <x v="79"/>
    <x v="5"/>
    <x v="3"/>
    <n v="4"/>
    <n v="762"/>
    <n v="3048"/>
    <n v="600"/>
    <n v="2400"/>
    <n v="648"/>
    <n v="0.2125984251968504"/>
  </r>
  <r>
    <x v="7"/>
    <s v="ORD-00108"/>
    <x v="2"/>
    <x v="2"/>
    <x v="36"/>
    <x v="5"/>
    <x v="3"/>
    <n v="2"/>
    <n v="744"/>
    <n v="1488"/>
    <n v="600"/>
    <n v="1200"/>
    <n v="288"/>
    <n v="0.19354838709677419"/>
  </r>
  <r>
    <x v="7"/>
    <s v="ORD-00109"/>
    <x v="3"/>
    <x v="3"/>
    <x v="80"/>
    <x v="4"/>
    <x v="2"/>
    <n v="9"/>
    <n v="10710"/>
    <n v="96390"/>
    <n v="8500"/>
    <n v="76500"/>
    <n v="19890"/>
    <n v="0.20634920634920634"/>
  </r>
  <r>
    <x v="7"/>
    <s v="ORD-00110"/>
    <x v="2"/>
    <x v="0"/>
    <x v="40"/>
    <x v="4"/>
    <x v="2"/>
    <n v="10"/>
    <n v="11135"/>
    <n v="111350"/>
    <n v="8500"/>
    <n v="85000"/>
    <n v="26350"/>
    <n v="0.23664122137404581"/>
  </r>
  <r>
    <x v="8"/>
    <s v="ORD-00111"/>
    <x v="2"/>
    <x v="3"/>
    <x v="81"/>
    <x v="3"/>
    <x v="0"/>
    <n v="10"/>
    <n v="3175"/>
    <n v="31750"/>
    <n v="2500"/>
    <n v="25000"/>
    <n v="6750"/>
    <n v="0.2125984251968504"/>
  </r>
  <r>
    <x v="8"/>
    <s v="ORD-00112"/>
    <x v="2"/>
    <x v="5"/>
    <x v="82"/>
    <x v="2"/>
    <x v="1"/>
    <n v="2"/>
    <n v="48640"/>
    <n v="97280"/>
    <n v="38000"/>
    <n v="76000"/>
    <n v="21280"/>
    <n v="0.21875"/>
  </r>
  <r>
    <x v="8"/>
    <s v="ORD-00113"/>
    <x v="2"/>
    <x v="3"/>
    <x v="83"/>
    <x v="3"/>
    <x v="0"/>
    <n v="1"/>
    <n v="3600"/>
    <n v="3600"/>
    <n v="2500"/>
    <n v="2500"/>
    <n v="1100"/>
    <n v="0.30555555555555558"/>
  </r>
  <r>
    <x v="8"/>
    <s v="ORD-00114"/>
    <x v="2"/>
    <x v="4"/>
    <x v="84"/>
    <x v="1"/>
    <x v="1"/>
    <n v="4"/>
    <n v="65250"/>
    <n v="261000"/>
    <n v="45000"/>
    <n v="180000"/>
    <n v="81000"/>
    <n v="0.31034482758620691"/>
  </r>
  <r>
    <x v="8"/>
    <s v="ORD-00115"/>
    <x v="3"/>
    <x v="4"/>
    <x v="47"/>
    <x v="5"/>
    <x v="3"/>
    <n v="4"/>
    <n v="792"/>
    <n v="3168"/>
    <n v="600"/>
    <n v="2400"/>
    <n v="768"/>
    <n v="0.24242424242424243"/>
  </r>
  <r>
    <x v="8"/>
    <s v="ORD-00116"/>
    <x v="2"/>
    <x v="0"/>
    <x v="85"/>
    <x v="6"/>
    <x v="3"/>
    <n v="1"/>
    <n v="1242"/>
    <n v="1242"/>
    <n v="900"/>
    <n v="900"/>
    <n v="342"/>
    <n v="0.27536231884057971"/>
  </r>
  <r>
    <x v="8"/>
    <s v="ORD-00117"/>
    <x v="2"/>
    <x v="0"/>
    <x v="55"/>
    <x v="3"/>
    <x v="0"/>
    <n v="2"/>
    <n v="3625"/>
    <n v="7250"/>
    <n v="2500"/>
    <n v="5000"/>
    <n v="2250"/>
    <n v="0.31034482758620691"/>
  </r>
  <r>
    <x v="8"/>
    <s v="ORD-00118"/>
    <x v="3"/>
    <x v="5"/>
    <x v="86"/>
    <x v="5"/>
    <x v="3"/>
    <n v="7"/>
    <n v="858"/>
    <n v="6006"/>
    <n v="600"/>
    <n v="4200"/>
    <n v="1806"/>
    <n v="0.30069930069930068"/>
  </r>
  <r>
    <x v="8"/>
    <s v="ORD-00119"/>
    <x v="0"/>
    <x v="4"/>
    <x v="38"/>
    <x v="4"/>
    <x v="2"/>
    <n v="5"/>
    <n v="10710"/>
    <n v="53550"/>
    <n v="8500"/>
    <n v="42500"/>
    <n v="11050"/>
    <n v="0.20634920634920634"/>
  </r>
  <r>
    <x v="8"/>
    <s v="ORD-00120"/>
    <x v="3"/>
    <x v="2"/>
    <x v="76"/>
    <x v="6"/>
    <x v="3"/>
    <n v="5"/>
    <n v="1305"/>
    <n v="6525"/>
    <n v="900"/>
    <n v="4500"/>
    <n v="2025"/>
    <n v="0.31034482758620691"/>
  </r>
  <r>
    <x v="8"/>
    <s v="ORD-00121"/>
    <x v="2"/>
    <x v="2"/>
    <x v="80"/>
    <x v="5"/>
    <x v="3"/>
    <n v="7"/>
    <n v="720"/>
    <n v="5040"/>
    <n v="600"/>
    <n v="4200"/>
    <n v="840"/>
    <n v="0.16666666666666666"/>
  </r>
  <r>
    <x v="8"/>
    <s v="ORD-00122"/>
    <x v="3"/>
    <x v="3"/>
    <x v="87"/>
    <x v="6"/>
    <x v="3"/>
    <n v="7"/>
    <n v="1143"/>
    <n v="8001"/>
    <n v="900"/>
    <n v="6300"/>
    <n v="1701"/>
    <n v="0.2125984251968504"/>
  </r>
  <r>
    <x v="8"/>
    <s v="ORD-00123"/>
    <x v="3"/>
    <x v="1"/>
    <x v="58"/>
    <x v="3"/>
    <x v="0"/>
    <n v="5"/>
    <n v="3225"/>
    <n v="16125"/>
    <n v="2500"/>
    <n v="12500"/>
    <n v="3625"/>
    <n v="0.22480620155038761"/>
  </r>
  <r>
    <x v="8"/>
    <s v="ORD-00124"/>
    <x v="3"/>
    <x v="5"/>
    <x v="88"/>
    <x v="3"/>
    <x v="0"/>
    <n v="10"/>
    <n v="3600"/>
    <n v="36000"/>
    <n v="2500"/>
    <n v="25000"/>
    <n v="11000"/>
    <n v="0.30555555555555558"/>
  </r>
  <r>
    <x v="9"/>
    <s v="ORD-00125"/>
    <x v="2"/>
    <x v="1"/>
    <x v="24"/>
    <x v="0"/>
    <x v="0"/>
    <n v="6"/>
    <n v="3904"/>
    <n v="23424"/>
    <n v="3200"/>
    <n v="19200"/>
    <n v="4224"/>
    <n v="0.18032786885245902"/>
  </r>
  <r>
    <x v="9"/>
    <s v="ORD-00126"/>
    <x v="2"/>
    <x v="0"/>
    <x v="89"/>
    <x v="7"/>
    <x v="2"/>
    <n v="8"/>
    <n v="9940"/>
    <n v="79520"/>
    <n v="7000"/>
    <n v="56000"/>
    <n v="23520"/>
    <n v="0.29577464788732394"/>
  </r>
  <r>
    <x v="9"/>
    <s v="ORD-00127"/>
    <x v="3"/>
    <x v="0"/>
    <x v="90"/>
    <x v="2"/>
    <x v="1"/>
    <n v="7"/>
    <n v="46360"/>
    <n v="324520"/>
    <n v="38000"/>
    <n v="266000"/>
    <n v="58520"/>
    <n v="0.18032786885245902"/>
  </r>
  <r>
    <x v="9"/>
    <s v="ORD-00128"/>
    <x v="1"/>
    <x v="2"/>
    <x v="78"/>
    <x v="4"/>
    <x v="2"/>
    <n v="2"/>
    <n v="11645"/>
    <n v="23290"/>
    <n v="8500"/>
    <n v="17000"/>
    <n v="6290"/>
    <n v="0.27007299270072993"/>
  </r>
  <r>
    <x v="9"/>
    <s v="ORD-00129"/>
    <x v="3"/>
    <x v="4"/>
    <x v="91"/>
    <x v="5"/>
    <x v="3"/>
    <n v="10"/>
    <n v="815.99999999999989"/>
    <n v="8159.9999999999991"/>
    <n v="600"/>
    <n v="6000"/>
    <n v="2159.9999999999991"/>
    <n v="0.26470588235294107"/>
  </r>
  <r>
    <x v="9"/>
    <s v="ORD-00130"/>
    <x v="1"/>
    <x v="1"/>
    <x v="92"/>
    <x v="7"/>
    <x v="2"/>
    <n v="7"/>
    <n v="9450"/>
    <n v="66150"/>
    <n v="7000"/>
    <n v="49000"/>
    <n v="17150"/>
    <n v="0.25925925925925924"/>
  </r>
  <r>
    <x v="9"/>
    <s v="ORD-00131"/>
    <x v="0"/>
    <x v="0"/>
    <x v="93"/>
    <x v="6"/>
    <x v="3"/>
    <n v="10"/>
    <n v="1215"/>
    <n v="12150"/>
    <n v="900"/>
    <n v="9000"/>
    <n v="3150"/>
    <n v="0.25925925925925924"/>
  </r>
  <r>
    <x v="9"/>
    <s v="ORD-00132"/>
    <x v="2"/>
    <x v="3"/>
    <x v="27"/>
    <x v="3"/>
    <x v="0"/>
    <n v="4"/>
    <n v="3325"/>
    <n v="13300"/>
    <n v="2500"/>
    <n v="10000"/>
    <n v="3300"/>
    <n v="0.24812030075187969"/>
  </r>
  <r>
    <x v="9"/>
    <s v="ORD-00133"/>
    <x v="0"/>
    <x v="0"/>
    <x v="49"/>
    <x v="1"/>
    <x v="1"/>
    <n v="6"/>
    <n v="56700"/>
    <n v="340200"/>
    <n v="45000"/>
    <n v="270000"/>
    <n v="70200"/>
    <n v="0.20634920634920634"/>
  </r>
  <r>
    <x v="9"/>
    <s v="ORD-00134"/>
    <x v="3"/>
    <x v="1"/>
    <x v="58"/>
    <x v="6"/>
    <x v="3"/>
    <n v="7"/>
    <n v="1233"/>
    <n v="8631"/>
    <n v="900"/>
    <n v="6300"/>
    <n v="2331"/>
    <n v="0.27007299270072993"/>
  </r>
  <r>
    <x v="9"/>
    <s v="ORD-00135"/>
    <x v="1"/>
    <x v="2"/>
    <x v="12"/>
    <x v="3"/>
    <x v="0"/>
    <n v="2"/>
    <n v="3050"/>
    <n v="6100"/>
    <n v="2500"/>
    <n v="5000"/>
    <n v="1100"/>
    <n v="0.18032786885245902"/>
  </r>
  <r>
    <x v="9"/>
    <s v="ORD-00136"/>
    <x v="2"/>
    <x v="5"/>
    <x v="26"/>
    <x v="6"/>
    <x v="3"/>
    <n v="10"/>
    <n v="1296"/>
    <n v="12960"/>
    <n v="900"/>
    <n v="9000"/>
    <n v="3960"/>
    <n v="0.30555555555555558"/>
  </r>
  <r>
    <x v="9"/>
    <s v="ORD-00137"/>
    <x v="0"/>
    <x v="3"/>
    <x v="55"/>
    <x v="5"/>
    <x v="3"/>
    <n v="6"/>
    <n v="738"/>
    <n v="4428"/>
    <n v="600"/>
    <n v="3600"/>
    <n v="828"/>
    <n v="0.18699186991869918"/>
  </r>
  <r>
    <x v="9"/>
    <s v="ORD-00138"/>
    <x v="0"/>
    <x v="2"/>
    <x v="1"/>
    <x v="2"/>
    <x v="1"/>
    <n v="6"/>
    <n v="47500"/>
    <n v="285000"/>
    <n v="38000"/>
    <n v="228000"/>
    <n v="57000"/>
    <n v="0.2"/>
  </r>
  <r>
    <x v="10"/>
    <s v="ORD-00139"/>
    <x v="3"/>
    <x v="5"/>
    <x v="94"/>
    <x v="0"/>
    <x v="0"/>
    <n v="1"/>
    <n v="4352"/>
    <n v="4352"/>
    <n v="3200"/>
    <n v="3200"/>
    <n v="1152"/>
    <n v="0.26470588235294118"/>
  </r>
  <r>
    <x v="10"/>
    <s v="ORD-00140"/>
    <x v="1"/>
    <x v="1"/>
    <x v="86"/>
    <x v="5"/>
    <x v="3"/>
    <n v="2"/>
    <n v="810"/>
    <n v="1620"/>
    <n v="600"/>
    <n v="1200"/>
    <n v="420"/>
    <n v="0.25925925925925924"/>
  </r>
  <r>
    <x v="10"/>
    <s v="ORD-00141"/>
    <x v="0"/>
    <x v="4"/>
    <x v="52"/>
    <x v="7"/>
    <x v="2"/>
    <n v="7"/>
    <n v="8470"/>
    <n v="59290"/>
    <n v="7000"/>
    <n v="49000"/>
    <n v="10290"/>
    <n v="0.17355371900826447"/>
  </r>
  <r>
    <x v="10"/>
    <s v="ORD-00142"/>
    <x v="1"/>
    <x v="2"/>
    <x v="95"/>
    <x v="0"/>
    <x v="0"/>
    <n v="2"/>
    <n v="3840"/>
    <n v="7680"/>
    <n v="3200"/>
    <n v="6400"/>
    <n v="1280"/>
    <n v="0.16666666666666666"/>
  </r>
  <r>
    <x v="10"/>
    <s v="ORD-00143"/>
    <x v="2"/>
    <x v="1"/>
    <x v="39"/>
    <x v="1"/>
    <x v="1"/>
    <n v="2"/>
    <n v="54450"/>
    <n v="108900"/>
    <n v="45000"/>
    <n v="90000"/>
    <n v="18900"/>
    <n v="0.17355371900826447"/>
  </r>
  <r>
    <x v="10"/>
    <s v="ORD-00144"/>
    <x v="2"/>
    <x v="4"/>
    <x v="51"/>
    <x v="0"/>
    <x v="0"/>
    <n v="9"/>
    <n v="4608"/>
    <n v="41472"/>
    <n v="3200"/>
    <n v="28800"/>
    <n v="12672"/>
    <n v="0.30555555555555558"/>
  </r>
  <r>
    <x v="10"/>
    <s v="ORD-00145"/>
    <x v="3"/>
    <x v="4"/>
    <x v="51"/>
    <x v="4"/>
    <x v="2"/>
    <n v="5"/>
    <n v="12155"/>
    <n v="60775"/>
    <n v="8500"/>
    <n v="42500"/>
    <n v="18275"/>
    <n v="0.30069930069930068"/>
  </r>
  <r>
    <x v="10"/>
    <s v="ORD-00146"/>
    <x v="1"/>
    <x v="1"/>
    <x v="96"/>
    <x v="5"/>
    <x v="3"/>
    <n v="6"/>
    <n v="738"/>
    <n v="4428"/>
    <n v="600"/>
    <n v="3600"/>
    <n v="828"/>
    <n v="0.18699186991869918"/>
  </r>
  <r>
    <x v="10"/>
    <s v="ORD-00147"/>
    <x v="0"/>
    <x v="4"/>
    <x v="14"/>
    <x v="3"/>
    <x v="0"/>
    <n v="1"/>
    <n v="3225"/>
    <n v="3225"/>
    <n v="2500"/>
    <n v="2500"/>
    <n v="725"/>
    <n v="0.22480620155038761"/>
  </r>
  <r>
    <x v="10"/>
    <s v="ORD-00148"/>
    <x v="3"/>
    <x v="2"/>
    <x v="75"/>
    <x v="5"/>
    <x v="3"/>
    <n v="4"/>
    <n v="798"/>
    <n v="3192"/>
    <n v="600"/>
    <n v="2400"/>
    <n v="792"/>
    <n v="0.24812030075187969"/>
  </r>
  <r>
    <x v="10"/>
    <s v="ORD-00149"/>
    <x v="1"/>
    <x v="0"/>
    <x v="25"/>
    <x v="0"/>
    <x v="0"/>
    <n v="9"/>
    <n v="4256"/>
    <n v="38304"/>
    <n v="3200"/>
    <n v="28800"/>
    <n v="9504"/>
    <n v="0.24812030075187969"/>
  </r>
  <r>
    <x v="10"/>
    <s v="ORD-00150"/>
    <x v="3"/>
    <x v="4"/>
    <x v="97"/>
    <x v="2"/>
    <x v="1"/>
    <n v="2"/>
    <n v="50160"/>
    <n v="100320"/>
    <n v="38000"/>
    <n v="76000"/>
    <n v="24320"/>
    <n v="0.24242424242424243"/>
  </r>
  <r>
    <x v="10"/>
    <s v="ORD-00151"/>
    <x v="1"/>
    <x v="4"/>
    <x v="83"/>
    <x v="4"/>
    <x v="2"/>
    <n v="10"/>
    <n v="11390"/>
    <n v="113900"/>
    <n v="8500"/>
    <n v="85000"/>
    <n v="28900"/>
    <n v="0.2537313432835821"/>
  </r>
  <r>
    <x v="10"/>
    <s v="ORD-00152"/>
    <x v="2"/>
    <x v="3"/>
    <x v="40"/>
    <x v="7"/>
    <x v="2"/>
    <n v="7"/>
    <n v="9240"/>
    <n v="64680"/>
    <n v="7000"/>
    <n v="49000"/>
    <n v="15680"/>
    <n v="0.24242424242424243"/>
  </r>
  <r>
    <x v="11"/>
    <s v="ORD-00153"/>
    <x v="1"/>
    <x v="5"/>
    <x v="58"/>
    <x v="7"/>
    <x v="2"/>
    <n v="2"/>
    <n v="10150"/>
    <n v="20300"/>
    <n v="7000"/>
    <n v="14000"/>
    <n v="6300"/>
    <n v="0.31034482758620691"/>
  </r>
  <r>
    <x v="11"/>
    <s v="ORD-00154"/>
    <x v="1"/>
    <x v="0"/>
    <x v="98"/>
    <x v="5"/>
    <x v="3"/>
    <n v="1"/>
    <n v="756"/>
    <n v="756"/>
    <n v="600"/>
    <n v="600"/>
    <n v="156"/>
    <n v="0.20634920634920634"/>
  </r>
  <r>
    <x v="11"/>
    <s v="ORD-00155"/>
    <x v="3"/>
    <x v="4"/>
    <x v="43"/>
    <x v="3"/>
    <x v="0"/>
    <n v="10"/>
    <n v="3250"/>
    <n v="32500"/>
    <n v="2500"/>
    <n v="25000"/>
    <n v="7500"/>
    <n v="0.23076923076923078"/>
  </r>
  <r>
    <x v="11"/>
    <s v="ORD-00156"/>
    <x v="1"/>
    <x v="0"/>
    <x v="67"/>
    <x v="3"/>
    <x v="0"/>
    <n v="9"/>
    <n v="3275"/>
    <n v="29475"/>
    <n v="2500"/>
    <n v="22500"/>
    <n v="6975"/>
    <n v="0.23664122137404581"/>
  </r>
  <r>
    <x v="11"/>
    <s v="ORD-00157"/>
    <x v="1"/>
    <x v="4"/>
    <x v="99"/>
    <x v="4"/>
    <x v="2"/>
    <n v="5"/>
    <n v="11900"/>
    <n v="59500"/>
    <n v="8500"/>
    <n v="42500"/>
    <n v="17000"/>
    <n v="0.2857142857142857"/>
  </r>
  <r>
    <x v="11"/>
    <s v="ORD-00158"/>
    <x v="0"/>
    <x v="5"/>
    <x v="70"/>
    <x v="5"/>
    <x v="3"/>
    <n v="4"/>
    <n v="768"/>
    <n v="3072"/>
    <n v="600"/>
    <n v="2400"/>
    <n v="672"/>
    <n v="0.21875"/>
  </r>
  <r>
    <x v="11"/>
    <s v="ORD-00159"/>
    <x v="3"/>
    <x v="2"/>
    <x v="65"/>
    <x v="2"/>
    <x v="1"/>
    <n v="10"/>
    <n v="47880"/>
    <n v="478800"/>
    <n v="38000"/>
    <n v="380000"/>
    <n v="98800"/>
    <n v="0.20634920634920634"/>
  </r>
  <r>
    <x v="11"/>
    <s v="ORD-00160"/>
    <x v="3"/>
    <x v="1"/>
    <x v="34"/>
    <x v="2"/>
    <x v="1"/>
    <n v="10"/>
    <n v="55100"/>
    <n v="551000"/>
    <n v="38000"/>
    <n v="380000"/>
    <n v="171000"/>
    <n v="0.31034482758620691"/>
  </r>
  <r>
    <x v="11"/>
    <s v="ORD-00161"/>
    <x v="3"/>
    <x v="3"/>
    <x v="15"/>
    <x v="0"/>
    <x v="0"/>
    <n v="8"/>
    <n v="4640"/>
    <n v="37120"/>
    <n v="3200"/>
    <n v="25600"/>
    <n v="11520"/>
    <n v="0.31034482758620691"/>
  </r>
  <r>
    <x v="11"/>
    <s v="ORD-00162"/>
    <x v="3"/>
    <x v="3"/>
    <x v="72"/>
    <x v="5"/>
    <x v="3"/>
    <n v="3"/>
    <n v="804"/>
    <n v="2412"/>
    <n v="600"/>
    <n v="1800"/>
    <n v="612"/>
    <n v="0.2537313432835821"/>
  </r>
  <r>
    <x v="11"/>
    <s v="ORD-00163"/>
    <x v="1"/>
    <x v="5"/>
    <x v="42"/>
    <x v="7"/>
    <x v="2"/>
    <n v="9"/>
    <n v="9450"/>
    <n v="85050"/>
    <n v="7000"/>
    <n v="63000"/>
    <n v="22050"/>
    <n v="0.25925925925925924"/>
  </r>
  <r>
    <x v="11"/>
    <s v="ORD-00164"/>
    <x v="2"/>
    <x v="1"/>
    <x v="82"/>
    <x v="2"/>
    <x v="1"/>
    <n v="9"/>
    <n v="53580"/>
    <n v="482220"/>
    <n v="38000"/>
    <n v="342000"/>
    <n v="140220"/>
    <n v="0.29078014184397161"/>
  </r>
  <r>
    <x v="11"/>
    <s v="ORD-00165"/>
    <x v="2"/>
    <x v="2"/>
    <x v="100"/>
    <x v="5"/>
    <x v="3"/>
    <n v="3"/>
    <n v="732"/>
    <n v="2196"/>
    <n v="600"/>
    <n v="1800"/>
    <n v="396"/>
    <n v="0.18032786885245902"/>
  </r>
  <r>
    <x v="11"/>
    <s v="ORD-00166"/>
    <x v="2"/>
    <x v="4"/>
    <x v="76"/>
    <x v="7"/>
    <x v="2"/>
    <n v="6"/>
    <n v="9380"/>
    <n v="56280"/>
    <n v="7000"/>
    <n v="42000"/>
    <n v="14280"/>
    <n v="0.2537313432835821"/>
  </r>
  <r>
    <x v="12"/>
    <s v="ORD-00167"/>
    <x v="2"/>
    <x v="2"/>
    <x v="101"/>
    <x v="6"/>
    <x v="3"/>
    <n v="5"/>
    <n v="1143"/>
    <n v="5715"/>
    <n v="900"/>
    <n v="4500"/>
    <n v="1215"/>
    <n v="0.2125984251968504"/>
  </r>
  <r>
    <x v="12"/>
    <s v="ORD-00168"/>
    <x v="0"/>
    <x v="4"/>
    <x v="97"/>
    <x v="0"/>
    <x v="0"/>
    <n v="6"/>
    <n v="3936"/>
    <n v="23616"/>
    <n v="3200"/>
    <n v="19200"/>
    <n v="4416"/>
    <n v="0.18699186991869918"/>
  </r>
  <r>
    <x v="12"/>
    <s v="ORD-00169"/>
    <x v="2"/>
    <x v="5"/>
    <x v="102"/>
    <x v="0"/>
    <x v="0"/>
    <n v="5"/>
    <n v="4608"/>
    <n v="23040"/>
    <n v="3200"/>
    <n v="16000"/>
    <n v="7040"/>
    <n v="0.30555555555555558"/>
  </r>
  <r>
    <x v="12"/>
    <s v="ORD-00170"/>
    <x v="3"/>
    <x v="0"/>
    <x v="1"/>
    <x v="7"/>
    <x v="2"/>
    <n v="8"/>
    <n v="9450"/>
    <n v="75600"/>
    <n v="7000"/>
    <n v="56000"/>
    <n v="19600"/>
    <n v="0.25925925925925924"/>
  </r>
  <r>
    <x v="12"/>
    <s v="ORD-00171"/>
    <x v="0"/>
    <x v="3"/>
    <x v="51"/>
    <x v="4"/>
    <x v="2"/>
    <n v="3"/>
    <n v="11645"/>
    <n v="34935"/>
    <n v="8500"/>
    <n v="25500"/>
    <n v="9435"/>
    <n v="0.27007299270072993"/>
  </r>
  <r>
    <x v="12"/>
    <s v="ORD-00172"/>
    <x v="3"/>
    <x v="2"/>
    <x v="44"/>
    <x v="6"/>
    <x v="3"/>
    <n v="8"/>
    <n v="1296"/>
    <n v="10368"/>
    <n v="900"/>
    <n v="7200"/>
    <n v="3168"/>
    <n v="0.30555555555555558"/>
  </r>
  <r>
    <x v="12"/>
    <s v="ORD-00173"/>
    <x v="3"/>
    <x v="5"/>
    <x v="103"/>
    <x v="3"/>
    <x v="0"/>
    <n v="2"/>
    <n v="3325"/>
    <n v="6650"/>
    <n v="2500"/>
    <n v="5000"/>
    <n v="1650"/>
    <n v="0.24812030075187969"/>
  </r>
  <r>
    <x v="12"/>
    <s v="ORD-00174"/>
    <x v="0"/>
    <x v="3"/>
    <x v="104"/>
    <x v="3"/>
    <x v="0"/>
    <n v="8"/>
    <n v="3100"/>
    <n v="24800"/>
    <n v="2500"/>
    <n v="20000"/>
    <n v="4800"/>
    <n v="0.19354838709677419"/>
  </r>
  <r>
    <x v="12"/>
    <s v="ORD-00175"/>
    <x v="1"/>
    <x v="3"/>
    <x v="90"/>
    <x v="5"/>
    <x v="3"/>
    <n v="2"/>
    <n v="792"/>
    <n v="1584"/>
    <n v="600"/>
    <n v="1200"/>
    <n v="384"/>
    <n v="0.24242424242424243"/>
  </r>
  <r>
    <x v="12"/>
    <s v="ORD-00176"/>
    <x v="2"/>
    <x v="1"/>
    <x v="45"/>
    <x v="6"/>
    <x v="3"/>
    <n v="5"/>
    <n v="1134"/>
    <n v="5670"/>
    <n v="900"/>
    <n v="4500"/>
    <n v="1170"/>
    <n v="0.20634920634920634"/>
  </r>
  <r>
    <x v="12"/>
    <s v="ORD-00177"/>
    <x v="3"/>
    <x v="1"/>
    <x v="105"/>
    <x v="6"/>
    <x v="3"/>
    <n v="2"/>
    <n v="1305"/>
    <n v="2610"/>
    <n v="900"/>
    <n v="1800"/>
    <n v="810"/>
    <n v="0.31034482758620691"/>
  </r>
  <r>
    <x v="12"/>
    <s v="ORD-00178"/>
    <x v="3"/>
    <x v="4"/>
    <x v="106"/>
    <x v="6"/>
    <x v="3"/>
    <n v="10"/>
    <n v="1287"/>
    <n v="12870"/>
    <n v="900"/>
    <n v="9000"/>
    <n v="3870"/>
    <n v="0.30069930069930068"/>
  </r>
  <r>
    <x v="12"/>
    <s v="ORD-00179"/>
    <x v="2"/>
    <x v="1"/>
    <x v="39"/>
    <x v="1"/>
    <x v="1"/>
    <n v="7"/>
    <n v="60300"/>
    <n v="422100"/>
    <n v="45000"/>
    <n v="315000"/>
    <n v="107100"/>
    <n v="0.2537313432835821"/>
  </r>
  <r>
    <x v="12"/>
    <s v="ORD-00180"/>
    <x v="0"/>
    <x v="0"/>
    <x v="29"/>
    <x v="4"/>
    <x v="2"/>
    <n v="6"/>
    <n v="11050"/>
    <n v="66300"/>
    <n v="8500"/>
    <n v="51000"/>
    <n v="15300"/>
    <n v="0.23076923076923078"/>
  </r>
  <r>
    <x v="13"/>
    <s v="ORD-00181"/>
    <x v="2"/>
    <x v="5"/>
    <x v="18"/>
    <x v="2"/>
    <x v="1"/>
    <n v="10"/>
    <n v="54340"/>
    <n v="543400"/>
    <n v="38000"/>
    <n v="380000"/>
    <n v="163400"/>
    <n v="0.30069930069930068"/>
  </r>
  <r>
    <x v="13"/>
    <s v="ORD-00182"/>
    <x v="3"/>
    <x v="5"/>
    <x v="107"/>
    <x v="5"/>
    <x v="3"/>
    <n v="10"/>
    <n v="726"/>
    <n v="7260"/>
    <n v="600"/>
    <n v="6000"/>
    <n v="1260"/>
    <n v="0.17355371900826447"/>
  </r>
  <r>
    <x v="13"/>
    <s v="ORD-00183"/>
    <x v="3"/>
    <x v="5"/>
    <x v="108"/>
    <x v="3"/>
    <x v="0"/>
    <n v="2"/>
    <n v="3475.0000000000005"/>
    <n v="6950.0000000000009"/>
    <n v="2500"/>
    <n v="5000"/>
    <n v="1950.0000000000009"/>
    <n v="0.28057553956834541"/>
  </r>
  <r>
    <x v="13"/>
    <s v="ORD-00184"/>
    <x v="1"/>
    <x v="0"/>
    <x v="93"/>
    <x v="7"/>
    <x v="2"/>
    <n v="7"/>
    <n v="8750"/>
    <n v="61250"/>
    <n v="7000"/>
    <n v="49000"/>
    <n v="12250"/>
    <n v="0.2"/>
  </r>
  <r>
    <x v="13"/>
    <s v="ORD-00185"/>
    <x v="3"/>
    <x v="0"/>
    <x v="99"/>
    <x v="6"/>
    <x v="3"/>
    <n v="5"/>
    <n v="1260"/>
    <n v="6300"/>
    <n v="900"/>
    <n v="4500"/>
    <n v="1800"/>
    <n v="0.2857142857142857"/>
  </r>
  <r>
    <x v="13"/>
    <s v="ORD-00186"/>
    <x v="2"/>
    <x v="5"/>
    <x v="59"/>
    <x v="2"/>
    <x v="1"/>
    <n v="8"/>
    <n v="54340"/>
    <n v="434720"/>
    <n v="38000"/>
    <n v="304000"/>
    <n v="130720"/>
    <n v="0.30069930069930068"/>
  </r>
  <r>
    <x v="13"/>
    <s v="ORD-00187"/>
    <x v="2"/>
    <x v="3"/>
    <x v="109"/>
    <x v="6"/>
    <x v="3"/>
    <n v="10"/>
    <n v="1296"/>
    <n v="12960"/>
    <n v="900"/>
    <n v="9000"/>
    <n v="3960"/>
    <n v="0.30555555555555558"/>
  </r>
  <r>
    <x v="13"/>
    <s v="ORD-00188"/>
    <x v="1"/>
    <x v="3"/>
    <x v="91"/>
    <x v="2"/>
    <x v="1"/>
    <n v="3"/>
    <n v="53960"/>
    <n v="161880"/>
    <n v="38000"/>
    <n v="114000"/>
    <n v="47880"/>
    <n v="0.29577464788732394"/>
  </r>
  <r>
    <x v="13"/>
    <s v="ORD-00189"/>
    <x v="2"/>
    <x v="1"/>
    <x v="97"/>
    <x v="1"/>
    <x v="1"/>
    <n v="1"/>
    <n v="55800"/>
    <n v="55800"/>
    <n v="45000"/>
    <n v="45000"/>
    <n v="10800"/>
    <n v="0.19354838709677419"/>
  </r>
  <r>
    <x v="13"/>
    <s v="ORD-00190"/>
    <x v="3"/>
    <x v="5"/>
    <x v="24"/>
    <x v="6"/>
    <x v="3"/>
    <n v="6"/>
    <n v="1269"/>
    <n v="7614"/>
    <n v="900"/>
    <n v="5400"/>
    <n v="2214"/>
    <n v="0.29078014184397161"/>
  </r>
  <r>
    <x v="13"/>
    <s v="ORD-00191"/>
    <x v="1"/>
    <x v="5"/>
    <x v="28"/>
    <x v="3"/>
    <x v="0"/>
    <n v="6"/>
    <n v="3325"/>
    <n v="19950"/>
    <n v="2500"/>
    <n v="15000"/>
    <n v="4950"/>
    <n v="0.24812030075187969"/>
  </r>
  <r>
    <x v="13"/>
    <s v="ORD-00192"/>
    <x v="3"/>
    <x v="0"/>
    <x v="110"/>
    <x v="1"/>
    <x v="1"/>
    <n v="7"/>
    <n v="59850"/>
    <n v="418950"/>
    <n v="45000"/>
    <n v="315000"/>
    <n v="103950"/>
    <n v="0.24812030075187969"/>
  </r>
  <r>
    <x v="13"/>
    <s v="ORD-00193"/>
    <x v="3"/>
    <x v="3"/>
    <x v="111"/>
    <x v="1"/>
    <x v="1"/>
    <n v="4"/>
    <n v="58950"/>
    <n v="235800"/>
    <n v="45000"/>
    <n v="180000"/>
    <n v="55800"/>
    <n v="0.23664122137404581"/>
  </r>
  <r>
    <x v="13"/>
    <s v="ORD-00194"/>
    <x v="2"/>
    <x v="4"/>
    <x v="112"/>
    <x v="6"/>
    <x v="3"/>
    <n v="6"/>
    <n v="1251"/>
    <n v="7506"/>
    <n v="900"/>
    <n v="5400"/>
    <n v="2106"/>
    <n v="0.2805755395683453"/>
  </r>
  <r>
    <x v="14"/>
    <s v="ORD-00195"/>
    <x v="0"/>
    <x v="5"/>
    <x v="95"/>
    <x v="5"/>
    <x v="3"/>
    <n v="8"/>
    <n v="834.00000000000011"/>
    <n v="6672.0000000000009"/>
    <n v="600"/>
    <n v="4800"/>
    <n v="1872.0000000000009"/>
    <n v="0.28057553956834541"/>
  </r>
  <r>
    <x v="14"/>
    <s v="ORD-00196"/>
    <x v="1"/>
    <x v="1"/>
    <x v="113"/>
    <x v="2"/>
    <x v="1"/>
    <n v="9"/>
    <n v="47500"/>
    <n v="427500"/>
    <n v="38000"/>
    <n v="342000"/>
    <n v="85500"/>
    <n v="0.2"/>
  </r>
  <r>
    <x v="14"/>
    <s v="ORD-00197"/>
    <x v="2"/>
    <x v="3"/>
    <x v="27"/>
    <x v="5"/>
    <x v="3"/>
    <n v="4"/>
    <n v="804"/>
    <n v="3216"/>
    <n v="600"/>
    <n v="2400"/>
    <n v="816"/>
    <n v="0.2537313432835821"/>
  </r>
  <r>
    <x v="14"/>
    <s v="ORD-00198"/>
    <x v="2"/>
    <x v="0"/>
    <x v="41"/>
    <x v="1"/>
    <x v="1"/>
    <n v="1"/>
    <n v="64350"/>
    <n v="64350"/>
    <n v="45000"/>
    <n v="45000"/>
    <n v="19350"/>
    <n v="0.30069930069930068"/>
  </r>
  <r>
    <x v="14"/>
    <s v="ORD-00199"/>
    <x v="0"/>
    <x v="3"/>
    <x v="108"/>
    <x v="7"/>
    <x v="2"/>
    <n v="9"/>
    <n v="9940"/>
    <n v="89460"/>
    <n v="7000"/>
    <n v="63000"/>
    <n v="26460"/>
    <n v="0.29577464788732394"/>
  </r>
  <r>
    <x v="14"/>
    <s v="ORD-00200"/>
    <x v="3"/>
    <x v="1"/>
    <x v="15"/>
    <x v="0"/>
    <x v="0"/>
    <n v="2"/>
    <n v="3840"/>
    <n v="7680"/>
    <n v="3200"/>
    <n v="6400"/>
    <n v="1280"/>
    <n v="0.16666666666666666"/>
  </r>
  <r>
    <x v="14"/>
    <s v="ORD-00201"/>
    <x v="3"/>
    <x v="4"/>
    <x v="6"/>
    <x v="1"/>
    <x v="1"/>
    <n v="4"/>
    <n v="58500"/>
    <n v="234000"/>
    <n v="45000"/>
    <n v="180000"/>
    <n v="54000"/>
    <n v="0.23076923076923078"/>
  </r>
  <r>
    <x v="14"/>
    <s v="ORD-00202"/>
    <x v="1"/>
    <x v="5"/>
    <x v="76"/>
    <x v="1"/>
    <x v="1"/>
    <n v="9"/>
    <n v="56250"/>
    <n v="506250"/>
    <n v="45000"/>
    <n v="405000"/>
    <n v="101250"/>
    <n v="0.2"/>
  </r>
  <r>
    <x v="14"/>
    <s v="ORD-00203"/>
    <x v="3"/>
    <x v="5"/>
    <x v="52"/>
    <x v="3"/>
    <x v="0"/>
    <n v="3"/>
    <n v="3125"/>
    <n v="9375"/>
    <n v="2500"/>
    <n v="7500"/>
    <n v="1875"/>
    <n v="0.2"/>
  </r>
  <r>
    <x v="14"/>
    <s v="ORD-00204"/>
    <x v="0"/>
    <x v="0"/>
    <x v="83"/>
    <x v="1"/>
    <x v="1"/>
    <n v="3"/>
    <n v="63450"/>
    <n v="190350"/>
    <n v="45000"/>
    <n v="135000"/>
    <n v="55350"/>
    <n v="0.29078014184397161"/>
  </r>
  <r>
    <x v="14"/>
    <s v="ORD-00205"/>
    <x v="0"/>
    <x v="5"/>
    <x v="32"/>
    <x v="5"/>
    <x v="3"/>
    <n v="3"/>
    <n v="768"/>
    <n v="2304"/>
    <n v="600"/>
    <n v="1800"/>
    <n v="504"/>
    <n v="0.21875"/>
  </r>
  <r>
    <x v="14"/>
    <s v="ORD-00206"/>
    <x v="1"/>
    <x v="0"/>
    <x v="31"/>
    <x v="3"/>
    <x v="0"/>
    <n v="4"/>
    <n v="3175"/>
    <n v="12700"/>
    <n v="2500"/>
    <n v="10000"/>
    <n v="2700"/>
    <n v="0.2125984251968504"/>
  </r>
  <r>
    <x v="14"/>
    <s v="ORD-00207"/>
    <x v="2"/>
    <x v="5"/>
    <x v="49"/>
    <x v="3"/>
    <x v="0"/>
    <n v="2"/>
    <n v="3225"/>
    <n v="6450"/>
    <n v="2500"/>
    <n v="5000"/>
    <n v="1450"/>
    <n v="0.22480620155038761"/>
  </r>
  <r>
    <x v="14"/>
    <s v="ORD-00208"/>
    <x v="2"/>
    <x v="2"/>
    <x v="8"/>
    <x v="2"/>
    <x v="1"/>
    <n v="9"/>
    <n v="50540"/>
    <n v="454860"/>
    <n v="38000"/>
    <n v="342000"/>
    <n v="112860"/>
    <n v="0.24812030075187969"/>
  </r>
  <r>
    <x v="15"/>
    <s v="ORD-00209"/>
    <x v="2"/>
    <x v="2"/>
    <x v="50"/>
    <x v="0"/>
    <x v="0"/>
    <n v="3"/>
    <n v="4384"/>
    <n v="13152"/>
    <n v="3200"/>
    <n v="9600"/>
    <n v="3552"/>
    <n v="0.27007299270072993"/>
  </r>
  <r>
    <x v="15"/>
    <s v="ORD-00210"/>
    <x v="2"/>
    <x v="4"/>
    <x v="68"/>
    <x v="3"/>
    <x v="0"/>
    <n v="4"/>
    <n v="3300"/>
    <n v="13200"/>
    <n v="2500"/>
    <n v="10000"/>
    <n v="3200"/>
    <n v="0.24242424242424243"/>
  </r>
  <r>
    <x v="15"/>
    <s v="ORD-00211"/>
    <x v="0"/>
    <x v="0"/>
    <x v="43"/>
    <x v="7"/>
    <x v="2"/>
    <n v="10"/>
    <n v="8400"/>
    <n v="84000"/>
    <n v="7000"/>
    <n v="70000"/>
    <n v="14000"/>
    <n v="0.16666666666666666"/>
  </r>
  <r>
    <x v="15"/>
    <s v="ORD-00212"/>
    <x v="3"/>
    <x v="2"/>
    <x v="114"/>
    <x v="0"/>
    <x v="0"/>
    <n v="10"/>
    <n v="4064"/>
    <n v="40640"/>
    <n v="3200"/>
    <n v="32000"/>
    <n v="8640"/>
    <n v="0.2125984251968504"/>
  </r>
  <r>
    <x v="15"/>
    <s v="ORD-00213"/>
    <x v="2"/>
    <x v="4"/>
    <x v="107"/>
    <x v="1"/>
    <x v="1"/>
    <n v="6"/>
    <n v="64350"/>
    <n v="386100"/>
    <n v="45000"/>
    <n v="270000"/>
    <n v="116100"/>
    <n v="0.30069930069930068"/>
  </r>
  <r>
    <x v="15"/>
    <s v="ORD-00214"/>
    <x v="3"/>
    <x v="4"/>
    <x v="104"/>
    <x v="3"/>
    <x v="0"/>
    <n v="9"/>
    <n v="3350"/>
    <n v="30150"/>
    <n v="2500"/>
    <n v="22500"/>
    <n v="7650"/>
    <n v="0.2537313432835821"/>
  </r>
  <r>
    <x v="15"/>
    <s v="ORD-00215"/>
    <x v="0"/>
    <x v="2"/>
    <x v="42"/>
    <x v="3"/>
    <x v="0"/>
    <n v="2"/>
    <n v="3025"/>
    <n v="6050"/>
    <n v="2500"/>
    <n v="5000"/>
    <n v="1050"/>
    <n v="0.17355371900826447"/>
  </r>
  <r>
    <x v="15"/>
    <s v="ORD-00216"/>
    <x v="1"/>
    <x v="4"/>
    <x v="36"/>
    <x v="0"/>
    <x v="0"/>
    <n v="3"/>
    <n v="4480"/>
    <n v="13440"/>
    <n v="3200"/>
    <n v="9600"/>
    <n v="3840"/>
    <n v="0.2857142857142857"/>
  </r>
  <r>
    <x v="15"/>
    <s v="ORD-00217"/>
    <x v="0"/>
    <x v="1"/>
    <x v="16"/>
    <x v="0"/>
    <x v="0"/>
    <n v="9"/>
    <n v="4608"/>
    <n v="41472"/>
    <n v="3200"/>
    <n v="28800"/>
    <n v="12672"/>
    <n v="0.30555555555555558"/>
  </r>
  <r>
    <x v="15"/>
    <s v="ORD-00218"/>
    <x v="2"/>
    <x v="1"/>
    <x v="41"/>
    <x v="4"/>
    <x v="2"/>
    <n v="9"/>
    <n v="11220"/>
    <n v="100980"/>
    <n v="8500"/>
    <n v="76500"/>
    <n v="24480"/>
    <n v="0.24242424242424243"/>
  </r>
  <r>
    <x v="15"/>
    <s v="ORD-00219"/>
    <x v="1"/>
    <x v="2"/>
    <x v="5"/>
    <x v="2"/>
    <x v="1"/>
    <n v="10"/>
    <n v="53580"/>
    <n v="535800"/>
    <n v="38000"/>
    <n v="380000"/>
    <n v="155800"/>
    <n v="0.29078014184397161"/>
  </r>
  <r>
    <x v="15"/>
    <s v="ORD-00220"/>
    <x v="2"/>
    <x v="0"/>
    <x v="22"/>
    <x v="6"/>
    <x v="3"/>
    <n v="2"/>
    <n v="1152"/>
    <n v="2304"/>
    <n v="900"/>
    <n v="1800"/>
    <n v="504"/>
    <n v="0.21875"/>
  </r>
  <r>
    <x v="15"/>
    <s v="ORD-00221"/>
    <x v="3"/>
    <x v="4"/>
    <x v="91"/>
    <x v="0"/>
    <x v="0"/>
    <n v="8"/>
    <n v="4288"/>
    <n v="34304"/>
    <n v="3200"/>
    <n v="25600"/>
    <n v="8704"/>
    <n v="0.2537313432835821"/>
  </r>
  <r>
    <x v="15"/>
    <s v="ORD-00222"/>
    <x v="0"/>
    <x v="3"/>
    <x v="82"/>
    <x v="3"/>
    <x v="0"/>
    <n v="3"/>
    <n v="3375"/>
    <n v="10125"/>
    <n v="2500"/>
    <n v="7500"/>
    <n v="2625"/>
    <n v="0.25925925925925924"/>
  </r>
  <r>
    <x v="16"/>
    <s v="ORD-00223"/>
    <x v="3"/>
    <x v="5"/>
    <x v="84"/>
    <x v="1"/>
    <x v="1"/>
    <n v="2"/>
    <n v="58950"/>
    <n v="117900"/>
    <n v="45000"/>
    <n v="90000"/>
    <n v="27900"/>
    <n v="0.23664122137404581"/>
  </r>
  <r>
    <x v="16"/>
    <s v="ORD-00224"/>
    <x v="3"/>
    <x v="0"/>
    <x v="27"/>
    <x v="1"/>
    <x v="1"/>
    <n v="10"/>
    <n v="54000"/>
    <n v="540000"/>
    <n v="45000"/>
    <n v="450000"/>
    <n v="90000"/>
    <n v="0.16666666666666666"/>
  </r>
  <r>
    <x v="16"/>
    <s v="ORD-00225"/>
    <x v="2"/>
    <x v="2"/>
    <x v="112"/>
    <x v="7"/>
    <x v="2"/>
    <n v="10"/>
    <n v="9240"/>
    <n v="92400"/>
    <n v="7000"/>
    <n v="70000"/>
    <n v="22400"/>
    <n v="0.24242424242424243"/>
  </r>
  <r>
    <x v="16"/>
    <s v="ORD-00226"/>
    <x v="3"/>
    <x v="1"/>
    <x v="78"/>
    <x v="7"/>
    <x v="2"/>
    <n v="7"/>
    <n v="9100"/>
    <n v="63700"/>
    <n v="7000"/>
    <n v="49000"/>
    <n v="14700"/>
    <n v="0.23076923076923078"/>
  </r>
  <r>
    <x v="16"/>
    <s v="ORD-00227"/>
    <x v="1"/>
    <x v="4"/>
    <x v="28"/>
    <x v="5"/>
    <x v="3"/>
    <n v="7"/>
    <n v="792"/>
    <n v="5544"/>
    <n v="600"/>
    <n v="4200"/>
    <n v="1344"/>
    <n v="0.24242424242424243"/>
  </r>
  <r>
    <x v="16"/>
    <s v="ORD-00228"/>
    <x v="3"/>
    <x v="1"/>
    <x v="14"/>
    <x v="1"/>
    <x v="1"/>
    <n v="2"/>
    <n v="55800"/>
    <n v="111600"/>
    <n v="45000"/>
    <n v="90000"/>
    <n v="21600"/>
    <n v="0.19354838709677419"/>
  </r>
  <r>
    <x v="16"/>
    <s v="ORD-00229"/>
    <x v="0"/>
    <x v="2"/>
    <x v="97"/>
    <x v="3"/>
    <x v="0"/>
    <n v="5"/>
    <n v="3250"/>
    <n v="16250"/>
    <n v="2500"/>
    <n v="12500"/>
    <n v="3750"/>
    <n v="0.23076923076923078"/>
  </r>
  <r>
    <x v="16"/>
    <s v="ORD-00230"/>
    <x v="2"/>
    <x v="0"/>
    <x v="107"/>
    <x v="5"/>
    <x v="3"/>
    <n v="8"/>
    <n v="738"/>
    <n v="5904"/>
    <n v="600"/>
    <n v="4800"/>
    <n v="1104"/>
    <n v="0.18699186991869918"/>
  </r>
  <r>
    <x v="16"/>
    <s v="ORD-00231"/>
    <x v="3"/>
    <x v="1"/>
    <x v="115"/>
    <x v="5"/>
    <x v="3"/>
    <n v="4"/>
    <n v="815.99999999999989"/>
    <n v="3263.9999999999995"/>
    <n v="600"/>
    <n v="2400"/>
    <n v="863.99999999999955"/>
    <n v="0.26470588235294107"/>
  </r>
  <r>
    <x v="16"/>
    <s v="ORD-00232"/>
    <x v="0"/>
    <x v="1"/>
    <x v="0"/>
    <x v="7"/>
    <x v="2"/>
    <n v="9"/>
    <n v="9380"/>
    <n v="84420"/>
    <n v="7000"/>
    <n v="63000"/>
    <n v="21420"/>
    <n v="0.2537313432835821"/>
  </r>
  <r>
    <x v="16"/>
    <s v="ORD-00233"/>
    <x v="0"/>
    <x v="2"/>
    <x v="90"/>
    <x v="2"/>
    <x v="1"/>
    <n v="9"/>
    <n v="51679.999999999993"/>
    <n v="465119.99999999994"/>
    <n v="38000"/>
    <n v="342000"/>
    <n v="123119.99999999994"/>
    <n v="0.26470588235294107"/>
  </r>
  <r>
    <x v="16"/>
    <s v="ORD-00234"/>
    <x v="1"/>
    <x v="1"/>
    <x v="81"/>
    <x v="3"/>
    <x v="0"/>
    <n v="4"/>
    <n v="3600"/>
    <n v="14400"/>
    <n v="2500"/>
    <n v="10000"/>
    <n v="4400"/>
    <n v="0.30555555555555558"/>
  </r>
  <r>
    <x v="16"/>
    <s v="ORD-00235"/>
    <x v="1"/>
    <x v="4"/>
    <x v="63"/>
    <x v="7"/>
    <x v="2"/>
    <n v="5"/>
    <n v="9170"/>
    <n v="45850"/>
    <n v="7000"/>
    <n v="35000"/>
    <n v="10850"/>
    <n v="0.23664122137404581"/>
  </r>
  <r>
    <x v="16"/>
    <s v="ORD-00236"/>
    <x v="0"/>
    <x v="4"/>
    <x v="116"/>
    <x v="6"/>
    <x v="3"/>
    <n v="2"/>
    <n v="1206"/>
    <n v="2412"/>
    <n v="900"/>
    <n v="1800"/>
    <n v="612"/>
    <n v="0.2537313432835821"/>
  </r>
  <r>
    <x v="17"/>
    <s v="ORD-00237"/>
    <x v="1"/>
    <x v="1"/>
    <x v="117"/>
    <x v="4"/>
    <x v="2"/>
    <n v="9"/>
    <n v="10285"/>
    <n v="92565"/>
    <n v="8500"/>
    <n v="76500"/>
    <n v="16065"/>
    <n v="0.17355371900826447"/>
  </r>
  <r>
    <x v="17"/>
    <s v="ORD-00238"/>
    <x v="0"/>
    <x v="0"/>
    <x v="25"/>
    <x v="1"/>
    <x v="1"/>
    <n v="5"/>
    <n v="63900"/>
    <n v="319500"/>
    <n v="45000"/>
    <n v="225000"/>
    <n v="94500"/>
    <n v="0.29577464788732394"/>
  </r>
  <r>
    <x v="17"/>
    <s v="ORD-00239"/>
    <x v="1"/>
    <x v="5"/>
    <x v="29"/>
    <x v="6"/>
    <x v="3"/>
    <n v="4"/>
    <n v="1089"/>
    <n v="4356"/>
    <n v="900"/>
    <n v="3600"/>
    <n v="756"/>
    <n v="0.17355371900826447"/>
  </r>
  <r>
    <x v="17"/>
    <s v="ORD-00240"/>
    <x v="3"/>
    <x v="3"/>
    <x v="118"/>
    <x v="2"/>
    <x v="1"/>
    <n v="10"/>
    <n v="47880"/>
    <n v="478800"/>
    <n v="38000"/>
    <n v="380000"/>
    <n v="98800"/>
    <n v="0.20634920634920634"/>
  </r>
  <r>
    <x v="17"/>
    <s v="ORD-00241"/>
    <x v="2"/>
    <x v="5"/>
    <x v="119"/>
    <x v="4"/>
    <x v="2"/>
    <n v="9"/>
    <n v="10200"/>
    <n v="91800"/>
    <n v="8500"/>
    <n v="76500"/>
    <n v="15300"/>
    <n v="0.16666666666666666"/>
  </r>
  <r>
    <x v="17"/>
    <s v="ORD-00242"/>
    <x v="1"/>
    <x v="0"/>
    <x v="79"/>
    <x v="2"/>
    <x v="1"/>
    <n v="3"/>
    <n v="50160"/>
    <n v="150480"/>
    <n v="38000"/>
    <n v="114000"/>
    <n v="36480"/>
    <n v="0.24242424242424243"/>
  </r>
  <r>
    <x v="17"/>
    <s v="ORD-00243"/>
    <x v="0"/>
    <x v="0"/>
    <x v="47"/>
    <x v="7"/>
    <x v="2"/>
    <n v="5"/>
    <n v="9450"/>
    <n v="47250"/>
    <n v="7000"/>
    <n v="35000"/>
    <n v="12250"/>
    <n v="0.25925925925925924"/>
  </r>
  <r>
    <x v="17"/>
    <s v="ORD-00244"/>
    <x v="1"/>
    <x v="5"/>
    <x v="120"/>
    <x v="3"/>
    <x v="0"/>
    <n v="5"/>
    <n v="3575"/>
    <n v="17875"/>
    <n v="2500"/>
    <n v="12500"/>
    <n v="5375"/>
    <n v="0.30069930069930068"/>
  </r>
  <r>
    <x v="17"/>
    <s v="ORD-00245"/>
    <x v="2"/>
    <x v="3"/>
    <x v="121"/>
    <x v="6"/>
    <x v="3"/>
    <n v="6"/>
    <n v="1143"/>
    <n v="6858"/>
    <n v="900"/>
    <n v="5400"/>
    <n v="1458"/>
    <n v="0.2125984251968504"/>
  </r>
  <r>
    <x v="17"/>
    <s v="ORD-00246"/>
    <x v="2"/>
    <x v="5"/>
    <x v="105"/>
    <x v="7"/>
    <x v="2"/>
    <n v="9"/>
    <n v="9870"/>
    <n v="88830"/>
    <n v="7000"/>
    <n v="63000"/>
    <n v="25830"/>
    <n v="0.29078014184397161"/>
  </r>
  <r>
    <x v="17"/>
    <s v="ORD-00247"/>
    <x v="0"/>
    <x v="5"/>
    <x v="110"/>
    <x v="3"/>
    <x v="0"/>
    <n v="1"/>
    <n v="3075"/>
    <n v="3075"/>
    <n v="2500"/>
    <n v="2500"/>
    <n v="575"/>
    <n v="0.18699186991869918"/>
  </r>
  <r>
    <x v="17"/>
    <s v="ORD-00248"/>
    <x v="0"/>
    <x v="4"/>
    <x v="47"/>
    <x v="5"/>
    <x v="3"/>
    <n v="1"/>
    <n v="768"/>
    <n v="768"/>
    <n v="600"/>
    <n v="600"/>
    <n v="168"/>
    <n v="0.21875"/>
  </r>
  <r>
    <x v="17"/>
    <s v="ORD-00249"/>
    <x v="0"/>
    <x v="1"/>
    <x v="122"/>
    <x v="7"/>
    <x v="2"/>
    <n v="3"/>
    <n v="9870"/>
    <n v="29610"/>
    <n v="7000"/>
    <n v="21000"/>
    <n v="8610"/>
    <n v="0.29078014184397161"/>
  </r>
  <r>
    <x v="17"/>
    <s v="ORD-00250"/>
    <x v="0"/>
    <x v="3"/>
    <x v="123"/>
    <x v="7"/>
    <x v="2"/>
    <n v="1"/>
    <n v="9100"/>
    <n v="9100"/>
    <n v="7000"/>
    <n v="7000"/>
    <n v="2100"/>
    <n v="0.23076923076923078"/>
  </r>
  <r>
    <x v="18"/>
    <s v="ORD-00251"/>
    <x v="1"/>
    <x v="5"/>
    <x v="96"/>
    <x v="2"/>
    <x v="1"/>
    <n v="8"/>
    <n v="47120"/>
    <n v="376960"/>
    <n v="38000"/>
    <n v="304000"/>
    <n v="72960"/>
    <n v="0.19354838709677419"/>
  </r>
  <r>
    <x v="18"/>
    <s v="ORD-00252"/>
    <x v="2"/>
    <x v="3"/>
    <x v="6"/>
    <x v="5"/>
    <x v="3"/>
    <n v="8"/>
    <n v="774"/>
    <n v="6192"/>
    <n v="600"/>
    <n v="4800"/>
    <n v="1392"/>
    <n v="0.22480620155038761"/>
  </r>
  <r>
    <x v="18"/>
    <s v="ORD-00253"/>
    <x v="3"/>
    <x v="0"/>
    <x v="28"/>
    <x v="1"/>
    <x v="1"/>
    <n v="6"/>
    <n v="54900"/>
    <n v="329400"/>
    <n v="45000"/>
    <n v="270000"/>
    <n v="59400"/>
    <n v="0.18032786885245902"/>
  </r>
  <r>
    <x v="18"/>
    <s v="ORD-00254"/>
    <x v="0"/>
    <x v="5"/>
    <x v="124"/>
    <x v="4"/>
    <x v="2"/>
    <n v="10"/>
    <n v="11475"/>
    <n v="114750"/>
    <n v="8500"/>
    <n v="85000"/>
    <n v="29750"/>
    <n v="0.25925925925925924"/>
  </r>
  <r>
    <x v="18"/>
    <s v="ORD-00255"/>
    <x v="0"/>
    <x v="2"/>
    <x v="77"/>
    <x v="7"/>
    <x v="2"/>
    <n v="5"/>
    <n v="10010"/>
    <n v="50050"/>
    <n v="7000"/>
    <n v="35000"/>
    <n v="15050"/>
    <n v="0.30069930069930068"/>
  </r>
  <r>
    <x v="18"/>
    <s v="ORD-00256"/>
    <x v="0"/>
    <x v="0"/>
    <x v="85"/>
    <x v="5"/>
    <x v="3"/>
    <n v="7"/>
    <n v="815.99999999999989"/>
    <n v="5711.9999999999991"/>
    <n v="600"/>
    <n v="4200"/>
    <n v="1511.9999999999991"/>
    <n v="0.26470588235294107"/>
  </r>
  <r>
    <x v="18"/>
    <s v="ORD-00257"/>
    <x v="0"/>
    <x v="3"/>
    <x v="60"/>
    <x v="5"/>
    <x v="3"/>
    <n v="2"/>
    <n v="858"/>
    <n v="1716"/>
    <n v="600"/>
    <n v="1200"/>
    <n v="516"/>
    <n v="0.30069930069930068"/>
  </r>
  <r>
    <x v="18"/>
    <s v="ORD-00258"/>
    <x v="2"/>
    <x v="3"/>
    <x v="4"/>
    <x v="4"/>
    <x v="2"/>
    <n v="8"/>
    <n v="10625"/>
    <n v="85000"/>
    <n v="8500"/>
    <n v="68000"/>
    <n v="17000"/>
    <n v="0.2"/>
  </r>
  <r>
    <x v="18"/>
    <s v="ORD-00259"/>
    <x v="2"/>
    <x v="0"/>
    <x v="6"/>
    <x v="5"/>
    <x v="3"/>
    <n v="1"/>
    <n v="750"/>
    <n v="750"/>
    <n v="600"/>
    <n v="600"/>
    <n v="150"/>
    <n v="0.2"/>
  </r>
  <r>
    <x v="18"/>
    <s v="ORD-00260"/>
    <x v="1"/>
    <x v="5"/>
    <x v="15"/>
    <x v="7"/>
    <x v="2"/>
    <n v="6"/>
    <n v="9030"/>
    <n v="54180"/>
    <n v="7000"/>
    <n v="42000"/>
    <n v="12180"/>
    <n v="0.22480620155038761"/>
  </r>
  <r>
    <x v="18"/>
    <s v="ORD-00261"/>
    <x v="1"/>
    <x v="0"/>
    <x v="64"/>
    <x v="4"/>
    <x v="2"/>
    <n v="2"/>
    <n v="11135"/>
    <n v="22270"/>
    <n v="8500"/>
    <n v="17000"/>
    <n v="5270"/>
    <n v="0.23664122137404581"/>
  </r>
  <r>
    <x v="18"/>
    <s v="ORD-00262"/>
    <x v="3"/>
    <x v="3"/>
    <x v="59"/>
    <x v="3"/>
    <x v="0"/>
    <n v="4"/>
    <n v="3525"/>
    <n v="14100"/>
    <n v="2500"/>
    <n v="10000"/>
    <n v="4100"/>
    <n v="0.29078014184397161"/>
  </r>
  <r>
    <x v="18"/>
    <s v="ORD-00263"/>
    <x v="1"/>
    <x v="4"/>
    <x v="64"/>
    <x v="4"/>
    <x v="2"/>
    <n v="10"/>
    <n v="12070"/>
    <n v="120700"/>
    <n v="8500"/>
    <n v="85000"/>
    <n v="35700"/>
    <n v="0.29577464788732394"/>
  </r>
  <r>
    <x v="18"/>
    <s v="ORD-00264"/>
    <x v="2"/>
    <x v="2"/>
    <x v="64"/>
    <x v="4"/>
    <x v="2"/>
    <n v="1"/>
    <n v="11305"/>
    <n v="11305"/>
    <n v="8500"/>
    <n v="8500"/>
    <n v="2805"/>
    <n v="0.24812030075187969"/>
  </r>
  <r>
    <x v="19"/>
    <s v="ORD-00265"/>
    <x v="2"/>
    <x v="5"/>
    <x v="108"/>
    <x v="5"/>
    <x v="3"/>
    <n v="9"/>
    <n v="786"/>
    <n v="7074"/>
    <n v="600"/>
    <n v="5400"/>
    <n v="1674"/>
    <n v="0.23664122137404581"/>
  </r>
  <r>
    <x v="19"/>
    <s v="ORD-00266"/>
    <x v="0"/>
    <x v="1"/>
    <x v="21"/>
    <x v="7"/>
    <x v="2"/>
    <n v="1"/>
    <n v="9800"/>
    <n v="9800"/>
    <n v="7000"/>
    <n v="7000"/>
    <n v="2800"/>
    <n v="0.2857142857142857"/>
  </r>
  <r>
    <x v="19"/>
    <s v="ORD-00267"/>
    <x v="1"/>
    <x v="3"/>
    <x v="32"/>
    <x v="4"/>
    <x v="2"/>
    <n v="4"/>
    <n v="12325"/>
    <n v="49300"/>
    <n v="8500"/>
    <n v="34000"/>
    <n v="15300"/>
    <n v="0.31034482758620691"/>
  </r>
  <r>
    <x v="19"/>
    <s v="ORD-00268"/>
    <x v="3"/>
    <x v="3"/>
    <x v="72"/>
    <x v="0"/>
    <x v="0"/>
    <n v="1"/>
    <n v="3872"/>
    <n v="3872"/>
    <n v="3200"/>
    <n v="3200"/>
    <n v="672"/>
    <n v="0.17355371900826447"/>
  </r>
  <r>
    <x v="19"/>
    <s v="ORD-00269"/>
    <x v="3"/>
    <x v="0"/>
    <x v="3"/>
    <x v="2"/>
    <x v="1"/>
    <n v="4"/>
    <n v="50160"/>
    <n v="200640"/>
    <n v="38000"/>
    <n v="152000"/>
    <n v="48640"/>
    <n v="0.24242424242424243"/>
  </r>
  <r>
    <x v="19"/>
    <s v="ORD-00270"/>
    <x v="3"/>
    <x v="3"/>
    <x v="125"/>
    <x v="5"/>
    <x v="3"/>
    <n v="1"/>
    <n v="792"/>
    <n v="792"/>
    <n v="600"/>
    <n v="600"/>
    <n v="192"/>
    <n v="0.24242424242424243"/>
  </r>
  <r>
    <x v="19"/>
    <s v="ORD-00271"/>
    <x v="1"/>
    <x v="3"/>
    <x v="126"/>
    <x v="6"/>
    <x v="3"/>
    <n v="10"/>
    <n v="1107"/>
    <n v="11070"/>
    <n v="900"/>
    <n v="9000"/>
    <n v="2070"/>
    <n v="0.18699186991869918"/>
  </r>
  <r>
    <x v="19"/>
    <s v="ORD-00272"/>
    <x v="0"/>
    <x v="4"/>
    <x v="64"/>
    <x v="5"/>
    <x v="3"/>
    <n v="6"/>
    <n v="732"/>
    <n v="4392"/>
    <n v="600"/>
    <n v="3600"/>
    <n v="792"/>
    <n v="0.18032786885245902"/>
  </r>
  <r>
    <x v="19"/>
    <s v="ORD-00273"/>
    <x v="2"/>
    <x v="3"/>
    <x v="83"/>
    <x v="6"/>
    <x v="3"/>
    <n v="10"/>
    <n v="1170"/>
    <n v="11700"/>
    <n v="900"/>
    <n v="9000"/>
    <n v="2700"/>
    <n v="0.23076923076923078"/>
  </r>
  <r>
    <x v="19"/>
    <s v="ORD-00274"/>
    <x v="1"/>
    <x v="2"/>
    <x v="80"/>
    <x v="6"/>
    <x v="3"/>
    <n v="9"/>
    <n v="1269"/>
    <n v="11421"/>
    <n v="900"/>
    <n v="8100"/>
    <n v="3321"/>
    <n v="0.29078014184397161"/>
  </r>
  <r>
    <x v="19"/>
    <s v="ORD-00275"/>
    <x v="2"/>
    <x v="0"/>
    <x v="112"/>
    <x v="2"/>
    <x v="1"/>
    <n v="9"/>
    <n v="49020"/>
    <n v="441180"/>
    <n v="38000"/>
    <n v="342000"/>
    <n v="99180"/>
    <n v="0.22480620155038761"/>
  </r>
  <r>
    <x v="19"/>
    <s v="ORD-00276"/>
    <x v="3"/>
    <x v="3"/>
    <x v="5"/>
    <x v="1"/>
    <x v="1"/>
    <n v="6"/>
    <n v="63900"/>
    <n v="383400"/>
    <n v="45000"/>
    <n v="270000"/>
    <n v="113400"/>
    <n v="0.29577464788732394"/>
  </r>
  <r>
    <x v="19"/>
    <s v="ORD-00277"/>
    <x v="2"/>
    <x v="3"/>
    <x v="127"/>
    <x v="0"/>
    <x v="0"/>
    <n v="2"/>
    <n v="3936"/>
    <n v="7872"/>
    <n v="3200"/>
    <n v="6400"/>
    <n v="1472"/>
    <n v="0.18699186991869918"/>
  </r>
  <r>
    <x v="19"/>
    <s v="ORD-00278"/>
    <x v="3"/>
    <x v="2"/>
    <x v="64"/>
    <x v="2"/>
    <x v="1"/>
    <n v="8"/>
    <n v="47880"/>
    <n v="383040"/>
    <n v="38000"/>
    <n v="304000"/>
    <n v="79040"/>
    <n v="0.20634920634920634"/>
  </r>
  <r>
    <x v="20"/>
    <s v="ORD-00279"/>
    <x v="0"/>
    <x v="1"/>
    <x v="30"/>
    <x v="4"/>
    <x v="2"/>
    <n v="9"/>
    <n v="12240"/>
    <n v="110160"/>
    <n v="8500"/>
    <n v="76500"/>
    <n v="33660"/>
    <n v="0.30555555555555558"/>
  </r>
  <r>
    <x v="20"/>
    <s v="ORD-00280"/>
    <x v="2"/>
    <x v="2"/>
    <x v="128"/>
    <x v="4"/>
    <x v="2"/>
    <n v="10"/>
    <n v="11305"/>
    <n v="113050"/>
    <n v="8500"/>
    <n v="85000"/>
    <n v="28050"/>
    <n v="0.24812030075187969"/>
  </r>
  <r>
    <x v="20"/>
    <s v="ORD-00281"/>
    <x v="2"/>
    <x v="3"/>
    <x v="6"/>
    <x v="0"/>
    <x v="0"/>
    <n v="6"/>
    <n v="4064"/>
    <n v="24384"/>
    <n v="3200"/>
    <n v="19200"/>
    <n v="5184"/>
    <n v="0.2125984251968504"/>
  </r>
  <r>
    <x v="20"/>
    <s v="ORD-00282"/>
    <x v="1"/>
    <x v="5"/>
    <x v="127"/>
    <x v="7"/>
    <x v="2"/>
    <n v="1"/>
    <n v="8820"/>
    <n v="8820"/>
    <n v="7000"/>
    <n v="7000"/>
    <n v="1820"/>
    <n v="0.20634920634920634"/>
  </r>
  <r>
    <x v="20"/>
    <s v="ORD-00283"/>
    <x v="3"/>
    <x v="0"/>
    <x v="129"/>
    <x v="2"/>
    <x v="1"/>
    <n v="2"/>
    <n v="48260"/>
    <n v="96520"/>
    <n v="38000"/>
    <n v="76000"/>
    <n v="20520"/>
    <n v="0.2125984251968504"/>
  </r>
  <r>
    <x v="20"/>
    <s v="ORD-00284"/>
    <x v="2"/>
    <x v="4"/>
    <x v="2"/>
    <x v="7"/>
    <x v="2"/>
    <n v="7"/>
    <n v="8470"/>
    <n v="59290"/>
    <n v="7000"/>
    <n v="49000"/>
    <n v="10290"/>
    <n v="0.17355371900826447"/>
  </r>
  <r>
    <x v="20"/>
    <s v="ORD-00285"/>
    <x v="1"/>
    <x v="0"/>
    <x v="40"/>
    <x v="7"/>
    <x v="2"/>
    <n v="3"/>
    <n v="8470"/>
    <n v="25410"/>
    <n v="7000"/>
    <n v="21000"/>
    <n v="4410"/>
    <n v="0.17355371900826447"/>
  </r>
  <r>
    <x v="20"/>
    <s v="ORD-00286"/>
    <x v="1"/>
    <x v="2"/>
    <x v="75"/>
    <x v="7"/>
    <x v="2"/>
    <n v="10"/>
    <n v="9450"/>
    <n v="94500"/>
    <n v="7000"/>
    <n v="70000"/>
    <n v="24500"/>
    <n v="0.25925925925925924"/>
  </r>
  <r>
    <x v="20"/>
    <s v="ORD-00287"/>
    <x v="0"/>
    <x v="3"/>
    <x v="102"/>
    <x v="0"/>
    <x v="0"/>
    <n v="8"/>
    <n v="4320"/>
    <n v="34560"/>
    <n v="3200"/>
    <n v="25600"/>
    <n v="8960"/>
    <n v="0.25925925925925924"/>
  </r>
  <r>
    <x v="20"/>
    <s v="ORD-00288"/>
    <x v="2"/>
    <x v="2"/>
    <x v="24"/>
    <x v="0"/>
    <x v="0"/>
    <n v="2"/>
    <n v="3872"/>
    <n v="7744"/>
    <n v="3200"/>
    <n v="6400"/>
    <n v="1344"/>
    <n v="0.17355371900826447"/>
  </r>
  <r>
    <x v="20"/>
    <s v="ORD-00289"/>
    <x v="3"/>
    <x v="5"/>
    <x v="101"/>
    <x v="3"/>
    <x v="0"/>
    <n v="2"/>
    <n v="3175"/>
    <n v="6350"/>
    <n v="2500"/>
    <n v="5000"/>
    <n v="1350"/>
    <n v="0.2125984251968504"/>
  </r>
  <r>
    <x v="20"/>
    <s v="ORD-00290"/>
    <x v="0"/>
    <x v="0"/>
    <x v="120"/>
    <x v="5"/>
    <x v="3"/>
    <n v="2"/>
    <n v="827.99999999999989"/>
    <n v="1655.9999999999998"/>
    <n v="600"/>
    <n v="1200"/>
    <n v="455.99999999999977"/>
    <n v="0.2753623188405796"/>
  </r>
  <r>
    <x v="20"/>
    <s v="ORD-00291"/>
    <x v="2"/>
    <x v="4"/>
    <x v="14"/>
    <x v="5"/>
    <x v="3"/>
    <n v="8"/>
    <n v="726"/>
    <n v="5808"/>
    <n v="600"/>
    <n v="4800"/>
    <n v="1008"/>
    <n v="0.17355371900826447"/>
  </r>
  <r>
    <x v="20"/>
    <s v="ORD-00292"/>
    <x v="1"/>
    <x v="5"/>
    <x v="33"/>
    <x v="1"/>
    <x v="1"/>
    <n v="7"/>
    <n v="58500"/>
    <n v="409500"/>
    <n v="45000"/>
    <n v="315000"/>
    <n v="94500"/>
    <n v="0.23076923076923078"/>
  </r>
  <r>
    <x v="21"/>
    <s v="ORD-00293"/>
    <x v="3"/>
    <x v="2"/>
    <x v="89"/>
    <x v="7"/>
    <x v="2"/>
    <n v="1"/>
    <n v="8890"/>
    <n v="8890"/>
    <n v="7000"/>
    <n v="7000"/>
    <n v="1890"/>
    <n v="0.2125984251968504"/>
  </r>
  <r>
    <x v="21"/>
    <s v="ORD-00294"/>
    <x v="0"/>
    <x v="1"/>
    <x v="43"/>
    <x v="6"/>
    <x v="3"/>
    <n v="4"/>
    <n v="1197"/>
    <n v="4788"/>
    <n v="900"/>
    <n v="3600"/>
    <n v="1188"/>
    <n v="0.24812030075187969"/>
  </r>
  <r>
    <x v="21"/>
    <s v="ORD-00295"/>
    <x v="2"/>
    <x v="2"/>
    <x v="89"/>
    <x v="3"/>
    <x v="0"/>
    <n v="10"/>
    <n v="3525"/>
    <n v="35250"/>
    <n v="2500"/>
    <n v="25000"/>
    <n v="10250"/>
    <n v="0.29078014184397161"/>
  </r>
  <r>
    <x v="21"/>
    <s v="ORD-00296"/>
    <x v="0"/>
    <x v="1"/>
    <x v="130"/>
    <x v="0"/>
    <x v="0"/>
    <n v="5"/>
    <n v="4608"/>
    <n v="23040"/>
    <n v="3200"/>
    <n v="16000"/>
    <n v="7040"/>
    <n v="0.30555555555555558"/>
  </r>
  <r>
    <x v="21"/>
    <s v="ORD-00297"/>
    <x v="3"/>
    <x v="4"/>
    <x v="93"/>
    <x v="1"/>
    <x v="1"/>
    <n v="10"/>
    <n v="63900"/>
    <n v="639000"/>
    <n v="45000"/>
    <n v="450000"/>
    <n v="189000"/>
    <n v="0.29577464788732394"/>
  </r>
  <r>
    <x v="21"/>
    <s v="ORD-00298"/>
    <x v="1"/>
    <x v="0"/>
    <x v="2"/>
    <x v="5"/>
    <x v="3"/>
    <n v="5"/>
    <n v="768"/>
    <n v="3840"/>
    <n v="600"/>
    <n v="3000"/>
    <n v="840"/>
    <n v="0.21875"/>
  </r>
  <r>
    <x v="21"/>
    <s v="ORD-00299"/>
    <x v="1"/>
    <x v="0"/>
    <x v="131"/>
    <x v="1"/>
    <x v="1"/>
    <n v="8"/>
    <n v="58950"/>
    <n v="471600"/>
    <n v="45000"/>
    <n v="360000"/>
    <n v="111600"/>
    <n v="0.23664122137404581"/>
  </r>
  <r>
    <x v="21"/>
    <s v="ORD-00300"/>
    <x v="0"/>
    <x v="0"/>
    <x v="24"/>
    <x v="7"/>
    <x v="2"/>
    <n v="5"/>
    <n v="8400"/>
    <n v="42000"/>
    <n v="7000"/>
    <n v="35000"/>
    <n v="7000"/>
    <n v="0.16666666666666666"/>
  </r>
  <r>
    <x v="21"/>
    <s v="ORD-00301"/>
    <x v="0"/>
    <x v="5"/>
    <x v="18"/>
    <x v="2"/>
    <x v="1"/>
    <n v="4"/>
    <n v="54720"/>
    <n v="218880"/>
    <n v="38000"/>
    <n v="152000"/>
    <n v="66880"/>
    <n v="0.30555555555555558"/>
  </r>
  <r>
    <x v="21"/>
    <s v="ORD-00302"/>
    <x v="1"/>
    <x v="3"/>
    <x v="72"/>
    <x v="0"/>
    <x v="0"/>
    <n v="6"/>
    <n v="4256"/>
    <n v="25536"/>
    <n v="3200"/>
    <n v="19200"/>
    <n v="6336"/>
    <n v="0.24812030075187969"/>
  </r>
  <r>
    <x v="21"/>
    <s v="ORD-00303"/>
    <x v="3"/>
    <x v="2"/>
    <x v="48"/>
    <x v="7"/>
    <x v="2"/>
    <n v="7"/>
    <n v="8400"/>
    <n v="58800"/>
    <n v="7000"/>
    <n v="49000"/>
    <n v="9800"/>
    <n v="0.16666666666666666"/>
  </r>
  <r>
    <x v="21"/>
    <s v="ORD-00304"/>
    <x v="3"/>
    <x v="2"/>
    <x v="48"/>
    <x v="4"/>
    <x v="2"/>
    <n v="5"/>
    <n v="10200"/>
    <n v="51000"/>
    <n v="8500"/>
    <n v="42500"/>
    <n v="8500"/>
    <n v="0.16666666666666666"/>
  </r>
  <r>
    <x v="21"/>
    <s v="ORD-00305"/>
    <x v="3"/>
    <x v="2"/>
    <x v="38"/>
    <x v="0"/>
    <x v="0"/>
    <n v="3"/>
    <n v="4320"/>
    <n v="12960"/>
    <n v="3200"/>
    <n v="9600"/>
    <n v="3360"/>
    <n v="0.25925925925925924"/>
  </r>
  <r>
    <x v="21"/>
    <s v="ORD-00306"/>
    <x v="0"/>
    <x v="1"/>
    <x v="2"/>
    <x v="6"/>
    <x v="3"/>
    <n v="4"/>
    <n v="1215"/>
    <n v="4860"/>
    <n v="900"/>
    <n v="3600"/>
    <n v="1260"/>
    <n v="0.25925925925925924"/>
  </r>
  <r>
    <x v="22"/>
    <s v="ORD-00307"/>
    <x v="2"/>
    <x v="1"/>
    <x v="41"/>
    <x v="0"/>
    <x v="0"/>
    <n v="6"/>
    <n v="4448"/>
    <n v="26688"/>
    <n v="3200"/>
    <n v="19200"/>
    <n v="7488"/>
    <n v="0.2805755395683453"/>
  </r>
  <r>
    <x v="22"/>
    <s v="ORD-00308"/>
    <x v="1"/>
    <x v="0"/>
    <x v="108"/>
    <x v="1"/>
    <x v="1"/>
    <n v="5"/>
    <n v="57150"/>
    <n v="285750"/>
    <n v="45000"/>
    <n v="225000"/>
    <n v="60750"/>
    <n v="0.2125984251968504"/>
  </r>
  <r>
    <x v="22"/>
    <s v="ORD-00309"/>
    <x v="2"/>
    <x v="1"/>
    <x v="57"/>
    <x v="7"/>
    <x v="2"/>
    <n v="6"/>
    <n v="9170"/>
    <n v="55020"/>
    <n v="7000"/>
    <n v="42000"/>
    <n v="13020"/>
    <n v="0.23664122137404581"/>
  </r>
  <r>
    <x v="22"/>
    <s v="ORD-00310"/>
    <x v="1"/>
    <x v="2"/>
    <x v="83"/>
    <x v="5"/>
    <x v="3"/>
    <n v="2"/>
    <n v="846"/>
    <n v="1692"/>
    <n v="600"/>
    <n v="1200"/>
    <n v="492"/>
    <n v="0.29078014184397161"/>
  </r>
  <r>
    <x v="22"/>
    <s v="ORD-00311"/>
    <x v="2"/>
    <x v="1"/>
    <x v="42"/>
    <x v="5"/>
    <x v="3"/>
    <n v="8"/>
    <n v="864"/>
    <n v="6912"/>
    <n v="600"/>
    <n v="4800"/>
    <n v="2112"/>
    <n v="0.30555555555555558"/>
  </r>
  <r>
    <x v="22"/>
    <s v="ORD-00312"/>
    <x v="2"/>
    <x v="2"/>
    <x v="132"/>
    <x v="4"/>
    <x v="2"/>
    <n v="8"/>
    <n v="11135"/>
    <n v="89080"/>
    <n v="8500"/>
    <n v="68000"/>
    <n v="21080"/>
    <n v="0.23664122137404581"/>
  </r>
  <r>
    <x v="22"/>
    <s v="ORD-00313"/>
    <x v="2"/>
    <x v="3"/>
    <x v="27"/>
    <x v="5"/>
    <x v="3"/>
    <n v="7"/>
    <n v="774"/>
    <n v="5418"/>
    <n v="600"/>
    <n v="4200"/>
    <n v="1218"/>
    <n v="0.22480620155038761"/>
  </r>
  <r>
    <x v="22"/>
    <s v="ORD-00314"/>
    <x v="2"/>
    <x v="1"/>
    <x v="104"/>
    <x v="5"/>
    <x v="3"/>
    <n v="6"/>
    <n v="744"/>
    <n v="4464"/>
    <n v="600"/>
    <n v="3600"/>
    <n v="864"/>
    <n v="0.19354838709677419"/>
  </r>
  <r>
    <x v="22"/>
    <s v="ORD-00315"/>
    <x v="0"/>
    <x v="1"/>
    <x v="123"/>
    <x v="1"/>
    <x v="1"/>
    <n v="7"/>
    <n v="61199.999999999993"/>
    <n v="428399.99999999994"/>
    <n v="45000"/>
    <n v="315000"/>
    <n v="113399.99999999994"/>
    <n v="0.26470588235294107"/>
  </r>
  <r>
    <x v="22"/>
    <s v="ORD-00316"/>
    <x v="0"/>
    <x v="3"/>
    <x v="35"/>
    <x v="4"/>
    <x v="2"/>
    <n v="1"/>
    <n v="11050"/>
    <n v="11050"/>
    <n v="8500"/>
    <n v="8500"/>
    <n v="2550"/>
    <n v="0.23076923076923078"/>
  </r>
  <r>
    <x v="22"/>
    <s v="ORD-00317"/>
    <x v="1"/>
    <x v="5"/>
    <x v="32"/>
    <x v="5"/>
    <x v="3"/>
    <n v="4"/>
    <n v="834.00000000000011"/>
    <n v="3336.0000000000005"/>
    <n v="600"/>
    <n v="2400"/>
    <n v="936.00000000000045"/>
    <n v="0.28057553956834541"/>
  </r>
  <r>
    <x v="22"/>
    <s v="ORD-00318"/>
    <x v="2"/>
    <x v="1"/>
    <x v="43"/>
    <x v="7"/>
    <x v="2"/>
    <n v="7"/>
    <n v="8610"/>
    <n v="60270"/>
    <n v="7000"/>
    <n v="49000"/>
    <n v="11270"/>
    <n v="0.18699186991869918"/>
  </r>
  <r>
    <x v="22"/>
    <s v="ORD-00319"/>
    <x v="1"/>
    <x v="5"/>
    <x v="133"/>
    <x v="1"/>
    <x v="1"/>
    <n v="8"/>
    <n v="59400"/>
    <n v="475200"/>
    <n v="45000"/>
    <n v="360000"/>
    <n v="115200"/>
    <n v="0.24242424242424243"/>
  </r>
  <r>
    <x v="22"/>
    <s v="ORD-00320"/>
    <x v="3"/>
    <x v="1"/>
    <x v="93"/>
    <x v="4"/>
    <x v="2"/>
    <n v="3"/>
    <n v="11730"/>
    <n v="35190"/>
    <n v="8500"/>
    <n v="25500"/>
    <n v="9690"/>
    <n v="0.27536231884057971"/>
  </r>
  <r>
    <x v="23"/>
    <s v="ORD-00321"/>
    <x v="3"/>
    <x v="0"/>
    <x v="33"/>
    <x v="3"/>
    <x v="0"/>
    <n v="9"/>
    <n v="3075"/>
    <n v="27675"/>
    <n v="2500"/>
    <n v="22500"/>
    <n v="5175"/>
    <n v="0.18699186991869918"/>
  </r>
  <r>
    <x v="23"/>
    <s v="ORD-00322"/>
    <x v="1"/>
    <x v="5"/>
    <x v="44"/>
    <x v="7"/>
    <x v="2"/>
    <n v="9"/>
    <n v="8890"/>
    <n v="80010"/>
    <n v="7000"/>
    <n v="63000"/>
    <n v="17010"/>
    <n v="0.2125984251968504"/>
  </r>
  <r>
    <x v="23"/>
    <s v="ORD-00323"/>
    <x v="1"/>
    <x v="5"/>
    <x v="58"/>
    <x v="4"/>
    <x v="2"/>
    <n v="2"/>
    <n v="12325"/>
    <n v="24650"/>
    <n v="8500"/>
    <n v="17000"/>
    <n v="7650"/>
    <n v="0.31034482758620691"/>
  </r>
  <r>
    <x v="23"/>
    <s v="ORD-00324"/>
    <x v="1"/>
    <x v="3"/>
    <x v="67"/>
    <x v="0"/>
    <x v="0"/>
    <n v="2"/>
    <n v="3872"/>
    <n v="7744"/>
    <n v="3200"/>
    <n v="6400"/>
    <n v="1344"/>
    <n v="0.17355371900826447"/>
  </r>
  <r>
    <x v="23"/>
    <s v="ORD-00325"/>
    <x v="2"/>
    <x v="0"/>
    <x v="98"/>
    <x v="2"/>
    <x v="1"/>
    <n v="3"/>
    <n v="51300"/>
    <n v="153900"/>
    <n v="38000"/>
    <n v="114000"/>
    <n v="39900"/>
    <n v="0.25925925925925924"/>
  </r>
  <r>
    <x v="23"/>
    <s v="ORD-00326"/>
    <x v="0"/>
    <x v="1"/>
    <x v="76"/>
    <x v="7"/>
    <x v="2"/>
    <n v="1"/>
    <n v="9170"/>
    <n v="9170"/>
    <n v="7000"/>
    <n v="7000"/>
    <n v="2170"/>
    <n v="0.23664122137404581"/>
  </r>
  <r>
    <x v="23"/>
    <s v="ORD-00327"/>
    <x v="3"/>
    <x v="4"/>
    <x v="114"/>
    <x v="0"/>
    <x v="0"/>
    <n v="9"/>
    <n v="4576"/>
    <n v="41184"/>
    <n v="3200"/>
    <n v="28800"/>
    <n v="12384"/>
    <n v="0.30069930069930068"/>
  </r>
  <r>
    <x v="23"/>
    <s v="ORD-00328"/>
    <x v="3"/>
    <x v="3"/>
    <x v="134"/>
    <x v="0"/>
    <x v="0"/>
    <n v="8"/>
    <n v="4544"/>
    <n v="36352"/>
    <n v="3200"/>
    <n v="25600"/>
    <n v="10752"/>
    <n v="0.29577464788732394"/>
  </r>
  <r>
    <x v="23"/>
    <s v="ORD-00329"/>
    <x v="1"/>
    <x v="5"/>
    <x v="5"/>
    <x v="2"/>
    <x v="1"/>
    <n v="2"/>
    <n v="53200"/>
    <n v="106400"/>
    <n v="38000"/>
    <n v="76000"/>
    <n v="30400"/>
    <n v="0.2857142857142857"/>
  </r>
  <r>
    <x v="23"/>
    <s v="ORD-00330"/>
    <x v="0"/>
    <x v="2"/>
    <x v="44"/>
    <x v="4"/>
    <x v="2"/>
    <n v="6"/>
    <n v="10370"/>
    <n v="62220"/>
    <n v="8500"/>
    <n v="51000"/>
    <n v="11220"/>
    <n v="0.18032786885245902"/>
  </r>
  <r>
    <x v="23"/>
    <s v="ORD-00331"/>
    <x v="1"/>
    <x v="3"/>
    <x v="70"/>
    <x v="1"/>
    <x v="1"/>
    <n v="3"/>
    <n v="58950"/>
    <n v="176850"/>
    <n v="45000"/>
    <n v="135000"/>
    <n v="41850"/>
    <n v="0.23664122137404581"/>
  </r>
  <r>
    <x v="23"/>
    <s v="ORD-00332"/>
    <x v="1"/>
    <x v="4"/>
    <x v="20"/>
    <x v="3"/>
    <x v="0"/>
    <n v="9"/>
    <n v="3275"/>
    <n v="29475"/>
    <n v="2500"/>
    <n v="22500"/>
    <n v="6975"/>
    <n v="0.23664122137404581"/>
  </r>
  <r>
    <x v="23"/>
    <s v="ORD-00333"/>
    <x v="1"/>
    <x v="2"/>
    <x v="33"/>
    <x v="2"/>
    <x v="1"/>
    <n v="8"/>
    <n v="53200"/>
    <n v="425600"/>
    <n v="38000"/>
    <n v="304000"/>
    <n v="121600"/>
    <n v="0.2857142857142857"/>
  </r>
  <r>
    <x v="23"/>
    <s v="ORD-00334"/>
    <x v="2"/>
    <x v="3"/>
    <x v="64"/>
    <x v="3"/>
    <x v="0"/>
    <n v="2"/>
    <n v="3575"/>
    <n v="7150"/>
    <n v="2500"/>
    <n v="5000"/>
    <n v="2150"/>
    <n v="0.30069930069930068"/>
  </r>
  <r>
    <x v="24"/>
    <s v="ORD-00335"/>
    <x v="0"/>
    <x v="2"/>
    <x v="8"/>
    <x v="1"/>
    <x v="1"/>
    <n v="4"/>
    <n v="60750.000000000007"/>
    <n v="243000.00000000003"/>
    <n v="45000"/>
    <n v="180000"/>
    <n v="63000.000000000029"/>
    <n v="0.25925925925925936"/>
  </r>
  <r>
    <x v="24"/>
    <s v="ORD-00336"/>
    <x v="0"/>
    <x v="5"/>
    <x v="98"/>
    <x v="5"/>
    <x v="3"/>
    <n v="3"/>
    <n v="720"/>
    <n v="2160"/>
    <n v="600"/>
    <n v="1800"/>
    <n v="360"/>
    <n v="0.16666666666666666"/>
  </r>
  <r>
    <x v="24"/>
    <s v="ORD-00337"/>
    <x v="2"/>
    <x v="0"/>
    <x v="57"/>
    <x v="6"/>
    <x v="3"/>
    <n v="2"/>
    <n v="1089"/>
    <n v="2178"/>
    <n v="900"/>
    <n v="1800"/>
    <n v="378"/>
    <n v="0.17355371900826447"/>
  </r>
  <r>
    <x v="24"/>
    <s v="ORD-00338"/>
    <x v="1"/>
    <x v="4"/>
    <x v="27"/>
    <x v="2"/>
    <x v="1"/>
    <n v="2"/>
    <n v="49400"/>
    <n v="98800"/>
    <n v="38000"/>
    <n v="76000"/>
    <n v="22800"/>
    <n v="0.23076923076923078"/>
  </r>
  <r>
    <x v="24"/>
    <s v="ORD-00339"/>
    <x v="0"/>
    <x v="0"/>
    <x v="135"/>
    <x v="3"/>
    <x v="0"/>
    <n v="5"/>
    <n v="3325"/>
    <n v="16625"/>
    <n v="2500"/>
    <n v="12500"/>
    <n v="4125"/>
    <n v="0.24812030075187969"/>
  </r>
  <r>
    <x v="24"/>
    <s v="ORD-00340"/>
    <x v="3"/>
    <x v="0"/>
    <x v="101"/>
    <x v="7"/>
    <x v="2"/>
    <n v="7"/>
    <n v="8470"/>
    <n v="59290"/>
    <n v="7000"/>
    <n v="49000"/>
    <n v="10290"/>
    <n v="0.17355371900826447"/>
  </r>
  <r>
    <x v="24"/>
    <s v="ORD-00341"/>
    <x v="3"/>
    <x v="4"/>
    <x v="23"/>
    <x v="1"/>
    <x v="1"/>
    <n v="9"/>
    <n v="60300"/>
    <n v="542700"/>
    <n v="45000"/>
    <n v="405000"/>
    <n v="137700"/>
    <n v="0.2537313432835821"/>
  </r>
  <r>
    <x v="24"/>
    <s v="ORD-00342"/>
    <x v="3"/>
    <x v="2"/>
    <x v="51"/>
    <x v="0"/>
    <x v="0"/>
    <n v="2"/>
    <n v="3840"/>
    <n v="7680"/>
    <n v="3200"/>
    <n v="6400"/>
    <n v="1280"/>
    <n v="0.16666666666666666"/>
  </r>
  <r>
    <x v="24"/>
    <s v="ORD-00343"/>
    <x v="1"/>
    <x v="2"/>
    <x v="6"/>
    <x v="2"/>
    <x v="1"/>
    <n v="2"/>
    <n v="51679.999999999993"/>
    <n v="103359.99999999999"/>
    <n v="38000"/>
    <n v="76000"/>
    <n v="27359.999999999985"/>
    <n v="0.26470588235294107"/>
  </r>
  <r>
    <x v="24"/>
    <s v="ORD-00344"/>
    <x v="3"/>
    <x v="3"/>
    <x v="95"/>
    <x v="6"/>
    <x v="3"/>
    <n v="5"/>
    <n v="1188"/>
    <n v="5940"/>
    <n v="900"/>
    <n v="4500"/>
    <n v="1440"/>
    <n v="0.24242424242424243"/>
  </r>
  <r>
    <x v="24"/>
    <s v="ORD-00345"/>
    <x v="1"/>
    <x v="2"/>
    <x v="74"/>
    <x v="0"/>
    <x v="0"/>
    <n v="4"/>
    <n v="4096"/>
    <n v="16384"/>
    <n v="3200"/>
    <n v="12800"/>
    <n v="3584"/>
    <n v="0.21875"/>
  </r>
  <r>
    <x v="24"/>
    <s v="ORD-00346"/>
    <x v="1"/>
    <x v="2"/>
    <x v="123"/>
    <x v="1"/>
    <x v="1"/>
    <n v="10"/>
    <n v="56700"/>
    <n v="567000"/>
    <n v="45000"/>
    <n v="450000"/>
    <n v="117000"/>
    <n v="0.20634920634920634"/>
  </r>
  <r>
    <x v="24"/>
    <s v="ORD-00347"/>
    <x v="2"/>
    <x v="3"/>
    <x v="52"/>
    <x v="7"/>
    <x v="2"/>
    <n v="10"/>
    <n v="10150"/>
    <n v="101500"/>
    <n v="7000"/>
    <n v="70000"/>
    <n v="31500"/>
    <n v="0.31034482758620691"/>
  </r>
  <r>
    <x v="24"/>
    <s v="ORD-00348"/>
    <x v="1"/>
    <x v="4"/>
    <x v="23"/>
    <x v="6"/>
    <x v="3"/>
    <n v="2"/>
    <n v="1152"/>
    <n v="2304"/>
    <n v="900"/>
    <n v="1800"/>
    <n v="504"/>
    <n v="0.21875"/>
  </r>
  <r>
    <x v="25"/>
    <s v="ORD-00349"/>
    <x v="0"/>
    <x v="5"/>
    <x v="118"/>
    <x v="4"/>
    <x v="2"/>
    <n v="10"/>
    <n v="11305"/>
    <n v="113050"/>
    <n v="8500"/>
    <n v="85000"/>
    <n v="28050"/>
    <n v="0.24812030075187969"/>
  </r>
  <r>
    <x v="25"/>
    <s v="ORD-00350"/>
    <x v="1"/>
    <x v="3"/>
    <x v="18"/>
    <x v="5"/>
    <x v="3"/>
    <n v="9"/>
    <n v="810"/>
    <n v="7290"/>
    <n v="600"/>
    <n v="5400"/>
    <n v="1890"/>
    <n v="0.25925925925925924"/>
  </r>
  <r>
    <x v="25"/>
    <s v="ORD-00351"/>
    <x v="0"/>
    <x v="0"/>
    <x v="136"/>
    <x v="1"/>
    <x v="1"/>
    <n v="10"/>
    <n v="56250"/>
    <n v="562500"/>
    <n v="45000"/>
    <n v="450000"/>
    <n v="112500"/>
    <n v="0.2"/>
  </r>
  <r>
    <x v="25"/>
    <s v="ORD-00352"/>
    <x v="1"/>
    <x v="4"/>
    <x v="19"/>
    <x v="7"/>
    <x v="2"/>
    <n v="8"/>
    <n v="10010"/>
    <n v="80080"/>
    <n v="7000"/>
    <n v="56000"/>
    <n v="24080"/>
    <n v="0.30069930069930068"/>
  </r>
  <r>
    <x v="25"/>
    <s v="ORD-00353"/>
    <x v="1"/>
    <x v="3"/>
    <x v="18"/>
    <x v="6"/>
    <x v="3"/>
    <n v="1"/>
    <n v="1215"/>
    <n v="1215"/>
    <n v="900"/>
    <n v="900"/>
    <n v="315"/>
    <n v="0.25925925925925924"/>
  </r>
  <r>
    <x v="25"/>
    <s v="ORD-00354"/>
    <x v="2"/>
    <x v="3"/>
    <x v="134"/>
    <x v="0"/>
    <x v="0"/>
    <n v="6"/>
    <n v="4416"/>
    <n v="26496"/>
    <n v="3200"/>
    <n v="19200"/>
    <n v="7296"/>
    <n v="0.27536231884057971"/>
  </r>
  <r>
    <x v="25"/>
    <s v="ORD-00355"/>
    <x v="1"/>
    <x v="5"/>
    <x v="12"/>
    <x v="1"/>
    <x v="1"/>
    <n v="7"/>
    <n v="65250"/>
    <n v="456750"/>
    <n v="45000"/>
    <n v="315000"/>
    <n v="141750"/>
    <n v="0.31034482758620691"/>
  </r>
  <r>
    <x v="25"/>
    <s v="ORD-00356"/>
    <x v="2"/>
    <x v="1"/>
    <x v="137"/>
    <x v="3"/>
    <x v="0"/>
    <n v="4"/>
    <n v="3250"/>
    <n v="13000"/>
    <n v="2500"/>
    <n v="10000"/>
    <n v="3000"/>
    <n v="0.23076923076923078"/>
  </r>
  <r>
    <x v="25"/>
    <s v="ORD-00357"/>
    <x v="0"/>
    <x v="5"/>
    <x v="13"/>
    <x v="2"/>
    <x v="1"/>
    <n v="7"/>
    <n v="49020"/>
    <n v="343140"/>
    <n v="38000"/>
    <n v="266000"/>
    <n v="77140"/>
    <n v="0.22480620155038761"/>
  </r>
  <r>
    <x v="25"/>
    <s v="ORD-00358"/>
    <x v="3"/>
    <x v="0"/>
    <x v="85"/>
    <x v="2"/>
    <x v="1"/>
    <n v="8"/>
    <n v="53200"/>
    <n v="425600"/>
    <n v="38000"/>
    <n v="304000"/>
    <n v="121600"/>
    <n v="0.2857142857142857"/>
  </r>
  <r>
    <x v="25"/>
    <s v="ORD-00359"/>
    <x v="1"/>
    <x v="5"/>
    <x v="46"/>
    <x v="4"/>
    <x v="2"/>
    <n v="6"/>
    <n v="10455"/>
    <n v="62730"/>
    <n v="8500"/>
    <n v="51000"/>
    <n v="11730"/>
    <n v="0.18699186991869918"/>
  </r>
  <r>
    <x v="25"/>
    <s v="ORD-00360"/>
    <x v="1"/>
    <x v="4"/>
    <x v="73"/>
    <x v="4"/>
    <x v="2"/>
    <n v="6"/>
    <n v="11220"/>
    <n v="67320"/>
    <n v="8500"/>
    <n v="51000"/>
    <n v="16320"/>
    <n v="0.24242424242424243"/>
  </r>
  <r>
    <x v="25"/>
    <s v="ORD-00361"/>
    <x v="3"/>
    <x v="0"/>
    <x v="138"/>
    <x v="3"/>
    <x v="0"/>
    <n v="8"/>
    <n v="3150"/>
    <n v="25200"/>
    <n v="2500"/>
    <n v="20000"/>
    <n v="5200"/>
    <n v="0.20634920634920634"/>
  </r>
  <r>
    <x v="25"/>
    <s v="ORD-00362"/>
    <x v="1"/>
    <x v="2"/>
    <x v="53"/>
    <x v="3"/>
    <x v="0"/>
    <n v="4"/>
    <n v="3350"/>
    <n v="13400"/>
    <n v="2500"/>
    <n v="10000"/>
    <n v="3400"/>
    <n v="0.2537313432835821"/>
  </r>
  <r>
    <x v="26"/>
    <s v="ORD-00363"/>
    <x v="3"/>
    <x v="2"/>
    <x v="57"/>
    <x v="0"/>
    <x v="0"/>
    <n v="7"/>
    <n v="4480"/>
    <n v="31360"/>
    <n v="3200"/>
    <n v="22400"/>
    <n v="8960"/>
    <n v="0.2857142857142857"/>
  </r>
  <r>
    <x v="26"/>
    <s v="ORD-00364"/>
    <x v="1"/>
    <x v="0"/>
    <x v="107"/>
    <x v="3"/>
    <x v="0"/>
    <n v="8"/>
    <n v="3125"/>
    <n v="25000"/>
    <n v="2500"/>
    <n v="20000"/>
    <n v="5000"/>
    <n v="0.2"/>
  </r>
  <r>
    <x v="26"/>
    <s v="ORD-00365"/>
    <x v="1"/>
    <x v="0"/>
    <x v="0"/>
    <x v="0"/>
    <x v="0"/>
    <n v="8"/>
    <n v="4192"/>
    <n v="33536"/>
    <n v="3200"/>
    <n v="25600"/>
    <n v="7936"/>
    <n v="0.23664122137404581"/>
  </r>
  <r>
    <x v="26"/>
    <s v="ORD-00366"/>
    <x v="3"/>
    <x v="0"/>
    <x v="46"/>
    <x v="0"/>
    <x v="0"/>
    <n v="3"/>
    <n v="4448"/>
    <n v="13344"/>
    <n v="3200"/>
    <n v="9600"/>
    <n v="3744"/>
    <n v="0.2805755395683453"/>
  </r>
  <r>
    <x v="26"/>
    <s v="ORD-00367"/>
    <x v="0"/>
    <x v="1"/>
    <x v="123"/>
    <x v="4"/>
    <x v="2"/>
    <n v="3"/>
    <n v="11050"/>
    <n v="33150"/>
    <n v="8500"/>
    <n v="25500"/>
    <n v="7650"/>
    <n v="0.23076923076923078"/>
  </r>
  <r>
    <x v="26"/>
    <s v="ORD-00368"/>
    <x v="0"/>
    <x v="0"/>
    <x v="27"/>
    <x v="2"/>
    <x v="1"/>
    <n v="1"/>
    <n v="47880"/>
    <n v="47880"/>
    <n v="38000"/>
    <n v="38000"/>
    <n v="9880"/>
    <n v="0.20634920634920634"/>
  </r>
  <r>
    <x v="26"/>
    <s v="ORD-00369"/>
    <x v="3"/>
    <x v="5"/>
    <x v="80"/>
    <x v="6"/>
    <x v="3"/>
    <n v="8"/>
    <n v="1197"/>
    <n v="9576"/>
    <n v="900"/>
    <n v="7200"/>
    <n v="2376"/>
    <n v="0.24812030075187969"/>
  </r>
  <r>
    <x v="26"/>
    <s v="ORD-00370"/>
    <x v="0"/>
    <x v="2"/>
    <x v="81"/>
    <x v="1"/>
    <x v="1"/>
    <n v="8"/>
    <n v="60300"/>
    <n v="482400"/>
    <n v="45000"/>
    <n v="360000"/>
    <n v="122400"/>
    <n v="0.2537313432835821"/>
  </r>
  <r>
    <x v="26"/>
    <s v="ORD-00371"/>
    <x v="2"/>
    <x v="1"/>
    <x v="24"/>
    <x v="0"/>
    <x v="0"/>
    <n v="9"/>
    <n v="4608"/>
    <n v="41472"/>
    <n v="3200"/>
    <n v="28800"/>
    <n v="12672"/>
    <n v="0.30555555555555558"/>
  </r>
  <r>
    <x v="26"/>
    <s v="ORD-00372"/>
    <x v="1"/>
    <x v="1"/>
    <x v="139"/>
    <x v="6"/>
    <x v="3"/>
    <n v="6"/>
    <n v="1125"/>
    <n v="6750"/>
    <n v="900"/>
    <n v="5400"/>
    <n v="1350"/>
    <n v="0.2"/>
  </r>
  <r>
    <x v="26"/>
    <s v="ORD-00373"/>
    <x v="3"/>
    <x v="3"/>
    <x v="44"/>
    <x v="5"/>
    <x v="3"/>
    <n v="1"/>
    <n v="870"/>
    <n v="870"/>
    <n v="600"/>
    <n v="600"/>
    <n v="270"/>
    <n v="0.31034482758620691"/>
  </r>
  <r>
    <x v="26"/>
    <s v="ORD-00374"/>
    <x v="1"/>
    <x v="1"/>
    <x v="93"/>
    <x v="5"/>
    <x v="3"/>
    <n v="7"/>
    <n v="804"/>
    <n v="5628"/>
    <n v="600"/>
    <n v="4200"/>
    <n v="1428"/>
    <n v="0.2537313432835821"/>
  </r>
  <r>
    <x v="26"/>
    <s v="ORD-00375"/>
    <x v="3"/>
    <x v="4"/>
    <x v="99"/>
    <x v="3"/>
    <x v="0"/>
    <n v="8"/>
    <n v="3200"/>
    <n v="25600"/>
    <n v="2500"/>
    <n v="20000"/>
    <n v="5600"/>
    <n v="0.21875"/>
  </r>
  <r>
    <x v="26"/>
    <s v="ORD-00376"/>
    <x v="0"/>
    <x v="4"/>
    <x v="71"/>
    <x v="4"/>
    <x v="2"/>
    <n v="10"/>
    <n v="11305"/>
    <n v="113050"/>
    <n v="8500"/>
    <n v="85000"/>
    <n v="28050"/>
    <n v="0.24812030075187969"/>
  </r>
  <r>
    <x v="27"/>
    <s v="ORD-00377"/>
    <x v="0"/>
    <x v="4"/>
    <x v="102"/>
    <x v="1"/>
    <x v="1"/>
    <n v="2"/>
    <n v="59400"/>
    <n v="118800"/>
    <n v="45000"/>
    <n v="90000"/>
    <n v="28800"/>
    <n v="0.24242424242424243"/>
  </r>
  <r>
    <x v="27"/>
    <s v="ORD-00378"/>
    <x v="2"/>
    <x v="1"/>
    <x v="117"/>
    <x v="1"/>
    <x v="1"/>
    <n v="1"/>
    <n v="64350"/>
    <n v="64350"/>
    <n v="45000"/>
    <n v="45000"/>
    <n v="19350"/>
    <n v="0.30069930069930068"/>
  </r>
  <r>
    <x v="27"/>
    <s v="ORD-00379"/>
    <x v="0"/>
    <x v="3"/>
    <x v="83"/>
    <x v="6"/>
    <x v="3"/>
    <n v="3"/>
    <n v="1161"/>
    <n v="3483"/>
    <n v="900"/>
    <n v="2700"/>
    <n v="783"/>
    <n v="0.22480620155038761"/>
  </r>
  <r>
    <x v="27"/>
    <s v="ORD-00380"/>
    <x v="3"/>
    <x v="5"/>
    <x v="26"/>
    <x v="5"/>
    <x v="3"/>
    <n v="7"/>
    <n v="864"/>
    <n v="6048"/>
    <n v="600"/>
    <n v="4200"/>
    <n v="1848"/>
    <n v="0.30555555555555558"/>
  </r>
  <r>
    <x v="27"/>
    <s v="ORD-00381"/>
    <x v="0"/>
    <x v="2"/>
    <x v="32"/>
    <x v="7"/>
    <x v="2"/>
    <n v="7"/>
    <n v="9520"/>
    <n v="66640"/>
    <n v="7000"/>
    <n v="49000"/>
    <n v="17640"/>
    <n v="0.26470588235294118"/>
  </r>
  <r>
    <x v="27"/>
    <s v="ORD-00382"/>
    <x v="0"/>
    <x v="4"/>
    <x v="47"/>
    <x v="1"/>
    <x v="1"/>
    <n v="3"/>
    <n v="65250"/>
    <n v="195750"/>
    <n v="45000"/>
    <n v="135000"/>
    <n v="60750"/>
    <n v="0.31034482758620691"/>
  </r>
  <r>
    <x v="27"/>
    <s v="ORD-00383"/>
    <x v="3"/>
    <x v="1"/>
    <x v="44"/>
    <x v="6"/>
    <x v="3"/>
    <n v="8"/>
    <n v="1116"/>
    <n v="8928"/>
    <n v="900"/>
    <n v="7200"/>
    <n v="1728"/>
    <n v="0.19354838709677419"/>
  </r>
  <r>
    <x v="27"/>
    <s v="ORD-00384"/>
    <x v="0"/>
    <x v="3"/>
    <x v="48"/>
    <x v="2"/>
    <x v="1"/>
    <n v="2"/>
    <n v="51300"/>
    <n v="102600"/>
    <n v="38000"/>
    <n v="76000"/>
    <n v="26600"/>
    <n v="0.25925925925925924"/>
  </r>
  <r>
    <x v="27"/>
    <s v="ORD-00385"/>
    <x v="0"/>
    <x v="1"/>
    <x v="29"/>
    <x v="5"/>
    <x v="3"/>
    <n v="1"/>
    <n v="768"/>
    <n v="768"/>
    <n v="600"/>
    <n v="600"/>
    <n v="168"/>
    <n v="0.21875"/>
  </r>
  <r>
    <x v="27"/>
    <s v="ORD-00386"/>
    <x v="0"/>
    <x v="4"/>
    <x v="10"/>
    <x v="3"/>
    <x v="0"/>
    <n v="2"/>
    <n v="3399.9999999999995"/>
    <n v="6799.9999999999991"/>
    <n v="2500"/>
    <n v="5000"/>
    <n v="1799.9999999999991"/>
    <n v="0.26470588235294107"/>
  </r>
  <r>
    <x v="27"/>
    <s v="ORD-00387"/>
    <x v="3"/>
    <x v="5"/>
    <x v="99"/>
    <x v="4"/>
    <x v="2"/>
    <n v="4"/>
    <n v="11305"/>
    <n v="45220"/>
    <n v="8500"/>
    <n v="34000"/>
    <n v="11220"/>
    <n v="0.24812030075187969"/>
  </r>
  <r>
    <x v="27"/>
    <s v="ORD-00388"/>
    <x v="0"/>
    <x v="4"/>
    <x v="140"/>
    <x v="4"/>
    <x v="2"/>
    <n v="3"/>
    <n v="11135"/>
    <n v="33405"/>
    <n v="8500"/>
    <n v="25500"/>
    <n v="7905"/>
    <n v="0.23664122137404581"/>
  </r>
  <r>
    <x v="27"/>
    <s v="ORD-00389"/>
    <x v="0"/>
    <x v="5"/>
    <x v="6"/>
    <x v="7"/>
    <x v="2"/>
    <n v="1"/>
    <n v="9310"/>
    <n v="9310"/>
    <n v="7000"/>
    <n v="7000"/>
    <n v="2310"/>
    <n v="0.24812030075187969"/>
  </r>
  <r>
    <x v="27"/>
    <s v="ORD-00390"/>
    <x v="2"/>
    <x v="2"/>
    <x v="138"/>
    <x v="4"/>
    <x v="2"/>
    <n v="8"/>
    <n v="10625"/>
    <n v="85000"/>
    <n v="8500"/>
    <n v="68000"/>
    <n v="17000"/>
    <n v="0.2"/>
  </r>
  <r>
    <x v="28"/>
    <s v="ORD-00391"/>
    <x v="1"/>
    <x v="3"/>
    <x v="98"/>
    <x v="0"/>
    <x v="0"/>
    <n v="9"/>
    <n v="3936"/>
    <n v="35424"/>
    <n v="3200"/>
    <n v="28800"/>
    <n v="6624"/>
    <n v="0.18699186991869918"/>
  </r>
  <r>
    <x v="28"/>
    <s v="ORD-00392"/>
    <x v="2"/>
    <x v="2"/>
    <x v="80"/>
    <x v="7"/>
    <x v="2"/>
    <n v="8"/>
    <n v="8470"/>
    <n v="67760"/>
    <n v="7000"/>
    <n v="56000"/>
    <n v="11760"/>
    <n v="0.17355371900826447"/>
  </r>
  <r>
    <x v="28"/>
    <s v="ORD-00393"/>
    <x v="2"/>
    <x v="3"/>
    <x v="15"/>
    <x v="1"/>
    <x v="1"/>
    <n v="8"/>
    <n v="58050"/>
    <n v="464400"/>
    <n v="45000"/>
    <n v="360000"/>
    <n v="104400"/>
    <n v="0.22480620155038761"/>
  </r>
  <r>
    <x v="28"/>
    <s v="ORD-00394"/>
    <x v="2"/>
    <x v="2"/>
    <x v="67"/>
    <x v="1"/>
    <x v="1"/>
    <n v="7"/>
    <n v="60300"/>
    <n v="422100"/>
    <n v="45000"/>
    <n v="315000"/>
    <n v="107100"/>
    <n v="0.2537313432835821"/>
  </r>
  <r>
    <x v="28"/>
    <s v="ORD-00395"/>
    <x v="0"/>
    <x v="1"/>
    <x v="22"/>
    <x v="5"/>
    <x v="3"/>
    <n v="5"/>
    <n v="864"/>
    <n v="4320"/>
    <n v="600"/>
    <n v="3000"/>
    <n v="1320"/>
    <n v="0.30555555555555558"/>
  </r>
  <r>
    <x v="28"/>
    <s v="ORD-00396"/>
    <x v="1"/>
    <x v="5"/>
    <x v="62"/>
    <x v="5"/>
    <x v="3"/>
    <n v="7"/>
    <n v="726"/>
    <n v="5082"/>
    <n v="600"/>
    <n v="4200"/>
    <n v="882"/>
    <n v="0.17355371900826447"/>
  </r>
  <r>
    <x v="28"/>
    <s v="ORD-00397"/>
    <x v="3"/>
    <x v="1"/>
    <x v="47"/>
    <x v="2"/>
    <x v="1"/>
    <n v="10"/>
    <n v="52060.000000000007"/>
    <n v="520600.00000000006"/>
    <n v="38000"/>
    <n v="380000"/>
    <n v="140600.00000000006"/>
    <n v="0.27007299270072999"/>
  </r>
  <r>
    <x v="28"/>
    <s v="ORD-00398"/>
    <x v="2"/>
    <x v="3"/>
    <x v="46"/>
    <x v="1"/>
    <x v="1"/>
    <n v="2"/>
    <n v="61650.000000000007"/>
    <n v="123300.00000000001"/>
    <n v="45000"/>
    <n v="90000"/>
    <n v="33300.000000000015"/>
    <n v="0.27007299270072999"/>
  </r>
  <r>
    <x v="28"/>
    <s v="ORD-00399"/>
    <x v="3"/>
    <x v="0"/>
    <x v="28"/>
    <x v="7"/>
    <x v="2"/>
    <n v="9"/>
    <n v="9870"/>
    <n v="88830"/>
    <n v="7000"/>
    <n v="63000"/>
    <n v="25830"/>
    <n v="0.29078014184397161"/>
  </r>
  <r>
    <x v="28"/>
    <s v="ORD-00400"/>
    <x v="3"/>
    <x v="1"/>
    <x v="80"/>
    <x v="5"/>
    <x v="3"/>
    <n v="6"/>
    <n v="744"/>
    <n v="4464"/>
    <n v="600"/>
    <n v="3600"/>
    <n v="864"/>
    <n v="0.19354838709677419"/>
  </r>
  <r>
    <x v="28"/>
    <s v="ORD-00401"/>
    <x v="2"/>
    <x v="3"/>
    <x v="1"/>
    <x v="5"/>
    <x v="3"/>
    <n v="9"/>
    <n v="726"/>
    <n v="6534"/>
    <n v="600"/>
    <n v="5400"/>
    <n v="1134"/>
    <n v="0.17355371900826447"/>
  </r>
  <r>
    <x v="28"/>
    <s v="ORD-00402"/>
    <x v="3"/>
    <x v="3"/>
    <x v="96"/>
    <x v="0"/>
    <x v="0"/>
    <n v="4"/>
    <n v="3872"/>
    <n v="15488"/>
    <n v="3200"/>
    <n v="12800"/>
    <n v="2688"/>
    <n v="0.17355371900826447"/>
  </r>
  <r>
    <x v="28"/>
    <s v="ORD-00403"/>
    <x v="3"/>
    <x v="2"/>
    <x v="73"/>
    <x v="2"/>
    <x v="1"/>
    <n v="2"/>
    <n v="54720"/>
    <n v="109440"/>
    <n v="38000"/>
    <n v="76000"/>
    <n v="33440"/>
    <n v="0.30555555555555558"/>
  </r>
  <r>
    <x v="28"/>
    <s v="ORD-00404"/>
    <x v="2"/>
    <x v="5"/>
    <x v="35"/>
    <x v="1"/>
    <x v="1"/>
    <n v="1"/>
    <n v="64350"/>
    <n v="64350"/>
    <n v="45000"/>
    <n v="45000"/>
    <n v="19350"/>
    <n v="0.30069930069930068"/>
  </r>
  <r>
    <x v="29"/>
    <s v="ORD-00405"/>
    <x v="2"/>
    <x v="4"/>
    <x v="21"/>
    <x v="6"/>
    <x v="3"/>
    <n v="7"/>
    <n v="1260"/>
    <n v="8820"/>
    <n v="900"/>
    <n v="6300"/>
    <n v="2520"/>
    <n v="0.2857142857142857"/>
  </r>
  <r>
    <x v="29"/>
    <s v="ORD-00406"/>
    <x v="0"/>
    <x v="5"/>
    <x v="94"/>
    <x v="1"/>
    <x v="1"/>
    <n v="8"/>
    <n v="58500"/>
    <n v="468000"/>
    <n v="45000"/>
    <n v="360000"/>
    <n v="108000"/>
    <n v="0.23076923076923078"/>
  </r>
  <r>
    <x v="29"/>
    <s v="ORD-00407"/>
    <x v="0"/>
    <x v="0"/>
    <x v="105"/>
    <x v="0"/>
    <x v="0"/>
    <n v="9"/>
    <n v="4640"/>
    <n v="41760"/>
    <n v="3200"/>
    <n v="28800"/>
    <n v="12960"/>
    <n v="0.31034482758620691"/>
  </r>
  <r>
    <x v="29"/>
    <s v="ORD-00408"/>
    <x v="3"/>
    <x v="0"/>
    <x v="141"/>
    <x v="6"/>
    <x v="3"/>
    <n v="8"/>
    <n v="1278"/>
    <n v="10224"/>
    <n v="900"/>
    <n v="7200"/>
    <n v="3024"/>
    <n v="0.29577464788732394"/>
  </r>
  <r>
    <x v="29"/>
    <s v="ORD-00409"/>
    <x v="1"/>
    <x v="1"/>
    <x v="116"/>
    <x v="2"/>
    <x v="1"/>
    <n v="1"/>
    <n v="50160"/>
    <n v="50160"/>
    <n v="38000"/>
    <n v="38000"/>
    <n v="12160"/>
    <n v="0.24242424242424243"/>
  </r>
  <r>
    <x v="29"/>
    <s v="ORD-00410"/>
    <x v="1"/>
    <x v="0"/>
    <x v="65"/>
    <x v="3"/>
    <x v="0"/>
    <n v="1"/>
    <n v="3150"/>
    <n v="3150"/>
    <n v="2500"/>
    <n v="2500"/>
    <n v="650"/>
    <n v="0.20634920634920634"/>
  </r>
  <r>
    <x v="29"/>
    <s v="ORD-00411"/>
    <x v="2"/>
    <x v="1"/>
    <x v="27"/>
    <x v="3"/>
    <x v="0"/>
    <n v="9"/>
    <n v="3075"/>
    <n v="27675"/>
    <n v="2500"/>
    <n v="22500"/>
    <n v="5175"/>
    <n v="0.18699186991869918"/>
  </r>
  <r>
    <x v="29"/>
    <s v="ORD-00412"/>
    <x v="1"/>
    <x v="2"/>
    <x v="47"/>
    <x v="4"/>
    <x v="2"/>
    <n v="5"/>
    <n v="11305"/>
    <n v="56525"/>
    <n v="8500"/>
    <n v="42500"/>
    <n v="14025"/>
    <n v="0.24812030075187969"/>
  </r>
  <r>
    <x v="29"/>
    <s v="ORD-00413"/>
    <x v="3"/>
    <x v="3"/>
    <x v="136"/>
    <x v="7"/>
    <x v="2"/>
    <n v="4"/>
    <n v="9100"/>
    <n v="36400"/>
    <n v="7000"/>
    <n v="28000"/>
    <n v="8400"/>
    <n v="0.23076923076923078"/>
  </r>
  <r>
    <x v="29"/>
    <s v="ORD-00414"/>
    <x v="1"/>
    <x v="2"/>
    <x v="92"/>
    <x v="7"/>
    <x v="2"/>
    <n v="1"/>
    <n v="8890"/>
    <n v="8890"/>
    <n v="7000"/>
    <n v="7000"/>
    <n v="1890"/>
    <n v="0.2125984251968504"/>
  </r>
  <r>
    <x v="29"/>
    <s v="ORD-00415"/>
    <x v="3"/>
    <x v="3"/>
    <x v="38"/>
    <x v="4"/>
    <x v="2"/>
    <n v="10"/>
    <n v="10540"/>
    <n v="105400"/>
    <n v="8500"/>
    <n v="85000"/>
    <n v="20400"/>
    <n v="0.19354838709677419"/>
  </r>
  <r>
    <x v="29"/>
    <s v="ORD-00416"/>
    <x v="0"/>
    <x v="1"/>
    <x v="76"/>
    <x v="6"/>
    <x v="3"/>
    <n v="5"/>
    <n v="1233"/>
    <n v="6165"/>
    <n v="900"/>
    <n v="4500"/>
    <n v="1665"/>
    <n v="0.27007299270072993"/>
  </r>
  <r>
    <x v="29"/>
    <s v="ORD-00417"/>
    <x v="1"/>
    <x v="3"/>
    <x v="1"/>
    <x v="2"/>
    <x v="1"/>
    <n v="8"/>
    <n v="49020"/>
    <n v="392160"/>
    <n v="38000"/>
    <n v="304000"/>
    <n v="88160"/>
    <n v="0.22480620155038761"/>
  </r>
  <r>
    <x v="29"/>
    <s v="ORD-00418"/>
    <x v="0"/>
    <x v="1"/>
    <x v="86"/>
    <x v="1"/>
    <x v="1"/>
    <n v="3"/>
    <n v="58950"/>
    <n v="176850"/>
    <n v="45000"/>
    <n v="135000"/>
    <n v="41850"/>
    <n v="0.23664122137404581"/>
  </r>
  <r>
    <x v="30"/>
    <s v="ORD-00419"/>
    <x v="3"/>
    <x v="3"/>
    <x v="67"/>
    <x v="4"/>
    <x v="2"/>
    <n v="2"/>
    <n v="10795"/>
    <n v="21590"/>
    <n v="8500"/>
    <n v="17000"/>
    <n v="4590"/>
    <n v="0.2125984251968504"/>
  </r>
  <r>
    <x v="30"/>
    <s v="ORD-00420"/>
    <x v="2"/>
    <x v="3"/>
    <x v="142"/>
    <x v="3"/>
    <x v="0"/>
    <n v="2"/>
    <n v="3275"/>
    <n v="6550"/>
    <n v="2500"/>
    <n v="5000"/>
    <n v="1550"/>
    <n v="0.23664122137404581"/>
  </r>
  <r>
    <x v="30"/>
    <s v="ORD-00421"/>
    <x v="0"/>
    <x v="3"/>
    <x v="37"/>
    <x v="3"/>
    <x v="0"/>
    <n v="6"/>
    <n v="3500"/>
    <n v="21000"/>
    <n v="2500"/>
    <n v="15000"/>
    <n v="6000"/>
    <n v="0.2857142857142857"/>
  </r>
  <r>
    <x v="30"/>
    <s v="ORD-00422"/>
    <x v="3"/>
    <x v="3"/>
    <x v="22"/>
    <x v="4"/>
    <x v="2"/>
    <n v="1"/>
    <n v="10625"/>
    <n v="10625"/>
    <n v="8500"/>
    <n v="8500"/>
    <n v="2125"/>
    <n v="0.2"/>
  </r>
  <r>
    <x v="30"/>
    <s v="ORD-00423"/>
    <x v="3"/>
    <x v="0"/>
    <x v="45"/>
    <x v="0"/>
    <x v="0"/>
    <n v="1"/>
    <n v="3936"/>
    <n v="3936"/>
    <n v="3200"/>
    <n v="3200"/>
    <n v="736"/>
    <n v="0.18699186991869918"/>
  </r>
  <r>
    <x v="30"/>
    <s v="ORD-00424"/>
    <x v="3"/>
    <x v="2"/>
    <x v="8"/>
    <x v="5"/>
    <x v="3"/>
    <n v="8"/>
    <n v="744"/>
    <n v="5952"/>
    <n v="600"/>
    <n v="4800"/>
    <n v="1152"/>
    <n v="0.19354838709677419"/>
  </r>
  <r>
    <x v="30"/>
    <s v="ORD-00425"/>
    <x v="0"/>
    <x v="3"/>
    <x v="96"/>
    <x v="1"/>
    <x v="1"/>
    <n v="5"/>
    <n v="64350"/>
    <n v="321750"/>
    <n v="45000"/>
    <n v="225000"/>
    <n v="96750"/>
    <n v="0.30069930069930068"/>
  </r>
  <r>
    <x v="30"/>
    <s v="ORD-00426"/>
    <x v="2"/>
    <x v="1"/>
    <x v="143"/>
    <x v="3"/>
    <x v="0"/>
    <n v="10"/>
    <n v="3075"/>
    <n v="30750"/>
    <n v="2500"/>
    <n v="25000"/>
    <n v="5750"/>
    <n v="0.18699186991869918"/>
  </r>
  <r>
    <x v="30"/>
    <s v="ORD-00427"/>
    <x v="1"/>
    <x v="0"/>
    <x v="34"/>
    <x v="6"/>
    <x v="3"/>
    <n v="1"/>
    <n v="1305"/>
    <n v="1305"/>
    <n v="900"/>
    <n v="900"/>
    <n v="405"/>
    <n v="0.31034482758620691"/>
  </r>
  <r>
    <x v="30"/>
    <s v="ORD-00428"/>
    <x v="2"/>
    <x v="1"/>
    <x v="144"/>
    <x v="1"/>
    <x v="1"/>
    <n v="8"/>
    <n v="63450"/>
    <n v="507600"/>
    <n v="45000"/>
    <n v="360000"/>
    <n v="147600"/>
    <n v="0.29078014184397161"/>
  </r>
  <r>
    <x v="30"/>
    <s v="ORD-00429"/>
    <x v="2"/>
    <x v="1"/>
    <x v="2"/>
    <x v="4"/>
    <x v="2"/>
    <n v="8"/>
    <n v="10965"/>
    <n v="87720"/>
    <n v="8500"/>
    <n v="68000"/>
    <n v="19720"/>
    <n v="0.22480620155038761"/>
  </r>
  <r>
    <x v="30"/>
    <s v="ORD-00430"/>
    <x v="3"/>
    <x v="0"/>
    <x v="41"/>
    <x v="4"/>
    <x v="2"/>
    <n v="1"/>
    <n v="10965"/>
    <n v="10965"/>
    <n v="8500"/>
    <n v="8500"/>
    <n v="2465"/>
    <n v="0.22480620155038761"/>
  </r>
  <r>
    <x v="30"/>
    <s v="ORD-00431"/>
    <x v="3"/>
    <x v="2"/>
    <x v="87"/>
    <x v="2"/>
    <x v="1"/>
    <n v="1"/>
    <n v="50540"/>
    <n v="50540"/>
    <n v="38000"/>
    <n v="38000"/>
    <n v="12540"/>
    <n v="0.24812030075187969"/>
  </r>
  <r>
    <x v="30"/>
    <s v="ORD-00432"/>
    <x v="2"/>
    <x v="4"/>
    <x v="45"/>
    <x v="4"/>
    <x v="2"/>
    <n v="6"/>
    <n v="10200"/>
    <n v="61200"/>
    <n v="8500"/>
    <n v="51000"/>
    <n v="10200"/>
    <n v="0.16666666666666666"/>
  </r>
  <r>
    <x v="31"/>
    <s v="ORD-00433"/>
    <x v="1"/>
    <x v="0"/>
    <x v="14"/>
    <x v="2"/>
    <x v="1"/>
    <n v="4"/>
    <n v="53580"/>
    <n v="214320"/>
    <n v="38000"/>
    <n v="152000"/>
    <n v="62320"/>
    <n v="0.29078014184397161"/>
  </r>
  <r>
    <x v="31"/>
    <s v="ORD-00434"/>
    <x v="2"/>
    <x v="3"/>
    <x v="44"/>
    <x v="4"/>
    <x v="2"/>
    <n v="3"/>
    <n v="11559.999999999998"/>
    <n v="34679.999999999993"/>
    <n v="8500"/>
    <n v="25500"/>
    <n v="9179.9999999999927"/>
    <n v="0.26470588235294101"/>
  </r>
  <r>
    <x v="31"/>
    <s v="ORD-00435"/>
    <x v="0"/>
    <x v="1"/>
    <x v="33"/>
    <x v="6"/>
    <x v="3"/>
    <n v="6"/>
    <n v="1260"/>
    <n v="7560"/>
    <n v="900"/>
    <n v="5400"/>
    <n v="2160"/>
    <n v="0.2857142857142857"/>
  </r>
  <r>
    <x v="31"/>
    <s v="ORD-00436"/>
    <x v="2"/>
    <x v="1"/>
    <x v="12"/>
    <x v="7"/>
    <x v="2"/>
    <n v="8"/>
    <n v="10080"/>
    <n v="80640"/>
    <n v="7000"/>
    <n v="56000"/>
    <n v="24640"/>
    <n v="0.30555555555555558"/>
  </r>
  <r>
    <x v="31"/>
    <s v="ORD-00437"/>
    <x v="0"/>
    <x v="5"/>
    <x v="19"/>
    <x v="1"/>
    <x v="1"/>
    <n v="7"/>
    <n v="59400"/>
    <n v="415800"/>
    <n v="45000"/>
    <n v="315000"/>
    <n v="100800"/>
    <n v="0.24242424242424243"/>
  </r>
  <r>
    <x v="31"/>
    <s v="ORD-00438"/>
    <x v="3"/>
    <x v="2"/>
    <x v="25"/>
    <x v="0"/>
    <x v="0"/>
    <n v="7"/>
    <n v="3936"/>
    <n v="27552"/>
    <n v="3200"/>
    <n v="22400"/>
    <n v="5152"/>
    <n v="0.18699186991869918"/>
  </r>
  <r>
    <x v="31"/>
    <s v="ORD-00439"/>
    <x v="2"/>
    <x v="1"/>
    <x v="54"/>
    <x v="1"/>
    <x v="1"/>
    <n v="1"/>
    <n v="60750.000000000007"/>
    <n v="60750.000000000007"/>
    <n v="45000"/>
    <n v="45000"/>
    <n v="15750.000000000007"/>
    <n v="0.25925925925925936"/>
  </r>
  <r>
    <x v="31"/>
    <s v="ORD-00440"/>
    <x v="3"/>
    <x v="5"/>
    <x v="37"/>
    <x v="5"/>
    <x v="3"/>
    <n v="2"/>
    <n v="720"/>
    <n v="1440"/>
    <n v="600"/>
    <n v="1200"/>
    <n v="240"/>
    <n v="0.16666666666666666"/>
  </r>
  <r>
    <x v="31"/>
    <s v="ORD-00441"/>
    <x v="1"/>
    <x v="5"/>
    <x v="5"/>
    <x v="0"/>
    <x v="0"/>
    <n v="4"/>
    <n v="4224"/>
    <n v="16896"/>
    <n v="3200"/>
    <n v="12800"/>
    <n v="4096"/>
    <n v="0.24242424242424243"/>
  </r>
  <r>
    <x v="31"/>
    <s v="ORD-00442"/>
    <x v="0"/>
    <x v="3"/>
    <x v="95"/>
    <x v="3"/>
    <x v="0"/>
    <n v="9"/>
    <n v="3550"/>
    <n v="31950"/>
    <n v="2500"/>
    <n v="22500"/>
    <n v="9450"/>
    <n v="0.29577464788732394"/>
  </r>
  <r>
    <x v="31"/>
    <s v="ORD-00443"/>
    <x v="1"/>
    <x v="2"/>
    <x v="133"/>
    <x v="0"/>
    <x v="0"/>
    <n v="4"/>
    <n v="4544"/>
    <n v="18176"/>
    <n v="3200"/>
    <n v="12800"/>
    <n v="5376"/>
    <n v="0.29577464788732394"/>
  </r>
  <r>
    <x v="31"/>
    <s v="ORD-00444"/>
    <x v="1"/>
    <x v="3"/>
    <x v="44"/>
    <x v="1"/>
    <x v="1"/>
    <n v="1"/>
    <n v="65250"/>
    <n v="65250"/>
    <n v="45000"/>
    <n v="45000"/>
    <n v="20250"/>
    <n v="0.31034482758620691"/>
  </r>
  <r>
    <x v="31"/>
    <s v="ORD-00445"/>
    <x v="1"/>
    <x v="0"/>
    <x v="29"/>
    <x v="6"/>
    <x v="3"/>
    <n v="5"/>
    <n v="1080"/>
    <n v="5400"/>
    <n v="900"/>
    <n v="4500"/>
    <n v="900"/>
    <n v="0.16666666666666666"/>
  </r>
  <r>
    <x v="31"/>
    <s v="ORD-00446"/>
    <x v="0"/>
    <x v="1"/>
    <x v="138"/>
    <x v="2"/>
    <x v="1"/>
    <n v="9"/>
    <n v="54340"/>
    <n v="489060"/>
    <n v="38000"/>
    <n v="342000"/>
    <n v="147060"/>
    <n v="0.30069930069930068"/>
  </r>
  <r>
    <x v="32"/>
    <s v="ORD-00447"/>
    <x v="1"/>
    <x v="2"/>
    <x v="114"/>
    <x v="6"/>
    <x v="3"/>
    <n v="2"/>
    <n v="1296"/>
    <n v="2592"/>
    <n v="900"/>
    <n v="1800"/>
    <n v="792"/>
    <n v="0.30555555555555558"/>
  </r>
  <r>
    <x v="32"/>
    <s v="ORD-00448"/>
    <x v="2"/>
    <x v="1"/>
    <x v="47"/>
    <x v="2"/>
    <x v="1"/>
    <n v="4"/>
    <n v="52820.000000000007"/>
    <n v="211280.00000000003"/>
    <n v="38000"/>
    <n v="152000"/>
    <n v="59280.000000000029"/>
    <n v="0.28057553956834541"/>
  </r>
  <r>
    <x v="32"/>
    <s v="ORD-00449"/>
    <x v="2"/>
    <x v="2"/>
    <x v="143"/>
    <x v="1"/>
    <x v="1"/>
    <n v="9"/>
    <n v="59400"/>
    <n v="534600"/>
    <n v="45000"/>
    <n v="405000"/>
    <n v="129600"/>
    <n v="0.24242424242424243"/>
  </r>
  <r>
    <x v="32"/>
    <s v="ORD-00450"/>
    <x v="2"/>
    <x v="2"/>
    <x v="113"/>
    <x v="0"/>
    <x v="0"/>
    <n v="2"/>
    <n v="4256"/>
    <n v="8512"/>
    <n v="3200"/>
    <n v="6400"/>
    <n v="2112"/>
    <n v="0.24812030075187969"/>
  </r>
  <r>
    <x v="32"/>
    <s v="ORD-00451"/>
    <x v="3"/>
    <x v="4"/>
    <x v="50"/>
    <x v="2"/>
    <x v="1"/>
    <n v="8"/>
    <n v="54720"/>
    <n v="437760"/>
    <n v="38000"/>
    <n v="304000"/>
    <n v="133760"/>
    <n v="0.30555555555555558"/>
  </r>
  <r>
    <x v="32"/>
    <s v="ORD-00452"/>
    <x v="2"/>
    <x v="0"/>
    <x v="36"/>
    <x v="4"/>
    <x v="2"/>
    <n v="4"/>
    <n v="11050"/>
    <n v="44200"/>
    <n v="8500"/>
    <n v="34000"/>
    <n v="10200"/>
    <n v="0.23076923076923078"/>
  </r>
  <r>
    <x v="32"/>
    <s v="ORD-00453"/>
    <x v="1"/>
    <x v="5"/>
    <x v="21"/>
    <x v="1"/>
    <x v="1"/>
    <n v="4"/>
    <n v="63900"/>
    <n v="255600"/>
    <n v="45000"/>
    <n v="180000"/>
    <n v="75600"/>
    <n v="0.29577464788732394"/>
  </r>
  <r>
    <x v="32"/>
    <s v="ORD-00454"/>
    <x v="0"/>
    <x v="3"/>
    <x v="139"/>
    <x v="5"/>
    <x v="3"/>
    <n v="1"/>
    <n v="768"/>
    <n v="768"/>
    <n v="600"/>
    <n v="600"/>
    <n v="168"/>
    <n v="0.21875"/>
  </r>
  <r>
    <x v="32"/>
    <s v="ORD-00455"/>
    <x v="2"/>
    <x v="1"/>
    <x v="104"/>
    <x v="6"/>
    <x v="3"/>
    <n v="2"/>
    <n v="1233"/>
    <n v="2466"/>
    <n v="900"/>
    <n v="1800"/>
    <n v="666"/>
    <n v="0.27007299270072993"/>
  </r>
  <r>
    <x v="32"/>
    <s v="ORD-00456"/>
    <x v="1"/>
    <x v="0"/>
    <x v="17"/>
    <x v="7"/>
    <x v="2"/>
    <n v="5"/>
    <n v="8400"/>
    <n v="42000"/>
    <n v="7000"/>
    <n v="35000"/>
    <n v="7000"/>
    <n v="0.16666666666666666"/>
  </r>
  <r>
    <x v="32"/>
    <s v="ORD-00457"/>
    <x v="2"/>
    <x v="3"/>
    <x v="105"/>
    <x v="2"/>
    <x v="1"/>
    <n v="2"/>
    <n v="49400"/>
    <n v="98800"/>
    <n v="38000"/>
    <n v="76000"/>
    <n v="22800"/>
    <n v="0.23076923076923078"/>
  </r>
  <r>
    <x v="32"/>
    <s v="ORD-00458"/>
    <x v="0"/>
    <x v="4"/>
    <x v="112"/>
    <x v="4"/>
    <x v="2"/>
    <n v="3"/>
    <n v="12325"/>
    <n v="36975"/>
    <n v="8500"/>
    <n v="25500"/>
    <n v="11475"/>
    <n v="0.31034482758620691"/>
  </r>
  <r>
    <x v="32"/>
    <s v="ORD-00459"/>
    <x v="3"/>
    <x v="1"/>
    <x v="7"/>
    <x v="5"/>
    <x v="3"/>
    <n v="8"/>
    <n v="827.99999999999989"/>
    <n v="6623.9999999999991"/>
    <n v="600"/>
    <n v="4800"/>
    <n v="1823.9999999999991"/>
    <n v="0.2753623188405796"/>
  </r>
  <r>
    <x v="32"/>
    <s v="ORD-00460"/>
    <x v="3"/>
    <x v="5"/>
    <x v="52"/>
    <x v="5"/>
    <x v="3"/>
    <n v="10"/>
    <n v="840"/>
    <n v="8400"/>
    <n v="600"/>
    <n v="6000"/>
    <n v="2400"/>
    <n v="0.2857142857142857"/>
  </r>
  <r>
    <x v="33"/>
    <s v="ORD-00461"/>
    <x v="1"/>
    <x v="3"/>
    <x v="15"/>
    <x v="6"/>
    <x v="3"/>
    <n v="10"/>
    <n v="1089"/>
    <n v="10890"/>
    <n v="900"/>
    <n v="9000"/>
    <n v="1890"/>
    <n v="0.17355371900826447"/>
  </r>
  <r>
    <x v="33"/>
    <s v="ORD-00462"/>
    <x v="2"/>
    <x v="4"/>
    <x v="7"/>
    <x v="3"/>
    <x v="0"/>
    <n v="5"/>
    <n v="3600"/>
    <n v="18000"/>
    <n v="2500"/>
    <n v="12500"/>
    <n v="5500"/>
    <n v="0.30555555555555558"/>
  </r>
  <r>
    <x v="33"/>
    <s v="ORD-00463"/>
    <x v="3"/>
    <x v="3"/>
    <x v="101"/>
    <x v="1"/>
    <x v="1"/>
    <n v="8"/>
    <n v="55350"/>
    <n v="442800"/>
    <n v="45000"/>
    <n v="360000"/>
    <n v="82800"/>
    <n v="0.18699186991869918"/>
  </r>
  <r>
    <x v="33"/>
    <s v="ORD-00464"/>
    <x v="2"/>
    <x v="5"/>
    <x v="5"/>
    <x v="0"/>
    <x v="0"/>
    <n v="10"/>
    <n v="3968"/>
    <n v="39680"/>
    <n v="3200"/>
    <n v="32000"/>
    <n v="7680"/>
    <n v="0.19354838709677419"/>
  </r>
  <r>
    <x v="33"/>
    <s v="ORD-00465"/>
    <x v="1"/>
    <x v="3"/>
    <x v="129"/>
    <x v="1"/>
    <x v="1"/>
    <n v="7"/>
    <n v="63450"/>
    <n v="444150"/>
    <n v="45000"/>
    <n v="315000"/>
    <n v="129150"/>
    <n v="0.29078014184397161"/>
  </r>
  <r>
    <x v="33"/>
    <s v="ORD-00466"/>
    <x v="0"/>
    <x v="2"/>
    <x v="115"/>
    <x v="2"/>
    <x v="1"/>
    <n v="10"/>
    <n v="50160"/>
    <n v="501600"/>
    <n v="38000"/>
    <n v="380000"/>
    <n v="121600"/>
    <n v="0.24242424242424243"/>
  </r>
  <r>
    <x v="33"/>
    <s v="ORD-00467"/>
    <x v="0"/>
    <x v="1"/>
    <x v="78"/>
    <x v="6"/>
    <x v="3"/>
    <n v="3"/>
    <n v="1206"/>
    <n v="3618"/>
    <n v="900"/>
    <n v="2700"/>
    <n v="918"/>
    <n v="0.2537313432835821"/>
  </r>
  <r>
    <x v="33"/>
    <s v="ORD-00468"/>
    <x v="2"/>
    <x v="2"/>
    <x v="21"/>
    <x v="1"/>
    <x v="1"/>
    <n v="2"/>
    <n v="55800"/>
    <n v="111600"/>
    <n v="45000"/>
    <n v="90000"/>
    <n v="21600"/>
    <n v="0.19354838709677419"/>
  </r>
  <r>
    <x v="33"/>
    <s v="ORD-00469"/>
    <x v="0"/>
    <x v="0"/>
    <x v="49"/>
    <x v="0"/>
    <x v="0"/>
    <n v="3"/>
    <n v="3968"/>
    <n v="11904"/>
    <n v="3200"/>
    <n v="9600"/>
    <n v="2304"/>
    <n v="0.19354838709677419"/>
  </r>
  <r>
    <x v="33"/>
    <s v="ORD-00470"/>
    <x v="3"/>
    <x v="4"/>
    <x v="75"/>
    <x v="5"/>
    <x v="3"/>
    <n v="3"/>
    <n v="732"/>
    <n v="2196"/>
    <n v="600"/>
    <n v="1800"/>
    <n v="396"/>
    <n v="0.18032786885245902"/>
  </r>
  <r>
    <x v="33"/>
    <s v="ORD-00471"/>
    <x v="3"/>
    <x v="5"/>
    <x v="11"/>
    <x v="4"/>
    <x v="2"/>
    <n v="3"/>
    <n v="10455"/>
    <n v="31365"/>
    <n v="8500"/>
    <n v="25500"/>
    <n v="5865"/>
    <n v="0.18699186991869918"/>
  </r>
  <r>
    <x v="33"/>
    <s v="ORD-00472"/>
    <x v="0"/>
    <x v="0"/>
    <x v="39"/>
    <x v="4"/>
    <x v="2"/>
    <n v="9"/>
    <n v="12325"/>
    <n v="110925"/>
    <n v="8500"/>
    <n v="76500"/>
    <n v="34425"/>
    <n v="0.31034482758620691"/>
  </r>
  <r>
    <x v="33"/>
    <s v="ORD-00473"/>
    <x v="1"/>
    <x v="3"/>
    <x v="55"/>
    <x v="2"/>
    <x v="1"/>
    <n v="1"/>
    <n v="50540"/>
    <n v="50540"/>
    <n v="38000"/>
    <n v="38000"/>
    <n v="12540"/>
    <n v="0.24812030075187969"/>
  </r>
  <r>
    <x v="33"/>
    <s v="ORD-00474"/>
    <x v="1"/>
    <x v="1"/>
    <x v="105"/>
    <x v="3"/>
    <x v="0"/>
    <n v="10"/>
    <n v="3399.9999999999995"/>
    <n v="33999.999999999993"/>
    <n v="2500"/>
    <n v="25000"/>
    <n v="8999.9999999999927"/>
    <n v="0.26470588235294101"/>
  </r>
  <r>
    <x v="34"/>
    <s v="ORD-00475"/>
    <x v="1"/>
    <x v="3"/>
    <x v="90"/>
    <x v="6"/>
    <x v="3"/>
    <n v="8"/>
    <n v="1287"/>
    <n v="10296"/>
    <n v="900"/>
    <n v="7200"/>
    <n v="3096"/>
    <n v="0.30069930069930068"/>
  </r>
  <r>
    <x v="34"/>
    <s v="ORD-00476"/>
    <x v="0"/>
    <x v="5"/>
    <x v="40"/>
    <x v="4"/>
    <x v="2"/>
    <n v="9"/>
    <n v="11900"/>
    <n v="107100"/>
    <n v="8500"/>
    <n v="76500"/>
    <n v="30600"/>
    <n v="0.2857142857142857"/>
  </r>
  <r>
    <x v="34"/>
    <s v="ORD-00477"/>
    <x v="1"/>
    <x v="4"/>
    <x v="10"/>
    <x v="7"/>
    <x v="2"/>
    <n v="8"/>
    <n v="8890"/>
    <n v="71120"/>
    <n v="7000"/>
    <n v="56000"/>
    <n v="15120"/>
    <n v="0.2125984251968504"/>
  </r>
  <r>
    <x v="34"/>
    <s v="ORD-00478"/>
    <x v="3"/>
    <x v="4"/>
    <x v="76"/>
    <x v="3"/>
    <x v="0"/>
    <n v="8"/>
    <n v="3525"/>
    <n v="28200"/>
    <n v="2500"/>
    <n v="20000"/>
    <n v="8200"/>
    <n v="0.29078014184397161"/>
  </r>
  <r>
    <x v="34"/>
    <s v="ORD-00479"/>
    <x v="3"/>
    <x v="4"/>
    <x v="65"/>
    <x v="2"/>
    <x v="1"/>
    <n v="2"/>
    <n v="55100"/>
    <n v="110200"/>
    <n v="38000"/>
    <n v="76000"/>
    <n v="34200"/>
    <n v="0.31034482758620691"/>
  </r>
  <r>
    <x v="34"/>
    <s v="ORD-00480"/>
    <x v="2"/>
    <x v="1"/>
    <x v="131"/>
    <x v="6"/>
    <x v="3"/>
    <n v="6"/>
    <n v="1206"/>
    <n v="7236"/>
    <n v="900"/>
    <n v="5400"/>
    <n v="1836"/>
    <n v="0.2537313432835821"/>
  </r>
  <r>
    <x v="34"/>
    <s v="ORD-00481"/>
    <x v="3"/>
    <x v="5"/>
    <x v="95"/>
    <x v="4"/>
    <x v="2"/>
    <n v="8"/>
    <n v="11305"/>
    <n v="90440"/>
    <n v="8500"/>
    <n v="68000"/>
    <n v="22440"/>
    <n v="0.24812030075187969"/>
  </r>
  <r>
    <x v="34"/>
    <s v="ORD-00482"/>
    <x v="3"/>
    <x v="0"/>
    <x v="136"/>
    <x v="6"/>
    <x v="3"/>
    <n v="9"/>
    <n v="1116"/>
    <n v="10044"/>
    <n v="900"/>
    <n v="8100"/>
    <n v="1944"/>
    <n v="0.19354838709677419"/>
  </r>
  <r>
    <x v="34"/>
    <s v="ORD-00483"/>
    <x v="1"/>
    <x v="0"/>
    <x v="25"/>
    <x v="4"/>
    <x v="2"/>
    <n v="2"/>
    <n v="11390"/>
    <n v="22780"/>
    <n v="8500"/>
    <n v="17000"/>
    <n v="5780"/>
    <n v="0.2537313432835821"/>
  </r>
  <r>
    <x v="34"/>
    <s v="ORD-00484"/>
    <x v="0"/>
    <x v="1"/>
    <x v="140"/>
    <x v="5"/>
    <x v="3"/>
    <n v="1"/>
    <n v="774"/>
    <n v="774"/>
    <n v="600"/>
    <n v="600"/>
    <n v="174"/>
    <n v="0.22480620155038761"/>
  </r>
  <r>
    <x v="34"/>
    <s v="ORD-00485"/>
    <x v="0"/>
    <x v="0"/>
    <x v="126"/>
    <x v="3"/>
    <x v="0"/>
    <n v="10"/>
    <n v="3575"/>
    <n v="35750"/>
    <n v="2500"/>
    <n v="25000"/>
    <n v="10750"/>
    <n v="0.30069930069930068"/>
  </r>
  <r>
    <x v="34"/>
    <s v="ORD-00486"/>
    <x v="1"/>
    <x v="0"/>
    <x v="48"/>
    <x v="2"/>
    <x v="1"/>
    <n v="8"/>
    <n v="53580"/>
    <n v="428640"/>
    <n v="38000"/>
    <n v="304000"/>
    <n v="124640"/>
    <n v="0.29078014184397161"/>
  </r>
  <r>
    <x v="34"/>
    <s v="ORD-00487"/>
    <x v="3"/>
    <x v="5"/>
    <x v="75"/>
    <x v="6"/>
    <x v="3"/>
    <n v="1"/>
    <n v="1269"/>
    <n v="1269"/>
    <n v="900"/>
    <n v="900"/>
    <n v="369"/>
    <n v="0.29078014184397161"/>
  </r>
  <r>
    <x v="34"/>
    <s v="ORD-00488"/>
    <x v="2"/>
    <x v="2"/>
    <x v="137"/>
    <x v="2"/>
    <x v="1"/>
    <n v="8"/>
    <n v="47120"/>
    <n v="376960"/>
    <n v="38000"/>
    <n v="304000"/>
    <n v="72960"/>
    <n v="0.19354838709677419"/>
  </r>
  <r>
    <x v="35"/>
    <s v="ORD-00489"/>
    <x v="3"/>
    <x v="4"/>
    <x v="66"/>
    <x v="7"/>
    <x v="2"/>
    <n v="4"/>
    <n v="9730"/>
    <n v="38920"/>
    <n v="7000"/>
    <n v="28000"/>
    <n v="10920"/>
    <n v="0.2805755395683453"/>
  </r>
  <r>
    <x v="35"/>
    <s v="ORD-00490"/>
    <x v="1"/>
    <x v="4"/>
    <x v="91"/>
    <x v="6"/>
    <x v="3"/>
    <n v="6"/>
    <n v="1269"/>
    <n v="7614"/>
    <n v="900"/>
    <n v="5400"/>
    <n v="2214"/>
    <n v="0.29078014184397161"/>
  </r>
  <r>
    <x v="35"/>
    <s v="ORD-00491"/>
    <x v="0"/>
    <x v="3"/>
    <x v="28"/>
    <x v="4"/>
    <x v="2"/>
    <n v="9"/>
    <n v="10540"/>
    <n v="94860"/>
    <n v="8500"/>
    <n v="76500"/>
    <n v="18360"/>
    <n v="0.19354838709677419"/>
  </r>
  <r>
    <x v="35"/>
    <s v="ORD-00492"/>
    <x v="1"/>
    <x v="0"/>
    <x v="81"/>
    <x v="1"/>
    <x v="1"/>
    <n v="9"/>
    <n v="55350"/>
    <n v="498150"/>
    <n v="45000"/>
    <n v="405000"/>
    <n v="93150"/>
    <n v="0.18699186991869918"/>
  </r>
  <r>
    <x v="35"/>
    <s v="ORD-00493"/>
    <x v="3"/>
    <x v="4"/>
    <x v="4"/>
    <x v="3"/>
    <x v="0"/>
    <n v="6"/>
    <n v="3275"/>
    <n v="19650"/>
    <n v="2500"/>
    <n v="15000"/>
    <n v="4650"/>
    <n v="0.23664122137404581"/>
  </r>
  <r>
    <x v="35"/>
    <s v="ORD-00494"/>
    <x v="0"/>
    <x v="1"/>
    <x v="41"/>
    <x v="4"/>
    <x v="2"/>
    <n v="5"/>
    <n v="11645"/>
    <n v="58225"/>
    <n v="8500"/>
    <n v="42500"/>
    <n v="15725"/>
    <n v="0.27007299270072993"/>
  </r>
  <r>
    <x v="35"/>
    <s v="ORD-00495"/>
    <x v="2"/>
    <x v="5"/>
    <x v="132"/>
    <x v="5"/>
    <x v="3"/>
    <n v="5"/>
    <n v="798"/>
    <n v="3990"/>
    <n v="600"/>
    <n v="3000"/>
    <n v="990"/>
    <n v="0.24812030075187969"/>
  </r>
  <r>
    <x v="35"/>
    <s v="ORD-00496"/>
    <x v="1"/>
    <x v="2"/>
    <x v="136"/>
    <x v="7"/>
    <x v="2"/>
    <n v="5"/>
    <n v="10150"/>
    <n v="50750"/>
    <n v="7000"/>
    <n v="35000"/>
    <n v="15750"/>
    <n v="0.31034482758620691"/>
  </r>
  <r>
    <x v="35"/>
    <s v="ORD-00497"/>
    <x v="3"/>
    <x v="5"/>
    <x v="143"/>
    <x v="6"/>
    <x v="3"/>
    <n v="5"/>
    <n v="1080"/>
    <n v="5400"/>
    <n v="900"/>
    <n v="4500"/>
    <n v="900"/>
    <n v="0.16666666666666666"/>
  </r>
  <r>
    <x v="35"/>
    <s v="ORD-00498"/>
    <x v="2"/>
    <x v="2"/>
    <x v="12"/>
    <x v="7"/>
    <x v="2"/>
    <n v="8"/>
    <n v="9520"/>
    <n v="76160"/>
    <n v="7000"/>
    <n v="56000"/>
    <n v="20160"/>
    <n v="0.26470588235294118"/>
  </r>
  <r>
    <x v="35"/>
    <s v="ORD-00499"/>
    <x v="3"/>
    <x v="4"/>
    <x v="113"/>
    <x v="2"/>
    <x v="1"/>
    <n v="5"/>
    <n v="46360"/>
    <n v="231800"/>
    <n v="38000"/>
    <n v="190000"/>
    <n v="41800"/>
    <n v="0.18032786885245902"/>
  </r>
  <r>
    <x v="35"/>
    <s v="ORD-00500"/>
    <x v="2"/>
    <x v="2"/>
    <x v="35"/>
    <x v="3"/>
    <x v="0"/>
    <n v="2"/>
    <n v="3225"/>
    <n v="6450"/>
    <n v="2500"/>
    <n v="5000"/>
    <n v="1450"/>
    <n v="0.22480620155038761"/>
  </r>
  <r>
    <x v="35"/>
    <s v="ORD-00501"/>
    <x v="0"/>
    <x v="0"/>
    <x v="54"/>
    <x v="0"/>
    <x v="0"/>
    <n v="8"/>
    <n v="3872"/>
    <n v="30976"/>
    <n v="3200"/>
    <n v="25600"/>
    <n v="5376"/>
    <n v="0.17355371900826447"/>
  </r>
  <r>
    <x v="35"/>
    <s v="ORD-00502"/>
    <x v="0"/>
    <x v="5"/>
    <x v="145"/>
    <x v="1"/>
    <x v="1"/>
    <n v="10"/>
    <n v="62099.999999999993"/>
    <n v="620999.99999999988"/>
    <n v="45000"/>
    <n v="450000"/>
    <n v="170999.99999999988"/>
    <n v="0.2753623188405796"/>
  </r>
  <r>
    <x v="36"/>
    <s v="ORD-00503"/>
    <x v="3"/>
    <x v="2"/>
    <x v="109"/>
    <x v="5"/>
    <x v="3"/>
    <n v="9"/>
    <n v="870"/>
    <n v="7830"/>
    <n v="600"/>
    <n v="5400"/>
    <n v="2430"/>
    <n v="0.31034482758620691"/>
  </r>
  <r>
    <x v="36"/>
    <s v="ORD-00504"/>
    <x v="2"/>
    <x v="5"/>
    <x v="25"/>
    <x v="4"/>
    <x v="2"/>
    <n v="6"/>
    <n v="11730"/>
    <n v="70380"/>
    <n v="8500"/>
    <n v="51000"/>
    <n v="19380"/>
    <n v="0.27536231884057971"/>
  </r>
  <r>
    <x v="36"/>
    <s v="ORD-00505"/>
    <x v="3"/>
    <x v="2"/>
    <x v="57"/>
    <x v="2"/>
    <x v="1"/>
    <n v="4"/>
    <n v="52060.000000000007"/>
    <n v="208240.00000000003"/>
    <n v="38000"/>
    <n v="152000"/>
    <n v="56240.000000000029"/>
    <n v="0.27007299270073004"/>
  </r>
  <r>
    <x v="36"/>
    <s v="ORD-00506"/>
    <x v="0"/>
    <x v="5"/>
    <x v="108"/>
    <x v="4"/>
    <x v="2"/>
    <n v="8"/>
    <n v="11645"/>
    <n v="93160"/>
    <n v="8500"/>
    <n v="68000"/>
    <n v="25160"/>
    <n v="0.27007299270072993"/>
  </r>
  <r>
    <x v="36"/>
    <s v="ORD-00507"/>
    <x v="2"/>
    <x v="3"/>
    <x v="48"/>
    <x v="4"/>
    <x v="2"/>
    <n v="8"/>
    <n v="11390"/>
    <n v="91120"/>
    <n v="8500"/>
    <n v="68000"/>
    <n v="23120"/>
    <n v="0.2537313432835821"/>
  </r>
  <r>
    <x v="36"/>
    <s v="ORD-00508"/>
    <x v="2"/>
    <x v="0"/>
    <x v="137"/>
    <x v="1"/>
    <x v="1"/>
    <n v="5"/>
    <n v="54900"/>
    <n v="274500"/>
    <n v="45000"/>
    <n v="225000"/>
    <n v="49500"/>
    <n v="0.18032786885245902"/>
  </r>
  <r>
    <x v="36"/>
    <s v="ORD-00509"/>
    <x v="1"/>
    <x v="5"/>
    <x v="27"/>
    <x v="3"/>
    <x v="0"/>
    <n v="4"/>
    <n v="3475.0000000000005"/>
    <n v="13900.000000000002"/>
    <n v="2500"/>
    <n v="10000"/>
    <n v="3900.0000000000018"/>
    <n v="0.28057553956834541"/>
  </r>
  <r>
    <x v="36"/>
    <s v="ORD-00510"/>
    <x v="2"/>
    <x v="4"/>
    <x v="72"/>
    <x v="1"/>
    <x v="1"/>
    <n v="2"/>
    <n v="61199.999999999993"/>
    <n v="122399.99999999999"/>
    <n v="45000"/>
    <n v="90000"/>
    <n v="32399.999999999985"/>
    <n v="0.26470588235294107"/>
  </r>
  <r>
    <x v="36"/>
    <s v="ORD-00511"/>
    <x v="3"/>
    <x v="3"/>
    <x v="8"/>
    <x v="5"/>
    <x v="3"/>
    <n v="5"/>
    <n v="792"/>
    <n v="3960"/>
    <n v="600"/>
    <n v="3000"/>
    <n v="960"/>
    <n v="0.24242424242424243"/>
  </r>
  <r>
    <x v="36"/>
    <s v="ORD-00512"/>
    <x v="0"/>
    <x v="5"/>
    <x v="76"/>
    <x v="3"/>
    <x v="0"/>
    <n v="9"/>
    <n v="3200"/>
    <n v="28800"/>
    <n v="2500"/>
    <n v="22500"/>
    <n v="6300"/>
    <n v="0.21875"/>
  </r>
  <r>
    <x v="36"/>
    <s v="ORD-00513"/>
    <x v="3"/>
    <x v="5"/>
    <x v="28"/>
    <x v="1"/>
    <x v="1"/>
    <n v="6"/>
    <n v="65250"/>
    <n v="391500"/>
    <n v="45000"/>
    <n v="270000"/>
    <n v="121500"/>
    <n v="0.31034482758620691"/>
  </r>
  <r>
    <x v="36"/>
    <s v="ORD-00514"/>
    <x v="1"/>
    <x v="0"/>
    <x v="73"/>
    <x v="1"/>
    <x v="1"/>
    <n v="10"/>
    <n v="62099.999999999993"/>
    <n v="620999.99999999988"/>
    <n v="45000"/>
    <n v="450000"/>
    <n v="170999.99999999988"/>
    <n v="0.2753623188405796"/>
  </r>
  <r>
    <x v="36"/>
    <s v="ORD-00515"/>
    <x v="3"/>
    <x v="5"/>
    <x v="121"/>
    <x v="1"/>
    <x v="1"/>
    <n v="4"/>
    <n v="54450"/>
    <n v="217800"/>
    <n v="45000"/>
    <n v="180000"/>
    <n v="37800"/>
    <n v="0.17355371900826447"/>
  </r>
  <r>
    <x v="36"/>
    <s v="ORD-00516"/>
    <x v="0"/>
    <x v="1"/>
    <x v="70"/>
    <x v="1"/>
    <x v="1"/>
    <n v="10"/>
    <n v="62550.000000000007"/>
    <n v="625500.00000000012"/>
    <n v="45000"/>
    <n v="450000"/>
    <n v="175500.00000000012"/>
    <n v="0.28057553956834547"/>
  </r>
  <r>
    <x v="37"/>
    <s v="ORD-00517"/>
    <x v="1"/>
    <x v="0"/>
    <x v="111"/>
    <x v="7"/>
    <x v="2"/>
    <n v="2"/>
    <n v="9170"/>
    <n v="18340"/>
    <n v="7000"/>
    <n v="14000"/>
    <n v="4340"/>
    <n v="0.23664122137404581"/>
  </r>
  <r>
    <x v="37"/>
    <s v="ORD-00518"/>
    <x v="0"/>
    <x v="3"/>
    <x v="41"/>
    <x v="3"/>
    <x v="0"/>
    <n v="4"/>
    <n v="3575"/>
    <n v="14300"/>
    <n v="2500"/>
    <n v="10000"/>
    <n v="4300"/>
    <n v="0.30069930069930068"/>
  </r>
  <r>
    <x v="37"/>
    <s v="ORD-00519"/>
    <x v="1"/>
    <x v="2"/>
    <x v="49"/>
    <x v="1"/>
    <x v="1"/>
    <n v="2"/>
    <n v="60300"/>
    <n v="120600"/>
    <n v="45000"/>
    <n v="90000"/>
    <n v="30600"/>
    <n v="0.2537313432835821"/>
  </r>
  <r>
    <x v="37"/>
    <s v="ORD-00520"/>
    <x v="1"/>
    <x v="0"/>
    <x v="35"/>
    <x v="0"/>
    <x v="0"/>
    <n v="4"/>
    <n v="4480"/>
    <n v="17920"/>
    <n v="3200"/>
    <n v="12800"/>
    <n v="5120"/>
    <n v="0.2857142857142857"/>
  </r>
  <r>
    <x v="37"/>
    <s v="ORD-00521"/>
    <x v="3"/>
    <x v="3"/>
    <x v="87"/>
    <x v="5"/>
    <x v="3"/>
    <n v="10"/>
    <n v="732"/>
    <n v="7320"/>
    <n v="600"/>
    <n v="6000"/>
    <n v="1320"/>
    <n v="0.18032786885245902"/>
  </r>
  <r>
    <x v="37"/>
    <s v="ORD-00522"/>
    <x v="1"/>
    <x v="5"/>
    <x v="86"/>
    <x v="5"/>
    <x v="3"/>
    <n v="6"/>
    <n v="780"/>
    <n v="4680"/>
    <n v="600"/>
    <n v="3600"/>
    <n v="1080"/>
    <n v="0.23076923076923078"/>
  </r>
  <r>
    <x v="37"/>
    <s v="ORD-00523"/>
    <x v="3"/>
    <x v="1"/>
    <x v="146"/>
    <x v="4"/>
    <x v="2"/>
    <n v="9"/>
    <n v="10370"/>
    <n v="93330"/>
    <n v="8500"/>
    <n v="76500"/>
    <n v="16830"/>
    <n v="0.18032786885245902"/>
  </r>
  <r>
    <x v="37"/>
    <s v="ORD-00524"/>
    <x v="1"/>
    <x v="3"/>
    <x v="23"/>
    <x v="7"/>
    <x v="2"/>
    <n v="4"/>
    <n v="9660"/>
    <n v="38640"/>
    <n v="7000"/>
    <n v="28000"/>
    <n v="10640"/>
    <n v="0.27536231884057971"/>
  </r>
  <r>
    <x v="37"/>
    <s v="ORD-00525"/>
    <x v="3"/>
    <x v="4"/>
    <x v="20"/>
    <x v="4"/>
    <x v="2"/>
    <n v="10"/>
    <n v="11050"/>
    <n v="110500"/>
    <n v="8500"/>
    <n v="85000"/>
    <n v="25500"/>
    <n v="0.23076923076923078"/>
  </r>
  <r>
    <x v="37"/>
    <s v="ORD-00526"/>
    <x v="2"/>
    <x v="4"/>
    <x v="9"/>
    <x v="4"/>
    <x v="2"/>
    <n v="7"/>
    <n v="10880"/>
    <n v="76160"/>
    <n v="8500"/>
    <n v="59500"/>
    <n v="16660"/>
    <n v="0.21875"/>
  </r>
  <r>
    <x v="37"/>
    <s v="ORD-00527"/>
    <x v="1"/>
    <x v="1"/>
    <x v="111"/>
    <x v="0"/>
    <x v="0"/>
    <n v="2"/>
    <n v="3872"/>
    <n v="7744"/>
    <n v="3200"/>
    <n v="6400"/>
    <n v="1344"/>
    <n v="0.17355371900826447"/>
  </r>
  <r>
    <x v="37"/>
    <s v="ORD-00528"/>
    <x v="3"/>
    <x v="5"/>
    <x v="111"/>
    <x v="4"/>
    <x v="2"/>
    <n v="4"/>
    <n v="10710"/>
    <n v="42840"/>
    <n v="8500"/>
    <n v="34000"/>
    <n v="8840"/>
    <n v="0.20634920634920634"/>
  </r>
  <r>
    <x v="37"/>
    <s v="ORD-00529"/>
    <x v="1"/>
    <x v="3"/>
    <x v="38"/>
    <x v="2"/>
    <x v="1"/>
    <n v="3"/>
    <n v="47120"/>
    <n v="141360"/>
    <n v="38000"/>
    <n v="114000"/>
    <n v="27360"/>
    <n v="0.19354838709677419"/>
  </r>
  <r>
    <x v="37"/>
    <s v="ORD-00530"/>
    <x v="3"/>
    <x v="1"/>
    <x v="30"/>
    <x v="6"/>
    <x v="3"/>
    <n v="9"/>
    <n v="1269"/>
    <n v="11421"/>
    <n v="900"/>
    <n v="8100"/>
    <n v="3321"/>
    <n v="0.29078014184397161"/>
  </r>
  <r>
    <x v="38"/>
    <s v="ORD-00531"/>
    <x v="0"/>
    <x v="3"/>
    <x v="126"/>
    <x v="4"/>
    <x v="2"/>
    <n v="8"/>
    <n v="10370"/>
    <n v="82960"/>
    <n v="8500"/>
    <n v="68000"/>
    <n v="14960"/>
    <n v="0.18032786885245902"/>
  </r>
  <r>
    <x v="38"/>
    <s v="ORD-00532"/>
    <x v="1"/>
    <x v="5"/>
    <x v="44"/>
    <x v="6"/>
    <x v="3"/>
    <n v="4"/>
    <n v="1143"/>
    <n v="4572"/>
    <n v="900"/>
    <n v="3600"/>
    <n v="972"/>
    <n v="0.2125984251968504"/>
  </r>
  <r>
    <x v="38"/>
    <s v="ORD-00533"/>
    <x v="1"/>
    <x v="0"/>
    <x v="56"/>
    <x v="2"/>
    <x v="1"/>
    <n v="9"/>
    <n v="48260"/>
    <n v="434340"/>
    <n v="38000"/>
    <n v="342000"/>
    <n v="92340"/>
    <n v="0.2125984251968504"/>
  </r>
  <r>
    <x v="38"/>
    <s v="ORD-00534"/>
    <x v="1"/>
    <x v="4"/>
    <x v="99"/>
    <x v="7"/>
    <x v="2"/>
    <n v="3"/>
    <n v="9800"/>
    <n v="29400"/>
    <n v="7000"/>
    <n v="21000"/>
    <n v="8400"/>
    <n v="0.2857142857142857"/>
  </r>
  <r>
    <x v="38"/>
    <s v="ORD-00535"/>
    <x v="0"/>
    <x v="4"/>
    <x v="75"/>
    <x v="3"/>
    <x v="0"/>
    <n v="10"/>
    <n v="3200"/>
    <n v="32000"/>
    <n v="2500"/>
    <n v="25000"/>
    <n v="7000"/>
    <n v="0.21875"/>
  </r>
  <r>
    <x v="38"/>
    <s v="ORD-00536"/>
    <x v="1"/>
    <x v="5"/>
    <x v="118"/>
    <x v="1"/>
    <x v="1"/>
    <n v="1"/>
    <n v="60750.000000000007"/>
    <n v="60750.000000000007"/>
    <n v="45000"/>
    <n v="45000"/>
    <n v="15750.000000000007"/>
    <n v="0.25925925925925936"/>
  </r>
  <r>
    <x v="38"/>
    <s v="ORD-00537"/>
    <x v="3"/>
    <x v="4"/>
    <x v="7"/>
    <x v="5"/>
    <x v="3"/>
    <n v="8"/>
    <n v="762"/>
    <n v="6096"/>
    <n v="600"/>
    <n v="4800"/>
    <n v="1296"/>
    <n v="0.2125984251968504"/>
  </r>
  <r>
    <x v="38"/>
    <s v="ORD-00538"/>
    <x v="0"/>
    <x v="3"/>
    <x v="18"/>
    <x v="3"/>
    <x v="0"/>
    <n v="6"/>
    <n v="3475.0000000000005"/>
    <n v="20850.000000000004"/>
    <n v="2500"/>
    <n v="15000"/>
    <n v="5850.0000000000036"/>
    <n v="0.28057553956834547"/>
  </r>
  <r>
    <x v="38"/>
    <s v="ORD-00539"/>
    <x v="3"/>
    <x v="4"/>
    <x v="70"/>
    <x v="7"/>
    <x v="2"/>
    <n v="7"/>
    <n v="8680"/>
    <n v="60760"/>
    <n v="7000"/>
    <n v="49000"/>
    <n v="11760"/>
    <n v="0.19354838709677419"/>
  </r>
  <r>
    <x v="38"/>
    <s v="ORD-00540"/>
    <x v="1"/>
    <x v="5"/>
    <x v="38"/>
    <x v="2"/>
    <x v="1"/>
    <n v="5"/>
    <n v="49400"/>
    <n v="247000"/>
    <n v="38000"/>
    <n v="190000"/>
    <n v="57000"/>
    <n v="0.23076923076923078"/>
  </r>
  <r>
    <x v="38"/>
    <s v="ORD-00541"/>
    <x v="1"/>
    <x v="2"/>
    <x v="147"/>
    <x v="3"/>
    <x v="0"/>
    <n v="9"/>
    <n v="3600"/>
    <n v="32400"/>
    <n v="2500"/>
    <n v="22500"/>
    <n v="9900"/>
    <n v="0.30555555555555558"/>
  </r>
  <r>
    <x v="38"/>
    <s v="ORD-00542"/>
    <x v="2"/>
    <x v="0"/>
    <x v="3"/>
    <x v="7"/>
    <x v="2"/>
    <n v="4"/>
    <n v="8540"/>
    <n v="34160"/>
    <n v="7000"/>
    <n v="28000"/>
    <n v="6160"/>
    <n v="0.18032786885245902"/>
  </r>
  <r>
    <x v="38"/>
    <s v="ORD-00543"/>
    <x v="3"/>
    <x v="2"/>
    <x v="29"/>
    <x v="6"/>
    <x v="3"/>
    <n v="8"/>
    <n v="1296"/>
    <n v="10368"/>
    <n v="900"/>
    <n v="7200"/>
    <n v="3168"/>
    <n v="0.30555555555555558"/>
  </r>
  <r>
    <x v="38"/>
    <s v="ORD-00544"/>
    <x v="2"/>
    <x v="5"/>
    <x v="29"/>
    <x v="5"/>
    <x v="3"/>
    <n v="9"/>
    <n v="780"/>
    <n v="7020"/>
    <n v="600"/>
    <n v="5400"/>
    <n v="1620"/>
    <n v="0.23076923076923078"/>
  </r>
  <r>
    <x v="39"/>
    <s v="ORD-00545"/>
    <x v="1"/>
    <x v="5"/>
    <x v="126"/>
    <x v="7"/>
    <x v="2"/>
    <n v="10"/>
    <n v="9450"/>
    <n v="94500"/>
    <n v="7000"/>
    <n v="70000"/>
    <n v="24500"/>
    <n v="0.25925925925925924"/>
  </r>
  <r>
    <x v="39"/>
    <s v="ORD-00546"/>
    <x v="3"/>
    <x v="5"/>
    <x v="34"/>
    <x v="6"/>
    <x v="3"/>
    <n v="8"/>
    <n v="1107"/>
    <n v="8856"/>
    <n v="900"/>
    <n v="7200"/>
    <n v="1656"/>
    <n v="0.18699186991869918"/>
  </r>
  <r>
    <x v="39"/>
    <s v="ORD-00547"/>
    <x v="3"/>
    <x v="1"/>
    <x v="2"/>
    <x v="6"/>
    <x v="3"/>
    <n v="2"/>
    <n v="1161"/>
    <n v="2322"/>
    <n v="900"/>
    <n v="1800"/>
    <n v="522"/>
    <n v="0.22480620155038761"/>
  </r>
  <r>
    <x v="39"/>
    <s v="ORD-00548"/>
    <x v="2"/>
    <x v="2"/>
    <x v="28"/>
    <x v="6"/>
    <x v="3"/>
    <n v="5"/>
    <n v="1161"/>
    <n v="5805"/>
    <n v="900"/>
    <n v="4500"/>
    <n v="1305"/>
    <n v="0.22480620155038761"/>
  </r>
  <r>
    <x v="39"/>
    <s v="ORD-00549"/>
    <x v="3"/>
    <x v="0"/>
    <x v="118"/>
    <x v="6"/>
    <x v="3"/>
    <n v="10"/>
    <n v="1260"/>
    <n v="12600"/>
    <n v="900"/>
    <n v="9000"/>
    <n v="3600"/>
    <n v="0.2857142857142857"/>
  </r>
  <r>
    <x v="39"/>
    <s v="ORD-00550"/>
    <x v="0"/>
    <x v="2"/>
    <x v="122"/>
    <x v="7"/>
    <x v="2"/>
    <n v="7"/>
    <n v="8680"/>
    <n v="60760"/>
    <n v="7000"/>
    <n v="49000"/>
    <n v="11760"/>
    <n v="0.19354838709677419"/>
  </r>
  <r>
    <x v="39"/>
    <s v="ORD-00551"/>
    <x v="2"/>
    <x v="0"/>
    <x v="52"/>
    <x v="7"/>
    <x v="2"/>
    <n v="7"/>
    <n v="8470"/>
    <n v="59290"/>
    <n v="7000"/>
    <n v="49000"/>
    <n v="10290"/>
    <n v="0.17355371900826447"/>
  </r>
  <r>
    <x v="39"/>
    <s v="ORD-00552"/>
    <x v="2"/>
    <x v="4"/>
    <x v="81"/>
    <x v="6"/>
    <x v="3"/>
    <n v="6"/>
    <n v="1080"/>
    <n v="6480"/>
    <n v="900"/>
    <n v="5400"/>
    <n v="1080"/>
    <n v="0.16666666666666666"/>
  </r>
  <r>
    <x v="39"/>
    <s v="ORD-00553"/>
    <x v="2"/>
    <x v="1"/>
    <x v="147"/>
    <x v="2"/>
    <x v="1"/>
    <n v="2"/>
    <n v="49020"/>
    <n v="98040"/>
    <n v="38000"/>
    <n v="76000"/>
    <n v="22040"/>
    <n v="0.22480620155038761"/>
  </r>
  <r>
    <x v="39"/>
    <s v="ORD-00554"/>
    <x v="0"/>
    <x v="0"/>
    <x v="59"/>
    <x v="1"/>
    <x v="1"/>
    <n v="7"/>
    <n v="57600"/>
    <n v="403200"/>
    <n v="45000"/>
    <n v="315000"/>
    <n v="88200"/>
    <n v="0.21875"/>
  </r>
  <r>
    <x v="39"/>
    <s v="ORD-00555"/>
    <x v="3"/>
    <x v="0"/>
    <x v="82"/>
    <x v="1"/>
    <x v="1"/>
    <n v="6"/>
    <n v="58950"/>
    <n v="353700"/>
    <n v="45000"/>
    <n v="270000"/>
    <n v="83700"/>
    <n v="0.23664122137404581"/>
  </r>
  <r>
    <x v="39"/>
    <s v="ORD-00556"/>
    <x v="2"/>
    <x v="2"/>
    <x v="121"/>
    <x v="2"/>
    <x v="1"/>
    <n v="4"/>
    <n v="52820.000000000007"/>
    <n v="211280.00000000003"/>
    <n v="38000"/>
    <n v="152000"/>
    <n v="59280.000000000029"/>
    <n v="0.28057553956834541"/>
  </r>
  <r>
    <x v="39"/>
    <s v="ORD-00557"/>
    <x v="0"/>
    <x v="5"/>
    <x v="93"/>
    <x v="0"/>
    <x v="0"/>
    <n v="4"/>
    <n v="4608"/>
    <n v="18432"/>
    <n v="3200"/>
    <n v="12800"/>
    <n v="5632"/>
    <n v="0.30555555555555558"/>
  </r>
  <r>
    <x v="39"/>
    <s v="ORD-00558"/>
    <x v="1"/>
    <x v="0"/>
    <x v="29"/>
    <x v="6"/>
    <x v="3"/>
    <n v="2"/>
    <n v="1233"/>
    <n v="2466"/>
    <n v="900"/>
    <n v="1800"/>
    <n v="666"/>
    <n v="0.27007299270072993"/>
  </r>
  <r>
    <x v="40"/>
    <s v="ORD-00559"/>
    <x v="1"/>
    <x v="4"/>
    <x v="117"/>
    <x v="6"/>
    <x v="3"/>
    <n v="10"/>
    <n v="1233"/>
    <n v="12330"/>
    <n v="900"/>
    <n v="9000"/>
    <n v="3330"/>
    <n v="0.27007299270072993"/>
  </r>
  <r>
    <x v="40"/>
    <s v="ORD-00560"/>
    <x v="3"/>
    <x v="5"/>
    <x v="97"/>
    <x v="2"/>
    <x v="1"/>
    <n v="6"/>
    <n v="52060.000000000007"/>
    <n v="312360.00000000006"/>
    <n v="38000"/>
    <n v="228000"/>
    <n v="84360.000000000058"/>
    <n v="0.27007299270073004"/>
  </r>
  <r>
    <x v="40"/>
    <s v="ORD-00561"/>
    <x v="3"/>
    <x v="0"/>
    <x v="116"/>
    <x v="2"/>
    <x v="1"/>
    <n v="3"/>
    <n v="54720"/>
    <n v="164160"/>
    <n v="38000"/>
    <n v="114000"/>
    <n v="50160"/>
    <n v="0.30555555555555558"/>
  </r>
  <r>
    <x v="40"/>
    <s v="ORD-00562"/>
    <x v="2"/>
    <x v="3"/>
    <x v="25"/>
    <x v="0"/>
    <x v="0"/>
    <n v="4"/>
    <n v="4448"/>
    <n v="17792"/>
    <n v="3200"/>
    <n v="12800"/>
    <n v="4992"/>
    <n v="0.2805755395683453"/>
  </r>
  <r>
    <x v="40"/>
    <s v="ORD-00563"/>
    <x v="1"/>
    <x v="4"/>
    <x v="143"/>
    <x v="5"/>
    <x v="3"/>
    <n v="3"/>
    <n v="846"/>
    <n v="2538"/>
    <n v="600"/>
    <n v="1800"/>
    <n v="738"/>
    <n v="0.29078014184397161"/>
  </r>
  <r>
    <x v="40"/>
    <s v="ORD-00564"/>
    <x v="1"/>
    <x v="1"/>
    <x v="15"/>
    <x v="6"/>
    <x v="3"/>
    <n v="9"/>
    <n v="1269"/>
    <n v="11421"/>
    <n v="900"/>
    <n v="8100"/>
    <n v="3321"/>
    <n v="0.29078014184397161"/>
  </r>
  <r>
    <x v="40"/>
    <s v="ORD-00565"/>
    <x v="1"/>
    <x v="5"/>
    <x v="135"/>
    <x v="0"/>
    <x v="0"/>
    <n v="4"/>
    <n v="3840"/>
    <n v="15360"/>
    <n v="3200"/>
    <n v="12800"/>
    <n v="2560"/>
    <n v="0.16666666666666666"/>
  </r>
  <r>
    <x v="40"/>
    <s v="ORD-00566"/>
    <x v="1"/>
    <x v="3"/>
    <x v="131"/>
    <x v="6"/>
    <x v="3"/>
    <n v="9"/>
    <n v="1260"/>
    <n v="11340"/>
    <n v="900"/>
    <n v="8100"/>
    <n v="3240"/>
    <n v="0.2857142857142857"/>
  </r>
  <r>
    <x v="40"/>
    <s v="ORD-00567"/>
    <x v="3"/>
    <x v="4"/>
    <x v="107"/>
    <x v="1"/>
    <x v="1"/>
    <n v="4"/>
    <n v="62550.000000000007"/>
    <n v="250200.00000000003"/>
    <n v="45000"/>
    <n v="180000"/>
    <n v="70200.000000000029"/>
    <n v="0.28057553956834541"/>
  </r>
  <r>
    <x v="40"/>
    <s v="ORD-00568"/>
    <x v="0"/>
    <x v="5"/>
    <x v="94"/>
    <x v="7"/>
    <x v="2"/>
    <n v="2"/>
    <n v="8750"/>
    <n v="17500"/>
    <n v="7000"/>
    <n v="14000"/>
    <n v="3500"/>
    <n v="0.2"/>
  </r>
  <r>
    <x v="40"/>
    <s v="ORD-00569"/>
    <x v="1"/>
    <x v="4"/>
    <x v="15"/>
    <x v="6"/>
    <x v="3"/>
    <n v="3"/>
    <n v="1098"/>
    <n v="3294"/>
    <n v="900"/>
    <n v="2700"/>
    <n v="594"/>
    <n v="0.18032786885245902"/>
  </r>
  <r>
    <x v="40"/>
    <s v="ORD-00570"/>
    <x v="0"/>
    <x v="5"/>
    <x v="132"/>
    <x v="7"/>
    <x v="2"/>
    <n v="10"/>
    <n v="9800"/>
    <n v="98000"/>
    <n v="7000"/>
    <n v="70000"/>
    <n v="28000"/>
    <n v="0.2857142857142857"/>
  </r>
  <r>
    <x v="40"/>
    <s v="ORD-00571"/>
    <x v="2"/>
    <x v="0"/>
    <x v="49"/>
    <x v="2"/>
    <x v="1"/>
    <n v="6"/>
    <n v="49400"/>
    <n v="296400"/>
    <n v="38000"/>
    <n v="228000"/>
    <n v="68400"/>
    <n v="0.23076923076923078"/>
  </r>
  <r>
    <x v="40"/>
    <s v="ORD-00572"/>
    <x v="2"/>
    <x v="3"/>
    <x v="133"/>
    <x v="6"/>
    <x v="3"/>
    <n v="10"/>
    <n v="1269"/>
    <n v="12690"/>
    <n v="900"/>
    <n v="9000"/>
    <n v="3690"/>
    <n v="0.29078014184397161"/>
  </r>
  <r>
    <x v="41"/>
    <s v="ORD-00573"/>
    <x v="3"/>
    <x v="1"/>
    <x v="45"/>
    <x v="2"/>
    <x v="1"/>
    <n v="5"/>
    <n v="54340"/>
    <n v="271700"/>
    <n v="38000"/>
    <n v="190000"/>
    <n v="81700"/>
    <n v="0.30069930069930068"/>
  </r>
  <r>
    <x v="41"/>
    <s v="ORD-00574"/>
    <x v="1"/>
    <x v="1"/>
    <x v="22"/>
    <x v="0"/>
    <x v="0"/>
    <n v="2"/>
    <n v="4448"/>
    <n v="8896"/>
    <n v="3200"/>
    <n v="6400"/>
    <n v="2496"/>
    <n v="0.2805755395683453"/>
  </r>
  <r>
    <x v="41"/>
    <s v="ORD-00575"/>
    <x v="0"/>
    <x v="5"/>
    <x v="145"/>
    <x v="2"/>
    <x v="1"/>
    <n v="4"/>
    <n v="48640"/>
    <n v="194560"/>
    <n v="38000"/>
    <n v="152000"/>
    <n v="42560"/>
    <n v="0.21875"/>
  </r>
  <r>
    <x v="41"/>
    <s v="ORD-00576"/>
    <x v="3"/>
    <x v="4"/>
    <x v="18"/>
    <x v="2"/>
    <x v="1"/>
    <n v="10"/>
    <n v="53580"/>
    <n v="535800"/>
    <n v="38000"/>
    <n v="380000"/>
    <n v="155800"/>
    <n v="0.29078014184397161"/>
  </r>
  <r>
    <x v="41"/>
    <s v="ORD-00577"/>
    <x v="1"/>
    <x v="0"/>
    <x v="46"/>
    <x v="5"/>
    <x v="3"/>
    <n v="2"/>
    <n v="792"/>
    <n v="1584"/>
    <n v="600"/>
    <n v="1200"/>
    <n v="384"/>
    <n v="0.24242424242424243"/>
  </r>
  <r>
    <x v="41"/>
    <s v="ORD-00578"/>
    <x v="1"/>
    <x v="3"/>
    <x v="12"/>
    <x v="4"/>
    <x v="2"/>
    <n v="10"/>
    <n v="11730"/>
    <n v="117300"/>
    <n v="8500"/>
    <n v="85000"/>
    <n v="32300"/>
    <n v="0.27536231884057971"/>
  </r>
  <r>
    <x v="41"/>
    <s v="ORD-00579"/>
    <x v="0"/>
    <x v="0"/>
    <x v="1"/>
    <x v="2"/>
    <x v="1"/>
    <n v="7"/>
    <n v="52060.000000000007"/>
    <n v="364420.00000000006"/>
    <n v="38000"/>
    <n v="266000"/>
    <n v="98420.000000000058"/>
    <n v="0.27007299270073004"/>
  </r>
  <r>
    <x v="41"/>
    <s v="ORD-00580"/>
    <x v="2"/>
    <x v="2"/>
    <x v="137"/>
    <x v="0"/>
    <x v="0"/>
    <n v="3"/>
    <n v="4640"/>
    <n v="13920"/>
    <n v="3200"/>
    <n v="9600"/>
    <n v="4320"/>
    <n v="0.31034482758620691"/>
  </r>
  <r>
    <x v="41"/>
    <s v="ORD-00581"/>
    <x v="3"/>
    <x v="1"/>
    <x v="36"/>
    <x v="7"/>
    <x v="2"/>
    <n v="5"/>
    <n v="9870"/>
    <n v="49350"/>
    <n v="7000"/>
    <n v="35000"/>
    <n v="14350"/>
    <n v="0.29078014184397161"/>
  </r>
  <r>
    <x v="41"/>
    <s v="ORD-00582"/>
    <x v="2"/>
    <x v="5"/>
    <x v="75"/>
    <x v="0"/>
    <x v="0"/>
    <n v="8"/>
    <n v="4032"/>
    <n v="32256"/>
    <n v="3200"/>
    <n v="25600"/>
    <n v="6656"/>
    <n v="0.20634920634920634"/>
  </r>
  <r>
    <x v="41"/>
    <s v="ORD-00583"/>
    <x v="0"/>
    <x v="4"/>
    <x v="92"/>
    <x v="0"/>
    <x v="0"/>
    <n v="5"/>
    <n v="4096"/>
    <n v="20480"/>
    <n v="3200"/>
    <n v="16000"/>
    <n v="4480"/>
    <n v="0.21875"/>
  </r>
  <r>
    <x v="41"/>
    <s v="ORD-00584"/>
    <x v="3"/>
    <x v="2"/>
    <x v="44"/>
    <x v="3"/>
    <x v="0"/>
    <n v="2"/>
    <n v="3399.9999999999995"/>
    <n v="6799.9999999999991"/>
    <n v="2500"/>
    <n v="5000"/>
    <n v="1799.9999999999991"/>
    <n v="0.26470588235294107"/>
  </r>
  <r>
    <x v="41"/>
    <s v="ORD-00585"/>
    <x v="2"/>
    <x v="3"/>
    <x v="111"/>
    <x v="2"/>
    <x v="1"/>
    <n v="5"/>
    <n v="52820.000000000007"/>
    <n v="264100.00000000006"/>
    <n v="38000"/>
    <n v="190000"/>
    <n v="74100.000000000058"/>
    <n v="0.28057553956834547"/>
  </r>
  <r>
    <x v="41"/>
    <s v="ORD-00586"/>
    <x v="2"/>
    <x v="2"/>
    <x v="67"/>
    <x v="5"/>
    <x v="3"/>
    <n v="5"/>
    <n v="827.99999999999989"/>
    <n v="4139.9999999999991"/>
    <n v="600"/>
    <n v="3000"/>
    <n v="1139.9999999999991"/>
    <n v="0.27536231884057955"/>
  </r>
  <r>
    <x v="42"/>
    <s v="ORD-00587"/>
    <x v="1"/>
    <x v="5"/>
    <x v="117"/>
    <x v="7"/>
    <x v="2"/>
    <n v="3"/>
    <n v="8470"/>
    <n v="25410"/>
    <n v="7000"/>
    <n v="21000"/>
    <n v="4410"/>
    <n v="0.17355371900826447"/>
  </r>
  <r>
    <x v="42"/>
    <s v="ORD-00588"/>
    <x v="3"/>
    <x v="2"/>
    <x v="48"/>
    <x v="4"/>
    <x v="2"/>
    <n v="1"/>
    <n v="11390"/>
    <n v="11390"/>
    <n v="8500"/>
    <n v="8500"/>
    <n v="2890"/>
    <n v="0.2537313432835821"/>
  </r>
  <r>
    <x v="42"/>
    <s v="ORD-00589"/>
    <x v="2"/>
    <x v="3"/>
    <x v="12"/>
    <x v="6"/>
    <x v="3"/>
    <n v="7"/>
    <n v="1089"/>
    <n v="7623"/>
    <n v="900"/>
    <n v="6300"/>
    <n v="1323"/>
    <n v="0.17355371900826447"/>
  </r>
  <r>
    <x v="42"/>
    <s v="ORD-00590"/>
    <x v="1"/>
    <x v="0"/>
    <x v="41"/>
    <x v="3"/>
    <x v="0"/>
    <n v="9"/>
    <n v="3200"/>
    <n v="28800"/>
    <n v="2500"/>
    <n v="22500"/>
    <n v="6300"/>
    <n v="0.21875"/>
  </r>
  <r>
    <x v="42"/>
    <s v="ORD-00591"/>
    <x v="3"/>
    <x v="0"/>
    <x v="35"/>
    <x v="4"/>
    <x v="2"/>
    <n v="4"/>
    <n v="10540"/>
    <n v="42160"/>
    <n v="8500"/>
    <n v="34000"/>
    <n v="8160"/>
    <n v="0.19354838709677419"/>
  </r>
  <r>
    <x v="42"/>
    <s v="ORD-00592"/>
    <x v="0"/>
    <x v="1"/>
    <x v="124"/>
    <x v="3"/>
    <x v="0"/>
    <n v="10"/>
    <n v="3550"/>
    <n v="35500"/>
    <n v="2500"/>
    <n v="25000"/>
    <n v="10500"/>
    <n v="0.29577464788732394"/>
  </r>
  <r>
    <x v="42"/>
    <s v="ORD-00593"/>
    <x v="3"/>
    <x v="1"/>
    <x v="38"/>
    <x v="7"/>
    <x v="2"/>
    <n v="10"/>
    <n v="8960"/>
    <n v="89600"/>
    <n v="7000"/>
    <n v="70000"/>
    <n v="19600"/>
    <n v="0.21875"/>
  </r>
  <r>
    <x v="42"/>
    <s v="ORD-00594"/>
    <x v="0"/>
    <x v="2"/>
    <x v="37"/>
    <x v="6"/>
    <x v="3"/>
    <n v="5"/>
    <n v="1278"/>
    <n v="6390"/>
    <n v="900"/>
    <n v="4500"/>
    <n v="1890"/>
    <n v="0.29577464788732394"/>
  </r>
  <r>
    <x v="42"/>
    <s v="ORD-00595"/>
    <x v="3"/>
    <x v="1"/>
    <x v="108"/>
    <x v="0"/>
    <x v="0"/>
    <n v="3"/>
    <n v="4512"/>
    <n v="13536"/>
    <n v="3200"/>
    <n v="9600"/>
    <n v="3936"/>
    <n v="0.29078014184397161"/>
  </r>
  <r>
    <x v="42"/>
    <s v="ORD-00596"/>
    <x v="1"/>
    <x v="3"/>
    <x v="68"/>
    <x v="0"/>
    <x v="0"/>
    <n v="1"/>
    <n v="4032"/>
    <n v="4032"/>
    <n v="3200"/>
    <n v="3200"/>
    <n v="832"/>
    <n v="0.20634920634920634"/>
  </r>
  <r>
    <x v="42"/>
    <s v="ORD-00597"/>
    <x v="2"/>
    <x v="4"/>
    <x v="5"/>
    <x v="4"/>
    <x v="2"/>
    <n v="10"/>
    <n v="10710"/>
    <n v="107100"/>
    <n v="8500"/>
    <n v="85000"/>
    <n v="22100"/>
    <n v="0.20634920634920634"/>
  </r>
  <r>
    <x v="42"/>
    <s v="ORD-00598"/>
    <x v="2"/>
    <x v="5"/>
    <x v="10"/>
    <x v="0"/>
    <x v="0"/>
    <n v="8"/>
    <n v="4224"/>
    <n v="33792"/>
    <n v="3200"/>
    <n v="25600"/>
    <n v="8192"/>
    <n v="0.24242424242424243"/>
  </r>
  <r>
    <x v="42"/>
    <s v="ORD-00599"/>
    <x v="2"/>
    <x v="5"/>
    <x v="83"/>
    <x v="5"/>
    <x v="3"/>
    <n v="7"/>
    <n v="870"/>
    <n v="6090"/>
    <n v="600"/>
    <n v="4200"/>
    <n v="1890"/>
    <n v="0.31034482758620691"/>
  </r>
  <r>
    <x v="42"/>
    <s v="ORD-00600"/>
    <x v="0"/>
    <x v="0"/>
    <x v="42"/>
    <x v="5"/>
    <x v="3"/>
    <n v="3"/>
    <n v="744"/>
    <n v="2232"/>
    <n v="600"/>
    <n v="1800"/>
    <n v="432"/>
    <n v="0.19354838709677419"/>
  </r>
  <r>
    <x v="43"/>
    <s v="ORD-00601"/>
    <x v="2"/>
    <x v="3"/>
    <x v="38"/>
    <x v="6"/>
    <x v="3"/>
    <n v="10"/>
    <n v="1116"/>
    <n v="11160"/>
    <n v="900"/>
    <n v="9000"/>
    <n v="2160"/>
    <n v="0.19354838709677419"/>
  </r>
  <r>
    <x v="43"/>
    <s v="ORD-00602"/>
    <x v="1"/>
    <x v="2"/>
    <x v="1"/>
    <x v="4"/>
    <x v="2"/>
    <n v="1"/>
    <n v="11135"/>
    <n v="11135"/>
    <n v="8500"/>
    <n v="8500"/>
    <n v="2635"/>
    <n v="0.23664122137404581"/>
  </r>
  <r>
    <x v="43"/>
    <s v="ORD-00603"/>
    <x v="1"/>
    <x v="5"/>
    <x v="128"/>
    <x v="1"/>
    <x v="1"/>
    <n v="9"/>
    <n v="61199.999999999993"/>
    <n v="550799.99999999988"/>
    <n v="45000"/>
    <n v="405000"/>
    <n v="145799.99999999988"/>
    <n v="0.26470588235294101"/>
  </r>
  <r>
    <x v="43"/>
    <s v="ORD-00604"/>
    <x v="2"/>
    <x v="1"/>
    <x v="17"/>
    <x v="0"/>
    <x v="0"/>
    <n v="6"/>
    <n v="4480"/>
    <n v="26880"/>
    <n v="3200"/>
    <n v="19200"/>
    <n v="7680"/>
    <n v="0.2857142857142857"/>
  </r>
  <r>
    <x v="43"/>
    <s v="ORD-00605"/>
    <x v="3"/>
    <x v="0"/>
    <x v="129"/>
    <x v="5"/>
    <x v="3"/>
    <n v="5"/>
    <n v="827.99999999999989"/>
    <n v="4139.9999999999991"/>
    <n v="600"/>
    <n v="3000"/>
    <n v="1139.9999999999991"/>
    <n v="0.27536231884057955"/>
  </r>
  <r>
    <x v="43"/>
    <s v="ORD-00606"/>
    <x v="2"/>
    <x v="4"/>
    <x v="24"/>
    <x v="5"/>
    <x v="3"/>
    <n v="7"/>
    <n v="852"/>
    <n v="5964"/>
    <n v="600"/>
    <n v="4200"/>
    <n v="1764"/>
    <n v="0.29577464788732394"/>
  </r>
  <r>
    <x v="43"/>
    <s v="ORD-00607"/>
    <x v="3"/>
    <x v="4"/>
    <x v="74"/>
    <x v="5"/>
    <x v="3"/>
    <n v="6"/>
    <n v="822.00000000000011"/>
    <n v="4932.0000000000009"/>
    <n v="600"/>
    <n v="3600"/>
    <n v="1332.0000000000009"/>
    <n v="0.27007299270073004"/>
  </r>
  <r>
    <x v="43"/>
    <s v="ORD-00608"/>
    <x v="1"/>
    <x v="5"/>
    <x v="95"/>
    <x v="4"/>
    <x v="2"/>
    <n v="9"/>
    <n v="11730"/>
    <n v="105570"/>
    <n v="8500"/>
    <n v="76500"/>
    <n v="29070"/>
    <n v="0.27536231884057971"/>
  </r>
  <r>
    <x v="43"/>
    <s v="ORD-00609"/>
    <x v="1"/>
    <x v="4"/>
    <x v="124"/>
    <x v="1"/>
    <x v="1"/>
    <n v="10"/>
    <n v="64800"/>
    <n v="648000"/>
    <n v="45000"/>
    <n v="450000"/>
    <n v="198000"/>
    <n v="0.30555555555555558"/>
  </r>
  <r>
    <x v="43"/>
    <s v="ORD-00610"/>
    <x v="1"/>
    <x v="2"/>
    <x v="84"/>
    <x v="6"/>
    <x v="3"/>
    <n v="8"/>
    <n v="1278"/>
    <n v="10224"/>
    <n v="900"/>
    <n v="7200"/>
    <n v="3024"/>
    <n v="0.29577464788732394"/>
  </r>
  <r>
    <x v="43"/>
    <s v="ORD-00611"/>
    <x v="2"/>
    <x v="2"/>
    <x v="26"/>
    <x v="0"/>
    <x v="0"/>
    <n v="1"/>
    <n v="4064"/>
    <n v="4064"/>
    <n v="3200"/>
    <n v="3200"/>
    <n v="864"/>
    <n v="0.2125984251968504"/>
  </r>
  <r>
    <x v="43"/>
    <s v="ORD-00612"/>
    <x v="1"/>
    <x v="5"/>
    <x v="105"/>
    <x v="6"/>
    <x v="3"/>
    <n v="4"/>
    <n v="1143"/>
    <n v="4572"/>
    <n v="900"/>
    <n v="3600"/>
    <n v="972"/>
    <n v="0.2125984251968504"/>
  </r>
  <r>
    <x v="43"/>
    <s v="ORD-00613"/>
    <x v="3"/>
    <x v="0"/>
    <x v="115"/>
    <x v="6"/>
    <x v="3"/>
    <n v="3"/>
    <n v="1161"/>
    <n v="3483"/>
    <n v="900"/>
    <n v="2700"/>
    <n v="783"/>
    <n v="0.22480620155038761"/>
  </r>
  <r>
    <x v="43"/>
    <s v="ORD-00614"/>
    <x v="0"/>
    <x v="3"/>
    <x v="92"/>
    <x v="7"/>
    <x v="2"/>
    <n v="5"/>
    <n v="8680"/>
    <n v="43400"/>
    <n v="7000"/>
    <n v="35000"/>
    <n v="8400"/>
    <n v="0.19354838709677419"/>
  </r>
  <r>
    <x v="44"/>
    <s v="ORD-00615"/>
    <x v="1"/>
    <x v="2"/>
    <x v="101"/>
    <x v="2"/>
    <x v="1"/>
    <n v="2"/>
    <n v="52820.000000000007"/>
    <n v="105640.00000000001"/>
    <n v="38000"/>
    <n v="76000"/>
    <n v="29640.000000000015"/>
    <n v="0.28057553956834541"/>
  </r>
  <r>
    <x v="44"/>
    <s v="ORD-00616"/>
    <x v="0"/>
    <x v="5"/>
    <x v="145"/>
    <x v="1"/>
    <x v="1"/>
    <n v="3"/>
    <n v="59400"/>
    <n v="178200"/>
    <n v="45000"/>
    <n v="135000"/>
    <n v="43200"/>
    <n v="0.24242424242424243"/>
  </r>
  <r>
    <x v="44"/>
    <s v="ORD-00617"/>
    <x v="0"/>
    <x v="0"/>
    <x v="18"/>
    <x v="3"/>
    <x v="0"/>
    <n v="6"/>
    <n v="3550"/>
    <n v="21300"/>
    <n v="2500"/>
    <n v="15000"/>
    <n v="6300"/>
    <n v="0.29577464788732394"/>
  </r>
  <r>
    <x v="44"/>
    <s v="ORD-00618"/>
    <x v="0"/>
    <x v="0"/>
    <x v="46"/>
    <x v="7"/>
    <x v="2"/>
    <n v="6"/>
    <n v="9450"/>
    <n v="56700"/>
    <n v="7000"/>
    <n v="42000"/>
    <n v="14700"/>
    <n v="0.25925925925925924"/>
  </r>
  <r>
    <x v="44"/>
    <s v="ORD-00619"/>
    <x v="3"/>
    <x v="4"/>
    <x v="18"/>
    <x v="5"/>
    <x v="3"/>
    <n v="4"/>
    <n v="870"/>
    <n v="3480"/>
    <n v="600"/>
    <n v="2400"/>
    <n v="1080"/>
    <n v="0.31034482758620691"/>
  </r>
  <r>
    <x v="44"/>
    <s v="ORD-00620"/>
    <x v="1"/>
    <x v="0"/>
    <x v="60"/>
    <x v="2"/>
    <x v="1"/>
    <n v="4"/>
    <n v="46740"/>
    <n v="186960"/>
    <n v="38000"/>
    <n v="152000"/>
    <n v="34960"/>
    <n v="0.18699186991869918"/>
  </r>
  <r>
    <x v="44"/>
    <s v="ORD-00621"/>
    <x v="3"/>
    <x v="1"/>
    <x v="115"/>
    <x v="0"/>
    <x v="0"/>
    <n v="8"/>
    <n v="4640"/>
    <n v="37120"/>
    <n v="3200"/>
    <n v="25600"/>
    <n v="11520"/>
    <n v="0.31034482758620691"/>
  </r>
  <r>
    <x v="44"/>
    <s v="ORD-00622"/>
    <x v="3"/>
    <x v="2"/>
    <x v="44"/>
    <x v="0"/>
    <x v="0"/>
    <n v="2"/>
    <n v="4480"/>
    <n v="8960"/>
    <n v="3200"/>
    <n v="6400"/>
    <n v="2560"/>
    <n v="0.2857142857142857"/>
  </r>
  <r>
    <x v="44"/>
    <s v="ORD-00623"/>
    <x v="2"/>
    <x v="2"/>
    <x v="23"/>
    <x v="7"/>
    <x v="2"/>
    <n v="8"/>
    <n v="9450"/>
    <n v="75600"/>
    <n v="7000"/>
    <n v="56000"/>
    <n v="19600"/>
    <n v="0.25925925925925924"/>
  </r>
  <r>
    <x v="44"/>
    <s v="ORD-00624"/>
    <x v="3"/>
    <x v="2"/>
    <x v="48"/>
    <x v="5"/>
    <x v="3"/>
    <n v="4"/>
    <n v="870"/>
    <n v="3480"/>
    <n v="600"/>
    <n v="2400"/>
    <n v="1080"/>
    <n v="0.31034482758620691"/>
  </r>
  <r>
    <x v="44"/>
    <s v="ORD-00625"/>
    <x v="3"/>
    <x v="0"/>
    <x v="16"/>
    <x v="2"/>
    <x v="1"/>
    <n v="7"/>
    <n v="52820.000000000007"/>
    <n v="369740.00000000006"/>
    <n v="38000"/>
    <n v="266000"/>
    <n v="103740.00000000006"/>
    <n v="0.28057553956834541"/>
  </r>
  <r>
    <x v="44"/>
    <s v="ORD-00626"/>
    <x v="0"/>
    <x v="5"/>
    <x v="114"/>
    <x v="5"/>
    <x v="3"/>
    <n v="9"/>
    <n v="846"/>
    <n v="7614"/>
    <n v="600"/>
    <n v="5400"/>
    <n v="2214"/>
    <n v="0.29078014184397161"/>
  </r>
  <r>
    <x v="44"/>
    <s v="ORD-00627"/>
    <x v="1"/>
    <x v="4"/>
    <x v="33"/>
    <x v="7"/>
    <x v="2"/>
    <n v="8"/>
    <n v="8400"/>
    <n v="67200"/>
    <n v="7000"/>
    <n v="56000"/>
    <n v="11200"/>
    <n v="0.16666666666666666"/>
  </r>
  <r>
    <x v="44"/>
    <s v="ORD-00628"/>
    <x v="0"/>
    <x v="3"/>
    <x v="69"/>
    <x v="4"/>
    <x v="2"/>
    <n v="5"/>
    <n v="11730"/>
    <n v="58650"/>
    <n v="8500"/>
    <n v="42500"/>
    <n v="16150"/>
    <n v="0.27536231884057971"/>
  </r>
  <r>
    <x v="45"/>
    <s v="ORD-00629"/>
    <x v="1"/>
    <x v="3"/>
    <x v="11"/>
    <x v="0"/>
    <x v="0"/>
    <n v="4"/>
    <n v="3840"/>
    <n v="15360"/>
    <n v="3200"/>
    <n v="12800"/>
    <n v="2560"/>
    <n v="0.16666666666666666"/>
  </r>
  <r>
    <x v="45"/>
    <s v="ORD-00630"/>
    <x v="2"/>
    <x v="4"/>
    <x v="107"/>
    <x v="4"/>
    <x v="2"/>
    <n v="6"/>
    <n v="10710"/>
    <n v="64260"/>
    <n v="8500"/>
    <n v="51000"/>
    <n v="13260"/>
    <n v="0.20634920634920634"/>
  </r>
  <r>
    <x v="45"/>
    <s v="ORD-00631"/>
    <x v="2"/>
    <x v="2"/>
    <x v="73"/>
    <x v="2"/>
    <x v="1"/>
    <n v="6"/>
    <n v="52439.999999999993"/>
    <n v="314639.99999999994"/>
    <n v="38000"/>
    <n v="228000"/>
    <n v="86639.999999999942"/>
    <n v="0.2753623188405796"/>
  </r>
  <r>
    <x v="45"/>
    <s v="ORD-00632"/>
    <x v="0"/>
    <x v="1"/>
    <x v="140"/>
    <x v="3"/>
    <x v="0"/>
    <n v="8"/>
    <n v="3050"/>
    <n v="24400"/>
    <n v="2500"/>
    <n v="20000"/>
    <n v="4400"/>
    <n v="0.18032786885245902"/>
  </r>
  <r>
    <x v="45"/>
    <s v="ORD-00633"/>
    <x v="2"/>
    <x v="5"/>
    <x v="134"/>
    <x v="1"/>
    <x v="1"/>
    <n v="1"/>
    <n v="57600"/>
    <n v="57600"/>
    <n v="45000"/>
    <n v="45000"/>
    <n v="12600"/>
    <n v="0.21875"/>
  </r>
  <r>
    <x v="45"/>
    <s v="ORD-00634"/>
    <x v="1"/>
    <x v="3"/>
    <x v="56"/>
    <x v="5"/>
    <x v="3"/>
    <n v="2"/>
    <n v="720"/>
    <n v="1440"/>
    <n v="600"/>
    <n v="1200"/>
    <n v="240"/>
    <n v="0.16666666666666666"/>
  </r>
  <r>
    <x v="45"/>
    <s v="ORD-00635"/>
    <x v="0"/>
    <x v="5"/>
    <x v="99"/>
    <x v="4"/>
    <x v="2"/>
    <n v="6"/>
    <n v="12325"/>
    <n v="73950"/>
    <n v="8500"/>
    <n v="51000"/>
    <n v="22950"/>
    <n v="0.31034482758620691"/>
  </r>
  <r>
    <x v="45"/>
    <s v="ORD-00636"/>
    <x v="3"/>
    <x v="2"/>
    <x v="57"/>
    <x v="0"/>
    <x v="0"/>
    <n v="6"/>
    <n v="3840"/>
    <n v="23040"/>
    <n v="3200"/>
    <n v="19200"/>
    <n v="3840"/>
    <n v="0.16666666666666666"/>
  </r>
  <r>
    <x v="45"/>
    <s v="ORD-00637"/>
    <x v="3"/>
    <x v="2"/>
    <x v="43"/>
    <x v="3"/>
    <x v="0"/>
    <n v="10"/>
    <n v="3025"/>
    <n v="30250"/>
    <n v="2500"/>
    <n v="25000"/>
    <n v="5250"/>
    <n v="0.17355371900826447"/>
  </r>
  <r>
    <x v="45"/>
    <s v="ORD-00638"/>
    <x v="3"/>
    <x v="2"/>
    <x v="43"/>
    <x v="1"/>
    <x v="1"/>
    <n v="10"/>
    <n v="55350"/>
    <n v="553500"/>
    <n v="45000"/>
    <n v="450000"/>
    <n v="103500"/>
    <n v="0.18699186991869918"/>
  </r>
  <r>
    <x v="45"/>
    <s v="ORD-00639"/>
    <x v="2"/>
    <x v="2"/>
    <x v="121"/>
    <x v="6"/>
    <x v="3"/>
    <n v="2"/>
    <n v="1143"/>
    <n v="2286"/>
    <n v="900"/>
    <n v="1800"/>
    <n v="486"/>
    <n v="0.2125984251968504"/>
  </r>
  <r>
    <x v="45"/>
    <s v="ORD-00640"/>
    <x v="2"/>
    <x v="0"/>
    <x v="147"/>
    <x v="5"/>
    <x v="3"/>
    <n v="4"/>
    <n v="864"/>
    <n v="3456"/>
    <n v="600"/>
    <n v="2400"/>
    <n v="1056"/>
    <n v="0.30555555555555558"/>
  </r>
  <r>
    <x v="45"/>
    <s v="ORD-00641"/>
    <x v="2"/>
    <x v="3"/>
    <x v="107"/>
    <x v="0"/>
    <x v="0"/>
    <n v="4"/>
    <n v="4096"/>
    <n v="16384"/>
    <n v="3200"/>
    <n v="12800"/>
    <n v="3584"/>
    <n v="0.21875"/>
  </r>
  <r>
    <x v="45"/>
    <s v="ORD-00642"/>
    <x v="2"/>
    <x v="1"/>
    <x v="27"/>
    <x v="4"/>
    <x v="2"/>
    <n v="6"/>
    <n v="11730"/>
    <n v="70380"/>
    <n v="8500"/>
    <n v="51000"/>
    <n v="19380"/>
    <n v="0.27536231884057971"/>
  </r>
  <r>
    <x v="46"/>
    <s v="ORD-00643"/>
    <x v="3"/>
    <x v="0"/>
    <x v="18"/>
    <x v="1"/>
    <x v="1"/>
    <n v="2"/>
    <n v="59400"/>
    <n v="118800"/>
    <n v="45000"/>
    <n v="90000"/>
    <n v="28800"/>
    <n v="0.24242424242424243"/>
  </r>
  <r>
    <x v="46"/>
    <s v="ORD-00644"/>
    <x v="1"/>
    <x v="0"/>
    <x v="93"/>
    <x v="0"/>
    <x v="0"/>
    <n v="5"/>
    <n v="4512"/>
    <n v="22560"/>
    <n v="3200"/>
    <n v="16000"/>
    <n v="6560"/>
    <n v="0.29078014184397161"/>
  </r>
  <r>
    <x v="46"/>
    <s v="ORD-00645"/>
    <x v="0"/>
    <x v="5"/>
    <x v="89"/>
    <x v="0"/>
    <x v="0"/>
    <n v="1"/>
    <n v="4192"/>
    <n v="4192"/>
    <n v="3200"/>
    <n v="3200"/>
    <n v="992"/>
    <n v="0.23664122137404581"/>
  </r>
  <r>
    <x v="46"/>
    <s v="ORD-00646"/>
    <x v="1"/>
    <x v="1"/>
    <x v="76"/>
    <x v="1"/>
    <x v="1"/>
    <n v="2"/>
    <n v="55800"/>
    <n v="111600"/>
    <n v="45000"/>
    <n v="90000"/>
    <n v="21600"/>
    <n v="0.19354838709677419"/>
  </r>
  <r>
    <x v="46"/>
    <s v="ORD-00647"/>
    <x v="3"/>
    <x v="2"/>
    <x v="11"/>
    <x v="0"/>
    <x v="0"/>
    <n v="9"/>
    <n v="3968"/>
    <n v="35712"/>
    <n v="3200"/>
    <n v="28800"/>
    <n v="6912"/>
    <n v="0.19354838709677419"/>
  </r>
  <r>
    <x v="46"/>
    <s v="ORD-00648"/>
    <x v="3"/>
    <x v="2"/>
    <x v="40"/>
    <x v="6"/>
    <x v="3"/>
    <n v="6"/>
    <n v="1170"/>
    <n v="7020"/>
    <n v="900"/>
    <n v="5400"/>
    <n v="1620"/>
    <n v="0.23076923076923078"/>
  </r>
  <r>
    <x v="46"/>
    <s v="ORD-00649"/>
    <x v="3"/>
    <x v="3"/>
    <x v="109"/>
    <x v="2"/>
    <x v="1"/>
    <n v="4"/>
    <n v="48260"/>
    <n v="193040"/>
    <n v="38000"/>
    <n v="152000"/>
    <n v="41040"/>
    <n v="0.2125984251968504"/>
  </r>
  <r>
    <x v="46"/>
    <s v="ORD-00650"/>
    <x v="3"/>
    <x v="1"/>
    <x v="126"/>
    <x v="7"/>
    <x v="2"/>
    <n v="3"/>
    <n v="8400"/>
    <n v="25200"/>
    <n v="7000"/>
    <n v="21000"/>
    <n v="4200"/>
    <n v="0.16666666666666666"/>
  </r>
  <r>
    <x v="46"/>
    <s v="ORD-00651"/>
    <x v="0"/>
    <x v="1"/>
    <x v="111"/>
    <x v="1"/>
    <x v="1"/>
    <n v="7"/>
    <n v="54450"/>
    <n v="381150"/>
    <n v="45000"/>
    <n v="315000"/>
    <n v="66150"/>
    <n v="0.17355371900826447"/>
  </r>
  <r>
    <x v="46"/>
    <s v="ORD-00652"/>
    <x v="1"/>
    <x v="4"/>
    <x v="17"/>
    <x v="1"/>
    <x v="1"/>
    <n v="10"/>
    <n v="60750.000000000007"/>
    <n v="607500.00000000012"/>
    <n v="45000"/>
    <n v="450000"/>
    <n v="157500.00000000012"/>
    <n v="0.25925925925925941"/>
  </r>
  <r>
    <x v="46"/>
    <s v="ORD-00653"/>
    <x v="1"/>
    <x v="2"/>
    <x v="117"/>
    <x v="4"/>
    <x v="2"/>
    <n v="7"/>
    <n v="12240"/>
    <n v="85680"/>
    <n v="8500"/>
    <n v="59500"/>
    <n v="26180"/>
    <n v="0.30555555555555558"/>
  </r>
  <r>
    <x v="46"/>
    <s v="ORD-00654"/>
    <x v="1"/>
    <x v="3"/>
    <x v="125"/>
    <x v="1"/>
    <x v="1"/>
    <n v="4"/>
    <n v="61199.999999999993"/>
    <n v="244799.99999999997"/>
    <n v="45000"/>
    <n v="180000"/>
    <n v="64799.999999999971"/>
    <n v="0.26470588235294107"/>
  </r>
  <r>
    <x v="46"/>
    <s v="ORD-00655"/>
    <x v="2"/>
    <x v="4"/>
    <x v="38"/>
    <x v="1"/>
    <x v="1"/>
    <n v="6"/>
    <n v="54000"/>
    <n v="324000"/>
    <n v="45000"/>
    <n v="270000"/>
    <n v="54000"/>
    <n v="0.16666666666666666"/>
  </r>
  <r>
    <x v="46"/>
    <s v="ORD-00656"/>
    <x v="0"/>
    <x v="5"/>
    <x v="2"/>
    <x v="7"/>
    <x v="2"/>
    <n v="10"/>
    <n v="10010"/>
    <n v="100100"/>
    <n v="7000"/>
    <n v="70000"/>
    <n v="30100"/>
    <n v="0.30069930069930068"/>
  </r>
  <r>
    <x v="47"/>
    <s v="ORD-00657"/>
    <x v="2"/>
    <x v="4"/>
    <x v="18"/>
    <x v="2"/>
    <x v="1"/>
    <n v="8"/>
    <n v="49780"/>
    <n v="398240"/>
    <n v="38000"/>
    <n v="304000"/>
    <n v="94240"/>
    <n v="0.23664122137404581"/>
  </r>
  <r>
    <x v="47"/>
    <s v="ORD-00658"/>
    <x v="0"/>
    <x v="5"/>
    <x v="139"/>
    <x v="3"/>
    <x v="0"/>
    <n v="2"/>
    <n v="3150"/>
    <n v="6300"/>
    <n v="2500"/>
    <n v="5000"/>
    <n v="1300"/>
    <n v="0.20634920634920634"/>
  </r>
  <r>
    <x v="47"/>
    <s v="ORD-00659"/>
    <x v="2"/>
    <x v="4"/>
    <x v="101"/>
    <x v="2"/>
    <x v="1"/>
    <n v="1"/>
    <n v="51679.999999999993"/>
    <n v="51679.999999999993"/>
    <n v="38000"/>
    <n v="38000"/>
    <n v="13679.999999999993"/>
    <n v="0.26470588235294107"/>
  </r>
  <r>
    <x v="47"/>
    <s v="ORD-00660"/>
    <x v="3"/>
    <x v="3"/>
    <x v="52"/>
    <x v="4"/>
    <x v="2"/>
    <n v="10"/>
    <n v="10200"/>
    <n v="102000"/>
    <n v="8500"/>
    <n v="85000"/>
    <n v="17000"/>
    <n v="0.16666666666666666"/>
  </r>
  <r>
    <x v="47"/>
    <s v="ORD-00661"/>
    <x v="3"/>
    <x v="3"/>
    <x v="133"/>
    <x v="4"/>
    <x v="2"/>
    <n v="10"/>
    <n v="10455"/>
    <n v="104550"/>
    <n v="8500"/>
    <n v="85000"/>
    <n v="19550"/>
    <n v="0.18699186991869918"/>
  </r>
  <r>
    <x v="47"/>
    <s v="ORD-00662"/>
    <x v="0"/>
    <x v="4"/>
    <x v="65"/>
    <x v="5"/>
    <x v="3"/>
    <n v="9"/>
    <n v="726"/>
    <n v="6534"/>
    <n v="600"/>
    <n v="5400"/>
    <n v="1134"/>
    <n v="0.17355371900826447"/>
  </r>
  <r>
    <x v="47"/>
    <s v="ORD-00663"/>
    <x v="2"/>
    <x v="5"/>
    <x v="86"/>
    <x v="7"/>
    <x v="2"/>
    <n v="4"/>
    <n v="9590"/>
    <n v="38360"/>
    <n v="7000"/>
    <n v="28000"/>
    <n v="10360"/>
    <n v="0.27007299270072993"/>
  </r>
  <r>
    <x v="47"/>
    <s v="ORD-00664"/>
    <x v="3"/>
    <x v="5"/>
    <x v="52"/>
    <x v="5"/>
    <x v="3"/>
    <n v="2"/>
    <n v="827.99999999999989"/>
    <n v="1655.9999999999998"/>
    <n v="600"/>
    <n v="1200"/>
    <n v="455.99999999999977"/>
    <n v="0.2753623188405796"/>
  </r>
  <r>
    <x v="47"/>
    <s v="ORD-00665"/>
    <x v="0"/>
    <x v="5"/>
    <x v="132"/>
    <x v="1"/>
    <x v="1"/>
    <n v="1"/>
    <n v="61650.000000000007"/>
    <n v="61650.000000000007"/>
    <n v="45000"/>
    <n v="45000"/>
    <n v="16650.000000000007"/>
    <n v="0.27007299270072999"/>
  </r>
  <r>
    <x v="47"/>
    <s v="ORD-00666"/>
    <x v="0"/>
    <x v="2"/>
    <x v="88"/>
    <x v="2"/>
    <x v="1"/>
    <n v="4"/>
    <n v="48260"/>
    <n v="193040"/>
    <n v="38000"/>
    <n v="152000"/>
    <n v="41040"/>
    <n v="0.2125984251968504"/>
  </r>
  <r>
    <x v="47"/>
    <s v="ORD-00667"/>
    <x v="1"/>
    <x v="1"/>
    <x v="29"/>
    <x v="2"/>
    <x v="1"/>
    <n v="3"/>
    <n v="52820.000000000007"/>
    <n v="158460.00000000003"/>
    <n v="38000"/>
    <n v="114000"/>
    <n v="44460.000000000029"/>
    <n v="0.28057553956834547"/>
  </r>
  <r>
    <x v="47"/>
    <s v="ORD-00668"/>
    <x v="0"/>
    <x v="5"/>
    <x v="144"/>
    <x v="1"/>
    <x v="1"/>
    <n v="10"/>
    <n v="57600"/>
    <n v="576000"/>
    <n v="45000"/>
    <n v="450000"/>
    <n v="126000"/>
    <n v="0.21875"/>
  </r>
  <r>
    <x v="47"/>
    <s v="ORD-00669"/>
    <x v="3"/>
    <x v="3"/>
    <x v="111"/>
    <x v="2"/>
    <x v="1"/>
    <n v="2"/>
    <n v="46360"/>
    <n v="92720"/>
    <n v="38000"/>
    <n v="76000"/>
    <n v="16720"/>
    <n v="0.18032786885245902"/>
  </r>
  <r>
    <x v="47"/>
    <s v="ORD-00670"/>
    <x v="0"/>
    <x v="3"/>
    <x v="109"/>
    <x v="6"/>
    <x v="3"/>
    <n v="2"/>
    <n v="1143"/>
    <n v="2286"/>
    <n v="900"/>
    <n v="1800"/>
    <n v="486"/>
    <n v="0.2125984251968504"/>
  </r>
  <r>
    <x v="48"/>
    <s v="ORD-00671"/>
    <x v="0"/>
    <x v="2"/>
    <x v="6"/>
    <x v="1"/>
    <x v="1"/>
    <n v="10"/>
    <n v="58500"/>
    <n v="585000"/>
    <n v="45000"/>
    <n v="450000"/>
    <n v="135000"/>
    <n v="0.23076923076923078"/>
  </r>
  <r>
    <x v="48"/>
    <s v="ORD-00672"/>
    <x v="0"/>
    <x v="5"/>
    <x v="52"/>
    <x v="3"/>
    <x v="0"/>
    <n v="8"/>
    <n v="3200"/>
    <n v="25600"/>
    <n v="2500"/>
    <n v="20000"/>
    <n v="5600"/>
    <n v="0.21875"/>
  </r>
  <r>
    <x v="48"/>
    <s v="ORD-00673"/>
    <x v="0"/>
    <x v="2"/>
    <x v="123"/>
    <x v="5"/>
    <x v="3"/>
    <n v="10"/>
    <n v="738"/>
    <n v="7380"/>
    <n v="600"/>
    <n v="6000"/>
    <n v="1380"/>
    <n v="0.18699186991869918"/>
  </r>
  <r>
    <x v="48"/>
    <s v="ORD-00674"/>
    <x v="0"/>
    <x v="1"/>
    <x v="50"/>
    <x v="3"/>
    <x v="0"/>
    <n v="6"/>
    <n v="3625"/>
    <n v="21750"/>
    <n v="2500"/>
    <n v="15000"/>
    <n v="6750"/>
    <n v="0.31034482758620691"/>
  </r>
  <r>
    <x v="48"/>
    <s v="ORD-00675"/>
    <x v="0"/>
    <x v="4"/>
    <x v="78"/>
    <x v="1"/>
    <x v="1"/>
    <n v="4"/>
    <n v="57600"/>
    <n v="230400"/>
    <n v="45000"/>
    <n v="180000"/>
    <n v="50400"/>
    <n v="0.21875"/>
  </r>
  <r>
    <x v="48"/>
    <s v="ORD-00676"/>
    <x v="2"/>
    <x v="0"/>
    <x v="140"/>
    <x v="3"/>
    <x v="0"/>
    <n v="2"/>
    <n v="3150"/>
    <n v="6300"/>
    <n v="2500"/>
    <n v="5000"/>
    <n v="1300"/>
    <n v="0.20634920634920634"/>
  </r>
  <r>
    <x v="48"/>
    <s v="ORD-00677"/>
    <x v="3"/>
    <x v="2"/>
    <x v="11"/>
    <x v="6"/>
    <x v="3"/>
    <n v="2"/>
    <n v="1206"/>
    <n v="2412"/>
    <n v="900"/>
    <n v="1800"/>
    <n v="612"/>
    <n v="0.2537313432835821"/>
  </r>
  <r>
    <x v="48"/>
    <s v="ORD-00678"/>
    <x v="1"/>
    <x v="4"/>
    <x v="19"/>
    <x v="7"/>
    <x v="2"/>
    <n v="4"/>
    <n v="9450"/>
    <n v="37800"/>
    <n v="7000"/>
    <n v="28000"/>
    <n v="9800"/>
    <n v="0.25925925925925924"/>
  </r>
  <r>
    <x v="48"/>
    <s v="ORD-00679"/>
    <x v="1"/>
    <x v="5"/>
    <x v="99"/>
    <x v="7"/>
    <x v="2"/>
    <n v="4"/>
    <n v="9310"/>
    <n v="37240"/>
    <n v="7000"/>
    <n v="28000"/>
    <n v="9240"/>
    <n v="0.24812030075187969"/>
  </r>
  <r>
    <x v="48"/>
    <s v="ORD-00680"/>
    <x v="0"/>
    <x v="4"/>
    <x v="1"/>
    <x v="4"/>
    <x v="2"/>
    <n v="1"/>
    <n v="10795"/>
    <n v="10795"/>
    <n v="8500"/>
    <n v="8500"/>
    <n v="2295"/>
    <n v="0.2125984251968504"/>
  </r>
  <r>
    <x v="48"/>
    <s v="ORD-00681"/>
    <x v="2"/>
    <x v="0"/>
    <x v="112"/>
    <x v="2"/>
    <x v="1"/>
    <n v="5"/>
    <n v="52820.000000000007"/>
    <n v="264100.00000000006"/>
    <n v="38000"/>
    <n v="190000"/>
    <n v="74100.000000000058"/>
    <n v="0.28057553956834547"/>
  </r>
  <r>
    <x v="48"/>
    <s v="ORD-00682"/>
    <x v="0"/>
    <x v="3"/>
    <x v="68"/>
    <x v="6"/>
    <x v="3"/>
    <n v="3"/>
    <n v="1116"/>
    <n v="3348"/>
    <n v="900"/>
    <n v="2700"/>
    <n v="648"/>
    <n v="0.19354838709677419"/>
  </r>
  <r>
    <x v="48"/>
    <s v="ORD-00683"/>
    <x v="1"/>
    <x v="5"/>
    <x v="114"/>
    <x v="5"/>
    <x v="3"/>
    <n v="7"/>
    <n v="852"/>
    <n v="5964"/>
    <n v="600"/>
    <n v="4200"/>
    <n v="1764"/>
    <n v="0.29577464788732394"/>
  </r>
  <r>
    <x v="48"/>
    <s v="ORD-00684"/>
    <x v="2"/>
    <x v="0"/>
    <x v="42"/>
    <x v="4"/>
    <x v="2"/>
    <n v="8"/>
    <n v="10285"/>
    <n v="82280"/>
    <n v="8500"/>
    <n v="68000"/>
    <n v="14280"/>
    <n v="0.17355371900826447"/>
  </r>
  <r>
    <x v="49"/>
    <s v="ORD-00685"/>
    <x v="2"/>
    <x v="0"/>
    <x v="22"/>
    <x v="0"/>
    <x v="0"/>
    <n v="2"/>
    <n v="4512"/>
    <n v="9024"/>
    <n v="3200"/>
    <n v="6400"/>
    <n v="2624"/>
    <n v="0.29078014184397161"/>
  </r>
  <r>
    <x v="49"/>
    <s v="ORD-00686"/>
    <x v="3"/>
    <x v="1"/>
    <x v="88"/>
    <x v="4"/>
    <x v="2"/>
    <n v="2"/>
    <n v="11390"/>
    <n v="22780"/>
    <n v="8500"/>
    <n v="17000"/>
    <n v="5780"/>
    <n v="0.2537313432835821"/>
  </r>
  <r>
    <x v="49"/>
    <s v="ORD-00687"/>
    <x v="3"/>
    <x v="2"/>
    <x v="27"/>
    <x v="0"/>
    <x v="0"/>
    <n v="7"/>
    <n v="4416"/>
    <n v="30912"/>
    <n v="3200"/>
    <n v="22400"/>
    <n v="8512"/>
    <n v="0.27536231884057971"/>
  </r>
  <r>
    <x v="49"/>
    <s v="ORD-00688"/>
    <x v="3"/>
    <x v="5"/>
    <x v="97"/>
    <x v="3"/>
    <x v="0"/>
    <n v="5"/>
    <n v="3375"/>
    <n v="16875"/>
    <n v="2500"/>
    <n v="12500"/>
    <n v="4375"/>
    <n v="0.25925925925925924"/>
  </r>
  <r>
    <x v="49"/>
    <s v="ORD-00689"/>
    <x v="2"/>
    <x v="3"/>
    <x v="108"/>
    <x v="5"/>
    <x v="3"/>
    <n v="3"/>
    <n v="810"/>
    <n v="2430"/>
    <n v="600"/>
    <n v="1800"/>
    <n v="630"/>
    <n v="0.25925925925925924"/>
  </r>
  <r>
    <x v="49"/>
    <s v="ORD-00690"/>
    <x v="2"/>
    <x v="2"/>
    <x v="101"/>
    <x v="6"/>
    <x v="3"/>
    <n v="9"/>
    <n v="1098"/>
    <n v="9882"/>
    <n v="900"/>
    <n v="8100"/>
    <n v="1782"/>
    <n v="0.18032786885245902"/>
  </r>
  <r>
    <x v="49"/>
    <s v="ORD-00691"/>
    <x v="1"/>
    <x v="3"/>
    <x v="89"/>
    <x v="6"/>
    <x v="3"/>
    <n v="8"/>
    <n v="1251"/>
    <n v="10008"/>
    <n v="900"/>
    <n v="7200"/>
    <n v="2808"/>
    <n v="0.2805755395683453"/>
  </r>
  <r>
    <x v="49"/>
    <s v="ORD-00692"/>
    <x v="0"/>
    <x v="5"/>
    <x v="75"/>
    <x v="7"/>
    <x v="2"/>
    <n v="2"/>
    <n v="8610"/>
    <n v="17220"/>
    <n v="7000"/>
    <n v="14000"/>
    <n v="3220"/>
    <n v="0.18699186991869918"/>
  </r>
  <r>
    <x v="49"/>
    <s v="ORD-00693"/>
    <x v="1"/>
    <x v="2"/>
    <x v="72"/>
    <x v="5"/>
    <x v="3"/>
    <n v="2"/>
    <n v="756"/>
    <n v="1512"/>
    <n v="600"/>
    <n v="1200"/>
    <n v="312"/>
    <n v="0.20634920634920634"/>
  </r>
  <r>
    <x v="49"/>
    <s v="ORD-00694"/>
    <x v="0"/>
    <x v="1"/>
    <x v="128"/>
    <x v="4"/>
    <x v="2"/>
    <n v="4"/>
    <n v="11815.000000000002"/>
    <n v="47260.000000000007"/>
    <n v="8500"/>
    <n v="34000"/>
    <n v="13260.000000000007"/>
    <n v="0.28057553956834541"/>
  </r>
  <r>
    <x v="49"/>
    <s v="ORD-00695"/>
    <x v="1"/>
    <x v="0"/>
    <x v="99"/>
    <x v="3"/>
    <x v="0"/>
    <n v="1"/>
    <n v="3350"/>
    <n v="3350"/>
    <n v="2500"/>
    <n v="2500"/>
    <n v="850"/>
    <n v="0.2537313432835821"/>
  </r>
  <r>
    <x v="49"/>
    <s v="ORD-00696"/>
    <x v="1"/>
    <x v="0"/>
    <x v="10"/>
    <x v="4"/>
    <x v="2"/>
    <n v="5"/>
    <n v="12240"/>
    <n v="61200"/>
    <n v="8500"/>
    <n v="42500"/>
    <n v="18700"/>
    <n v="0.30555555555555558"/>
  </r>
  <r>
    <x v="49"/>
    <s v="ORD-00697"/>
    <x v="1"/>
    <x v="0"/>
    <x v="114"/>
    <x v="7"/>
    <x v="2"/>
    <n v="8"/>
    <n v="9030"/>
    <n v="72240"/>
    <n v="7000"/>
    <n v="56000"/>
    <n v="16240"/>
    <n v="0.22480620155038761"/>
  </r>
  <r>
    <x v="49"/>
    <s v="ORD-00698"/>
    <x v="0"/>
    <x v="1"/>
    <x v="99"/>
    <x v="4"/>
    <x v="2"/>
    <n v="9"/>
    <n v="12070"/>
    <n v="108630"/>
    <n v="8500"/>
    <n v="76500"/>
    <n v="32130"/>
    <n v="0.29577464788732394"/>
  </r>
  <r>
    <x v="50"/>
    <s v="ORD-00699"/>
    <x v="3"/>
    <x v="5"/>
    <x v="78"/>
    <x v="1"/>
    <x v="1"/>
    <n v="1"/>
    <n v="56700"/>
    <n v="56700"/>
    <n v="45000"/>
    <n v="45000"/>
    <n v="11700"/>
    <n v="0.20634920634920634"/>
  </r>
  <r>
    <x v="50"/>
    <s v="ORD-00700"/>
    <x v="3"/>
    <x v="3"/>
    <x v="97"/>
    <x v="5"/>
    <x v="3"/>
    <n v="6"/>
    <n v="738"/>
    <n v="4428"/>
    <n v="600"/>
    <n v="3600"/>
    <n v="828"/>
    <n v="0.18699186991869918"/>
  </r>
  <r>
    <x v="50"/>
    <s v="ORD-00701"/>
    <x v="3"/>
    <x v="2"/>
    <x v="104"/>
    <x v="0"/>
    <x v="0"/>
    <n v="8"/>
    <n v="3936"/>
    <n v="31488"/>
    <n v="3200"/>
    <n v="25600"/>
    <n v="5888"/>
    <n v="0.18699186991869918"/>
  </r>
  <r>
    <x v="50"/>
    <s v="ORD-00702"/>
    <x v="3"/>
    <x v="1"/>
    <x v="86"/>
    <x v="3"/>
    <x v="0"/>
    <n v="1"/>
    <n v="3025"/>
    <n v="3025"/>
    <n v="2500"/>
    <n v="2500"/>
    <n v="525"/>
    <n v="0.17355371900826447"/>
  </r>
  <r>
    <x v="50"/>
    <s v="ORD-00703"/>
    <x v="0"/>
    <x v="0"/>
    <x v="92"/>
    <x v="2"/>
    <x v="1"/>
    <n v="9"/>
    <n v="50920"/>
    <n v="458280"/>
    <n v="38000"/>
    <n v="342000"/>
    <n v="116280"/>
    <n v="0.2537313432835821"/>
  </r>
  <r>
    <x v="50"/>
    <s v="ORD-00704"/>
    <x v="3"/>
    <x v="4"/>
    <x v="94"/>
    <x v="4"/>
    <x v="2"/>
    <n v="6"/>
    <n v="10625"/>
    <n v="63750"/>
    <n v="8500"/>
    <n v="51000"/>
    <n v="12750"/>
    <n v="0.2"/>
  </r>
  <r>
    <x v="50"/>
    <s v="ORD-00705"/>
    <x v="3"/>
    <x v="0"/>
    <x v="90"/>
    <x v="0"/>
    <x v="0"/>
    <n v="6"/>
    <n v="4416"/>
    <n v="26496"/>
    <n v="3200"/>
    <n v="19200"/>
    <n v="7296"/>
    <n v="0.27536231884057971"/>
  </r>
  <r>
    <x v="50"/>
    <s v="ORD-00706"/>
    <x v="1"/>
    <x v="5"/>
    <x v="81"/>
    <x v="6"/>
    <x v="3"/>
    <n v="2"/>
    <n v="1278"/>
    <n v="2556"/>
    <n v="900"/>
    <n v="1800"/>
    <n v="756"/>
    <n v="0.29577464788732394"/>
  </r>
  <r>
    <x v="50"/>
    <s v="ORD-00707"/>
    <x v="1"/>
    <x v="0"/>
    <x v="51"/>
    <x v="0"/>
    <x v="0"/>
    <n v="7"/>
    <n v="4640"/>
    <n v="32480"/>
    <n v="3200"/>
    <n v="22400"/>
    <n v="10080"/>
    <n v="0.31034482758620691"/>
  </r>
  <r>
    <x v="50"/>
    <s v="ORD-00708"/>
    <x v="0"/>
    <x v="0"/>
    <x v="142"/>
    <x v="7"/>
    <x v="2"/>
    <n v="4"/>
    <n v="8820"/>
    <n v="35280"/>
    <n v="7000"/>
    <n v="28000"/>
    <n v="7280"/>
    <n v="0.20634920634920634"/>
  </r>
  <r>
    <x v="50"/>
    <s v="ORD-00709"/>
    <x v="1"/>
    <x v="0"/>
    <x v="57"/>
    <x v="4"/>
    <x v="2"/>
    <n v="7"/>
    <n v="11390"/>
    <n v="79730"/>
    <n v="8500"/>
    <n v="59500"/>
    <n v="20230"/>
    <n v="0.2537313432835821"/>
  </r>
  <r>
    <x v="50"/>
    <s v="ORD-00710"/>
    <x v="3"/>
    <x v="5"/>
    <x v="7"/>
    <x v="1"/>
    <x v="1"/>
    <n v="3"/>
    <n v="54900"/>
    <n v="164700"/>
    <n v="45000"/>
    <n v="135000"/>
    <n v="29700"/>
    <n v="0.18032786885245902"/>
  </r>
  <r>
    <x v="50"/>
    <s v="ORD-00711"/>
    <x v="2"/>
    <x v="2"/>
    <x v="63"/>
    <x v="2"/>
    <x v="1"/>
    <n v="6"/>
    <n v="45980"/>
    <n v="275880"/>
    <n v="38000"/>
    <n v="228000"/>
    <n v="47880"/>
    <n v="0.17355371900826447"/>
  </r>
  <r>
    <x v="50"/>
    <s v="ORD-00712"/>
    <x v="2"/>
    <x v="5"/>
    <x v="73"/>
    <x v="1"/>
    <x v="1"/>
    <n v="5"/>
    <n v="54900"/>
    <n v="274500"/>
    <n v="45000"/>
    <n v="225000"/>
    <n v="49500"/>
    <n v="0.18032786885245902"/>
  </r>
  <r>
    <x v="51"/>
    <s v="ORD-00713"/>
    <x v="1"/>
    <x v="0"/>
    <x v="99"/>
    <x v="0"/>
    <x v="0"/>
    <n v="5"/>
    <n v="4128"/>
    <n v="20640"/>
    <n v="3200"/>
    <n v="16000"/>
    <n v="4640"/>
    <n v="0.22480620155038761"/>
  </r>
  <r>
    <x v="51"/>
    <s v="ORD-00714"/>
    <x v="0"/>
    <x v="3"/>
    <x v="32"/>
    <x v="7"/>
    <x v="2"/>
    <n v="3"/>
    <n v="8960"/>
    <n v="26880"/>
    <n v="7000"/>
    <n v="21000"/>
    <n v="5880"/>
    <n v="0.21875"/>
  </r>
  <r>
    <x v="51"/>
    <s v="ORD-00715"/>
    <x v="2"/>
    <x v="5"/>
    <x v="80"/>
    <x v="7"/>
    <x v="2"/>
    <n v="9"/>
    <n v="9590"/>
    <n v="86310"/>
    <n v="7000"/>
    <n v="63000"/>
    <n v="23310"/>
    <n v="0.27007299270072993"/>
  </r>
  <r>
    <x v="51"/>
    <s v="ORD-00716"/>
    <x v="0"/>
    <x v="5"/>
    <x v="139"/>
    <x v="7"/>
    <x v="2"/>
    <n v="10"/>
    <n v="8750"/>
    <n v="87500"/>
    <n v="7000"/>
    <n v="70000"/>
    <n v="17500"/>
    <n v="0.2"/>
  </r>
  <r>
    <x v="51"/>
    <s v="ORD-00717"/>
    <x v="0"/>
    <x v="3"/>
    <x v="82"/>
    <x v="5"/>
    <x v="3"/>
    <n v="9"/>
    <n v="864"/>
    <n v="7776"/>
    <n v="600"/>
    <n v="5400"/>
    <n v="2376"/>
    <n v="0.30555555555555558"/>
  </r>
  <r>
    <x v="51"/>
    <s v="ORD-00718"/>
    <x v="2"/>
    <x v="2"/>
    <x v="94"/>
    <x v="7"/>
    <x v="2"/>
    <n v="8"/>
    <n v="9170"/>
    <n v="73360"/>
    <n v="7000"/>
    <n v="56000"/>
    <n v="17360"/>
    <n v="0.23664122137404581"/>
  </r>
  <r>
    <x v="51"/>
    <s v="ORD-00719"/>
    <x v="0"/>
    <x v="0"/>
    <x v="90"/>
    <x v="4"/>
    <x v="2"/>
    <n v="8"/>
    <n v="10455"/>
    <n v="83640"/>
    <n v="8500"/>
    <n v="68000"/>
    <n v="15640"/>
    <n v="0.18699186991869918"/>
  </r>
  <r>
    <x v="51"/>
    <s v="ORD-00720"/>
    <x v="2"/>
    <x v="1"/>
    <x v="41"/>
    <x v="1"/>
    <x v="1"/>
    <n v="9"/>
    <n v="62550.000000000007"/>
    <n v="562950.00000000012"/>
    <n v="45000"/>
    <n v="405000"/>
    <n v="157950.00000000012"/>
    <n v="0.28057553956834547"/>
  </r>
  <r>
    <x v="51"/>
    <s v="ORD-00721"/>
    <x v="3"/>
    <x v="5"/>
    <x v="46"/>
    <x v="4"/>
    <x v="2"/>
    <n v="8"/>
    <n v="10710"/>
    <n v="85680"/>
    <n v="8500"/>
    <n v="68000"/>
    <n v="17680"/>
    <n v="0.20634920634920634"/>
  </r>
  <r>
    <x v="51"/>
    <s v="ORD-00722"/>
    <x v="3"/>
    <x v="1"/>
    <x v="59"/>
    <x v="3"/>
    <x v="0"/>
    <n v="5"/>
    <n v="3150"/>
    <n v="15750"/>
    <n v="2500"/>
    <n v="12500"/>
    <n v="3250"/>
    <n v="0.20634920634920634"/>
  </r>
  <r>
    <x v="51"/>
    <s v="ORD-00723"/>
    <x v="2"/>
    <x v="4"/>
    <x v="112"/>
    <x v="7"/>
    <x v="2"/>
    <n v="4"/>
    <n v="9730"/>
    <n v="38920"/>
    <n v="7000"/>
    <n v="28000"/>
    <n v="10920"/>
    <n v="0.2805755395683453"/>
  </r>
  <r>
    <x v="51"/>
    <s v="ORD-00724"/>
    <x v="3"/>
    <x v="4"/>
    <x v="60"/>
    <x v="2"/>
    <x v="1"/>
    <n v="10"/>
    <n v="48640"/>
    <n v="486400"/>
    <n v="38000"/>
    <n v="380000"/>
    <n v="106400"/>
    <n v="0.21875"/>
  </r>
  <r>
    <x v="51"/>
    <s v="ORD-00725"/>
    <x v="0"/>
    <x v="4"/>
    <x v="45"/>
    <x v="6"/>
    <x v="3"/>
    <n v="1"/>
    <n v="1305"/>
    <n v="1305"/>
    <n v="900"/>
    <n v="900"/>
    <n v="405"/>
    <n v="0.31034482758620691"/>
  </r>
  <r>
    <x v="51"/>
    <s v="ORD-00726"/>
    <x v="3"/>
    <x v="3"/>
    <x v="103"/>
    <x v="1"/>
    <x v="1"/>
    <n v="6"/>
    <n v="57600"/>
    <n v="345600"/>
    <n v="45000"/>
    <n v="270000"/>
    <n v="75600"/>
    <n v="0.21875"/>
  </r>
  <r>
    <x v="52"/>
    <s v="ORD-00727"/>
    <x v="0"/>
    <x v="2"/>
    <x v="66"/>
    <x v="7"/>
    <x v="2"/>
    <n v="6"/>
    <n v="9730"/>
    <n v="58380"/>
    <n v="7000"/>
    <n v="42000"/>
    <n v="16380"/>
    <n v="0.2805755395683453"/>
  </r>
  <r>
    <x v="52"/>
    <s v="ORD-00728"/>
    <x v="1"/>
    <x v="0"/>
    <x v="58"/>
    <x v="3"/>
    <x v="0"/>
    <n v="2"/>
    <n v="3175"/>
    <n v="6350"/>
    <n v="2500"/>
    <n v="5000"/>
    <n v="1350"/>
    <n v="0.2125984251968504"/>
  </r>
  <r>
    <x v="52"/>
    <s v="ORD-00729"/>
    <x v="2"/>
    <x v="3"/>
    <x v="58"/>
    <x v="6"/>
    <x v="3"/>
    <n v="2"/>
    <n v="1233"/>
    <n v="2466"/>
    <n v="900"/>
    <n v="1800"/>
    <n v="666"/>
    <n v="0.27007299270072993"/>
  </r>
  <r>
    <x v="52"/>
    <s v="ORD-00730"/>
    <x v="1"/>
    <x v="1"/>
    <x v="56"/>
    <x v="3"/>
    <x v="0"/>
    <n v="7"/>
    <n v="3350"/>
    <n v="23450"/>
    <n v="2500"/>
    <n v="17500"/>
    <n v="5950"/>
    <n v="0.2537313432835821"/>
  </r>
  <r>
    <x v="52"/>
    <s v="ORD-00731"/>
    <x v="1"/>
    <x v="0"/>
    <x v="146"/>
    <x v="2"/>
    <x v="1"/>
    <n v="8"/>
    <n v="45980"/>
    <n v="367840"/>
    <n v="38000"/>
    <n v="304000"/>
    <n v="63840"/>
    <n v="0.17355371900826447"/>
  </r>
  <r>
    <x v="52"/>
    <s v="ORD-00732"/>
    <x v="2"/>
    <x v="3"/>
    <x v="5"/>
    <x v="4"/>
    <x v="2"/>
    <n v="8"/>
    <n v="11305"/>
    <n v="90440"/>
    <n v="8500"/>
    <n v="68000"/>
    <n v="22440"/>
    <n v="0.24812030075187969"/>
  </r>
  <r>
    <x v="52"/>
    <s v="ORD-00733"/>
    <x v="1"/>
    <x v="3"/>
    <x v="15"/>
    <x v="1"/>
    <x v="1"/>
    <n v="8"/>
    <n v="59400"/>
    <n v="475200"/>
    <n v="45000"/>
    <n v="360000"/>
    <n v="115200"/>
    <n v="0.24242424242424243"/>
  </r>
  <r>
    <x v="52"/>
    <s v="ORD-00734"/>
    <x v="1"/>
    <x v="1"/>
    <x v="23"/>
    <x v="4"/>
    <x v="2"/>
    <n v="4"/>
    <n v="12325"/>
    <n v="49300"/>
    <n v="8500"/>
    <n v="34000"/>
    <n v="15300"/>
    <n v="0.31034482758620691"/>
  </r>
  <r>
    <x v="52"/>
    <s v="ORD-00735"/>
    <x v="3"/>
    <x v="3"/>
    <x v="9"/>
    <x v="1"/>
    <x v="1"/>
    <n v="10"/>
    <n v="55350"/>
    <n v="553500"/>
    <n v="45000"/>
    <n v="450000"/>
    <n v="103500"/>
    <n v="0.18699186991869918"/>
  </r>
  <r>
    <x v="52"/>
    <s v="ORD-00736"/>
    <x v="1"/>
    <x v="4"/>
    <x v="129"/>
    <x v="3"/>
    <x v="0"/>
    <n v="6"/>
    <n v="3350"/>
    <n v="20100"/>
    <n v="2500"/>
    <n v="15000"/>
    <n v="5100"/>
    <n v="0.2537313432835821"/>
  </r>
  <r>
    <x v="52"/>
    <s v="ORD-00737"/>
    <x v="0"/>
    <x v="5"/>
    <x v="148"/>
    <x v="3"/>
    <x v="0"/>
    <n v="5"/>
    <n v="3075"/>
    <n v="15375"/>
    <n v="2500"/>
    <n v="12500"/>
    <n v="2875"/>
    <n v="0.18699186991869918"/>
  </r>
  <r>
    <x v="52"/>
    <s v="ORD-00738"/>
    <x v="2"/>
    <x v="5"/>
    <x v="1"/>
    <x v="3"/>
    <x v="0"/>
    <n v="3"/>
    <n v="3150"/>
    <n v="9450"/>
    <n v="2500"/>
    <n v="7500"/>
    <n v="1950"/>
    <n v="0.20634920634920634"/>
  </r>
  <r>
    <x v="52"/>
    <s v="ORD-00739"/>
    <x v="2"/>
    <x v="5"/>
    <x v="64"/>
    <x v="3"/>
    <x v="0"/>
    <n v="10"/>
    <n v="3325"/>
    <n v="33250"/>
    <n v="2500"/>
    <n v="25000"/>
    <n v="8250"/>
    <n v="0.24812030075187969"/>
  </r>
  <r>
    <x v="52"/>
    <s v="ORD-00740"/>
    <x v="1"/>
    <x v="4"/>
    <x v="132"/>
    <x v="2"/>
    <x v="1"/>
    <n v="4"/>
    <n v="47120"/>
    <n v="188480"/>
    <n v="38000"/>
    <n v="152000"/>
    <n v="36480"/>
    <n v="0.19354838709677419"/>
  </r>
  <r>
    <x v="53"/>
    <s v="ORD-00741"/>
    <x v="2"/>
    <x v="4"/>
    <x v="143"/>
    <x v="6"/>
    <x v="3"/>
    <n v="9"/>
    <n v="1170"/>
    <n v="10530"/>
    <n v="900"/>
    <n v="8100"/>
    <n v="2430"/>
    <n v="0.23076923076923078"/>
  </r>
  <r>
    <x v="53"/>
    <s v="ORD-00742"/>
    <x v="0"/>
    <x v="2"/>
    <x v="125"/>
    <x v="5"/>
    <x v="3"/>
    <n v="6"/>
    <n v="780"/>
    <n v="4680"/>
    <n v="600"/>
    <n v="3600"/>
    <n v="1080"/>
    <n v="0.23076923076923078"/>
  </r>
  <r>
    <x v="53"/>
    <s v="ORD-00743"/>
    <x v="2"/>
    <x v="2"/>
    <x v="85"/>
    <x v="6"/>
    <x v="3"/>
    <n v="5"/>
    <n v="1215"/>
    <n v="6075"/>
    <n v="900"/>
    <n v="4500"/>
    <n v="1575"/>
    <n v="0.25925925925925924"/>
  </r>
  <r>
    <x v="53"/>
    <s v="ORD-00744"/>
    <x v="2"/>
    <x v="3"/>
    <x v="95"/>
    <x v="6"/>
    <x v="3"/>
    <n v="7"/>
    <n v="1125"/>
    <n v="7875"/>
    <n v="900"/>
    <n v="6300"/>
    <n v="1575"/>
    <n v="0.2"/>
  </r>
  <r>
    <x v="53"/>
    <s v="ORD-00745"/>
    <x v="0"/>
    <x v="5"/>
    <x v="106"/>
    <x v="0"/>
    <x v="0"/>
    <n v="8"/>
    <n v="4320"/>
    <n v="34560"/>
    <n v="3200"/>
    <n v="25600"/>
    <n v="8960"/>
    <n v="0.25925925925925924"/>
  </r>
  <r>
    <x v="53"/>
    <s v="ORD-00746"/>
    <x v="3"/>
    <x v="1"/>
    <x v="28"/>
    <x v="4"/>
    <x v="2"/>
    <n v="5"/>
    <n v="11305"/>
    <n v="56525"/>
    <n v="8500"/>
    <n v="42500"/>
    <n v="14025"/>
    <n v="0.24812030075187969"/>
  </r>
  <r>
    <x v="53"/>
    <s v="ORD-00747"/>
    <x v="0"/>
    <x v="5"/>
    <x v="12"/>
    <x v="0"/>
    <x v="0"/>
    <n v="8"/>
    <n v="4384"/>
    <n v="35072"/>
    <n v="3200"/>
    <n v="25600"/>
    <n v="9472"/>
    <n v="0.27007299270072993"/>
  </r>
  <r>
    <x v="53"/>
    <s v="ORD-00748"/>
    <x v="1"/>
    <x v="2"/>
    <x v="122"/>
    <x v="6"/>
    <x v="3"/>
    <n v="10"/>
    <n v="1152"/>
    <n v="11520"/>
    <n v="900"/>
    <n v="9000"/>
    <n v="2520"/>
    <n v="0.21875"/>
  </r>
  <r>
    <x v="53"/>
    <s v="ORD-00749"/>
    <x v="1"/>
    <x v="1"/>
    <x v="94"/>
    <x v="1"/>
    <x v="1"/>
    <n v="6"/>
    <n v="56250"/>
    <n v="337500"/>
    <n v="45000"/>
    <n v="270000"/>
    <n v="67500"/>
    <n v="0.2"/>
  </r>
  <r>
    <x v="53"/>
    <s v="ORD-00750"/>
    <x v="0"/>
    <x v="3"/>
    <x v="16"/>
    <x v="5"/>
    <x v="3"/>
    <n v="4"/>
    <n v="726"/>
    <n v="2904"/>
    <n v="600"/>
    <n v="2400"/>
    <n v="504"/>
    <n v="0.17355371900826447"/>
  </r>
  <r>
    <x v="53"/>
    <s v="ORD-00751"/>
    <x v="2"/>
    <x v="2"/>
    <x v="21"/>
    <x v="6"/>
    <x v="3"/>
    <n v="8"/>
    <n v="1089"/>
    <n v="8712"/>
    <n v="900"/>
    <n v="7200"/>
    <n v="1512"/>
    <n v="0.17355371900826447"/>
  </r>
  <r>
    <x v="53"/>
    <s v="ORD-00752"/>
    <x v="1"/>
    <x v="3"/>
    <x v="30"/>
    <x v="0"/>
    <x v="0"/>
    <n v="2"/>
    <n v="4416"/>
    <n v="8832"/>
    <n v="3200"/>
    <n v="6400"/>
    <n v="2432"/>
    <n v="0.27536231884057971"/>
  </r>
  <r>
    <x v="53"/>
    <s v="ORD-00753"/>
    <x v="0"/>
    <x v="1"/>
    <x v="143"/>
    <x v="6"/>
    <x v="3"/>
    <n v="10"/>
    <n v="1170"/>
    <n v="11700"/>
    <n v="900"/>
    <n v="9000"/>
    <n v="2700"/>
    <n v="0.23076923076923078"/>
  </r>
  <r>
    <x v="53"/>
    <s v="ORD-00754"/>
    <x v="1"/>
    <x v="4"/>
    <x v="52"/>
    <x v="2"/>
    <x v="1"/>
    <n v="4"/>
    <n v="45600"/>
    <n v="182400"/>
    <n v="38000"/>
    <n v="152000"/>
    <n v="30400"/>
    <n v="0.16666666666666666"/>
  </r>
  <r>
    <x v="54"/>
    <s v="ORD-00755"/>
    <x v="1"/>
    <x v="3"/>
    <x v="78"/>
    <x v="1"/>
    <x v="1"/>
    <n v="3"/>
    <n v="59850"/>
    <n v="179550"/>
    <n v="45000"/>
    <n v="135000"/>
    <n v="44550"/>
    <n v="0.24812030075187969"/>
  </r>
  <r>
    <x v="54"/>
    <s v="ORD-00756"/>
    <x v="1"/>
    <x v="1"/>
    <x v="144"/>
    <x v="3"/>
    <x v="0"/>
    <n v="2"/>
    <n v="3025"/>
    <n v="6050"/>
    <n v="2500"/>
    <n v="5000"/>
    <n v="1050"/>
    <n v="0.17355371900826447"/>
  </r>
  <r>
    <x v="54"/>
    <s v="ORD-00757"/>
    <x v="0"/>
    <x v="1"/>
    <x v="54"/>
    <x v="5"/>
    <x v="3"/>
    <n v="8"/>
    <n v="786"/>
    <n v="6288"/>
    <n v="600"/>
    <n v="4800"/>
    <n v="1488"/>
    <n v="0.23664122137404581"/>
  </r>
  <r>
    <x v="54"/>
    <s v="ORD-00758"/>
    <x v="2"/>
    <x v="4"/>
    <x v="85"/>
    <x v="3"/>
    <x v="0"/>
    <n v="9"/>
    <n v="3100"/>
    <n v="27900"/>
    <n v="2500"/>
    <n v="22500"/>
    <n v="5400"/>
    <n v="0.19354838709677419"/>
  </r>
  <r>
    <x v="54"/>
    <s v="ORD-00759"/>
    <x v="0"/>
    <x v="5"/>
    <x v="89"/>
    <x v="6"/>
    <x v="3"/>
    <n v="1"/>
    <n v="1098"/>
    <n v="1098"/>
    <n v="900"/>
    <n v="900"/>
    <n v="198"/>
    <n v="0.18032786885245902"/>
  </r>
  <r>
    <x v="54"/>
    <s v="ORD-00760"/>
    <x v="3"/>
    <x v="0"/>
    <x v="78"/>
    <x v="0"/>
    <x v="0"/>
    <n v="7"/>
    <n v="4288"/>
    <n v="30016"/>
    <n v="3200"/>
    <n v="22400"/>
    <n v="7616"/>
    <n v="0.2537313432835821"/>
  </r>
  <r>
    <x v="54"/>
    <s v="ORD-00761"/>
    <x v="1"/>
    <x v="5"/>
    <x v="15"/>
    <x v="7"/>
    <x v="2"/>
    <n v="2"/>
    <n v="9240"/>
    <n v="18480"/>
    <n v="7000"/>
    <n v="14000"/>
    <n v="4480"/>
    <n v="0.24242424242424243"/>
  </r>
  <r>
    <x v="54"/>
    <s v="ORD-00762"/>
    <x v="2"/>
    <x v="1"/>
    <x v="44"/>
    <x v="3"/>
    <x v="0"/>
    <n v="9"/>
    <n v="3325"/>
    <n v="29925"/>
    <n v="2500"/>
    <n v="22500"/>
    <n v="7425"/>
    <n v="0.24812030075187969"/>
  </r>
  <r>
    <x v="54"/>
    <s v="ORD-00763"/>
    <x v="0"/>
    <x v="3"/>
    <x v="53"/>
    <x v="6"/>
    <x v="3"/>
    <n v="1"/>
    <n v="1206"/>
    <n v="1206"/>
    <n v="900"/>
    <n v="900"/>
    <n v="306"/>
    <n v="0.2537313432835821"/>
  </r>
  <r>
    <x v="54"/>
    <s v="ORD-00764"/>
    <x v="0"/>
    <x v="5"/>
    <x v="119"/>
    <x v="6"/>
    <x v="3"/>
    <n v="7"/>
    <n v="1233"/>
    <n v="8631"/>
    <n v="900"/>
    <n v="6300"/>
    <n v="2331"/>
    <n v="0.27007299270072993"/>
  </r>
  <r>
    <x v="54"/>
    <s v="ORD-00765"/>
    <x v="3"/>
    <x v="0"/>
    <x v="27"/>
    <x v="0"/>
    <x v="0"/>
    <n v="2"/>
    <n v="4608"/>
    <n v="9216"/>
    <n v="3200"/>
    <n v="6400"/>
    <n v="2816"/>
    <n v="0.30555555555555558"/>
  </r>
  <r>
    <x v="54"/>
    <s v="ORD-00766"/>
    <x v="0"/>
    <x v="3"/>
    <x v="116"/>
    <x v="1"/>
    <x v="1"/>
    <n v="8"/>
    <n v="63450"/>
    <n v="507600"/>
    <n v="45000"/>
    <n v="360000"/>
    <n v="147600"/>
    <n v="0.29078014184397161"/>
  </r>
  <r>
    <x v="54"/>
    <s v="ORD-00767"/>
    <x v="2"/>
    <x v="1"/>
    <x v="61"/>
    <x v="1"/>
    <x v="1"/>
    <n v="6"/>
    <n v="60300"/>
    <n v="361800"/>
    <n v="45000"/>
    <n v="270000"/>
    <n v="91800"/>
    <n v="0.2537313432835821"/>
  </r>
  <r>
    <x v="54"/>
    <s v="ORD-00768"/>
    <x v="0"/>
    <x v="5"/>
    <x v="65"/>
    <x v="2"/>
    <x v="1"/>
    <n v="10"/>
    <n v="50160"/>
    <n v="501600"/>
    <n v="38000"/>
    <n v="380000"/>
    <n v="121600"/>
    <n v="0.24242424242424243"/>
  </r>
  <r>
    <x v="55"/>
    <s v="ORD-00769"/>
    <x v="3"/>
    <x v="4"/>
    <x v="96"/>
    <x v="4"/>
    <x v="2"/>
    <n v="2"/>
    <n v="10880"/>
    <n v="21760"/>
    <n v="8500"/>
    <n v="17000"/>
    <n v="4760"/>
    <n v="0.21875"/>
  </r>
  <r>
    <x v="55"/>
    <s v="ORD-00770"/>
    <x v="2"/>
    <x v="3"/>
    <x v="121"/>
    <x v="7"/>
    <x v="2"/>
    <n v="1"/>
    <n v="8750"/>
    <n v="8750"/>
    <n v="7000"/>
    <n v="7000"/>
    <n v="1750"/>
    <n v="0.2"/>
  </r>
  <r>
    <x v="55"/>
    <s v="ORD-00771"/>
    <x v="2"/>
    <x v="1"/>
    <x v="73"/>
    <x v="4"/>
    <x v="2"/>
    <n v="10"/>
    <n v="10625"/>
    <n v="106250"/>
    <n v="8500"/>
    <n v="85000"/>
    <n v="21250"/>
    <n v="0.2"/>
  </r>
  <r>
    <x v="55"/>
    <s v="ORD-00772"/>
    <x v="1"/>
    <x v="3"/>
    <x v="54"/>
    <x v="1"/>
    <x v="1"/>
    <n v="6"/>
    <n v="56250"/>
    <n v="337500"/>
    <n v="45000"/>
    <n v="270000"/>
    <n v="67500"/>
    <n v="0.2"/>
  </r>
  <r>
    <x v="55"/>
    <s v="ORD-00773"/>
    <x v="3"/>
    <x v="3"/>
    <x v="133"/>
    <x v="1"/>
    <x v="1"/>
    <n v="1"/>
    <n v="58050"/>
    <n v="58050"/>
    <n v="45000"/>
    <n v="45000"/>
    <n v="13050"/>
    <n v="0.22480620155038761"/>
  </r>
  <r>
    <x v="55"/>
    <s v="ORD-00774"/>
    <x v="0"/>
    <x v="0"/>
    <x v="35"/>
    <x v="2"/>
    <x v="1"/>
    <n v="5"/>
    <n v="47880"/>
    <n v="239400"/>
    <n v="38000"/>
    <n v="190000"/>
    <n v="49400"/>
    <n v="0.20634920634920634"/>
  </r>
  <r>
    <x v="55"/>
    <s v="ORD-00775"/>
    <x v="2"/>
    <x v="5"/>
    <x v="68"/>
    <x v="6"/>
    <x v="3"/>
    <n v="4"/>
    <n v="1251"/>
    <n v="5004"/>
    <n v="900"/>
    <n v="3600"/>
    <n v="1404"/>
    <n v="0.2805755395683453"/>
  </r>
  <r>
    <x v="55"/>
    <s v="ORD-00776"/>
    <x v="2"/>
    <x v="3"/>
    <x v="113"/>
    <x v="4"/>
    <x v="2"/>
    <n v="9"/>
    <n v="12070"/>
    <n v="108630"/>
    <n v="8500"/>
    <n v="76500"/>
    <n v="32130"/>
    <n v="0.29577464788732394"/>
  </r>
  <r>
    <x v="55"/>
    <s v="ORD-00777"/>
    <x v="0"/>
    <x v="5"/>
    <x v="106"/>
    <x v="0"/>
    <x v="0"/>
    <n v="1"/>
    <n v="3968"/>
    <n v="3968"/>
    <n v="3200"/>
    <n v="3200"/>
    <n v="768"/>
    <n v="0.19354838709677419"/>
  </r>
  <r>
    <x v="55"/>
    <s v="ORD-00778"/>
    <x v="2"/>
    <x v="2"/>
    <x v="23"/>
    <x v="3"/>
    <x v="0"/>
    <n v="2"/>
    <n v="3300"/>
    <n v="6600"/>
    <n v="2500"/>
    <n v="5000"/>
    <n v="1600"/>
    <n v="0.24242424242424243"/>
  </r>
  <r>
    <x v="55"/>
    <s v="ORD-00779"/>
    <x v="2"/>
    <x v="1"/>
    <x v="0"/>
    <x v="0"/>
    <x v="0"/>
    <n v="2"/>
    <n v="3872"/>
    <n v="7744"/>
    <n v="3200"/>
    <n v="6400"/>
    <n v="1344"/>
    <n v="0.17355371900826447"/>
  </r>
  <r>
    <x v="55"/>
    <s v="ORD-00780"/>
    <x v="3"/>
    <x v="4"/>
    <x v="9"/>
    <x v="0"/>
    <x v="0"/>
    <n v="6"/>
    <n v="3840"/>
    <n v="23040"/>
    <n v="3200"/>
    <n v="19200"/>
    <n v="3840"/>
    <n v="0.16666666666666666"/>
  </r>
  <r>
    <x v="55"/>
    <s v="ORD-00781"/>
    <x v="3"/>
    <x v="2"/>
    <x v="143"/>
    <x v="3"/>
    <x v="0"/>
    <n v="3"/>
    <n v="3250"/>
    <n v="9750"/>
    <n v="2500"/>
    <n v="7500"/>
    <n v="2250"/>
    <n v="0.23076923076923078"/>
  </r>
  <r>
    <x v="55"/>
    <s v="ORD-00782"/>
    <x v="1"/>
    <x v="0"/>
    <x v="126"/>
    <x v="3"/>
    <x v="0"/>
    <n v="8"/>
    <n v="3025"/>
    <n v="24200"/>
    <n v="2500"/>
    <n v="20000"/>
    <n v="4200"/>
    <n v="0.17355371900826447"/>
  </r>
  <r>
    <x v="56"/>
    <s v="ORD-00783"/>
    <x v="1"/>
    <x v="5"/>
    <x v="31"/>
    <x v="1"/>
    <x v="1"/>
    <n v="5"/>
    <n v="62999.999999999993"/>
    <n v="314999.99999999994"/>
    <n v="45000"/>
    <n v="225000"/>
    <n v="89999.999999999942"/>
    <n v="0.28571428571428559"/>
  </r>
  <r>
    <x v="56"/>
    <s v="ORD-00784"/>
    <x v="3"/>
    <x v="0"/>
    <x v="137"/>
    <x v="4"/>
    <x v="2"/>
    <n v="2"/>
    <n v="11985"/>
    <n v="23970"/>
    <n v="8500"/>
    <n v="17000"/>
    <n v="6970"/>
    <n v="0.29078014184397161"/>
  </r>
  <r>
    <x v="56"/>
    <s v="ORD-00785"/>
    <x v="1"/>
    <x v="0"/>
    <x v="120"/>
    <x v="5"/>
    <x v="3"/>
    <n v="4"/>
    <n v="815.99999999999989"/>
    <n v="3263.9999999999995"/>
    <n v="600"/>
    <n v="2400"/>
    <n v="863.99999999999955"/>
    <n v="0.26470588235294107"/>
  </r>
  <r>
    <x v="56"/>
    <s v="ORD-00786"/>
    <x v="1"/>
    <x v="4"/>
    <x v="142"/>
    <x v="0"/>
    <x v="0"/>
    <n v="9"/>
    <n v="4192"/>
    <n v="37728"/>
    <n v="3200"/>
    <n v="28800"/>
    <n v="8928"/>
    <n v="0.23664122137404581"/>
  </r>
  <r>
    <x v="56"/>
    <s v="ORD-00787"/>
    <x v="1"/>
    <x v="3"/>
    <x v="107"/>
    <x v="1"/>
    <x v="1"/>
    <n v="5"/>
    <n v="58500"/>
    <n v="292500"/>
    <n v="45000"/>
    <n v="225000"/>
    <n v="67500"/>
    <n v="0.23076923076923078"/>
  </r>
  <r>
    <x v="56"/>
    <s v="ORD-00788"/>
    <x v="2"/>
    <x v="0"/>
    <x v="140"/>
    <x v="3"/>
    <x v="0"/>
    <n v="1"/>
    <n v="3200"/>
    <n v="3200"/>
    <n v="2500"/>
    <n v="2500"/>
    <n v="700"/>
    <n v="0.21875"/>
  </r>
  <r>
    <x v="56"/>
    <s v="ORD-00789"/>
    <x v="2"/>
    <x v="4"/>
    <x v="82"/>
    <x v="5"/>
    <x v="3"/>
    <n v="8"/>
    <n v="858"/>
    <n v="6864"/>
    <n v="600"/>
    <n v="4800"/>
    <n v="2064"/>
    <n v="0.30069930069930068"/>
  </r>
  <r>
    <x v="56"/>
    <s v="ORD-00790"/>
    <x v="1"/>
    <x v="3"/>
    <x v="58"/>
    <x v="4"/>
    <x v="2"/>
    <n v="8"/>
    <n v="10200"/>
    <n v="81600"/>
    <n v="8500"/>
    <n v="68000"/>
    <n v="13600"/>
    <n v="0.16666666666666666"/>
  </r>
  <r>
    <x v="56"/>
    <s v="ORD-00791"/>
    <x v="3"/>
    <x v="5"/>
    <x v="139"/>
    <x v="6"/>
    <x v="3"/>
    <n v="9"/>
    <n v="1278"/>
    <n v="11502"/>
    <n v="900"/>
    <n v="8100"/>
    <n v="3402"/>
    <n v="0.29577464788732394"/>
  </r>
  <r>
    <x v="56"/>
    <s v="ORD-00792"/>
    <x v="1"/>
    <x v="0"/>
    <x v="28"/>
    <x v="5"/>
    <x v="3"/>
    <n v="10"/>
    <n v="852"/>
    <n v="8520"/>
    <n v="600"/>
    <n v="6000"/>
    <n v="2520"/>
    <n v="0.29577464788732394"/>
  </r>
  <r>
    <x v="56"/>
    <s v="ORD-00793"/>
    <x v="1"/>
    <x v="2"/>
    <x v="7"/>
    <x v="6"/>
    <x v="3"/>
    <n v="8"/>
    <n v="1134"/>
    <n v="9072"/>
    <n v="900"/>
    <n v="7200"/>
    <n v="1872"/>
    <n v="0.20634920634920634"/>
  </r>
  <r>
    <x v="56"/>
    <s v="ORD-00794"/>
    <x v="3"/>
    <x v="1"/>
    <x v="53"/>
    <x v="0"/>
    <x v="0"/>
    <n v="3"/>
    <n v="4160"/>
    <n v="12480"/>
    <n v="3200"/>
    <n v="9600"/>
    <n v="2880"/>
    <n v="0.23076923076923078"/>
  </r>
  <r>
    <x v="56"/>
    <s v="ORD-00795"/>
    <x v="1"/>
    <x v="3"/>
    <x v="138"/>
    <x v="7"/>
    <x v="2"/>
    <n v="3"/>
    <n v="8890"/>
    <n v="26670"/>
    <n v="7000"/>
    <n v="21000"/>
    <n v="5670"/>
    <n v="0.2125984251968504"/>
  </r>
  <r>
    <x v="56"/>
    <s v="ORD-00796"/>
    <x v="3"/>
    <x v="2"/>
    <x v="72"/>
    <x v="7"/>
    <x v="2"/>
    <n v="10"/>
    <n v="9870"/>
    <n v="98700"/>
    <n v="7000"/>
    <n v="70000"/>
    <n v="28700"/>
    <n v="0.29078014184397161"/>
  </r>
  <r>
    <x v="57"/>
    <s v="ORD-00797"/>
    <x v="1"/>
    <x v="1"/>
    <x v="3"/>
    <x v="2"/>
    <x v="1"/>
    <n v="8"/>
    <n v="50540"/>
    <n v="404320"/>
    <n v="38000"/>
    <n v="304000"/>
    <n v="100320"/>
    <n v="0.24812030075187969"/>
  </r>
  <r>
    <x v="57"/>
    <s v="ORD-00798"/>
    <x v="0"/>
    <x v="1"/>
    <x v="55"/>
    <x v="1"/>
    <x v="1"/>
    <n v="4"/>
    <n v="65250"/>
    <n v="261000"/>
    <n v="45000"/>
    <n v="180000"/>
    <n v="81000"/>
    <n v="0.31034482758620691"/>
  </r>
  <r>
    <x v="57"/>
    <s v="ORD-00799"/>
    <x v="0"/>
    <x v="1"/>
    <x v="0"/>
    <x v="1"/>
    <x v="1"/>
    <n v="6"/>
    <n v="61199.999999999993"/>
    <n v="367199.99999999994"/>
    <n v="45000"/>
    <n v="270000"/>
    <n v="97199.999999999942"/>
    <n v="0.26470588235294107"/>
  </r>
  <r>
    <x v="57"/>
    <s v="ORD-00800"/>
    <x v="2"/>
    <x v="5"/>
    <x v="96"/>
    <x v="6"/>
    <x v="3"/>
    <n v="9"/>
    <n v="1170"/>
    <n v="10530"/>
    <n v="900"/>
    <n v="8100"/>
    <n v="2430"/>
    <n v="0.23076923076923078"/>
  </r>
  <r>
    <x v="57"/>
    <s v="ORD-00801"/>
    <x v="1"/>
    <x v="0"/>
    <x v="41"/>
    <x v="0"/>
    <x v="0"/>
    <n v="1"/>
    <n v="4352"/>
    <n v="4352"/>
    <n v="3200"/>
    <n v="3200"/>
    <n v="1152"/>
    <n v="0.26470588235294118"/>
  </r>
  <r>
    <x v="57"/>
    <s v="ORD-00802"/>
    <x v="3"/>
    <x v="5"/>
    <x v="90"/>
    <x v="4"/>
    <x v="2"/>
    <n v="4"/>
    <n v="10880"/>
    <n v="43520"/>
    <n v="8500"/>
    <n v="34000"/>
    <n v="9520"/>
    <n v="0.21875"/>
  </r>
  <r>
    <x v="57"/>
    <s v="ORD-00803"/>
    <x v="2"/>
    <x v="0"/>
    <x v="133"/>
    <x v="2"/>
    <x v="1"/>
    <n v="1"/>
    <n v="49780"/>
    <n v="49780"/>
    <n v="38000"/>
    <n v="38000"/>
    <n v="11780"/>
    <n v="0.23664122137404581"/>
  </r>
  <r>
    <x v="57"/>
    <s v="ORD-00804"/>
    <x v="0"/>
    <x v="1"/>
    <x v="20"/>
    <x v="1"/>
    <x v="1"/>
    <n v="9"/>
    <n v="57600"/>
    <n v="518400"/>
    <n v="45000"/>
    <n v="405000"/>
    <n v="113400"/>
    <n v="0.21875"/>
  </r>
  <r>
    <x v="57"/>
    <s v="ORD-00805"/>
    <x v="3"/>
    <x v="1"/>
    <x v="75"/>
    <x v="3"/>
    <x v="0"/>
    <n v="5"/>
    <n v="3399.9999999999995"/>
    <n v="16999.999999999996"/>
    <n v="2500"/>
    <n v="12500"/>
    <n v="4499.9999999999964"/>
    <n v="0.26470588235294101"/>
  </r>
  <r>
    <x v="57"/>
    <s v="ORD-00806"/>
    <x v="0"/>
    <x v="0"/>
    <x v="57"/>
    <x v="7"/>
    <x v="2"/>
    <n v="4"/>
    <n v="9800"/>
    <n v="39200"/>
    <n v="7000"/>
    <n v="28000"/>
    <n v="11200"/>
    <n v="0.2857142857142857"/>
  </r>
  <r>
    <x v="57"/>
    <s v="ORD-00807"/>
    <x v="3"/>
    <x v="4"/>
    <x v="60"/>
    <x v="6"/>
    <x v="3"/>
    <n v="5"/>
    <n v="1287"/>
    <n v="6435"/>
    <n v="900"/>
    <n v="4500"/>
    <n v="1935"/>
    <n v="0.30069930069930068"/>
  </r>
  <r>
    <x v="57"/>
    <s v="ORD-00808"/>
    <x v="2"/>
    <x v="1"/>
    <x v="11"/>
    <x v="5"/>
    <x v="3"/>
    <n v="6"/>
    <n v="846"/>
    <n v="5076"/>
    <n v="600"/>
    <n v="3600"/>
    <n v="1476"/>
    <n v="0.29078014184397161"/>
  </r>
  <r>
    <x v="57"/>
    <s v="ORD-00809"/>
    <x v="2"/>
    <x v="0"/>
    <x v="27"/>
    <x v="3"/>
    <x v="0"/>
    <n v="7"/>
    <n v="3399.9999999999995"/>
    <n v="23799.999999999996"/>
    <n v="2500"/>
    <n v="17500"/>
    <n v="6299.9999999999964"/>
    <n v="0.26470588235294107"/>
  </r>
  <r>
    <x v="57"/>
    <s v="ORD-00810"/>
    <x v="3"/>
    <x v="4"/>
    <x v="121"/>
    <x v="2"/>
    <x v="1"/>
    <n v="4"/>
    <n v="53200"/>
    <n v="212800"/>
    <n v="38000"/>
    <n v="152000"/>
    <n v="60800"/>
    <n v="0.2857142857142857"/>
  </r>
  <r>
    <x v="58"/>
    <s v="ORD-00811"/>
    <x v="2"/>
    <x v="5"/>
    <x v="106"/>
    <x v="2"/>
    <x v="1"/>
    <n v="2"/>
    <n v="53580"/>
    <n v="107160"/>
    <n v="38000"/>
    <n v="76000"/>
    <n v="31160"/>
    <n v="0.29078014184397161"/>
  </r>
  <r>
    <x v="58"/>
    <s v="ORD-00812"/>
    <x v="2"/>
    <x v="1"/>
    <x v="112"/>
    <x v="7"/>
    <x v="2"/>
    <n v="2"/>
    <n v="9450"/>
    <n v="18900"/>
    <n v="7000"/>
    <n v="14000"/>
    <n v="4900"/>
    <n v="0.25925925925925924"/>
  </r>
  <r>
    <x v="58"/>
    <s v="ORD-00813"/>
    <x v="0"/>
    <x v="5"/>
    <x v="42"/>
    <x v="0"/>
    <x v="0"/>
    <n v="4"/>
    <n v="4416"/>
    <n v="17664"/>
    <n v="3200"/>
    <n v="12800"/>
    <n v="4864"/>
    <n v="0.27536231884057971"/>
  </r>
  <r>
    <x v="58"/>
    <s v="ORD-00814"/>
    <x v="0"/>
    <x v="5"/>
    <x v="85"/>
    <x v="4"/>
    <x v="2"/>
    <n v="2"/>
    <n v="10625"/>
    <n v="21250"/>
    <n v="8500"/>
    <n v="17000"/>
    <n v="4250"/>
    <n v="0.2"/>
  </r>
  <r>
    <x v="58"/>
    <s v="ORD-00815"/>
    <x v="2"/>
    <x v="0"/>
    <x v="113"/>
    <x v="3"/>
    <x v="0"/>
    <n v="6"/>
    <n v="3175"/>
    <n v="19050"/>
    <n v="2500"/>
    <n v="15000"/>
    <n v="4050"/>
    <n v="0.2125984251968504"/>
  </r>
  <r>
    <x v="58"/>
    <s v="ORD-00816"/>
    <x v="1"/>
    <x v="4"/>
    <x v="112"/>
    <x v="3"/>
    <x v="0"/>
    <n v="2"/>
    <n v="3625"/>
    <n v="7250"/>
    <n v="2500"/>
    <n v="5000"/>
    <n v="2250"/>
    <n v="0.31034482758620691"/>
  </r>
  <r>
    <x v="58"/>
    <s v="ORD-00817"/>
    <x v="2"/>
    <x v="1"/>
    <x v="50"/>
    <x v="7"/>
    <x v="2"/>
    <n v="1"/>
    <n v="9450"/>
    <n v="9450"/>
    <n v="7000"/>
    <n v="7000"/>
    <n v="2450"/>
    <n v="0.25925925925925924"/>
  </r>
  <r>
    <x v="58"/>
    <s v="ORD-00818"/>
    <x v="0"/>
    <x v="0"/>
    <x v="84"/>
    <x v="0"/>
    <x v="0"/>
    <n v="5"/>
    <n v="4224"/>
    <n v="21120"/>
    <n v="3200"/>
    <n v="16000"/>
    <n v="5120"/>
    <n v="0.24242424242424243"/>
  </r>
  <r>
    <x v="58"/>
    <s v="ORD-00819"/>
    <x v="3"/>
    <x v="0"/>
    <x v="124"/>
    <x v="0"/>
    <x v="0"/>
    <n v="8"/>
    <n v="4512"/>
    <n v="36096"/>
    <n v="3200"/>
    <n v="25600"/>
    <n v="10496"/>
    <n v="0.29078014184397161"/>
  </r>
  <r>
    <x v="58"/>
    <s v="ORD-00820"/>
    <x v="2"/>
    <x v="5"/>
    <x v="63"/>
    <x v="0"/>
    <x v="0"/>
    <n v="6"/>
    <n v="3936"/>
    <n v="23616"/>
    <n v="3200"/>
    <n v="19200"/>
    <n v="4416"/>
    <n v="0.18699186991869918"/>
  </r>
  <r>
    <x v="58"/>
    <s v="ORD-00821"/>
    <x v="1"/>
    <x v="5"/>
    <x v="19"/>
    <x v="1"/>
    <x v="1"/>
    <n v="9"/>
    <n v="65250"/>
    <n v="587250"/>
    <n v="45000"/>
    <n v="405000"/>
    <n v="182250"/>
    <n v="0.31034482758620691"/>
  </r>
  <r>
    <x v="58"/>
    <s v="ORD-00822"/>
    <x v="0"/>
    <x v="3"/>
    <x v="4"/>
    <x v="1"/>
    <x v="1"/>
    <n v="1"/>
    <n v="59850"/>
    <n v="59850"/>
    <n v="45000"/>
    <n v="45000"/>
    <n v="14850"/>
    <n v="0.24812030075187969"/>
  </r>
  <r>
    <x v="58"/>
    <s v="ORD-00823"/>
    <x v="1"/>
    <x v="5"/>
    <x v="73"/>
    <x v="1"/>
    <x v="1"/>
    <n v="7"/>
    <n v="58950"/>
    <n v="412650"/>
    <n v="45000"/>
    <n v="315000"/>
    <n v="97650"/>
    <n v="0.23664122137404581"/>
  </r>
  <r>
    <x v="58"/>
    <s v="ORD-00824"/>
    <x v="0"/>
    <x v="4"/>
    <x v="116"/>
    <x v="4"/>
    <x v="2"/>
    <n v="1"/>
    <n v="10625"/>
    <n v="10625"/>
    <n v="8500"/>
    <n v="8500"/>
    <n v="2125"/>
    <n v="0.2"/>
  </r>
  <r>
    <x v="59"/>
    <s v="ORD-00825"/>
    <x v="1"/>
    <x v="0"/>
    <x v="37"/>
    <x v="6"/>
    <x v="3"/>
    <n v="5"/>
    <n v="1080"/>
    <n v="5400"/>
    <n v="900"/>
    <n v="4500"/>
    <n v="900"/>
    <n v="0.16666666666666666"/>
  </r>
  <r>
    <x v="59"/>
    <s v="ORD-00826"/>
    <x v="0"/>
    <x v="5"/>
    <x v="85"/>
    <x v="6"/>
    <x v="3"/>
    <n v="7"/>
    <n v="1287"/>
    <n v="9009"/>
    <n v="900"/>
    <n v="6300"/>
    <n v="2709"/>
    <n v="0.30069930069930068"/>
  </r>
  <r>
    <x v="59"/>
    <s v="ORD-00827"/>
    <x v="1"/>
    <x v="5"/>
    <x v="82"/>
    <x v="1"/>
    <x v="1"/>
    <n v="4"/>
    <n v="63900"/>
    <n v="255600"/>
    <n v="45000"/>
    <n v="180000"/>
    <n v="75600"/>
    <n v="0.29577464788732394"/>
  </r>
  <r>
    <x v="59"/>
    <s v="ORD-00828"/>
    <x v="3"/>
    <x v="2"/>
    <x v="66"/>
    <x v="6"/>
    <x v="3"/>
    <n v="8"/>
    <n v="1215"/>
    <n v="9720"/>
    <n v="900"/>
    <n v="7200"/>
    <n v="2520"/>
    <n v="0.25925925925925924"/>
  </r>
  <r>
    <x v="59"/>
    <s v="ORD-00829"/>
    <x v="2"/>
    <x v="0"/>
    <x v="23"/>
    <x v="0"/>
    <x v="0"/>
    <n v="5"/>
    <n v="4480"/>
    <n v="22400"/>
    <n v="3200"/>
    <n v="16000"/>
    <n v="6400"/>
    <n v="0.2857142857142857"/>
  </r>
  <r>
    <x v="59"/>
    <s v="ORD-00830"/>
    <x v="2"/>
    <x v="4"/>
    <x v="91"/>
    <x v="6"/>
    <x v="3"/>
    <n v="7"/>
    <n v="1197"/>
    <n v="8379"/>
    <n v="900"/>
    <n v="6300"/>
    <n v="2079"/>
    <n v="0.24812030075187969"/>
  </r>
  <r>
    <x v="59"/>
    <s v="ORD-00831"/>
    <x v="2"/>
    <x v="5"/>
    <x v="112"/>
    <x v="2"/>
    <x v="1"/>
    <n v="9"/>
    <n v="52060.000000000007"/>
    <n v="468540.00000000006"/>
    <n v="38000"/>
    <n v="342000"/>
    <n v="126540.00000000006"/>
    <n v="0.27007299270073004"/>
  </r>
  <r>
    <x v="59"/>
    <s v="ORD-00832"/>
    <x v="1"/>
    <x v="3"/>
    <x v="78"/>
    <x v="2"/>
    <x v="1"/>
    <n v="5"/>
    <n v="47500"/>
    <n v="237500"/>
    <n v="38000"/>
    <n v="190000"/>
    <n v="47500"/>
    <n v="0.2"/>
  </r>
  <r>
    <x v="59"/>
    <s v="ORD-00833"/>
    <x v="3"/>
    <x v="4"/>
    <x v="148"/>
    <x v="2"/>
    <x v="1"/>
    <n v="1"/>
    <n v="46360"/>
    <n v="46360"/>
    <n v="38000"/>
    <n v="38000"/>
    <n v="8360"/>
    <n v="0.18032786885245902"/>
  </r>
  <r>
    <x v="59"/>
    <s v="ORD-00834"/>
    <x v="3"/>
    <x v="1"/>
    <x v="22"/>
    <x v="0"/>
    <x v="0"/>
    <n v="4"/>
    <n v="3968"/>
    <n v="15872"/>
    <n v="3200"/>
    <n v="12800"/>
    <n v="3072"/>
    <n v="0.19354838709677419"/>
  </r>
  <r>
    <x v="59"/>
    <s v="ORD-00835"/>
    <x v="0"/>
    <x v="5"/>
    <x v="43"/>
    <x v="2"/>
    <x v="1"/>
    <n v="5"/>
    <n v="45980"/>
    <n v="229900"/>
    <n v="38000"/>
    <n v="190000"/>
    <n v="39900"/>
    <n v="0.17355371900826447"/>
  </r>
  <r>
    <x v="59"/>
    <s v="ORD-00836"/>
    <x v="3"/>
    <x v="5"/>
    <x v="17"/>
    <x v="2"/>
    <x v="1"/>
    <n v="10"/>
    <n v="54720"/>
    <n v="547200"/>
    <n v="38000"/>
    <n v="380000"/>
    <n v="167200"/>
    <n v="0.30555555555555558"/>
  </r>
  <r>
    <x v="59"/>
    <s v="ORD-00837"/>
    <x v="0"/>
    <x v="1"/>
    <x v="51"/>
    <x v="1"/>
    <x v="1"/>
    <n v="5"/>
    <n v="60300"/>
    <n v="301500"/>
    <n v="45000"/>
    <n v="225000"/>
    <n v="76500"/>
    <n v="0.2537313432835821"/>
  </r>
  <r>
    <x v="59"/>
    <s v="ORD-00838"/>
    <x v="0"/>
    <x v="3"/>
    <x v="109"/>
    <x v="1"/>
    <x v="1"/>
    <n v="3"/>
    <n v="60750.000000000007"/>
    <n v="182250.00000000003"/>
    <n v="45000"/>
    <n v="135000"/>
    <n v="47250.000000000029"/>
    <n v="0.25925925925925936"/>
  </r>
  <r>
    <x v="60"/>
    <s v="ORD-00839"/>
    <x v="3"/>
    <x v="4"/>
    <x v="77"/>
    <x v="6"/>
    <x v="3"/>
    <n v="5"/>
    <n v="1260"/>
    <n v="6300"/>
    <n v="900"/>
    <n v="4500"/>
    <n v="1800"/>
    <n v="0.2857142857142857"/>
  </r>
  <r>
    <x v="60"/>
    <s v="ORD-00840"/>
    <x v="2"/>
    <x v="1"/>
    <x v="95"/>
    <x v="7"/>
    <x v="2"/>
    <n v="7"/>
    <n v="8610"/>
    <n v="60270"/>
    <n v="7000"/>
    <n v="49000"/>
    <n v="11270"/>
    <n v="0.18699186991869918"/>
  </r>
  <r>
    <x v="60"/>
    <s v="ORD-00841"/>
    <x v="0"/>
    <x v="4"/>
    <x v="92"/>
    <x v="0"/>
    <x v="0"/>
    <n v="6"/>
    <n v="4384"/>
    <n v="26304"/>
    <n v="3200"/>
    <n v="19200"/>
    <n v="7104"/>
    <n v="0.27007299270072993"/>
  </r>
  <r>
    <x v="60"/>
    <s v="ORD-00842"/>
    <x v="0"/>
    <x v="0"/>
    <x v="51"/>
    <x v="1"/>
    <x v="1"/>
    <n v="10"/>
    <n v="63450"/>
    <n v="634500"/>
    <n v="45000"/>
    <n v="450000"/>
    <n v="184500"/>
    <n v="0.29078014184397161"/>
  </r>
  <r>
    <x v="60"/>
    <s v="ORD-00843"/>
    <x v="3"/>
    <x v="5"/>
    <x v="139"/>
    <x v="2"/>
    <x v="1"/>
    <n v="2"/>
    <n v="47500"/>
    <n v="95000"/>
    <n v="38000"/>
    <n v="76000"/>
    <n v="19000"/>
    <n v="0.2"/>
  </r>
  <r>
    <x v="60"/>
    <s v="ORD-00844"/>
    <x v="0"/>
    <x v="5"/>
    <x v="104"/>
    <x v="4"/>
    <x v="2"/>
    <n v="10"/>
    <n v="10710"/>
    <n v="107100"/>
    <n v="8500"/>
    <n v="85000"/>
    <n v="22100"/>
    <n v="0.20634920634920634"/>
  </r>
  <r>
    <x v="60"/>
    <s v="ORD-00845"/>
    <x v="2"/>
    <x v="2"/>
    <x v="36"/>
    <x v="1"/>
    <x v="1"/>
    <n v="7"/>
    <n v="65250"/>
    <n v="456750"/>
    <n v="45000"/>
    <n v="315000"/>
    <n v="141750"/>
    <n v="0.31034482758620691"/>
  </r>
  <r>
    <x v="60"/>
    <s v="ORD-00846"/>
    <x v="0"/>
    <x v="0"/>
    <x v="136"/>
    <x v="4"/>
    <x v="2"/>
    <n v="6"/>
    <n v="10200"/>
    <n v="61200"/>
    <n v="8500"/>
    <n v="51000"/>
    <n v="10200"/>
    <n v="0.16666666666666666"/>
  </r>
  <r>
    <x v="60"/>
    <s v="ORD-00847"/>
    <x v="3"/>
    <x v="5"/>
    <x v="90"/>
    <x v="2"/>
    <x v="1"/>
    <n v="5"/>
    <n v="54720"/>
    <n v="273600"/>
    <n v="38000"/>
    <n v="190000"/>
    <n v="83600"/>
    <n v="0.30555555555555558"/>
  </r>
  <r>
    <x v="60"/>
    <s v="ORD-00848"/>
    <x v="2"/>
    <x v="4"/>
    <x v="45"/>
    <x v="5"/>
    <x v="3"/>
    <n v="10"/>
    <n v="738"/>
    <n v="7380"/>
    <n v="600"/>
    <n v="6000"/>
    <n v="1380"/>
    <n v="0.18699186991869918"/>
  </r>
  <r>
    <x v="60"/>
    <s v="ORD-00849"/>
    <x v="3"/>
    <x v="4"/>
    <x v="78"/>
    <x v="4"/>
    <x v="2"/>
    <n v="9"/>
    <n v="10880"/>
    <n v="97920"/>
    <n v="8500"/>
    <n v="76500"/>
    <n v="21420"/>
    <n v="0.21875"/>
  </r>
  <r>
    <x v="60"/>
    <s v="ORD-00850"/>
    <x v="2"/>
    <x v="3"/>
    <x v="126"/>
    <x v="7"/>
    <x v="2"/>
    <n v="8"/>
    <n v="8960"/>
    <n v="71680"/>
    <n v="7000"/>
    <n v="56000"/>
    <n v="15680"/>
    <n v="0.21875"/>
  </r>
  <r>
    <x v="60"/>
    <s v="ORD-00851"/>
    <x v="1"/>
    <x v="5"/>
    <x v="6"/>
    <x v="3"/>
    <x v="0"/>
    <n v="1"/>
    <n v="3350"/>
    <n v="3350"/>
    <n v="2500"/>
    <n v="2500"/>
    <n v="850"/>
    <n v="0.2537313432835821"/>
  </r>
  <r>
    <x v="60"/>
    <s v="ORD-00852"/>
    <x v="1"/>
    <x v="3"/>
    <x v="149"/>
    <x v="5"/>
    <x v="3"/>
    <n v="9"/>
    <n v="815.99999999999989"/>
    <n v="7343.9999999999991"/>
    <n v="600"/>
    <n v="5400"/>
    <n v="1943.9999999999991"/>
    <n v="0.26470588235294107"/>
  </r>
  <r>
    <x v="61"/>
    <s v="ORD-00853"/>
    <x v="0"/>
    <x v="1"/>
    <x v="135"/>
    <x v="7"/>
    <x v="2"/>
    <n v="8"/>
    <n v="10010"/>
    <n v="80080"/>
    <n v="7000"/>
    <n v="56000"/>
    <n v="24080"/>
    <n v="0.30069930069930068"/>
  </r>
  <r>
    <x v="61"/>
    <s v="ORD-00854"/>
    <x v="0"/>
    <x v="5"/>
    <x v="76"/>
    <x v="4"/>
    <x v="2"/>
    <n v="5"/>
    <n v="11135"/>
    <n v="55675"/>
    <n v="8500"/>
    <n v="42500"/>
    <n v="13175"/>
    <n v="0.23664122137404581"/>
  </r>
  <r>
    <x v="61"/>
    <s v="ORD-00855"/>
    <x v="3"/>
    <x v="1"/>
    <x v="88"/>
    <x v="4"/>
    <x v="2"/>
    <n v="6"/>
    <n v="10370"/>
    <n v="62220"/>
    <n v="8500"/>
    <n v="51000"/>
    <n v="11220"/>
    <n v="0.18032786885245902"/>
  </r>
  <r>
    <x v="61"/>
    <s v="ORD-00856"/>
    <x v="2"/>
    <x v="0"/>
    <x v="112"/>
    <x v="5"/>
    <x v="3"/>
    <n v="6"/>
    <n v="738"/>
    <n v="4428"/>
    <n v="600"/>
    <n v="3600"/>
    <n v="828"/>
    <n v="0.18699186991869918"/>
  </r>
  <r>
    <x v="61"/>
    <s v="ORD-00857"/>
    <x v="2"/>
    <x v="1"/>
    <x v="74"/>
    <x v="0"/>
    <x v="0"/>
    <n v="7"/>
    <n v="3936"/>
    <n v="27552"/>
    <n v="3200"/>
    <n v="22400"/>
    <n v="5152"/>
    <n v="0.18699186991869918"/>
  </r>
  <r>
    <x v="61"/>
    <s v="ORD-00858"/>
    <x v="1"/>
    <x v="4"/>
    <x v="80"/>
    <x v="5"/>
    <x v="3"/>
    <n v="5"/>
    <n v="810"/>
    <n v="4050"/>
    <n v="600"/>
    <n v="3000"/>
    <n v="1050"/>
    <n v="0.25925925925925924"/>
  </r>
  <r>
    <x v="61"/>
    <s v="ORD-00859"/>
    <x v="1"/>
    <x v="0"/>
    <x v="64"/>
    <x v="2"/>
    <x v="1"/>
    <n v="5"/>
    <n v="54340"/>
    <n v="271700"/>
    <n v="38000"/>
    <n v="190000"/>
    <n v="81700"/>
    <n v="0.30069930069930068"/>
  </r>
  <r>
    <x v="61"/>
    <s v="ORD-00860"/>
    <x v="2"/>
    <x v="0"/>
    <x v="86"/>
    <x v="5"/>
    <x v="3"/>
    <n v="4"/>
    <n v="774"/>
    <n v="3096"/>
    <n v="600"/>
    <n v="2400"/>
    <n v="696"/>
    <n v="0.22480620155038761"/>
  </r>
  <r>
    <x v="61"/>
    <s v="ORD-00861"/>
    <x v="0"/>
    <x v="1"/>
    <x v="95"/>
    <x v="4"/>
    <x v="2"/>
    <n v="6"/>
    <n v="10710"/>
    <n v="64260"/>
    <n v="8500"/>
    <n v="51000"/>
    <n v="13260"/>
    <n v="0.20634920634920634"/>
  </r>
  <r>
    <x v="61"/>
    <s v="ORD-00862"/>
    <x v="0"/>
    <x v="1"/>
    <x v="66"/>
    <x v="1"/>
    <x v="1"/>
    <n v="5"/>
    <n v="61199.999999999993"/>
    <n v="305999.99999999994"/>
    <n v="45000"/>
    <n v="225000"/>
    <n v="80999.999999999942"/>
    <n v="0.26470588235294101"/>
  </r>
  <r>
    <x v="61"/>
    <s v="ORD-00863"/>
    <x v="3"/>
    <x v="0"/>
    <x v="85"/>
    <x v="2"/>
    <x v="1"/>
    <n v="4"/>
    <n v="49020"/>
    <n v="196080"/>
    <n v="38000"/>
    <n v="152000"/>
    <n v="44080"/>
    <n v="0.22480620155038761"/>
  </r>
  <r>
    <x v="61"/>
    <s v="ORD-00864"/>
    <x v="2"/>
    <x v="0"/>
    <x v="8"/>
    <x v="0"/>
    <x v="0"/>
    <n v="3"/>
    <n v="4576"/>
    <n v="13728"/>
    <n v="3200"/>
    <n v="9600"/>
    <n v="4128"/>
    <n v="0.30069930069930068"/>
  </r>
  <r>
    <x v="61"/>
    <s v="ORD-00865"/>
    <x v="1"/>
    <x v="2"/>
    <x v="75"/>
    <x v="7"/>
    <x v="2"/>
    <n v="8"/>
    <n v="9450"/>
    <n v="75600"/>
    <n v="7000"/>
    <n v="56000"/>
    <n v="19600"/>
    <n v="0.25925925925925924"/>
  </r>
  <r>
    <x v="61"/>
    <s v="ORD-00866"/>
    <x v="1"/>
    <x v="5"/>
    <x v="4"/>
    <x v="3"/>
    <x v="0"/>
    <n v="6"/>
    <n v="3200"/>
    <n v="19200"/>
    <n v="2500"/>
    <n v="15000"/>
    <n v="4200"/>
    <n v="0.21875"/>
  </r>
  <r>
    <x v="62"/>
    <s v="ORD-00867"/>
    <x v="1"/>
    <x v="4"/>
    <x v="3"/>
    <x v="7"/>
    <x v="2"/>
    <n v="9"/>
    <n v="8470"/>
    <n v="76230"/>
    <n v="7000"/>
    <n v="63000"/>
    <n v="13230"/>
    <n v="0.17355371900826447"/>
  </r>
  <r>
    <x v="62"/>
    <s v="ORD-00868"/>
    <x v="2"/>
    <x v="4"/>
    <x v="127"/>
    <x v="6"/>
    <x v="3"/>
    <n v="10"/>
    <n v="1125"/>
    <n v="11250"/>
    <n v="900"/>
    <n v="9000"/>
    <n v="2250"/>
    <n v="0.2"/>
  </r>
  <r>
    <x v="62"/>
    <s v="ORD-00869"/>
    <x v="0"/>
    <x v="1"/>
    <x v="100"/>
    <x v="4"/>
    <x v="2"/>
    <n v="3"/>
    <n v="11985"/>
    <n v="35955"/>
    <n v="8500"/>
    <n v="25500"/>
    <n v="10455"/>
    <n v="0.29078014184397161"/>
  </r>
  <r>
    <x v="62"/>
    <s v="ORD-00870"/>
    <x v="3"/>
    <x v="1"/>
    <x v="5"/>
    <x v="5"/>
    <x v="3"/>
    <n v="10"/>
    <n v="774"/>
    <n v="7740"/>
    <n v="600"/>
    <n v="6000"/>
    <n v="1740"/>
    <n v="0.22480620155038761"/>
  </r>
  <r>
    <x v="62"/>
    <s v="ORD-00871"/>
    <x v="1"/>
    <x v="2"/>
    <x v="143"/>
    <x v="0"/>
    <x v="0"/>
    <n v="3"/>
    <n v="4256"/>
    <n v="12768"/>
    <n v="3200"/>
    <n v="9600"/>
    <n v="3168"/>
    <n v="0.24812030075187969"/>
  </r>
  <r>
    <x v="62"/>
    <s v="ORD-00872"/>
    <x v="3"/>
    <x v="1"/>
    <x v="42"/>
    <x v="7"/>
    <x v="2"/>
    <n v="8"/>
    <n v="9660"/>
    <n v="77280"/>
    <n v="7000"/>
    <n v="56000"/>
    <n v="21280"/>
    <n v="0.27536231884057971"/>
  </r>
  <r>
    <x v="62"/>
    <s v="ORD-00873"/>
    <x v="3"/>
    <x v="3"/>
    <x v="39"/>
    <x v="0"/>
    <x v="0"/>
    <n v="2"/>
    <n v="3936"/>
    <n v="7872"/>
    <n v="3200"/>
    <n v="6400"/>
    <n v="1472"/>
    <n v="0.18699186991869918"/>
  </r>
  <r>
    <x v="62"/>
    <s v="ORD-00874"/>
    <x v="2"/>
    <x v="3"/>
    <x v="43"/>
    <x v="5"/>
    <x v="3"/>
    <n v="1"/>
    <n v="858"/>
    <n v="858"/>
    <n v="600"/>
    <n v="600"/>
    <n v="258"/>
    <n v="0.30069930069930068"/>
  </r>
  <r>
    <x v="62"/>
    <s v="ORD-00875"/>
    <x v="2"/>
    <x v="4"/>
    <x v="126"/>
    <x v="6"/>
    <x v="3"/>
    <n v="4"/>
    <n v="1296"/>
    <n v="5184"/>
    <n v="900"/>
    <n v="3600"/>
    <n v="1584"/>
    <n v="0.30555555555555558"/>
  </r>
  <r>
    <x v="62"/>
    <s v="ORD-00876"/>
    <x v="3"/>
    <x v="3"/>
    <x v="55"/>
    <x v="4"/>
    <x v="2"/>
    <n v="3"/>
    <n v="10710"/>
    <n v="32130"/>
    <n v="8500"/>
    <n v="25500"/>
    <n v="6630"/>
    <n v="0.20634920634920634"/>
  </r>
  <r>
    <x v="62"/>
    <s v="ORD-00877"/>
    <x v="0"/>
    <x v="4"/>
    <x v="88"/>
    <x v="4"/>
    <x v="2"/>
    <n v="5"/>
    <n v="10540"/>
    <n v="52700"/>
    <n v="8500"/>
    <n v="42500"/>
    <n v="10200"/>
    <n v="0.19354838709677419"/>
  </r>
  <r>
    <x v="62"/>
    <s v="ORD-00878"/>
    <x v="0"/>
    <x v="0"/>
    <x v="4"/>
    <x v="0"/>
    <x v="0"/>
    <n v="9"/>
    <n v="4064"/>
    <n v="36576"/>
    <n v="3200"/>
    <n v="28800"/>
    <n v="7776"/>
    <n v="0.2125984251968504"/>
  </r>
  <r>
    <x v="62"/>
    <s v="ORD-00879"/>
    <x v="3"/>
    <x v="2"/>
    <x v="108"/>
    <x v="7"/>
    <x v="2"/>
    <n v="3"/>
    <n v="8680"/>
    <n v="26040"/>
    <n v="7000"/>
    <n v="21000"/>
    <n v="5040"/>
    <n v="0.19354838709677419"/>
  </r>
  <r>
    <x v="62"/>
    <s v="ORD-00880"/>
    <x v="2"/>
    <x v="5"/>
    <x v="85"/>
    <x v="3"/>
    <x v="0"/>
    <n v="8"/>
    <n v="3350"/>
    <n v="26800"/>
    <n v="2500"/>
    <n v="20000"/>
    <n v="6800"/>
    <n v="0.2537313432835821"/>
  </r>
  <r>
    <x v="63"/>
    <s v="ORD-00881"/>
    <x v="1"/>
    <x v="3"/>
    <x v="58"/>
    <x v="1"/>
    <x v="1"/>
    <n v="2"/>
    <n v="58950"/>
    <n v="117900"/>
    <n v="45000"/>
    <n v="90000"/>
    <n v="27900"/>
    <n v="0.23664122137404581"/>
  </r>
  <r>
    <x v="63"/>
    <s v="ORD-00882"/>
    <x v="0"/>
    <x v="5"/>
    <x v="102"/>
    <x v="6"/>
    <x v="3"/>
    <n v="9"/>
    <n v="1170"/>
    <n v="10530"/>
    <n v="900"/>
    <n v="8100"/>
    <n v="2430"/>
    <n v="0.23076923076923078"/>
  </r>
  <r>
    <x v="63"/>
    <s v="ORD-00883"/>
    <x v="0"/>
    <x v="5"/>
    <x v="97"/>
    <x v="0"/>
    <x v="0"/>
    <n v="3"/>
    <n v="4000"/>
    <n v="12000"/>
    <n v="3200"/>
    <n v="9600"/>
    <n v="2400"/>
    <n v="0.2"/>
  </r>
  <r>
    <x v="63"/>
    <s v="ORD-00884"/>
    <x v="3"/>
    <x v="5"/>
    <x v="139"/>
    <x v="6"/>
    <x v="3"/>
    <n v="7"/>
    <n v="1197"/>
    <n v="8379"/>
    <n v="900"/>
    <n v="6300"/>
    <n v="2079"/>
    <n v="0.24812030075187969"/>
  </r>
  <r>
    <x v="63"/>
    <s v="ORD-00885"/>
    <x v="1"/>
    <x v="5"/>
    <x v="148"/>
    <x v="1"/>
    <x v="1"/>
    <n v="9"/>
    <n v="65250"/>
    <n v="587250"/>
    <n v="45000"/>
    <n v="405000"/>
    <n v="182250"/>
    <n v="0.31034482758620691"/>
  </r>
  <r>
    <x v="63"/>
    <s v="ORD-00886"/>
    <x v="1"/>
    <x v="5"/>
    <x v="136"/>
    <x v="3"/>
    <x v="0"/>
    <n v="5"/>
    <n v="3425.0000000000005"/>
    <n v="17125.000000000004"/>
    <n v="2500"/>
    <n v="12500"/>
    <n v="4625.0000000000036"/>
    <n v="0.2700729927007301"/>
  </r>
  <r>
    <x v="63"/>
    <s v="ORD-00887"/>
    <x v="2"/>
    <x v="0"/>
    <x v="51"/>
    <x v="0"/>
    <x v="0"/>
    <n v="8"/>
    <n v="3936"/>
    <n v="31488"/>
    <n v="3200"/>
    <n v="25600"/>
    <n v="5888"/>
    <n v="0.18699186991869918"/>
  </r>
  <r>
    <x v="63"/>
    <s v="ORD-00888"/>
    <x v="1"/>
    <x v="3"/>
    <x v="56"/>
    <x v="2"/>
    <x v="1"/>
    <n v="2"/>
    <n v="48260"/>
    <n v="96520"/>
    <n v="38000"/>
    <n v="76000"/>
    <n v="20520"/>
    <n v="0.2125984251968504"/>
  </r>
  <r>
    <x v="63"/>
    <s v="ORD-00889"/>
    <x v="0"/>
    <x v="5"/>
    <x v="25"/>
    <x v="7"/>
    <x v="2"/>
    <n v="9"/>
    <n v="9380"/>
    <n v="84420"/>
    <n v="7000"/>
    <n v="63000"/>
    <n v="21420"/>
    <n v="0.2537313432835821"/>
  </r>
  <r>
    <x v="63"/>
    <s v="ORD-00890"/>
    <x v="2"/>
    <x v="0"/>
    <x v="8"/>
    <x v="2"/>
    <x v="1"/>
    <n v="9"/>
    <n v="46360"/>
    <n v="417240"/>
    <n v="38000"/>
    <n v="342000"/>
    <n v="75240"/>
    <n v="0.18032786885245902"/>
  </r>
  <r>
    <x v="63"/>
    <s v="ORD-00891"/>
    <x v="3"/>
    <x v="4"/>
    <x v="129"/>
    <x v="5"/>
    <x v="3"/>
    <n v="10"/>
    <n v="840"/>
    <n v="8400"/>
    <n v="600"/>
    <n v="6000"/>
    <n v="2400"/>
    <n v="0.2857142857142857"/>
  </r>
  <r>
    <x v="63"/>
    <s v="ORD-00892"/>
    <x v="1"/>
    <x v="4"/>
    <x v="66"/>
    <x v="1"/>
    <x v="1"/>
    <n v="8"/>
    <n v="62999.999999999993"/>
    <n v="503999.99999999994"/>
    <n v="45000"/>
    <n v="360000"/>
    <n v="143999.99999999994"/>
    <n v="0.28571428571428564"/>
  </r>
  <r>
    <x v="63"/>
    <s v="ORD-00893"/>
    <x v="3"/>
    <x v="2"/>
    <x v="24"/>
    <x v="1"/>
    <x v="1"/>
    <n v="2"/>
    <n v="60750.000000000007"/>
    <n v="121500.00000000001"/>
    <n v="45000"/>
    <n v="90000"/>
    <n v="31500.000000000015"/>
    <n v="0.25925925925925936"/>
  </r>
  <r>
    <x v="63"/>
    <s v="ORD-00894"/>
    <x v="0"/>
    <x v="1"/>
    <x v="35"/>
    <x v="1"/>
    <x v="1"/>
    <n v="4"/>
    <n v="62999.999999999993"/>
    <n v="251999.99999999997"/>
    <n v="45000"/>
    <n v="180000"/>
    <n v="71999.999999999971"/>
    <n v="0.28571428571428564"/>
  </r>
  <r>
    <x v="64"/>
    <s v="ORD-00895"/>
    <x v="0"/>
    <x v="3"/>
    <x v="87"/>
    <x v="7"/>
    <x v="2"/>
    <n v="9"/>
    <n v="10080"/>
    <n v="90720"/>
    <n v="7000"/>
    <n v="63000"/>
    <n v="27720"/>
    <n v="0.30555555555555558"/>
  </r>
  <r>
    <x v="64"/>
    <s v="ORD-00896"/>
    <x v="2"/>
    <x v="5"/>
    <x v="6"/>
    <x v="3"/>
    <x v="0"/>
    <n v="7"/>
    <n v="3399.9999999999995"/>
    <n v="23799.999999999996"/>
    <n v="2500"/>
    <n v="17500"/>
    <n v="6299.9999999999964"/>
    <n v="0.26470588235294107"/>
  </r>
  <r>
    <x v="64"/>
    <s v="ORD-00897"/>
    <x v="1"/>
    <x v="3"/>
    <x v="129"/>
    <x v="1"/>
    <x v="1"/>
    <n v="5"/>
    <n v="62099.999999999993"/>
    <n v="310499.99999999994"/>
    <n v="45000"/>
    <n v="225000"/>
    <n v="85499.999999999942"/>
    <n v="0.2753623188405796"/>
  </r>
  <r>
    <x v="64"/>
    <s v="ORD-00898"/>
    <x v="1"/>
    <x v="1"/>
    <x v="114"/>
    <x v="1"/>
    <x v="1"/>
    <n v="3"/>
    <n v="63450"/>
    <n v="190350"/>
    <n v="45000"/>
    <n v="135000"/>
    <n v="55350"/>
    <n v="0.29078014184397161"/>
  </r>
  <r>
    <x v="64"/>
    <s v="ORD-00899"/>
    <x v="3"/>
    <x v="3"/>
    <x v="7"/>
    <x v="5"/>
    <x v="3"/>
    <n v="7"/>
    <n v="786"/>
    <n v="5502"/>
    <n v="600"/>
    <n v="4200"/>
    <n v="1302"/>
    <n v="0.23664122137404581"/>
  </r>
  <r>
    <x v="64"/>
    <s v="ORD-00900"/>
    <x v="2"/>
    <x v="2"/>
    <x v="121"/>
    <x v="0"/>
    <x v="0"/>
    <n v="3"/>
    <n v="4608"/>
    <n v="13824"/>
    <n v="3200"/>
    <n v="9600"/>
    <n v="4224"/>
    <n v="0.30555555555555558"/>
  </r>
  <r>
    <x v="64"/>
    <s v="ORD-00901"/>
    <x v="2"/>
    <x v="4"/>
    <x v="108"/>
    <x v="1"/>
    <x v="1"/>
    <n v="6"/>
    <n v="59400"/>
    <n v="356400"/>
    <n v="45000"/>
    <n v="270000"/>
    <n v="86400"/>
    <n v="0.24242424242424243"/>
  </r>
  <r>
    <x v="64"/>
    <s v="ORD-00902"/>
    <x v="1"/>
    <x v="3"/>
    <x v="84"/>
    <x v="5"/>
    <x v="3"/>
    <n v="4"/>
    <n v="827.99999999999989"/>
    <n v="3311.9999999999995"/>
    <n v="600"/>
    <n v="2400"/>
    <n v="911.99999999999955"/>
    <n v="0.2753623188405796"/>
  </r>
  <r>
    <x v="64"/>
    <s v="ORD-00903"/>
    <x v="2"/>
    <x v="3"/>
    <x v="28"/>
    <x v="0"/>
    <x v="0"/>
    <n v="1"/>
    <n v="3936"/>
    <n v="3936"/>
    <n v="3200"/>
    <n v="3200"/>
    <n v="736"/>
    <n v="0.18699186991869918"/>
  </r>
  <r>
    <x v="64"/>
    <s v="ORD-00904"/>
    <x v="2"/>
    <x v="2"/>
    <x v="128"/>
    <x v="1"/>
    <x v="1"/>
    <n v="4"/>
    <n v="61650.000000000007"/>
    <n v="246600.00000000003"/>
    <n v="45000"/>
    <n v="180000"/>
    <n v="66600.000000000029"/>
    <n v="0.27007299270072999"/>
  </r>
  <r>
    <x v="64"/>
    <s v="ORD-00905"/>
    <x v="3"/>
    <x v="1"/>
    <x v="44"/>
    <x v="7"/>
    <x v="2"/>
    <n v="9"/>
    <n v="9240"/>
    <n v="83160"/>
    <n v="7000"/>
    <n v="63000"/>
    <n v="20160"/>
    <n v="0.24242424242424243"/>
  </r>
  <r>
    <x v="64"/>
    <s v="ORD-00906"/>
    <x v="3"/>
    <x v="1"/>
    <x v="17"/>
    <x v="0"/>
    <x v="0"/>
    <n v="8"/>
    <n v="4384"/>
    <n v="35072"/>
    <n v="3200"/>
    <n v="25600"/>
    <n v="9472"/>
    <n v="0.27007299270072993"/>
  </r>
  <r>
    <x v="64"/>
    <s v="ORD-00907"/>
    <x v="0"/>
    <x v="1"/>
    <x v="81"/>
    <x v="7"/>
    <x v="2"/>
    <n v="4"/>
    <n v="8960"/>
    <n v="35840"/>
    <n v="7000"/>
    <n v="28000"/>
    <n v="7840"/>
    <n v="0.21875"/>
  </r>
  <r>
    <x v="64"/>
    <s v="ORD-00908"/>
    <x v="0"/>
    <x v="5"/>
    <x v="100"/>
    <x v="2"/>
    <x v="1"/>
    <n v="3"/>
    <n v="46740"/>
    <n v="140220"/>
    <n v="38000"/>
    <n v="114000"/>
    <n v="26220"/>
    <n v="0.18699186991869918"/>
  </r>
  <r>
    <x v="65"/>
    <s v="ORD-00909"/>
    <x v="1"/>
    <x v="3"/>
    <x v="131"/>
    <x v="4"/>
    <x v="2"/>
    <n v="7"/>
    <n v="11900"/>
    <n v="83300"/>
    <n v="8500"/>
    <n v="59500"/>
    <n v="23800"/>
    <n v="0.2857142857142857"/>
  </r>
  <r>
    <x v="65"/>
    <s v="ORD-00910"/>
    <x v="0"/>
    <x v="4"/>
    <x v="135"/>
    <x v="5"/>
    <x v="3"/>
    <n v="2"/>
    <n v="726"/>
    <n v="1452"/>
    <n v="600"/>
    <n v="1200"/>
    <n v="252"/>
    <n v="0.17355371900826447"/>
  </r>
  <r>
    <x v="65"/>
    <s v="ORD-00911"/>
    <x v="2"/>
    <x v="3"/>
    <x v="82"/>
    <x v="7"/>
    <x v="2"/>
    <n v="5"/>
    <n v="8960"/>
    <n v="44800"/>
    <n v="7000"/>
    <n v="35000"/>
    <n v="9800"/>
    <n v="0.21875"/>
  </r>
  <r>
    <x v="65"/>
    <s v="ORD-00912"/>
    <x v="0"/>
    <x v="0"/>
    <x v="52"/>
    <x v="7"/>
    <x v="2"/>
    <n v="10"/>
    <n v="8680"/>
    <n v="86800"/>
    <n v="7000"/>
    <n v="70000"/>
    <n v="16800"/>
    <n v="0.19354838709677419"/>
  </r>
  <r>
    <x v="65"/>
    <s v="ORD-00913"/>
    <x v="0"/>
    <x v="4"/>
    <x v="126"/>
    <x v="0"/>
    <x v="0"/>
    <n v="3"/>
    <n v="3968"/>
    <n v="11904"/>
    <n v="3200"/>
    <n v="9600"/>
    <n v="2304"/>
    <n v="0.19354838709677419"/>
  </r>
  <r>
    <x v="65"/>
    <s v="ORD-00914"/>
    <x v="0"/>
    <x v="0"/>
    <x v="71"/>
    <x v="4"/>
    <x v="2"/>
    <n v="9"/>
    <n v="11900"/>
    <n v="107100"/>
    <n v="8500"/>
    <n v="76500"/>
    <n v="30600"/>
    <n v="0.2857142857142857"/>
  </r>
  <r>
    <x v="65"/>
    <s v="ORD-00915"/>
    <x v="3"/>
    <x v="3"/>
    <x v="113"/>
    <x v="1"/>
    <x v="1"/>
    <n v="8"/>
    <n v="55350"/>
    <n v="442800"/>
    <n v="45000"/>
    <n v="360000"/>
    <n v="82800"/>
    <n v="0.18699186991869918"/>
  </r>
  <r>
    <x v="65"/>
    <s v="ORD-00916"/>
    <x v="1"/>
    <x v="4"/>
    <x v="141"/>
    <x v="2"/>
    <x v="1"/>
    <n v="6"/>
    <n v="46360"/>
    <n v="278160"/>
    <n v="38000"/>
    <n v="228000"/>
    <n v="50160"/>
    <n v="0.18032786885245902"/>
  </r>
  <r>
    <x v="65"/>
    <s v="ORD-00917"/>
    <x v="2"/>
    <x v="1"/>
    <x v="19"/>
    <x v="1"/>
    <x v="1"/>
    <n v="9"/>
    <n v="60750.000000000007"/>
    <n v="546750.00000000012"/>
    <n v="45000"/>
    <n v="405000"/>
    <n v="141750.00000000012"/>
    <n v="0.25925925925925941"/>
  </r>
  <r>
    <x v="65"/>
    <s v="ORD-00918"/>
    <x v="0"/>
    <x v="5"/>
    <x v="45"/>
    <x v="1"/>
    <x v="1"/>
    <n v="10"/>
    <n v="55800"/>
    <n v="558000"/>
    <n v="45000"/>
    <n v="450000"/>
    <n v="108000"/>
    <n v="0.19354838709677419"/>
  </r>
  <r>
    <x v="65"/>
    <s v="ORD-00919"/>
    <x v="1"/>
    <x v="5"/>
    <x v="60"/>
    <x v="4"/>
    <x v="2"/>
    <n v="9"/>
    <n v="12325"/>
    <n v="110925"/>
    <n v="8500"/>
    <n v="76500"/>
    <n v="34425"/>
    <n v="0.31034482758620691"/>
  </r>
  <r>
    <x v="65"/>
    <s v="ORD-00920"/>
    <x v="3"/>
    <x v="4"/>
    <x v="42"/>
    <x v="6"/>
    <x v="3"/>
    <n v="9"/>
    <n v="1296"/>
    <n v="11664"/>
    <n v="900"/>
    <n v="8100"/>
    <n v="3564"/>
    <n v="0.30555555555555558"/>
  </r>
  <r>
    <x v="65"/>
    <s v="ORD-00921"/>
    <x v="0"/>
    <x v="3"/>
    <x v="35"/>
    <x v="6"/>
    <x v="3"/>
    <n v="8"/>
    <n v="1098"/>
    <n v="8784"/>
    <n v="900"/>
    <n v="7200"/>
    <n v="1584"/>
    <n v="0.18032786885245902"/>
  </r>
  <r>
    <x v="65"/>
    <s v="ORD-00922"/>
    <x v="3"/>
    <x v="4"/>
    <x v="99"/>
    <x v="3"/>
    <x v="0"/>
    <n v="5"/>
    <n v="3525"/>
    <n v="17625"/>
    <n v="2500"/>
    <n v="12500"/>
    <n v="5125"/>
    <n v="0.29078014184397161"/>
  </r>
  <r>
    <x v="66"/>
    <s v="ORD-00923"/>
    <x v="2"/>
    <x v="3"/>
    <x v="75"/>
    <x v="2"/>
    <x v="1"/>
    <n v="6"/>
    <n v="51300"/>
    <n v="307800"/>
    <n v="38000"/>
    <n v="228000"/>
    <n v="79800"/>
    <n v="0.25925925925925924"/>
  </r>
  <r>
    <x v="66"/>
    <s v="ORD-00924"/>
    <x v="1"/>
    <x v="4"/>
    <x v="55"/>
    <x v="5"/>
    <x v="3"/>
    <n v="9"/>
    <n v="780"/>
    <n v="7020"/>
    <n v="600"/>
    <n v="5400"/>
    <n v="1620"/>
    <n v="0.23076923076923078"/>
  </r>
  <r>
    <x v="66"/>
    <s v="ORD-00925"/>
    <x v="0"/>
    <x v="2"/>
    <x v="113"/>
    <x v="3"/>
    <x v="0"/>
    <n v="10"/>
    <n v="3100"/>
    <n v="31000"/>
    <n v="2500"/>
    <n v="25000"/>
    <n v="6000"/>
    <n v="0.19354838709677419"/>
  </r>
  <r>
    <x v="66"/>
    <s v="ORD-00926"/>
    <x v="1"/>
    <x v="3"/>
    <x v="71"/>
    <x v="5"/>
    <x v="3"/>
    <n v="10"/>
    <n v="744"/>
    <n v="7440"/>
    <n v="600"/>
    <n v="6000"/>
    <n v="1440"/>
    <n v="0.19354838709677419"/>
  </r>
  <r>
    <x v="66"/>
    <s v="ORD-00927"/>
    <x v="0"/>
    <x v="0"/>
    <x v="86"/>
    <x v="3"/>
    <x v="0"/>
    <n v="5"/>
    <n v="3325"/>
    <n v="16625"/>
    <n v="2500"/>
    <n v="12500"/>
    <n v="4125"/>
    <n v="0.24812030075187969"/>
  </r>
  <r>
    <x v="66"/>
    <s v="ORD-00928"/>
    <x v="3"/>
    <x v="5"/>
    <x v="135"/>
    <x v="0"/>
    <x v="0"/>
    <n v="9"/>
    <n v="3872"/>
    <n v="34848"/>
    <n v="3200"/>
    <n v="28800"/>
    <n v="6048"/>
    <n v="0.17355371900826447"/>
  </r>
  <r>
    <x v="66"/>
    <s v="ORD-00929"/>
    <x v="0"/>
    <x v="3"/>
    <x v="148"/>
    <x v="3"/>
    <x v="0"/>
    <n v="4"/>
    <n v="3525"/>
    <n v="14100"/>
    <n v="2500"/>
    <n v="10000"/>
    <n v="4100"/>
    <n v="0.29078014184397161"/>
  </r>
  <r>
    <x v="66"/>
    <s v="ORD-00930"/>
    <x v="3"/>
    <x v="3"/>
    <x v="129"/>
    <x v="0"/>
    <x v="0"/>
    <n v="1"/>
    <n v="4320"/>
    <n v="4320"/>
    <n v="3200"/>
    <n v="3200"/>
    <n v="1120"/>
    <n v="0.25925925925925924"/>
  </r>
  <r>
    <x v="66"/>
    <s v="ORD-00931"/>
    <x v="2"/>
    <x v="4"/>
    <x v="115"/>
    <x v="2"/>
    <x v="1"/>
    <n v="2"/>
    <n v="49780"/>
    <n v="99560"/>
    <n v="38000"/>
    <n v="76000"/>
    <n v="23560"/>
    <n v="0.23664122137404581"/>
  </r>
  <r>
    <x v="66"/>
    <s v="ORD-00932"/>
    <x v="2"/>
    <x v="1"/>
    <x v="65"/>
    <x v="3"/>
    <x v="0"/>
    <n v="5"/>
    <n v="3375"/>
    <n v="16875"/>
    <n v="2500"/>
    <n v="12500"/>
    <n v="4375"/>
    <n v="0.25925925925925924"/>
  </r>
  <r>
    <x v="66"/>
    <s v="ORD-00933"/>
    <x v="3"/>
    <x v="3"/>
    <x v="115"/>
    <x v="6"/>
    <x v="3"/>
    <n v="2"/>
    <n v="1161"/>
    <n v="2322"/>
    <n v="900"/>
    <n v="1800"/>
    <n v="522"/>
    <n v="0.22480620155038761"/>
  </r>
  <r>
    <x v="66"/>
    <s v="ORD-00934"/>
    <x v="2"/>
    <x v="3"/>
    <x v="81"/>
    <x v="5"/>
    <x v="3"/>
    <n v="6"/>
    <n v="768"/>
    <n v="4608"/>
    <n v="600"/>
    <n v="3600"/>
    <n v="1008"/>
    <n v="0.21875"/>
  </r>
  <r>
    <x v="66"/>
    <s v="ORD-00935"/>
    <x v="3"/>
    <x v="2"/>
    <x v="46"/>
    <x v="7"/>
    <x v="2"/>
    <n v="2"/>
    <n v="8680"/>
    <n v="17360"/>
    <n v="7000"/>
    <n v="14000"/>
    <n v="3360"/>
    <n v="0.19354838709677419"/>
  </r>
  <r>
    <x v="66"/>
    <s v="ORD-00936"/>
    <x v="3"/>
    <x v="3"/>
    <x v="135"/>
    <x v="2"/>
    <x v="1"/>
    <n v="2"/>
    <n v="52060.000000000007"/>
    <n v="104120.00000000001"/>
    <n v="38000"/>
    <n v="76000"/>
    <n v="28120.000000000015"/>
    <n v="0.27007299270073004"/>
  </r>
  <r>
    <x v="67"/>
    <s v="ORD-00937"/>
    <x v="1"/>
    <x v="3"/>
    <x v="61"/>
    <x v="4"/>
    <x v="2"/>
    <n v="4"/>
    <n v="11220"/>
    <n v="44880"/>
    <n v="8500"/>
    <n v="34000"/>
    <n v="10880"/>
    <n v="0.24242424242424243"/>
  </r>
  <r>
    <x v="67"/>
    <s v="ORD-00938"/>
    <x v="0"/>
    <x v="0"/>
    <x v="7"/>
    <x v="4"/>
    <x v="2"/>
    <n v="6"/>
    <n v="11815.000000000002"/>
    <n v="70890.000000000015"/>
    <n v="8500"/>
    <n v="51000"/>
    <n v="19890.000000000015"/>
    <n v="0.28057553956834547"/>
  </r>
  <r>
    <x v="67"/>
    <s v="ORD-00939"/>
    <x v="2"/>
    <x v="3"/>
    <x v="10"/>
    <x v="4"/>
    <x v="2"/>
    <n v="8"/>
    <n v="12325"/>
    <n v="98600"/>
    <n v="8500"/>
    <n v="68000"/>
    <n v="30600"/>
    <n v="0.31034482758620691"/>
  </r>
  <r>
    <x v="67"/>
    <s v="ORD-00940"/>
    <x v="2"/>
    <x v="0"/>
    <x v="100"/>
    <x v="0"/>
    <x v="0"/>
    <n v="2"/>
    <n v="4128"/>
    <n v="8256"/>
    <n v="3200"/>
    <n v="6400"/>
    <n v="1856"/>
    <n v="0.22480620155038761"/>
  </r>
  <r>
    <x v="67"/>
    <s v="ORD-00941"/>
    <x v="0"/>
    <x v="2"/>
    <x v="43"/>
    <x v="6"/>
    <x v="3"/>
    <n v="3"/>
    <n v="1233"/>
    <n v="3699"/>
    <n v="900"/>
    <n v="2700"/>
    <n v="999"/>
    <n v="0.27007299270072993"/>
  </r>
  <r>
    <x v="67"/>
    <s v="ORD-00942"/>
    <x v="0"/>
    <x v="1"/>
    <x v="7"/>
    <x v="3"/>
    <x v="0"/>
    <n v="9"/>
    <n v="3125"/>
    <n v="28125"/>
    <n v="2500"/>
    <n v="22500"/>
    <n v="5625"/>
    <n v="0.2"/>
  </r>
  <r>
    <x v="67"/>
    <s v="ORD-00943"/>
    <x v="2"/>
    <x v="4"/>
    <x v="107"/>
    <x v="3"/>
    <x v="0"/>
    <n v="4"/>
    <n v="3250"/>
    <n v="13000"/>
    <n v="2500"/>
    <n v="10000"/>
    <n v="3000"/>
    <n v="0.23076923076923078"/>
  </r>
  <r>
    <x v="67"/>
    <s v="ORD-00944"/>
    <x v="3"/>
    <x v="2"/>
    <x v="24"/>
    <x v="7"/>
    <x v="2"/>
    <n v="2"/>
    <n v="9170"/>
    <n v="18340"/>
    <n v="7000"/>
    <n v="14000"/>
    <n v="4340"/>
    <n v="0.23664122137404581"/>
  </r>
  <r>
    <x v="67"/>
    <s v="ORD-00945"/>
    <x v="3"/>
    <x v="5"/>
    <x v="60"/>
    <x v="7"/>
    <x v="2"/>
    <n v="2"/>
    <n v="9730"/>
    <n v="19460"/>
    <n v="7000"/>
    <n v="14000"/>
    <n v="5460"/>
    <n v="0.2805755395683453"/>
  </r>
  <r>
    <x v="67"/>
    <s v="ORD-00946"/>
    <x v="1"/>
    <x v="1"/>
    <x v="30"/>
    <x v="2"/>
    <x v="1"/>
    <n v="7"/>
    <n v="49400"/>
    <n v="345800"/>
    <n v="38000"/>
    <n v="266000"/>
    <n v="79800"/>
    <n v="0.23076923076923078"/>
  </r>
  <r>
    <x v="67"/>
    <s v="ORD-00947"/>
    <x v="3"/>
    <x v="4"/>
    <x v="10"/>
    <x v="7"/>
    <x v="2"/>
    <n v="4"/>
    <n v="9730"/>
    <n v="38920"/>
    <n v="7000"/>
    <n v="28000"/>
    <n v="10920"/>
    <n v="0.2805755395683453"/>
  </r>
  <r>
    <x v="67"/>
    <s v="ORD-00948"/>
    <x v="0"/>
    <x v="3"/>
    <x v="97"/>
    <x v="2"/>
    <x v="1"/>
    <n v="8"/>
    <n v="50160"/>
    <n v="401280"/>
    <n v="38000"/>
    <n v="304000"/>
    <n v="97280"/>
    <n v="0.24242424242424243"/>
  </r>
  <r>
    <x v="67"/>
    <s v="ORD-00949"/>
    <x v="1"/>
    <x v="0"/>
    <x v="59"/>
    <x v="7"/>
    <x v="2"/>
    <n v="7"/>
    <n v="8960"/>
    <n v="62720"/>
    <n v="7000"/>
    <n v="49000"/>
    <n v="13720"/>
    <n v="0.21875"/>
  </r>
  <r>
    <x v="67"/>
    <s v="ORD-00950"/>
    <x v="0"/>
    <x v="0"/>
    <x v="117"/>
    <x v="5"/>
    <x v="3"/>
    <n v="1"/>
    <n v="864"/>
    <n v="864"/>
    <n v="600"/>
    <n v="600"/>
    <n v="264"/>
    <n v="0.30555555555555558"/>
  </r>
  <r>
    <x v="68"/>
    <s v="ORD-00951"/>
    <x v="2"/>
    <x v="5"/>
    <x v="123"/>
    <x v="3"/>
    <x v="0"/>
    <n v="6"/>
    <n v="3050"/>
    <n v="18300"/>
    <n v="2500"/>
    <n v="15000"/>
    <n v="3300"/>
    <n v="0.18032786885245902"/>
  </r>
  <r>
    <x v="68"/>
    <s v="ORD-00952"/>
    <x v="3"/>
    <x v="2"/>
    <x v="143"/>
    <x v="7"/>
    <x v="2"/>
    <n v="3"/>
    <n v="9800"/>
    <n v="29400"/>
    <n v="7000"/>
    <n v="21000"/>
    <n v="8400"/>
    <n v="0.2857142857142857"/>
  </r>
  <r>
    <x v="68"/>
    <s v="ORD-00953"/>
    <x v="1"/>
    <x v="4"/>
    <x v="37"/>
    <x v="0"/>
    <x v="0"/>
    <n v="4"/>
    <n v="4448"/>
    <n v="17792"/>
    <n v="3200"/>
    <n v="12800"/>
    <n v="4992"/>
    <n v="0.2805755395683453"/>
  </r>
  <r>
    <x v="68"/>
    <s v="ORD-00954"/>
    <x v="2"/>
    <x v="2"/>
    <x v="66"/>
    <x v="6"/>
    <x v="3"/>
    <n v="8"/>
    <n v="1125"/>
    <n v="9000"/>
    <n v="900"/>
    <n v="7200"/>
    <n v="1800"/>
    <n v="0.2"/>
  </r>
  <r>
    <x v="68"/>
    <s v="ORD-00955"/>
    <x v="3"/>
    <x v="1"/>
    <x v="100"/>
    <x v="4"/>
    <x v="2"/>
    <n v="6"/>
    <n v="11220"/>
    <n v="67320"/>
    <n v="8500"/>
    <n v="51000"/>
    <n v="16320"/>
    <n v="0.24242424242424243"/>
  </r>
  <r>
    <x v="68"/>
    <s v="ORD-00956"/>
    <x v="1"/>
    <x v="1"/>
    <x v="25"/>
    <x v="3"/>
    <x v="0"/>
    <n v="3"/>
    <n v="3600"/>
    <n v="10800"/>
    <n v="2500"/>
    <n v="7500"/>
    <n v="3300"/>
    <n v="0.30555555555555558"/>
  </r>
  <r>
    <x v="68"/>
    <s v="ORD-00957"/>
    <x v="2"/>
    <x v="0"/>
    <x v="96"/>
    <x v="1"/>
    <x v="1"/>
    <n v="7"/>
    <n v="63900"/>
    <n v="447300"/>
    <n v="45000"/>
    <n v="315000"/>
    <n v="132300"/>
    <n v="0.29577464788732394"/>
  </r>
  <r>
    <x v="68"/>
    <s v="ORD-00958"/>
    <x v="0"/>
    <x v="1"/>
    <x v="111"/>
    <x v="3"/>
    <x v="0"/>
    <n v="8"/>
    <n v="3225"/>
    <n v="25800"/>
    <n v="2500"/>
    <n v="20000"/>
    <n v="5800"/>
    <n v="0.22480620155038761"/>
  </r>
  <r>
    <x v="68"/>
    <s v="ORD-00959"/>
    <x v="2"/>
    <x v="4"/>
    <x v="49"/>
    <x v="5"/>
    <x v="3"/>
    <n v="9"/>
    <n v="726"/>
    <n v="6534"/>
    <n v="600"/>
    <n v="5400"/>
    <n v="1134"/>
    <n v="0.17355371900826447"/>
  </r>
  <r>
    <x v="68"/>
    <s v="ORD-00960"/>
    <x v="0"/>
    <x v="1"/>
    <x v="70"/>
    <x v="7"/>
    <x v="2"/>
    <n v="7"/>
    <n v="8610"/>
    <n v="60270"/>
    <n v="7000"/>
    <n v="49000"/>
    <n v="11270"/>
    <n v="0.18699186991869918"/>
  </r>
  <r>
    <x v="68"/>
    <s v="ORD-00961"/>
    <x v="1"/>
    <x v="0"/>
    <x v="104"/>
    <x v="6"/>
    <x v="3"/>
    <n v="1"/>
    <n v="1152"/>
    <n v="1152"/>
    <n v="900"/>
    <n v="900"/>
    <n v="252"/>
    <n v="0.21875"/>
  </r>
  <r>
    <x v="68"/>
    <s v="ORD-00962"/>
    <x v="3"/>
    <x v="0"/>
    <x v="133"/>
    <x v="3"/>
    <x v="0"/>
    <n v="4"/>
    <n v="3350"/>
    <n v="13400"/>
    <n v="2500"/>
    <n v="10000"/>
    <n v="3400"/>
    <n v="0.2537313432835821"/>
  </r>
  <r>
    <x v="68"/>
    <s v="ORD-00963"/>
    <x v="1"/>
    <x v="4"/>
    <x v="23"/>
    <x v="5"/>
    <x v="3"/>
    <n v="9"/>
    <n v="827.99999999999989"/>
    <n v="7451.9999999999991"/>
    <n v="600"/>
    <n v="5400"/>
    <n v="2051.9999999999991"/>
    <n v="0.2753623188405796"/>
  </r>
  <r>
    <x v="68"/>
    <s v="ORD-00964"/>
    <x v="2"/>
    <x v="3"/>
    <x v="141"/>
    <x v="0"/>
    <x v="0"/>
    <n v="9"/>
    <n v="4448"/>
    <n v="40032"/>
    <n v="3200"/>
    <n v="28800"/>
    <n v="11232"/>
    <n v="0.2805755395683453"/>
  </r>
  <r>
    <x v="69"/>
    <s v="ORD-00965"/>
    <x v="0"/>
    <x v="3"/>
    <x v="100"/>
    <x v="2"/>
    <x v="1"/>
    <n v="7"/>
    <n v="48260"/>
    <n v="337820"/>
    <n v="38000"/>
    <n v="266000"/>
    <n v="71820"/>
    <n v="0.2125984251968504"/>
  </r>
  <r>
    <x v="69"/>
    <s v="ORD-00966"/>
    <x v="3"/>
    <x v="3"/>
    <x v="36"/>
    <x v="1"/>
    <x v="1"/>
    <n v="5"/>
    <n v="59400"/>
    <n v="297000"/>
    <n v="45000"/>
    <n v="225000"/>
    <n v="72000"/>
    <n v="0.24242424242424243"/>
  </r>
  <r>
    <x v="69"/>
    <s v="ORD-00967"/>
    <x v="3"/>
    <x v="2"/>
    <x v="9"/>
    <x v="0"/>
    <x v="0"/>
    <n v="6"/>
    <n v="4256"/>
    <n v="25536"/>
    <n v="3200"/>
    <n v="19200"/>
    <n v="6336"/>
    <n v="0.24812030075187969"/>
  </r>
  <r>
    <x v="69"/>
    <s v="ORD-00968"/>
    <x v="0"/>
    <x v="0"/>
    <x v="69"/>
    <x v="0"/>
    <x v="0"/>
    <n v="8"/>
    <n v="4480"/>
    <n v="35840"/>
    <n v="3200"/>
    <n v="25600"/>
    <n v="10240"/>
    <n v="0.2857142857142857"/>
  </r>
  <r>
    <x v="69"/>
    <s v="ORD-00969"/>
    <x v="0"/>
    <x v="2"/>
    <x v="37"/>
    <x v="7"/>
    <x v="2"/>
    <n v="6"/>
    <n v="9170"/>
    <n v="55020"/>
    <n v="7000"/>
    <n v="42000"/>
    <n v="13020"/>
    <n v="0.23664122137404581"/>
  </r>
  <r>
    <x v="69"/>
    <s v="ORD-00970"/>
    <x v="0"/>
    <x v="5"/>
    <x v="98"/>
    <x v="0"/>
    <x v="0"/>
    <n v="5"/>
    <n v="4640"/>
    <n v="23200"/>
    <n v="3200"/>
    <n v="16000"/>
    <n v="7200"/>
    <n v="0.31034482758620691"/>
  </r>
  <r>
    <x v="69"/>
    <s v="ORD-00971"/>
    <x v="3"/>
    <x v="5"/>
    <x v="113"/>
    <x v="6"/>
    <x v="3"/>
    <n v="7"/>
    <n v="1197"/>
    <n v="8379"/>
    <n v="900"/>
    <n v="6300"/>
    <n v="2079"/>
    <n v="0.24812030075187969"/>
  </r>
  <r>
    <x v="69"/>
    <s v="ORD-00972"/>
    <x v="1"/>
    <x v="3"/>
    <x v="144"/>
    <x v="5"/>
    <x v="3"/>
    <n v="10"/>
    <n v="780"/>
    <n v="7800"/>
    <n v="600"/>
    <n v="6000"/>
    <n v="1800"/>
    <n v="0.23076923076923078"/>
  </r>
  <r>
    <x v="69"/>
    <s v="ORD-00973"/>
    <x v="0"/>
    <x v="1"/>
    <x v="17"/>
    <x v="2"/>
    <x v="1"/>
    <n v="8"/>
    <n v="54340"/>
    <n v="434720"/>
    <n v="38000"/>
    <n v="304000"/>
    <n v="130720"/>
    <n v="0.30069930069930068"/>
  </r>
  <r>
    <x v="69"/>
    <s v="ORD-00974"/>
    <x v="0"/>
    <x v="2"/>
    <x v="92"/>
    <x v="6"/>
    <x v="3"/>
    <n v="8"/>
    <n v="1170"/>
    <n v="9360"/>
    <n v="900"/>
    <n v="7200"/>
    <n v="2160"/>
    <n v="0.23076923076923078"/>
  </r>
  <r>
    <x v="69"/>
    <s v="ORD-00975"/>
    <x v="2"/>
    <x v="2"/>
    <x v="34"/>
    <x v="4"/>
    <x v="2"/>
    <n v="6"/>
    <n v="10965"/>
    <n v="65790"/>
    <n v="8500"/>
    <n v="51000"/>
    <n v="14790"/>
    <n v="0.22480620155038761"/>
  </r>
  <r>
    <x v="69"/>
    <s v="ORD-00976"/>
    <x v="3"/>
    <x v="0"/>
    <x v="81"/>
    <x v="6"/>
    <x v="3"/>
    <n v="9"/>
    <n v="1134"/>
    <n v="10206"/>
    <n v="900"/>
    <n v="8100"/>
    <n v="2106"/>
    <n v="0.20634920634920634"/>
  </r>
  <r>
    <x v="69"/>
    <s v="ORD-00977"/>
    <x v="3"/>
    <x v="2"/>
    <x v="78"/>
    <x v="2"/>
    <x v="1"/>
    <n v="7"/>
    <n v="52060.000000000007"/>
    <n v="364420.00000000006"/>
    <n v="38000"/>
    <n v="266000"/>
    <n v="98420.000000000058"/>
    <n v="0.27007299270073004"/>
  </r>
  <r>
    <x v="69"/>
    <s v="ORD-00978"/>
    <x v="1"/>
    <x v="1"/>
    <x v="67"/>
    <x v="7"/>
    <x v="2"/>
    <n v="9"/>
    <n v="9940"/>
    <n v="89460"/>
    <n v="7000"/>
    <n v="63000"/>
    <n v="26460"/>
    <n v="0.29577464788732394"/>
  </r>
  <r>
    <x v="70"/>
    <s v="ORD-00979"/>
    <x v="2"/>
    <x v="2"/>
    <x v="33"/>
    <x v="1"/>
    <x v="1"/>
    <n v="9"/>
    <n v="62999.999999999993"/>
    <n v="566999.99999999988"/>
    <n v="45000"/>
    <n v="405000"/>
    <n v="161999.99999999988"/>
    <n v="0.28571428571428559"/>
  </r>
  <r>
    <x v="70"/>
    <s v="ORD-00980"/>
    <x v="2"/>
    <x v="3"/>
    <x v="3"/>
    <x v="2"/>
    <x v="1"/>
    <n v="9"/>
    <n v="52439.999999999993"/>
    <n v="471959.99999999994"/>
    <n v="38000"/>
    <n v="342000"/>
    <n v="129959.99999999994"/>
    <n v="0.2753623188405796"/>
  </r>
  <r>
    <x v="70"/>
    <s v="ORD-00981"/>
    <x v="3"/>
    <x v="1"/>
    <x v="143"/>
    <x v="6"/>
    <x v="3"/>
    <n v="9"/>
    <n v="1089"/>
    <n v="9801"/>
    <n v="900"/>
    <n v="8100"/>
    <n v="1701"/>
    <n v="0.17355371900826447"/>
  </r>
  <r>
    <x v="70"/>
    <s v="ORD-00982"/>
    <x v="1"/>
    <x v="2"/>
    <x v="116"/>
    <x v="7"/>
    <x v="2"/>
    <n v="5"/>
    <n v="9870"/>
    <n v="49350"/>
    <n v="7000"/>
    <n v="35000"/>
    <n v="14350"/>
    <n v="0.29078014184397161"/>
  </r>
  <r>
    <x v="70"/>
    <s v="ORD-00983"/>
    <x v="1"/>
    <x v="2"/>
    <x v="12"/>
    <x v="0"/>
    <x v="0"/>
    <n v="4"/>
    <n v="4160"/>
    <n v="16640"/>
    <n v="3200"/>
    <n v="12800"/>
    <n v="3840"/>
    <n v="0.23076923076923078"/>
  </r>
  <r>
    <x v="70"/>
    <s v="ORD-00984"/>
    <x v="0"/>
    <x v="5"/>
    <x v="147"/>
    <x v="0"/>
    <x v="0"/>
    <n v="6"/>
    <n v="4128"/>
    <n v="24768"/>
    <n v="3200"/>
    <n v="19200"/>
    <n v="5568"/>
    <n v="0.22480620155038761"/>
  </r>
  <r>
    <x v="70"/>
    <s v="ORD-00985"/>
    <x v="3"/>
    <x v="2"/>
    <x v="30"/>
    <x v="5"/>
    <x v="3"/>
    <n v="8"/>
    <n v="840"/>
    <n v="6720"/>
    <n v="600"/>
    <n v="4800"/>
    <n v="1920"/>
    <n v="0.2857142857142857"/>
  </r>
  <r>
    <x v="70"/>
    <s v="ORD-00986"/>
    <x v="2"/>
    <x v="5"/>
    <x v="66"/>
    <x v="3"/>
    <x v="0"/>
    <n v="6"/>
    <n v="3025"/>
    <n v="18150"/>
    <n v="2500"/>
    <n v="15000"/>
    <n v="3150"/>
    <n v="0.17355371900826447"/>
  </r>
  <r>
    <x v="70"/>
    <s v="ORD-00987"/>
    <x v="0"/>
    <x v="0"/>
    <x v="34"/>
    <x v="0"/>
    <x v="0"/>
    <n v="8"/>
    <n v="4224"/>
    <n v="33792"/>
    <n v="3200"/>
    <n v="25600"/>
    <n v="8192"/>
    <n v="0.24242424242424243"/>
  </r>
  <r>
    <x v="70"/>
    <s v="ORD-00988"/>
    <x v="2"/>
    <x v="3"/>
    <x v="50"/>
    <x v="7"/>
    <x v="2"/>
    <n v="1"/>
    <n v="9240"/>
    <n v="9240"/>
    <n v="7000"/>
    <n v="7000"/>
    <n v="2240"/>
    <n v="0.24242424242424243"/>
  </r>
  <r>
    <x v="70"/>
    <s v="ORD-00989"/>
    <x v="0"/>
    <x v="3"/>
    <x v="64"/>
    <x v="0"/>
    <x v="0"/>
    <n v="1"/>
    <n v="4352"/>
    <n v="4352"/>
    <n v="3200"/>
    <n v="3200"/>
    <n v="1152"/>
    <n v="0.26470588235294118"/>
  </r>
  <r>
    <x v="70"/>
    <s v="ORD-00990"/>
    <x v="2"/>
    <x v="1"/>
    <x v="23"/>
    <x v="6"/>
    <x v="3"/>
    <n v="1"/>
    <n v="1251"/>
    <n v="1251"/>
    <n v="900"/>
    <n v="900"/>
    <n v="351"/>
    <n v="0.2805755395683453"/>
  </r>
  <r>
    <x v="70"/>
    <s v="ORD-00991"/>
    <x v="1"/>
    <x v="3"/>
    <x v="55"/>
    <x v="5"/>
    <x v="3"/>
    <n v="9"/>
    <n v="840"/>
    <n v="7560"/>
    <n v="600"/>
    <n v="5400"/>
    <n v="2160"/>
    <n v="0.2857142857142857"/>
  </r>
  <r>
    <x v="70"/>
    <s v="ORD-00992"/>
    <x v="2"/>
    <x v="0"/>
    <x v="138"/>
    <x v="7"/>
    <x v="2"/>
    <n v="10"/>
    <n v="9030"/>
    <n v="90300"/>
    <n v="7000"/>
    <n v="70000"/>
    <n v="20300"/>
    <n v="0.22480620155038761"/>
  </r>
  <r>
    <x v="71"/>
    <s v="ORD-00993"/>
    <x v="0"/>
    <x v="1"/>
    <x v="112"/>
    <x v="1"/>
    <x v="1"/>
    <n v="10"/>
    <n v="62099.999999999993"/>
    <n v="620999.99999999988"/>
    <n v="45000"/>
    <n v="450000"/>
    <n v="170999.99999999988"/>
    <n v="0.2753623188405796"/>
  </r>
  <r>
    <x v="71"/>
    <s v="ORD-00994"/>
    <x v="2"/>
    <x v="1"/>
    <x v="102"/>
    <x v="5"/>
    <x v="3"/>
    <n v="8"/>
    <n v="774"/>
    <n v="6192"/>
    <n v="600"/>
    <n v="4800"/>
    <n v="1392"/>
    <n v="0.22480620155038761"/>
  </r>
  <r>
    <x v="71"/>
    <s v="ORD-00995"/>
    <x v="1"/>
    <x v="1"/>
    <x v="72"/>
    <x v="0"/>
    <x v="0"/>
    <n v="7"/>
    <n v="3872"/>
    <n v="27104"/>
    <n v="3200"/>
    <n v="22400"/>
    <n v="4704"/>
    <n v="0.17355371900826447"/>
  </r>
  <r>
    <x v="71"/>
    <s v="ORD-00996"/>
    <x v="3"/>
    <x v="3"/>
    <x v="76"/>
    <x v="7"/>
    <x v="2"/>
    <n v="5"/>
    <n v="8610"/>
    <n v="43050"/>
    <n v="7000"/>
    <n v="35000"/>
    <n v="8050"/>
    <n v="0.18699186991869918"/>
  </r>
  <r>
    <x v="71"/>
    <s v="ORD-00997"/>
    <x v="3"/>
    <x v="5"/>
    <x v="108"/>
    <x v="7"/>
    <x v="2"/>
    <n v="10"/>
    <n v="9030"/>
    <n v="90300"/>
    <n v="7000"/>
    <n v="70000"/>
    <n v="20300"/>
    <n v="0.22480620155038761"/>
  </r>
  <r>
    <x v="71"/>
    <s v="ORD-00998"/>
    <x v="0"/>
    <x v="2"/>
    <x v="16"/>
    <x v="7"/>
    <x v="2"/>
    <n v="5"/>
    <n v="9520"/>
    <n v="47600"/>
    <n v="7000"/>
    <n v="35000"/>
    <n v="12600"/>
    <n v="0.26470588235294118"/>
  </r>
  <r>
    <x v="71"/>
    <s v="ORD-00999"/>
    <x v="3"/>
    <x v="2"/>
    <x v="13"/>
    <x v="3"/>
    <x v="0"/>
    <n v="10"/>
    <n v="3525"/>
    <n v="35250"/>
    <n v="2500"/>
    <n v="25000"/>
    <n v="10250"/>
    <n v="0.29078014184397161"/>
  </r>
  <r>
    <x v="71"/>
    <s v="ORD-01000"/>
    <x v="0"/>
    <x v="4"/>
    <x v="12"/>
    <x v="7"/>
    <x v="2"/>
    <n v="9"/>
    <n v="9450"/>
    <n v="85050"/>
    <n v="7000"/>
    <n v="63000"/>
    <n v="22050"/>
    <n v="0.25925925925925924"/>
  </r>
  <r>
    <x v="71"/>
    <s v="ORD-01001"/>
    <x v="0"/>
    <x v="5"/>
    <x v="19"/>
    <x v="2"/>
    <x v="1"/>
    <n v="8"/>
    <n v="53580"/>
    <n v="428640"/>
    <n v="38000"/>
    <n v="304000"/>
    <n v="124640"/>
    <n v="0.29078014184397161"/>
  </r>
  <r>
    <x v="71"/>
    <s v="ORD-01002"/>
    <x v="2"/>
    <x v="0"/>
    <x v="34"/>
    <x v="2"/>
    <x v="1"/>
    <n v="7"/>
    <n v="48260"/>
    <n v="337820"/>
    <n v="38000"/>
    <n v="266000"/>
    <n v="71820"/>
    <n v="0.2125984251968504"/>
  </r>
  <r>
    <x v="71"/>
    <s v="ORD-01003"/>
    <x v="0"/>
    <x v="5"/>
    <x v="117"/>
    <x v="6"/>
    <x v="3"/>
    <n v="1"/>
    <n v="1233"/>
    <n v="1233"/>
    <n v="900"/>
    <n v="900"/>
    <n v="333"/>
    <n v="0.27007299270072993"/>
  </r>
  <r>
    <x v="71"/>
    <s v="ORD-01004"/>
    <x v="3"/>
    <x v="2"/>
    <x v="90"/>
    <x v="7"/>
    <x v="2"/>
    <n v="1"/>
    <n v="9450"/>
    <n v="9450"/>
    <n v="7000"/>
    <n v="7000"/>
    <n v="2450"/>
    <n v="0.25925925925925924"/>
  </r>
  <r>
    <x v="71"/>
    <s v="ORD-01005"/>
    <x v="2"/>
    <x v="3"/>
    <x v="117"/>
    <x v="3"/>
    <x v="0"/>
    <n v="2"/>
    <n v="3125"/>
    <n v="6250"/>
    <n v="2500"/>
    <n v="5000"/>
    <n v="1250"/>
    <n v="0.2"/>
  </r>
  <r>
    <x v="71"/>
    <s v="ORD-01006"/>
    <x v="2"/>
    <x v="0"/>
    <x v="78"/>
    <x v="4"/>
    <x v="2"/>
    <n v="7"/>
    <n v="11985"/>
    <n v="83895"/>
    <n v="8500"/>
    <n v="59500"/>
    <n v="24395"/>
    <n v="0.29078014184397161"/>
  </r>
  <r>
    <x v="72"/>
    <s v="ORD-01007"/>
    <x v="0"/>
    <x v="5"/>
    <x v="82"/>
    <x v="0"/>
    <x v="0"/>
    <n v="4"/>
    <n v="4384"/>
    <n v="17536"/>
    <n v="3200"/>
    <n v="12800"/>
    <n v="4736"/>
    <n v="0.27007299270072993"/>
  </r>
  <r>
    <x v="72"/>
    <s v="ORD-01008"/>
    <x v="1"/>
    <x v="4"/>
    <x v="8"/>
    <x v="1"/>
    <x v="1"/>
    <n v="9"/>
    <n v="56250"/>
    <n v="506250"/>
    <n v="45000"/>
    <n v="405000"/>
    <n v="101250"/>
    <n v="0.2"/>
  </r>
  <r>
    <x v="72"/>
    <s v="ORD-01009"/>
    <x v="3"/>
    <x v="2"/>
    <x v="121"/>
    <x v="0"/>
    <x v="0"/>
    <n v="7"/>
    <n v="4032"/>
    <n v="28224"/>
    <n v="3200"/>
    <n v="22400"/>
    <n v="5824"/>
    <n v="0.20634920634920634"/>
  </r>
  <r>
    <x v="72"/>
    <s v="ORD-01010"/>
    <x v="1"/>
    <x v="4"/>
    <x v="136"/>
    <x v="1"/>
    <x v="1"/>
    <n v="7"/>
    <n v="59850"/>
    <n v="418950"/>
    <n v="45000"/>
    <n v="315000"/>
    <n v="103950"/>
    <n v="0.24812030075187969"/>
  </r>
  <r>
    <x v="72"/>
    <s v="ORD-01011"/>
    <x v="1"/>
    <x v="0"/>
    <x v="132"/>
    <x v="4"/>
    <x v="2"/>
    <n v="1"/>
    <n v="12070"/>
    <n v="12070"/>
    <n v="8500"/>
    <n v="8500"/>
    <n v="3570"/>
    <n v="0.29577464788732394"/>
  </r>
  <r>
    <x v="72"/>
    <s v="ORD-01012"/>
    <x v="1"/>
    <x v="2"/>
    <x v="47"/>
    <x v="5"/>
    <x v="3"/>
    <n v="9"/>
    <n v="762"/>
    <n v="6858"/>
    <n v="600"/>
    <n v="5400"/>
    <n v="1458"/>
    <n v="0.2125984251968504"/>
  </r>
  <r>
    <x v="72"/>
    <s v="ORD-01013"/>
    <x v="0"/>
    <x v="1"/>
    <x v="2"/>
    <x v="6"/>
    <x v="3"/>
    <n v="6"/>
    <n v="1089"/>
    <n v="6534"/>
    <n v="900"/>
    <n v="5400"/>
    <n v="1134"/>
    <n v="0.17355371900826447"/>
  </r>
  <r>
    <x v="72"/>
    <s v="ORD-01014"/>
    <x v="3"/>
    <x v="5"/>
    <x v="34"/>
    <x v="6"/>
    <x v="3"/>
    <n v="7"/>
    <n v="1197"/>
    <n v="8379"/>
    <n v="900"/>
    <n v="6300"/>
    <n v="2079"/>
    <n v="0.24812030075187969"/>
  </r>
  <r>
    <x v="72"/>
    <s v="ORD-01015"/>
    <x v="1"/>
    <x v="3"/>
    <x v="47"/>
    <x v="0"/>
    <x v="0"/>
    <n v="1"/>
    <n v="4128"/>
    <n v="4128"/>
    <n v="3200"/>
    <n v="3200"/>
    <n v="928"/>
    <n v="0.22480620155038761"/>
  </r>
  <r>
    <x v="72"/>
    <s v="ORD-01016"/>
    <x v="1"/>
    <x v="2"/>
    <x v="16"/>
    <x v="4"/>
    <x v="2"/>
    <n v="9"/>
    <n v="11815.000000000002"/>
    <n v="106335.00000000001"/>
    <n v="8500"/>
    <n v="76500"/>
    <n v="29835.000000000015"/>
    <n v="0.28057553956834541"/>
  </r>
  <r>
    <x v="72"/>
    <s v="ORD-01017"/>
    <x v="3"/>
    <x v="0"/>
    <x v="8"/>
    <x v="3"/>
    <x v="0"/>
    <n v="9"/>
    <n v="3325"/>
    <n v="29925"/>
    <n v="2500"/>
    <n v="22500"/>
    <n v="7425"/>
    <n v="0.24812030075187969"/>
  </r>
  <r>
    <x v="72"/>
    <s v="ORD-01018"/>
    <x v="0"/>
    <x v="3"/>
    <x v="117"/>
    <x v="0"/>
    <x v="0"/>
    <n v="5"/>
    <n v="4576"/>
    <n v="22880"/>
    <n v="3200"/>
    <n v="16000"/>
    <n v="6880"/>
    <n v="0.30069930069930068"/>
  </r>
  <r>
    <x v="72"/>
    <s v="ORD-01019"/>
    <x v="1"/>
    <x v="5"/>
    <x v="66"/>
    <x v="0"/>
    <x v="0"/>
    <n v="7"/>
    <n v="3968"/>
    <n v="27776"/>
    <n v="3200"/>
    <n v="22400"/>
    <n v="5376"/>
    <n v="0.19354838709677419"/>
  </r>
  <r>
    <x v="72"/>
    <s v="ORD-01020"/>
    <x v="2"/>
    <x v="3"/>
    <x v="1"/>
    <x v="0"/>
    <x v="0"/>
    <n v="5"/>
    <n v="4128"/>
    <n v="20640"/>
    <n v="3200"/>
    <n v="16000"/>
    <n v="4640"/>
    <n v="0.22480620155038761"/>
  </r>
  <r>
    <x v="73"/>
    <s v="ORD-01021"/>
    <x v="2"/>
    <x v="4"/>
    <x v="88"/>
    <x v="3"/>
    <x v="0"/>
    <n v="1"/>
    <n v="3075"/>
    <n v="3075"/>
    <n v="2500"/>
    <n v="2500"/>
    <n v="575"/>
    <n v="0.18699186991869918"/>
  </r>
  <r>
    <x v="73"/>
    <s v="ORD-01022"/>
    <x v="3"/>
    <x v="4"/>
    <x v="97"/>
    <x v="5"/>
    <x v="3"/>
    <n v="5"/>
    <n v="768"/>
    <n v="3840"/>
    <n v="600"/>
    <n v="3000"/>
    <n v="840"/>
    <n v="0.21875"/>
  </r>
  <r>
    <x v="73"/>
    <s v="ORD-01023"/>
    <x v="3"/>
    <x v="4"/>
    <x v="132"/>
    <x v="5"/>
    <x v="3"/>
    <n v="8"/>
    <n v="744"/>
    <n v="5952"/>
    <n v="600"/>
    <n v="4800"/>
    <n v="1152"/>
    <n v="0.19354838709677419"/>
  </r>
  <r>
    <x v="73"/>
    <s v="ORD-01024"/>
    <x v="1"/>
    <x v="3"/>
    <x v="4"/>
    <x v="4"/>
    <x v="2"/>
    <n v="3"/>
    <n v="12325"/>
    <n v="36975"/>
    <n v="8500"/>
    <n v="25500"/>
    <n v="11475"/>
    <n v="0.31034482758620691"/>
  </r>
  <r>
    <x v="73"/>
    <s v="ORD-01025"/>
    <x v="1"/>
    <x v="1"/>
    <x v="109"/>
    <x v="4"/>
    <x v="2"/>
    <n v="7"/>
    <n v="11305"/>
    <n v="79135"/>
    <n v="8500"/>
    <n v="59500"/>
    <n v="19635"/>
    <n v="0.24812030075187969"/>
  </r>
  <r>
    <x v="73"/>
    <s v="ORD-01026"/>
    <x v="3"/>
    <x v="1"/>
    <x v="114"/>
    <x v="2"/>
    <x v="1"/>
    <n v="10"/>
    <n v="53580"/>
    <n v="535800"/>
    <n v="38000"/>
    <n v="380000"/>
    <n v="155800"/>
    <n v="0.29078014184397161"/>
  </r>
  <r>
    <x v="73"/>
    <s v="ORD-01027"/>
    <x v="3"/>
    <x v="4"/>
    <x v="2"/>
    <x v="0"/>
    <x v="0"/>
    <n v="2"/>
    <n v="4480"/>
    <n v="8960"/>
    <n v="3200"/>
    <n v="6400"/>
    <n v="2560"/>
    <n v="0.2857142857142857"/>
  </r>
  <r>
    <x v="73"/>
    <s v="ORD-01028"/>
    <x v="2"/>
    <x v="5"/>
    <x v="136"/>
    <x v="5"/>
    <x v="3"/>
    <n v="2"/>
    <n v="774"/>
    <n v="1548"/>
    <n v="600"/>
    <n v="1200"/>
    <n v="348"/>
    <n v="0.22480620155038761"/>
  </r>
  <r>
    <x v="73"/>
    <s v="ORD-01029"/>
    <x v="2"/>
    <x v="1"/>
    <x v="27"/>
    <x v="4"/>
    <x v="2"/>
    <n v="9"/>
    <n v="10285"/>
    <n v="92565"/>
    <n v="8500"/>
    <n v="76500"/>
    <n v="16065"/>
    <n v="0.17355371900826447"/>
  </r>
  <r>
    <x v="73"/>
    <s v="ORD-01030"/>
    <x v="1"/>
    <x v="1"/>
    <x v="137"/>
    <x v="5"/>
    <x v="3"/>
    <n v="5"/>
    <n v="744"/>
    <n v="3720"/>
    <n v="600"/>
    <n v="3000"/>
    <n v="720"/>
    <n v="0.19354838709677419"/>
  </r>
  <r>
    <x v="73"/>
    <s v="ORD-01031"/>
    <x v="0"/>
    <x v="3"/>
    <x v="40"/>
    <x v="3"/>
    <x v="0"/>
    <n v="7"/>
    <n v="3500"/>
    <n v="24500"/>
    <n v="2500"/>
    <n v="17500"/>
    <n v="7000"/>
    <n v="0.2857142857142857"/>
  </r>
  <r>
    <x v="73"/>
    <s v="ORD-01032"/>
    <x v="3"/>
    <x v="4"/>
    <x v="39"/>
    <x v="2"/>
    <x v="1"/>
    <n v="7"/>
    <n v="52439.999999999993"/>
    <n v="367079.99999999994"/>
    <n v="38000"/>
    <n v="266000"/>
    <n v="101079.99999999994"/>
    <n v="0.2753623188405796"/>
  </r>
  <r>
    <x v="73"/>
    <s v="ORD-01033"/>
    <x v="2"/>
    <x v="2"/>
    <x v="10"/>
    <x v="0"/>
    <x v="0"/>
    <n v="6"/>
    <n v="3904"/>
    <n v="23424"/>
    <n v="3200"/>
    <n v="19200"/>
    <n v="4224"/>
    <n v="0.18032786885245902"/>
  </r>
  <r>
    <x v="73"/>
    <s v="ORD-01034"/>
    <x v="1"/>
    <x v="0"/>
    <x v="141"/>
    <x v="7"/>
    <x v="2"/>
    <n v="9"/>
    <n v="9100"/>
    <n v="81900"/>
    <n v="7000"/>
    <n v="63000"/>
    <n v="18900"/>
    <n v="0.23076923076923078"/>
  </r>
  <r>
    <x v="74"/>
    <s v="ORD-01035"/>
    <x v="3"/>
    <x v="1"/>
    <x v="147"/>
    <x v="2"/>
    <x v="1"/>
    <n v="9"/>
    <n v="55100"/>
    <n v="495900"/>
    <n v="38000"/>
    <n v="342000"/>
    <n v="153900"/>
    <n v="0.31034482758620691"/>
  </r>
  <r>
    <x v="74"/>
    <s v="ORD-01036"/>
    <x v="1"/>
    <x v="1"/>
    <x v="79"/>
    <x v="0"/>
    <x v="0"/>
    <n v="6"/>
    <n v="4352"/>
    <n v="26112"/>
    <n v="3200"/>
    <n v="19200"/>
    <n v="6912"/>
    <n v="0.26470588235294118"/>
  </r>
  <r>
    <x v="74"/>
    <s v="ORD-01037"/>
    <x v="0"/>
    <x v="5"/>
    <x v="101"/>
    <x v="1"/>
    <x v="1"/>
    <n v="10"/>
    <n v="62550.000000000007"/>
    <n v="625500.00000000012"/>
    <n v="45000"/>
    <n v="450000"/>
    <n v="175500.00000000012"/>
    <n v="0.28057553956834547"/>
  </r>
  <r>
    <x v="74"/>
    <s v="ORD-01038"/>
    <x v="0"/>
    <x v="1"/>
    <x v="50"/>
    <x v="5"/>
    <x v="3"/>
    <n v="8"/>
    <n v="852"/>
    <n v="6816"/>
    <n v="600"/>
    <n v="4800"/>
    <n v="2016"/>
    <n v="0.29577464788732394"/>
  </r>
  <r>
    <x v="74"/>
    <s v="ORD-01039"/>
    <x v="1"/>
    <x v="2"/>
    <x v="45"/>
    <x v="6"/>
    <x v="3"/>
    <n v="10"/>
    <n v="1179"/>
    <n v="11790"/>
    <n v="900"/>
    <n v="9000"/>
    <n v="2790"/>
    <n v="0.23664122137404581"/>
  </r>
  <r>
    <x v="74"/>
    <s v="ORD-01040"/>
    <x v="2"/>
    <x v="4"/>
    <x v="87"/>
    <x v="4"/>
    <x v="2"/>
    <n v="5"/>
    <n v="10455"/>
    <n v="52275"/>
    <n v="8500"/>
    <n v="42500"/>
    <n v="9775"/>
    <n v="0.18699186991869918"/>
  </r>
  <r>
    <x v="74"/>
    <s v="ORD-01041"/>
    <x v="2"/>
    <x v="5"/>
    <x v="35"/>
    <x v="0"/>
    <x v="0"/>
    <n v="8"/>
    <n v="4224"/>
    <n v="33792"/>
    <n v="3200"/>
    <n v="25600"/>
    <n v="8192"/>
    <n v="0.24242424242424243"/>
  </r>
  <r>
    <x v="74"/>
    <s v="ORD-01042"/>
    <x v="1"/>
    <x v="3"/>
    <x v="83"/>
    <x v="2"/>
    <x v="1"/>
    <n v="4"/>
    <n v="53960"/>
    <n v="215840"/>
    <n v="38000"/>
    <n v="152000"/>
    <n v="63840"/>
    <n v="0.29577464788732394"/>
  </r>
  <r>
    <x v="74"/>
    <s v="ORD-01043"/>
    <x v="3"/>
    <x v="5"/>
    <x v="131"/>
    <x v="2"/>
    <x v="1"/>
    <n v="1"/>
    <n v="54720"/>
    <n v="54720"/>
    <n v="38000"/>
    <n v="38000"/>
    <n v="16720"/>
    <n v="0.30555555555555558"/>
  </r>
  <r>
    <x v="74"/>
    <s v="ORD-01044"/>
    <x v="0"/>
    <x v="1"/>
    <x v="119"/>
    <x v="4"/>
    <x v="2"/>
    <n v="3"/>
    <n v="10625"/>
    <n v="31875"/>
    <n v="8500"/>
    <n v="25500"/>
    <n v="6375"/>
    <n v="0.2"/>
  </r>
  <r>
    <x v="74"/>
    <s v="ORD-01045"/>
    <x v="2"/>
    <x v="5"/>
    <x v="25"/>
    <x v="7"/>
    <x v="2"/>
    <n v="9"/>
    <n v="8890"/>
    <n v="80010"/>
    <n v="7000"/>
    <n v="63000"/>
    <n v="17010"/>
    <n v="0.2125984251968504"/>
  </r>
  <r>
    <x v="74"/>
    <s v="ORD-01046"/>
    <x v="0"/>
    <x v="5"/>
    <x v="9"/>
    <x v="6"/>
    <x v="3"/>
    <n v="3"/>
    <n v="1089"/>
    <n v="3267"/>
    <n v="900"/>
    <n v="2700"/>
    <n v="567"/>
    <n v="0.17355371900826447"/>
  </r>
  <r>
    <x v="74"/>
    <s v="ORD-01047"/>
    <x v="1"/>
    <x v="4"/>
    <x v="48"/>
    <x v="6"/>
    <x v="3"/>
    <n v="10"/>
    <n v="1287"/>
    <n v="12870"/>
    <n v="900"/>
    <n v="9000"/>
    <n v="3870"/>
    <n v="0.30069930069930068"/>
  </r>
  <r>
    <x v="74"/>
    <s v="ORD-01048"/>
    <x v="2"/>
    <x v="3"/>
    <x v="86"/>
    <x v="3"/>
    <x v="0"/>
    <n v="8"/>
    <n v="3225"/>
    <n v="25800"/>
    <n v="2500"/>
    <n v="20000"/>
    <n v="5800"/>
    <n v="0.22480620155038761"/>
  </r>
  <r>
    <x v="75"/>
    <s v="ORD-01049"/>
    <x v="2"/>
    <x v="3"/>
    <x v="95"/>
    <x v="3"/>
    <x v="0"/>
    <n v="6"/>
    <n v="3100"/>
    <n v="18600"/>
    <n v="2500"/>
    <n v="15000"/>
    <n v="3600"/>
    <n v="0.19354838709677419"/>
  </r>
  <r>
    <x v="75"/>
    <s v="ORD-01050"/>
    <x v="2"/>
    <x v="0"/>
    <x v="143"/>
    <x v="4"/>
    <x v="2"/>
    <n v="5"/>
    <n v="11900"/>
    <n v="59500"/>
    <n v="8500"/>
    <n v="42500"/>
    <n v="17000"/>
    <n v="0.2857142857142857"/>
  </r>
  <r>
    <x v="75"/>
    <s v="ORD-01051"/>
    <x v="3"/>
    <x v="2"/>
    <x v="69"/>
    <x v="2"/>
    <x v="1"/>
    <n v="5"/>
    <n v="54720"/>
    <n v="273600"/>
    <n v="38000"/>
    <n v="190000"/>
    <n v="83600"/>
    <n v="0.30555555555555558"/>
  </r>
  <r>
    <x v="75"/>
    <s v="ORD-01052"/>
    <x v="3"/>
    <x v="4"/>
    <x v="67"/>
    <x v="2"/>
    <x v="1"/>
    <n v="5"/>
    <n v="52439.999999999993"/>
    <n v="262199.99999999994"/>
    <n v="38000"/>
    <n v="190000"/>
    <n v="72199.999999999942"/>
    <n v="0.27536231884057955"/>
  </r>
  <r>
    <x v="75"/>
    <s v="ORD-01053"/>
    <x v="2"/>
    <x v="2"/>
    <x v="104"/>
    <x v="5"/>
    <x v="3"/>
    <n v="9"/>
    <n v="756"/>
    <n v="6804"/>
    <n v="600"/>
    <n v="5400"/>
    <n v="1404"/>
    <n v="0.20634920634920634"/>
  </r>
  <r>
    <x v="75"/>
    <s v="ORD-01054"/>
    <x v="3"/>
    <x v="5"/>
    <x v="51"/>
    <x v="6"/>
    <x v="3"/>
    <n v="4"/>
    <n v="1125"/>
    <n v="4500"/>
    <n v="900"/>
    <n v="3600"/>
    <n v="900"/>
    <n v="0.2"/>
  </r>
  <r>
    <x v="75"/>
    <s v="ORD-01055"/>
    <x v="2"/>
    <x v="0"/>
    <x v="108"/>
    <x v="2"/>
    <x v="1"/>
    <n v="2"/>
    <n v="45980"/>
    <n v="91960"/>
    <n v="38000"/>
    <n v="76000"/>
    <n v="15960"/>
    <n v="0.17355371900826447"/>
  </r>
  <r>
    <x v="75"/>
    <s v="ORD-01056"/>
    <x v="1"/>
    <x v="2"/>
    <x v="28"/>
    <x v="2"/>
    <x v="1"/>
    <n v="10"/>
    <n v="49780"/>
    <n v="497800"/>
    <n v="38000"/>
    <n v="380000"/>
    <n v="117800"/>
    <n v="0.23664122137404581"/>
  </r>
  <r>
    <x v="75"/>
    <s v="ORD-01057"/>
    <x v="2"/>
    <x v="0"/>
    <x v="37"/>
    <x v="4"/>
    <x v="2"/>
    <n v="6"/>
    <n v="10285"/>
    <n v="61710"/>
    <n v="8500"/>
    <n v="51000"/>
    <n v="10710"/>
    <n v="0.17355371900826447"/>
  </r>
  <r>
    <x v="75"/>
    <s v="ORD-01058"/>
    <x v="0"/>
    <x v="1"/>
    <x v="34"/>
    <x v="0"/>
    <x v="0"/>
    <n v="2"/>
    <n v="3968"/>
    <n v="7936"/>
    <n v="3200"/>
    <n v="6400"/>
    <n v="1536"/>
    <n v="0.19354838709677419"/>
  </r>
  <r>
    <x v="75"/>
    <s v="ORD-01059"/>
    <x v="3"/>
    <x v="4"/>
    <x v="32"/>
    <x v="2"/>
    <x v="1"/>
    <n v="2"/>
    <n v="46740"/>
    <n v="93480"/>
    <n v="38000"/>
    <n v="76000"/>
    <n v="17480"/>
    <n v="0.18699186991869918"/>
  </r>
  <r>
    <x v="75"/>
    <s v="ORD-01060"/>
    <x v="1"/>
    <x v="2"/>
    <x v="149"/>
    <x v="5"/>
    <x v="3"/>
    <n v="9"/>
    <n v="780"/>
    <n v="7020"/>
    <n v="600"/>
    <n v="5400"/>
    <n v="1620"/>
    <n v="0.23076923076923078"/>
  </r>
  <r>
    <x v="75"/>
    <s v="ORD-01061"/>
    <x v="2"/>
    <x v="5"/>
    <x v="51"/>
    <x v="2"/>
    <x v="1"/>
    <n v="8"/>
    <n v="46740"/>
    <n v="373920"/>
    <n v="38000"/>
    <n v="304000"/>
    <n v="69920"/>
    <n v="0.18699186991869918"/>
  </r>
  <r>
    <x v="75"/>
    <s v="ORD-01062"/>
    <x v="3"/>
    <x v="1"/>
    <x v="61"/>
    <x v="4"/>
    <x v="2"/>
    <n v="4"/>
    <n v="11985"/>
    <n v="47940"/>
    <n v="8500"/>
    <n v="34000"/>
    <n v="13940"/>
    <n v="0.29078014184397161"/>
  </r>
  <r>
    <x v="76"/>
    <s v="ORD-01063"/>
    <x v="0"/>
    <x v="3"/>
    <x v="141"/>
    <x v="2"/>
    <x v="1"/>
    <n v="8"/>
    <n v="45980"/>
    <n v="367840"/>
    <n v="38000"/>
    <n v="304000"/>
    <n v="63840"/>
    <n v="0.17355371900826447"/>
  </r>
  <r>
    <x v="76"/>
    <s v="ORD-01064"/>
    <x v="3"/>
    <x v="4"/>
    <x v="73"/>
    <x v="0"/>
    <x v="0"/>
    <n v="2"/>
    <n v="4576"/>
    <n v="9152"/>
    <n v="3200"/>
    <n v="6400"/>
    <n v="2752"/>
    <n v="0.30069930069930068"/>
  </r>
  <r>
    <x v="76"/>
    <s v="ORD-01065"/>
    <x v="1"/>
    <x v="0"/>
    <x v="89"/>
    <x v="0"/>
    <x v="0"/>
    <n v="4"/>
    <n v="4544"/>
    <n v="18176"/>
    <n v="3200"/>
    <n v="12800"/>
    <n v="5376"/>
    <n v="0.29577464788732394"/>
  </r>
  <r>
    <x v="76"/>
    <s v="ORD-01066"/>
    <x v="2"/>
    <x v="4"/>
    <x v="29"/>
    <x v="7"/>
    <x v="2"/>
    <n v="4"/>
    <n v="8680"/>
    <n v="34720"/>
    <n v="7000"/>
    <n v="28000"/>
    <n v="6720"/>
    <n v="0.19354838709677419"/>
  </r>
  <r>
    <x v="76"/>
    <s v="ORD-01067"/>
    <x v="3"/>
    <x v="3"/>
    <x v="67"/>
    <x v="2"/>
    <x v="1"/>
    <n v="6"/>
    <n v="52820.000000000007"/>
    <n v="316920.00000000006"/>
    <n v="38000"/>
    <n v="228000"/>
    <n v="88920.000000000058"/>
    <n v="0.28057553956834547"/>
  </r>
  <r>
    <x v="76"/>
    <s v="ORD-01068"/>
    <x v="3"/>
    <x v="1"/>
    <x v="35"/>
    <x v="7"/>
    <x v="2"/>
    <n v="3"/>
    <n v="8820"/>
    <n v="26460"/>
    <n v="7000"/>
    <n v="21000"/>
    <n v="5460"/>
    <n v="0.20634920634920634"/>
  </r>
  <r>
    <x v="76"/>
    <s v="ORD-01069"/>
    <x v="1"/>
    <x v="2"/>
    <x v="24"/>
    <x v="1"/>
    <x v="1"/>
    <n v="1"/>
    <n v="57150"/>
    <n v="57150"/>
    <n v="45000"/>
    <n v="45000"/>
    <n v="12150"/>
    <n v="0.2125984251968504"/>
  </r>
  <r>
    <x v="76"/>
    <s v="ORD-01070"/>
    <x v="1"/>
    <x v="0"/>
    <x v="3"/>
    <x v="4"/>
    <x v="2"/>
    <n v="8"/>
    <n v="11900"/>
    <n v="95200"/>
    <n v="8500"/>
    <n v="68000"/>
    <n v="27200"/>
    <n v="0.2857142857142857"/>
  </r>
  <r>
    <x v="76"/>
    <s v="ORD-01071"/>
    <x v="0"/>
    <x v="1"/>
    <x v="77"/>
    <x v="1"/>
    <x v="1"/>
    <n v="1"/>
    <n v="65250"/>
    <n v="65250"/>
    <n v="45000"/>
    <n v="45000"/>
    <n v="20250"/>
    <n v="0.31034482758620691"/>
  </r>
  <r>
    <x v="76"/>
    <s v="ORD-01072"/>
    <x v="0"/>
    <x v="2"/>
    <x v="60"/>
    <x v="2"/>
    <x v="1"/>
    <n v="5"/>
    <n v="55100"/>
    <n v="275500"/>
    <n v="38000"/>
    <n v="190000"/>
    <n v="85500"/>
    <n v="0.31034482758620691"/>
  </r>
  <r>
    <x v="76"/>
    <s v="ORD-01073"/>
    <x v="1"/>
    <x v="5"/>
    <x v="41"/>
    <x v="1"/>
    <x v="1"/>
    <n v="10"/>
    <n v="57600"/>
    <n v="576000"/>
    <n v="45000"/>
    <n v="450000"/>
    <n v="126000"/>
    <n v="0.21875"/>
  </r>
  <r>
    <x v="76"/>
    <s v="ORD-01074"/>
    <x v="2"/>
    <x v="1"/>
    <x v="10"/>
    <x v="0"/>
    <x v="0"/>
    <n v="6"/>
    <n v="4288"/>
    <n v="25728"/>
    <n v="3200"/>
    <n v="19200"/>
    <n v="6528"/>
    <n v="0.2537313432835821"/>
  </r>
  <r>
    <x v="76"/>
    <s v="ORD-01075"/>
    <x v="0"/>
    <x v="2"/>
    <x v="51"/>
    <x v="4"/>
    <x v="2"/>
    <n v="9"/>
    <n v="10625"/>
    <n v="95625"/>
    <n v="8500"/>
    <n v="76500"/>
    <n v="19125"/>
    <n v="0.2"/>
  </r>
  <r>
    <x v="76"/>
    <s v="ORD-01076"/>
    <x v="3"/>
    <x v="1"/>
    <x v="147"/>
    <x v="3"/>
    <x v="0"/>
    <n v="3"/>
    <n v="3150"/>
    <n v="9450"/>
    <n v="2500"/>
    <n v="7500"/>
    <n v="1950"/>
    <n v="0.20634920634920634"/>
  </r>
  <r>
    <x v="77"/>
    <s v="ORD-01077"/>
    <x v="2"/>
    <x v="1"/>
    <x v="97"/>
    <x v="6"/>
    <x v="3"/>
    <n v="1"/>
    <n v="1179"/>
    <n v="1179"/>
    <n v="900"/>
    <n v="900"/>
    <n v="279"/>
    <n v="0.23664122137404581"/>
  </r>
  <r>
    <x v="77"/>
    <s v="ORD-01078"/>
    <x v="0"/>
    <x v="3"/>
    <x v="104"/>
    <x v="5"/>
    <x v="3"/>
    <n v="5"/>
    <n v="750"/>
    <n v="3750"/>
    <n v="600"/>
    <n v="3000"/>
    <n v="750"/>
    <n v="0.2"/>
  </r>
  <r>
    <x v="77"/>
    <s v="ORD-01079"/>
    <x v="2"/>
    <x v="5"/>
    <x v="26"/>
    <x v="1"/>
    <x v="1"/>
    <n v="6"/>
    <n v="56700"/>
    <n v="340200"/>
    <n v="45000"/>
    <n v="270000"/>
    <n v="70200"/>
    <n v="0.20634920634920634"/>
  </r>
  <r>
    <x v="77"/>
    <s v="ORD-01080"/>
    <x v="3"/>
    <x v="1"/>
    <x v="103"/>
    <x v="5"/>
    <x v="3"/>
    <n v="4"/>
    <n v="768"/>
    <n v="3072"/>
    <n v="600"/>
    <n v="2400"/>
    <n v="672"/>
    <n v="0.21875"/>
  </r>
  <r>
    <x v="77"/>
    <s v="ORD-01081"/>
    <x v="0"/>
    <x v="2"/>
    <x v="36"/>
    <x v="7"/>
    <x v="2"/>
    <n v="7"/>
    <n v="9240"/>
    <n v="64680"/>
    <n v="7000"/>
    <n v="49000"/>
    <n v="15680"/>
    <n v="0.24242424242424243"/>
  </r>
  <r>
    <x v="77"/>
    <s v="ORD-01082"/>
    <x v="0"/>
    <x v="3"/>
    <x v="138"/>
    <x v="1"/>
    <x v="1"/>
    <n v="2"/>
    <n v="57600"/>
    <n v="115200"/>
    <n v="45000"/>
    <n v="90000"/>
    <n v="25200"/>
    <n v="0.21875"/>
  </r>
  <r>
    <x v="77"/>
    <s v="ORD-01083"/>
    <x v="3"/>
    <x v="2"/>
    <x v="20"/>
    <x v="5"/>
    <x v="3"/>
    <n v="7"/>
    <n v="815.99999999999989"/>
    <n v="5711.9999999999991"/>
    <n v="600"/>
    <n v="4200"/>
    <n v="1511.9999999999991"/>
    <n v="0.26470588235294107"/>
  </r>
  <r>
    <x v="77"/>
    <s v="ORD-01084"/>
    <x v="2"/>
    <x v="4"/>
    <x v="69"/>
    <x v="2"/>
    <x v="1"/>
    <n v="8"/>
    <n v="49400"/>
    <n v="395200"/>
    <n v="38000"/>
    <n v="304000"/>
    <n v="91200"/>
    <n v="0.23076923076923078"/>
  </r>
  <r>
    <x v="77"/>
    <s v="ORD-01085"/>
    <x v="0"/>
    <x v="5"/>
    <x v="10"/>
    <x v="2"/>
    <x v="1"/>
    <n v="2"/>
    <n v="52820.000000000007"/>
    <n v="105640.00000000001"/>
    <n v="38000"/>
    <n v="76000"/>
    <n v="29640.000000000015"/>
    <n v="0.28057553956834541"/>
  </r>
  <r>
    <x v="77"/>
    <s v="ORD-01086"/>
    <x v="1"/>
    <x v="1"/>
    <x v="134"/>
    <x v="0"/>
    <x v="0"/>
    <n v="9"/>
    <n v="4288"/>
    <n v="38592"/>
    <n v="3200"/>
    <n v="28800"/>
    <n v="9792"/>
    <n v="0.2537313432835821"/>
  </r>
  <r>
    <x v="77"/>
    <s v="ORD-01087"/>
    <x v="0"/>
    <x v="2"/>
    <x v="115"/>
    <x v="7"/>
    <x v="2"/>
    <n v="8"/>
    <n v="9800"/>
    <n v="78400"/>
    <n v="7000"/>
    <n v="56000"/>
    <n v="22400"/>
    <n v="0.2857142857142857"/>
  </r>
  <r>
    <x v="77"/>
    <s v="ORD-01088"/>
    <x v="1"/>
    <x v="0"/>
    <x v="87"/>
    <x v="6"/>
    <x v="3"/>
    <n v="3"/>
    <n v="1125"/>
    <n v="3375"/>
    <n v="900"/>
    <n v="2700"/>
    <n v="675"/>
    <n v="0.2"/>
  </r>
  <r>
    <x v="77"/>
    <s v="ORD-01089"/>
    <x v="0"/>
    <x v="3"/>
    <x v="133"/>
    <x v="5"/>
    <x v="3"/>
    <n v="1"/>
    <n v="792"/>
    <n v="792"/>
    <n v="600"/>
    <n v="600"/>
    <n v="192"/>
    <n v="0.24242424242424243"/>
  </r>
  <r>
    <x v="77"/>
    <s v="ORD-01090"/>
    <x v="0"/>
    <x v="5"/>
    <x v="6"/>
    <x v="0"/>
    <x v="0"/>
    <n v="5"/>
    <n v="4640"/>
    <n v="23200"/>
    <n v="3200"/>
    <n v="16000"/>
    <n v="7200"/>
    <n v="0.31034482758620691"/>
  </r>
  <r>
    <x v="78"/>
    <s v="ORD-01091"/>
    <x v="2"/>
    <x v="5"/>
    <x v="32"/>
    <x v="0"/>
    <x v="0"/>
    <n v="3"/>
    <n v="4288"/>
    <n v="12864"/>
    <n v="3200"/>
    <n v="9600"/>
    <n v="3264"/>
    <n v="0.2537313432835821"/>
  </r>
  <r>
    <x v="78"/>
    <s v="ORD-01092"/>
    <x v="1"/>
    <x v="4"/>
    <x v="129"/>
    <x v="2"/>
    <x v="1"/>
    <n v="6"/>
    <n v="52439.999999999993"/>
    <n v="314639.99999999994"/>
    <n v="38000"/>
    <n v="228000"/>
    <n v="86639.999999999942"/>
    <n v="0.2753623188405796"/>
  </r>
  <r>
    <x v="78"/>
    <s v="ORD-01093"/>
    <x v="2"/>
    <x v="3"/>
    <x v="88"/>
    <x v="6"/>
    <x v="3"/>
    <n v="6"/>
    <n v="1251"/>
    <n v="7506"/>
    <n v="900"/>
    <n v="5400"/>
    <n v="2106"/>
    <n v="0.2805755395683453"/>
  </r>
  <r>
    <x v="78"/>
    <s v="ORD-01094"/>
    <x v="0"/>
    <x v="1"/>
    <x v="115"/>
    <x v="2"/>
    <x v="1"/>
    <n v="10"/>
    <n v="45600"/>
    <n v="456000"/>
    <n v="38000"/>
    <n v="380000"/>
    <n v="76000"/>
    <n v="0.16666666666666666"/>
  </r>
  <r>
    <x v="78"/>
    <s v="ORD-01095"/>
    <x v="2"/>
    <x v="1"/>
    <x v="116"/>
    <x v="7"/>
    <x v="2"/>
    <n v="7"/>
    <n v="8890"/>
    <n v="62230"/>
    <n v="7000"/>
    <n v="49000"/>
    <n v="13230"/>
    <n v="0.2125984251968504"/>
  </r>
  <r>
    <x v="78"/>
    <s v="ORD-01096"/>
    <x v="3"/>
    <x v="0"/>
    <x v="125"/>
    <x v="5"/>
    <x v="3"/>
    <n v="6"/>
    <n v="738"/>
    <n v="4428"/>
    <n v="600"/>
    <n v="3600"/>
    <n v="828"/>
    <n v="0.18699186991869918"/>
  </r>
  <r>
    <x v="78"/>
    <s v="ORD-01097"/>
    <x v="1"/>
    <x v="2"/>
    <x v="7"/>
    <x v="7"/>
    <x v="2"/>
    <n v="10"/>
    <n v="9240"/>
    <n v="92400"/>
    <n v="7000"/>
    <n v="70000"/>
    <n v="22400"/>
    <n v="0.24242424242424243"/>
  </r>
  <r>
    <x v="78"/>
    <s v="ORD-01098"/>
    <x v="1"/>
    <x v="5"/>
    <x v="78"/>
    <x v="3"/>
    <x v="0"/>
    <n v="1"/>
    <n v="3125"/>
    <n v="3125"/>
    <n v="2500"/>
    <n v="2500"/>
    <n v="625"/>
    <n v="0.2"/>
  </r>
  <r>
    <x v="78"/>
    <s v="ORD-01099"/>
    <x v="0"/>
    <x v="4"/>
    <x v="16"/>
    <x v="3"/>
    <x v="0"/>
    <n v="10"/>
    <n v="3449.9999999999995"/>
    <n v="34499.999999999993"/>
    <n v="2500"/>
    <n v="25000"/>
    <n v="9499.9999999999927"/>
    <n v="0.27536231884057955"/>
  </r>
  <r>
    <x v="78"/>
    <s v="ORD-01100"/>
    <x v="1"/>
    <x v="4"/>
    <x v="8"/>
    <x v="7"/>
    <x v="2"/>
    <n v="1"/>
    <n v="8750"/>
    <n v="8750"/>
    <n v="7000"/>
    <n v="7000"/>
    <n v="1750"/>
    <n v="0.2"/>
  </r>
  <r>
    <x v="78"/>
    <s v="ORD-01101"/>
    <x v="1"/>
    <x v="4"/>
    <x v="125"/>
    <x v="0"/>
    <x v="0"/>
    <n v="6"/>
    <n v="4352"/>
    <n v="26112"/>
    <n v="3200"/>
    <n v="19200"/>
    <n v="6912"/>
    <n v="0.26470588235294118"/>
  </r>
  <r>
    <x v="78"/>
    <s v="ORD-01102"/>
    <x v="1"/>
    <x v="3"/>
    <x v="130"/>
    <x v="2"/>
    <x v="1"/>
    <n v="1"/>
    <n v="50160"/>
    <n v="50160"/>
    <n v="38000"/>
    <n v="38000"/>
    <n v="12160"/>
    <n v="0.24242424242424243"/>
  </r>
  <r>
    <x v="78"/>
    <s v="ORD-01103"/>
    <x v="1"/>
    <x v="2"/>
    <x v="128"/>
    <x v="1"/>
    <x v="1"/>
    <n v="1"/>
    <n v="55350"/>
    <n v="55350"/>
    <n v="45000"/>
    <n v="45000"/>
    <n v="10350"/>
    <n v="0.18699186991869918"/>
  </r>
  <r>
    <x v="78"/>
    <s v="ORD-01104"/>
    <x v="0"/>
    <x v="2"/>
    <x v="40"/>
    <x v="2"/>
    <x v="1"/>
    <n v="2"/>
    <n v="51300"/>
    <n v="102600"/>
    <n v="38000"/>
    <n v="76000"/>
    <n v="26600"/>
    <n v="0.25925925925925924"/>
  </r>
  <r>
    <x v="79"/>
    <s v="ORD-01105"/>
    <x v="1"/>
    <x v="2"/>
    <x v="142"/>
    <x v="7"/>
    <x v="2"/>
    <n v="1"/>
    <n v="8890"/>
    <n v="8890"/>
    <n v="7000"/>
    <n v="7000"/>
    <n v="1890"/>
    <n v="0.2125984251968504"/>
  </r>
  <r>
    <x v="79"/>
    <s v="ORD-01106"/>
    <x v="1"/>
    <x v="0"/>
    <x v="115"/>
    <x v="7"/>
    <x v="2"/>
    <n v="10"/>
    <n v="8960"/>
    <n v="89600"/>
    <n v="7000"/>
    <n v="70000"/>
    <n v="19600"/>
    <n v="0.21875"/>
  </r>
  <r>
    <x v="79"/>
    <s v="ORD-01107"/>
    <x v="2"/>
    <x v="3"/>
    <x v="143"/>
    <x v="5"/>
    <x v="3"/>
    <n v="3"/>
    <n v="834.00000000000011"/>
    <n v="2502.0000000000005"/>
    <n v="600"/>
    <n v="1800"/>
    <n v="702.00000000000045"/>
    <n v="0.28057553956834547"/>
  </r>
  <r>
    <x v="79"/>
    <s v="ORD-01108"/>
    <x v="2"/>
    <x v="3"/>
    <x v="130"/>
    <x v="0"/>
    <x v="0"/>
    <n v="7"/>
    <n v="3936"/>
    <n v="27552"/>
    <n v="3200"/>
    <n v="22400"/>
    <n v="5152"/>
    <n v="0.18699186991869918"/>
  </r>
  <r>
    <x v="79"/>
    <s v="ORD-01109"/>
    <x v="3"/>
    <x v="2"/>
    <x v="119"/>
    <x v="4"/>
    <x v="2"/>
    <n v="6"/>
    <n v="11900"/>
    <n v="71400"/>
    <n v="8500"/>
    <n v="51000"/>
    <n v="20400"/>
    <n v="0.2857142857142857"/>
  </r>
  <r>
    <x v="79"/>
    <s v="ORD-01110"/>
    <x v="2"/>
    <x v="0"/>
    <x v="32"/>
    <x v="1"/>
    <x v="1"/>
    <n v="10"/>
    <n v="55350"/>
    <n v="553500"/>
    <n v="45000"/>
    <n v="450000"/>
    <n v="103500"/>
    <n v="0.18699186991869918"/>
  </r>
  <r>
    <x v="79"/>
    <s v="ORD-01111"/>
    <x v="0"/>
    <x v="0"/>
    <x v="19"/>
    <x v="7"/>
    <x v="2"/>
    <n v="3"/>
    <n v="8960"/>
    <n v="26880"/>
    <n v="7000"/>
    <n v="21000"/>
    <n v="5880"/>
    <n v="0.21875"/>
  </r>
  <r>
    <x v="79"/>
    <s v="ORD-01112"/>
    <x v="2"/>
    <x v="5"/>
    <x v="35"/>
    <x v="1"/>
    <x v="1"/>
    <n v="6"/>
    <n v="64350"/>
    <n v="386100"/>
    <n v="45000"/>
    <n v="270000"/>
    <n v="116100"/>
    <n v="0.30069930069930068"/>
  </r>
  <r>
    <x v="79"/>
    <s v="ORD-01113"/>
    <x v="1"/>
    <x v="0"/>
    <x v="64"/>
    <x v="1"/>
    <x v="1"/>
    <n v="8"/>
    <n v="63450"/>
    <n v="507600"/>
    <n v="45000"/>
    <n v="360000"/>
    <n v="147600"/>
    <n v="0.29078014184397161"/>
  </r>
  <r>
    <x v="79"/>
    <s v="ORD-01114"/>
    <x v="0"/>
    <x v="1"/>
    <x v="83"/>
    <x v="2"/>
    <x v="1"/>
    <n v="1"/>
    <n v="53580"/>
    <n v="53580"/>
    <n v="38000"/>
    <n v="38000"/>
    <n v="15580"/>
    <n v="0.29078014184397161"/>
  </r>
  <r>
    <x v="79"/>
    <s v="ORD-01115"/>
    <x v="0"/>
    <x v="2"/>
    <x v="140"/>
    <x v="0"/>
    <x v="0"/>
    <n v="6"/>
    <n v="4576"/>
    <n v="27456"/>
    <n v="3200"/>
    <n v="19200"/>
    <n v="8256"/>
    <n v="0.30069930069930068"/>
  </r>
  <r>
    <x v="79"/>
    <s v="ORD-01116"/>
    <x v="1"/>
    <x v="3"/>
    <x v="134"/>
    <x v="6"/>
    <x v="3"/>
    <n v="5"/>
    <n v="1089"/>
    <n v="5445"/>
    <n v="900"/>
    <n v="4500"/>
    <n v="945"/>
    <n v="0.17355371900826447"/>
  </r>
  <r>
    <x v="79"/>
    <s v="ORD-01117"/>
    <x v="0"/>
    <x v="4"/>
    <x v="82"/>
    <x v="1"/>
    <x v="1"/>
    <n v="7"/>
    <n v="60750.000000000007"/>
    <n v="425250.00000000006"/>
    <n v="45000"/>
    <n v="315000"/>
    <n v="110250.00000000006"/>
    <n v="0.25925925925925936"/>
  </r>
  <r>
    <x v="79"/>
    <s v="ORD-01118"/>
    <x v="0"/>
    <x v="3"/>
    <x v="59"/>
    <x v="3"/>
    <x v="0"/>
    <n v="2"/>
    <n v="3175"/>
    <n v="6350"/>
    <n v="2500"/>
    <n v="5000"/>
    <n v="1350"/>
    <n v="0.2125984251968504"/>
  </r>
  <r>
    <x v="80"/>
    <s v="ORD-01119"/>
    <x v="1"/>
    <x v="4"/>
    <x v="113"/>
    <x v="2"/>
    <x v="1"/>
    <n v="5"/>
    <n v="53960"/>
    <n v="269800"/>
    <n v="38000"/>
    <n v="190000"/>
    <n v="79800"/>
    <n v="0.29577464788732394"/>
  </r>
  <r>
    <x v="80"/>
    <s v="ORD-01120"/>
    <x v="1"/>
    <x v="4"/>
    <x v="28"/>
    <x v="1"/>
    <x v="1"/>
    <n v="3"/>
    <n v="58950"/>
    <n v="176850"/>
    <n v="45000"/>
    <n v="135000"/>
    <n v="41850"/>
    <n v="0.23664122137404581"/>
  </r>
  <r>
    <x v="80"/>
    <s v="ORD-01121"/>
    <x v="1"/>
    <x v="0"/>
    <x v="51"/>
    <x v="0"/>
    <x v="0"/>
    <n v="7"/>
    <n v="3840"/>
    <n v="26880"/>
    <n v="3200"/>
    <n v="22400"/>
    <n v="4480"/>
    <n v="0.16666666666666666"/>
  </r>
  <r>
    <x v="80"/>
    <s v="ORD-01122"/>
    <x v="3"/>
    <x v="0"/>
    <x v="99"/>
    <x v="6"/>
    <x v="3"/>
    <n v="10"/>
    <n v="1296"/>
    <n v="12960"/>
    <n v="900"/>
    <n v="9000"/>
    <n v="3960"/>
    <n v="0.30555555555555558"/>
  </r>
  <r>
    <x v="80"/>
    <s v="ORD-01123"/>
    <x v="1"/>
    <x v="5"/>
    <x v="61"/>
    <x v="6"/>
    <x v="3"/>
    <n v="10"/>
    <n v="1143"/>
    <n v="11430"/>
    <n v="900"/>
    <n v="9000"/>
    <n v="2430"/>
    <n v="0.2125984251968504"/>
  </r>
  <r>
    <x v="80"/>
    <s v="ORD-01124"/>
    <x v="0"/>
    <x v="4"/>
    <x v="55"/>
    <x v="4"/>
    <x v="2"/>
    <n v="2"/>
    <n v="12240"/>
    <n v="24480"/>
    <n v="8500"/>
    <n v="17000"/>
    <n v="7480"/>
    <n v="0.30555555555555558"/>
  </r>
  <r>
    <x v="80"/>
    <s v="ORD-01125"/>
    <x v="0"/>
    <x v="3"/>
    <x v="64"/>
    <x v="0"/>
    <x v="0"/>
    <n v="5"/>
    <n v="4416"/>
    <n v="22080"/>
    <n v="3200"/>
    <n v="16000"/>
    <n v="6080"/>
    <n v="0.27536231884057971"/>
  </r>
  <r>
    <x v="80"/>
    <s v="ORD-01126"/>
    <x v="0"/>
    <x v="0"/>
    <x v="41"/>
    <x v="4"/>
    <x v="2"/>
    <n v="9"/>
    <n v="11305"/>
    <n v="101745"/>
    <n v="8500"/>
    <n v="76500"/>
    <n v="25245"/>
    <n v="0.24812030075187969"/>
  </r>
  <r>
    <x v="80"/>
    <s v="ORD-01127"/>
    <x v="3"/>
    <x v="2"/>
    <x v="94"/>
    <x v="0"/>
    <x v="0"/>
    <n v="4"/>
    <n v="3840"/>
    <n v="15360"/>
    <n v="3200"/>
    <n v="12800"/>
    <n v="2560"/>
    <n v="0.16666666666666666"/>
  </r>
  <r>
    <x v="80"/>
    <s v="ORD-01128"/>
    <x v="0"/>
    <x v="5"/>
    <x v="131"/>
    <x v="6"/>
    <x v="3"/>
    <n v="7"/>
    <n v="1161"/>
    <n v="8127"/>
    <n v="900"/>
    <n v="6300"/>
    <n v="1827"/>
    <n v="0.22480620155038761"/>
  </r>
  <r>
    <x v="80"/>
    <s v="ORD-01129"/>
    <x v="3"/>
    <x v="4"/>
    <x v="61"/>
    <x v="4"/>
    <x v="2"/>
    <n v="4"/>
    <n v="10370"/>
    <n v="41480"/>
    <n v="8500"/>
    <n v="34000"/>
    <n v="7480"/>
    <n v="0.18032786885245902"/>
  </r>
  <r>
    <x v="80"/>
    <s v="ORD-01130"/>
    <x v="3"/>
    <x v="1"/>
    <x v="118"/>
    <x v="0"/>
    <x v="0"/>
    <n v="8"/>
    <n v="4448"/>
    <n v="35584"/>
    <n v="3200"/>
    <n v="25600"/>
    <n v="9984"/>
    <n v="0.2805755395683453"/>
  </r>
  <r>
    <x v="80"/>
    <s v="ORD-01131"/>
    <x v="2"/>
    <x v="3"/>
    <x v="119"/>
    <x v="1"/>
    <x v="1"/>
    <n v="3"/>
    <n v="62999.999999999993"/>
    <n v="188999.99999999997"/>
    <n v="45000"/>
    <n v="135000"/>
    <n v="53999.999999999971"/>
    <n v="0.28571428571428559"/>
  </r>
  <r>
    <x v="80"/>
    <s v="ORD-01132"/>
    <x v="1"/>
    <x v="1"/>
    <x v="131"/>
    <x v="1"/>
    <x v="1"/>
    <n v="3"/>
    <n v="62550.000000000007"/>
    <n v="187650.00000000003"/>
    <n v="45000"/>
    <n v="135000"/>
    <n v="52650.000000000029"/>
    <n v="0.28057553956834541"/>
  </r>
  <r>
    <x v="81"/>
    <s v="ORD-01133"/>
    <x v="1"/>
    <x v="4"/>
    <x v="65"/>
    <x v="2"/>
    <x v="1"/>
    <n v="9"/>
    <n v="51679.999999999993"/>
    <n v="465119.99999999994"/>
    <n v="38000"/>
    <n v="342000"/>
    <n v="123119.99999999994"/>
    <n v="0.26470588235294107"/>
  </r>
  <r>
    <x v="81"/>
    <s v="ORD-01134"/>
    <x v="2"/>
    <x v="2"/>
    <x v="18"/>
    <x v="6"/>
    <x v="3"/>
    <n v="9"/>
    <n v="1251"/>
    <n v="11259"/>
    <n v="900"/>
    <n v="8100"/>
    <n v="3159"/>
    <n v="0.2805755395683453"/>
  </r>
  <r>
    <x v="81"/>
    <s v="ORD-01135"/>
    <x v="0"/>
    <x v="4"/>
    <x v="50"/>
    <x v="4"/>
    <x v="2"/>
    <n v="3"/>
    <n v="12240"/>
    <n v="36720"/>
    <n v="8500"/>
    <n v="25500"/>
    <n v="11220"/>
    <n v="0.30555555555555558"/>
  </r>
  <r>
    <x v="81"/>
    <s v="ORD-01136"/>
    <x v="3"/>
    <x v="4"/>
    <x v="41"/>
    <x v="2"/>
    <x v="1"/>
    <n v="9"/>
    <n v="54340"/>
    <n v="489060"/>
    <n v="38000"/>
    <n v="342000"/>
    <n v="147060"/>
    <n v="0.30069930069930068"/>
  </r>
  <r>
    <x v="81"/>
    <s v="ORD-01137"/>
    <x v="3"/>
    <x v="2"/>
    <x v="24"/>
    <x v="3"/>
    <x v="0"/>
    <n v="8"/>
    <n v="3525"/>
    <n v="28200"/>
    <n v="2500"/>
    <n v="20000"/>
    <n v="8200"/>
    <n v="0.29078014184397161"/>
  </r>
  <r>
    <x v="81"/>
    <s v="ORD-01138"/>
    <x v="3"/>
    <x v="2"/>
    <x v="81"/>
    <x v="2"/>
    <x v="1"/>
    <n v="1"/>
    <n v="47880"/>
    <n v="47880"/>
    <n v="38000"/>
    <n v="38000"/>
    <n v="9880"/>
    <n v="0.20634920634920634"/>
  </r>
  <r>
    <x v="81"/>
    <s v="ORD-01139"/>
    <x v="2"/>
    <x v="2"/>
    <x v="125"/>
    <x v="0"/>
    <x v="0"/>
    <n v="3"/>
    <n v="4096"/>
    <n v="12288"/>
    <n v="3200"/>
    <n v="9600"/>
    <n v="2688"/>
    <n v="0.21875"/>
  </r>
  <r>
    <x v="81"/>
    <s v="ORD-01140"/>
    <x v="0"/>
    <x v="0"/>
    <x v="89"/>
    <x v="6"/>
    <x v="3"/>
    <n v="5"/>
    <n v="1224"/>
    <n v="6120"/>
    <n v="900"/>
    <n v="4500"/>
    <n v="1620"/>
    <n v="0.26470588235294118"/>
  </r>
  <r>
    <x v="81"/>
    <s v="ORD-01141"/>
    <x v="2"/>
    <x v="3"/>
    <x v="80"/>
    <x v="2"/>
    <x v="1"/>
    <n v="8"/>
    <n v="54340"/>
    <n v="434720"/>
    <n v="38000"/>
    <n v="304000"/>
    <n v="130720"/>
    <n v="0.30069930069930068"/>
  </r>
  <r>
    <x v="81"/>
    <s v="ORD-01142"/>
    <x v="2"/>
    <x v="2"/>
    <x v="137"/>
    <x v="7"/>
    <x v="2"/>
    <n v="5"/>
    <n v="10080"/>
    <n v="50400"/>
    <n v="7000"/>
    <n v="35000"/>
    <n v="15400"/>
    <n v="0.30555555555555558"/>
  </r>
  <r>
    <x v="81"/>
    <s v="ORD-01143"/>
    <x v="3"/>
    <x v="5"/>
    <x v="59"/>
    <x v="0"/>
    <x v="0"/>
    <n v="2"/>
    <n v="3968"/>
    <n v="7936"/>
    <n v="3200"/>
    <n v="6400"/>
    <n v="1536"/>
    <n v="0.19354838709677419"/>
  </r>
  <r>
    <x v="81"/>
    <s v="ORD-01144"/>
    <x v="0"/>
    <x v="5"/>
    <x v="96"/>
    <x v="7"/>
    <x v="2"/>
    <n v="7"/>
    <n v="9450"/>
    <n v="66150"/>
    <n v="7000"/>
    <n v="49000"/>
    <n v="17150"/>
    <n v="0.25925925925925924"/>
  </r>
  <r>
    <x v="81"/>
    <s v="ORD-01145"/>
    <x v="2"/>
    <x v="5"/>
    <x v="26"/>
    <x v="5"/>
    <x v="3"/>
    <n v="3"/>
    <n v="750"/>
    <n v="2250"/>
    <n v="600"/>
    <n v="1800"/>
    <n v="450"/>
    <n v="0.2"/>
  </r>
  <r>
    <x v="81"/>
    <s v="ORD-01146"/>
    <x v="3"/>
    <x v="0"/>
    <x v="118"/>
    <x v="1"/>
    <x v="1"/>
    <n v="8"/>
    <n v="54900"/>
    <n v="439200"/>
    <n v="45000"/>
    <n v="360000"/>
    <n v="79200"/>
    <n v="0.18032786885245902"/>
  </r>
  <r>
    <x v="82"/>
    <s v="ORD-01147"/>
    <x v="2"/>
    <x v="0"/>
    <x v="26"/>
    <x v="4"/>
    <x v="2"/>
    <n v="8"/>
    <n v="11305"/>
    <n v="90440"/>
    <n v="8500"/>
    <n v="68000"/>
    <n v="22440"/>
    <n v="0.24812030075187969"/>
  </r>
  <r>
    <x v="82"/>
    <s v="ORD-01148"/>
    <x v="0"/>
    <x v="4"/>
    <x v="108"/>
    <x v="0"/>
    <x v="0"/>
    <n v="4"/>
    <n v="4544"/>
    <n v="18176"/>
    <n v="3200"/>
    <n v="12800"/>
    <n v="5376"/>
    <n v="0.29577464788732394"/>
  </r>
  <r>
    <x v="82"/>
    <s v="ORD-01149"/>
    <x v="2"/>
    <x v="5"/>
    <x v="22"/>
    <x v="6"/>
    <x v="3"/>
    <n v="4"/>
    <n v="1260"/>
    <n v="5040"/>
    <n v="900"/>
    <n v="3600"/>
    <n v="1440"/>
    <n v="0.2857142857142857"/>
  </r>
  <r>
    <x v="82"/>
    <s v="ORD-01150"/>
    <x v="3"/>
    <x v="4"/>
    <x v="123"/>
    <x v="1"/>
    <x v="1"/>
    <n v="8"/>
    <n v="59850"/>
    <n v="478800"/>
    <n v="45000"/>
    <n v="360000"/>
    <n v="118800"/>
    <n v="0.24812030075187969"/>
  </r>
  <r>
    <x v="82"/>
    <s v="ORD-01151"/>
    <x v="3"/>
    <x v="2"/>
    <x v="78"/>
    <x v="3"/>
    <x v="0"/>
    <n v="4"/>
    <n v="3350"/>
    <n v="13400"/>
    <n v="2500"/>
    <n v="10000"/>
    <n v="3400"/>
    <n v="0.2537313432835821"/>
  </r>
  <r>
    <x v="82"/>
    <s v="ORD-01152"/>
    <x v="0"/>
    <x v="1"/>
    <x v="13"/>
    <x v="7"/>
    <x v="2"/>
    <n v="7"/>
    <n v="8820"/>
    <n v="61740"/>
    <n v="7000"/>
    <n v="49000"/>
    <n v="12740"/>
    <n v="0.20634920634920634"/>
  </r>
  <r>
    <x v="82"/>
    <s v="ORD-01153"/>
    <x v="0"/>
    <x v="5"/>
    <x v="6"/>
    <x v="6"/>
    <x v="3"/>
    <n v="1"/>
    <n v="1215"/>
    <n v="1215"/>
    <n v="900"/>
    <n v="900"/>
    <n v="315"/>
    <n v="0.25925925925925924"/>
  </r>
  <r>
    <x v="82"/>
    <s v="ORD-01154"/>
    <x v="3"/>
    <x v="5"/>
    <x v="130"/>
    <x v="1"/>
    <x v="1"/>
    <n v="8"/>
    <n v="59400"/>
    <n v="475200"/>
    <n v="45000"/>
    <n v="360000"/>
    <n v="115200"/>
    <n v="0.24242424242424243"/>
  </r>
  <r>
    <x v="82"/>
    <s v="ORD-01155"/>
    <x v="2"/>
    <x v="5"/>
    <x v="3"/>
    <x v="5"/>
    <x v="3"/>
    <n v="2"/>
    <n v="822.00000000000011"/>
    <n v="1644.0000000000002"/>
    <n v="600"/>
    <n v="1200"/>
    <n v="444.00000000000023"/>
    <n v="0.27007299270073004"/>
  </r>
  <r>
    <x v="82"/>
    <s v="ORD-01156"/>
    <x v="1"/>
    <x v="3"/>
    <x v="145"/>
    <x v="2"/>
    <x v="1"/>
    <n v="4"/>
    <n v="53960"/>
    <n v="215840"/>
    <n v="38000"/>
    <n v="152000"/>
    <n v="63840"/>
    <n v="0.29577464788732394"/>
  </r>
  <r>
    <x v="82"/>
    <s v="ORD-01157"/>
    <x v="2"/>
    <x v="2"/>
    <x v="62"/>
    <x v="1"/>
    <x v="1"/>
    <n v="1"/>
    <n v="62550.000000000007"/>
    <n v="62550.000000000007"/>
    <n v="45000"/>
    <n v="45000"/>
    <n v="17550.000000000007"/>
    <n v="0.28057553956834541"/>
  </r>
  <r>
    <x v="82"/>
    <s v="ORD-01158"/>
    <x v="0"/>
    <x v="0"/>
    <x v="144"/>
    <x v="1"/>
    <x v="1"/>
    <n v="8"/>
    <n v="65250"/>
    <n v="522000"/>
    <n v="45000"/>
    <n v="360000"/>
    <n v="162000"/>
    <n v="0.31034482758620691"/>
  </r>
  <r>
    <x v="82"/>
    <s v="ORD-01159"/>
    <x v="0"/>
    <x v="2"/>
    <x v="19"/>
    <x v="0"/>
    <x v="0"/>
    <n v="5"/>
    <n v="4480"/>
    <n v="22400"/>
    <n v="3200"/>
    <n v="16000"/>
    <n v="6400"/>
    <n v="0.2857142857142857"/>
  </r>
  <r>
    <x v="82"/>
    <s v="ORD-01160"/>
    <x v="1"/>
    <x v="2"/>
    <x v="12"/>
    <x v="2"/>
    <x v="1"/>
    <n v="3"/>
    <n v="45980"/>
    <n v="137940"/>
    <n v="38000"/>
    <n v="114000"/>
    <n v="23940"/>
    <n v="0.17355371900826447"/>
  </r>
  <r>
    <x v="83"/>
    <s v="ORD-01161"/>
    <x v="0"/>
    <x v="5"/>
    <x v="123"/>
    <x v="5"/>
    <x v="3"/>
    <n v="8"/>
    <n v="756"/>
    <n v="6048"/>
    <n v="600"/>
    <n v="4800"/>
    <n v="1248"/>
    <n v="0.20634920634920634"/>
  </r>
  <r>
    <x v="83"/>
    <s v="ORD-01162"/>
    <x v="2"/>
    <x v="3"/>
    <x v="140"/>
    <x v="1"/>
    <x v="1"/>
    <n v="5"/>
    <n v="64800"/>
    <n v="324000"/>
    <n v="45000"/>
    <n v="225000"/>
    <n v="99000"/>
    <n v="0.30555555555555558"/>
  </r>
  <r>
    <x v="83"/>
    <s v="ORD-01163"/>
    <x v="0"/>
    <x v="5"/>
    <x v="102"/>
    <x v="5"/>
    <x v="3"/>
    <n v="2"/>
    <n v="834.00000000000011"/>
    <n v="1668.0000000000002"/>
    <n v="600"/>
    <n v="1200"/>
    <n v="468.00000000000023"/>
    <n v="0.28057553956834541"/>
  </r>
  <r>
    <x v="83"/>
    <s v="ORD-01164"/>
    <x v="2"/>
    <x v="5"/>
    <x v="27"/>
    <x v="1"/>
    <x v="1"/>
    <n v="10"/>
    <n v="55350"/>
    <n v="553500"/>
    <n v="45000"/>
    <n v="450000"/>
    <n v="103500"/>
    <n v="0.18699186991869918"/>
  </r>
  <r>
    <x v="83"/>
    <s v="ORD-01165"/>
    <x v="2"/>
    <x v="1"/>
    <x v="38"/>
    <x v="1"/>
    <x v="1"/>
    <n v="9"/>
    <n v="55350"/>
    <n v="498150"/>
    <n v="45000"/>
    <n v="405000"/>
    <n v="93150"/>
    <n v="0.18699186991869918"/>
  </r>
  <r>
    <x v="83"/>
    <s v="ORD-01166"/>
    <x v="3"/>
    <x v="3"/>
    <x v="146"/>
    <x v="6"/>
    <x v="3"/>
    <n v="10"/>
    <n v="1233"/>
    <n v="12330"/>
    <n v="900"/>
    <n v="9000"/>
    <n v="3330"/>
    <n v="0.27007299270072993"/>
  </r>
  <r>
    <x v="83"/>
    <s v="ORD-01167"/>
    <x v="1"/>
    <x v="2"/>
    <x v="108"/>
    <x v="2"/>
    <x v="1"/>
    <n v="8"/>
    <n v="46740"/>
    <n v="373920"/>
    <n v="38000"/>
    <n v="304000"/>
    <n v="69920"/>
    <n v="0.18699186991869918"/>
  </r>
  <r>
    <x v="83"/>
    <s v="ORD-01168"/>
    <x v="0"/>
    <x v="4"/>
    <x v="147"/>
    <x v="6"/>
    <x v="3"/>
    <n v="2"/>
    <n v="1170"/>
    <n v="2340"/>
    <n v="900"/>
    <n v="1800"/>
    <n v="540"/>
    <n v="0.23076923076923078"/>
  </r>
  <r>
    <x v="83"/>
    <s v="ORD-01169"/>
    <x v="1"/>
    <x v="3"/>
    <x v="131"/>
    <x v="2"/>
    <x v="1"/>
    <n v="3"/>
    <n v="52820.000000000007"/>
    <n v="158460.00000000003"/>
    <n v="38000"/>
    <n v="114000"/>
    <n v="44460.000000000029"/>
    <n v="0.28057553956834547"/>
  </r>
  <r>
    <x v="83"/>
    <s v="ORD-01170"/>
    <x v="3"/>
    <x v="5"/>
    <x v="42"/>
    <x v="1"/>
    <x v="1"/>
    <n v="7"/>
    <n v="59400"/>
    <n v="415800"/>
    <n v="45000"/>
    <n v="315000"/>
    <n v="100800"/>
    <n v="0.24242424242424243"/>
  </r>
  <r>
    <x v="83"/>
    <s v="ORD-01171"/>
    <x v="1"/>
    <x v="3"/>
    <x v="121"/>
    <x v="0"/>
    <x v="0"/>
    <n v="7"/>
    <n v="4256"/>
    <n v="29792"/>
    <n v="3200"/>
    <n v="22400"/>
    <n v="7392"/>
    <n v="0.24812030075187969"/>
  </r>
  <r>
    <x v="83"/>
    <s v="ORD-01172"/>
    <x v="2"/>
    <x v="2"/>
    <x v="1"/>
    <x v="4"/>
    <x v="2"/>
    <n v="10"/>
    <n v="10795"/>
    <n v="107950"/>
    <n v="8500"/>
    <n v="85000"/>
    <n v="22950"/>
    <n v="0.2125984251968504"/>
  </r>
  <r>
    <x v="83"/>
    <s v="ORD-01173"/>
    <x v="3"/>
    <x v="1"/>
    <x v="30"/>
    <x v="0"/>
    <x v="0"/>
    <n v="9"/>
    <n v="4416"/>
    <n v="39744"/>
    <n v="3200"/>
    <n v="28800"/>
    <n v="10944"/>
    <n v="0.27536231884057971"/>
  </r>
  <r>
    <x v="83"/>
    <s v="ORD-01174"/>
    <x v="0"/>
    <x v="3"/>
    <x v="111"/>
    <x v="1"/>
    <x v="1"/>
    <n v="7"/>
    <n v="58500"/>
    <n v="409500"/>
    <n v="45000"/>
    <n v="315000"/>
    <n v="94500"/>
    <n v="0.23076923076923078"/>
  </r>
  <r>
    <x v="84"/>
    <s v="ORD-01175"/>
    <x v="1"/>
    <x v="0"/>
    <x v="48"/>
    <x v="1"/>
    <x v="1"/>
    <n v="8"/>
    <n v="56700"/>
    <n v="453600"/>
    <n v="45000"/>
    <n v="360000"/>
    <n v="93600"/>
    <n v="0.20634920634920634"/>
  </r>
  <r>
    <x v="84"/>
    <s v="ORD-01176"/>
    <x v="2"/>
    <x v="3"/>
    <x v="71"/>
    <x v="6"/>
    <x v="3"/>
    <n v="2"/>
    <n v="1215"/>
    <n v="2430"/>
    <n v="900"/>
    <n v="1800"/>
    <n v="630"/>
    <n v="0.25925925925925924"/>
  </r>
  <r>
    <x v="84"/>
    <s v="ORD-01177"/>
    <x v="0"/>
    <x v="2"/>
    <x v="39"/>
    <x v="7"/>
    <x v="2"/>
    <n v="7"/>
    <n v="9380"/>
    <n v="65660"/>
    <n v="7000"/>
    <n v="49000"/>
    <n v="16660"/>
    <n v="0.2537313432835821"/>
  </r>
  <r>
    <x v="84"/>
    <s v="ORD-01178"/>
    <x v="2"/>
    <x v="2"/>
    <x v="78"/>
    <x v="1"/>
    <x v="1"/>
    <n v="2"/>
    <n v="56700"/>
    <n v="113400"/>
    <n v="45000"/>
    <n v="90000"/>
    <n v="23400"/>
    <n v="0.20634920634920634"/>
  </r>
  <r>
    <x v="84"/>
    <s v="ORD-01179"/>
    <x v="2"/>
    <x v="4"/>
    <x v="95"/>
    <x v="2"/>
    <x v="1"/>
    <n v="6"/>
    <n v="46360"/>
    <n v="278160"/>
    <n v="38000"/>
    <n v="228000"/>
    <n v="50160"/>
    <n v="0.18032786885245902"/>
  </r>
  <r>
    <x v="84"/>
    <s v="ORD-01180"/>
    <x v="2"/>
    <x v="5"/>
    <x v="134"/>
    <x v="3"/>
    <x v="0"/>
    <n v="2"/>
    <n v="3250"/>
    <n v="6500"/>
    <n v="2500"/>
    <n v="5000"/>
    <n v="1500"/>
    <n v="0.23076923076923078"/>
  </r>
  <r>
    <x v="84"/>
    <s v="ORD-01181"/>
    <x v="0"/>
    <x v="0"/>
    <x v="98"/>
    <x v="3"/>
    <x v="0"/>
    <n v="3"/>
    <n v="3425.0000000000005"/>
    <n v="10275.000000000002"/>
    <n v="2500"/>
    <n v="7500"/>
    <n v="2775.0000000000018"/>
    <n v="0.27007299270073004"/>
  </r>
  <r>
    <x v="84"/>
    <s v="ORD-01182"/>
    <x v="3"/>
    <x v="5"/>
    <x v="126"/>
    <x v="5"/>
    <x v="3"/>
    <n v="8"/>
    <n v="840"/>
    <n v="6720"/>
    <n v="600"/>
    <n v="4800"/>
    <n v="1920"/>
    <n v="0.2857142857142857"/>
  </r>
  <r>
    <x v="84"/>
    <s v="ORD-01183"/>
    <x v="3"/>
    <x v="4"/>
    <x v="88"/>
    <x v="7"/>
    <x v="2"/>
    <n v="4"/>
    <n v="8820"/>
    <n v="35280"/>
    <n v="7000"/>
    <n v="28000"/>
    <n v="7280"/>
    <n v="0.20634920634920634"/>
  </r>
  <r>
    <x v="84"/>
    <s v="ORD-01184"/>
    <x v="3"/>
    <x v="4"/>
    <x v="75"/>
    <x v="0"/>
    <x v="0"/>
    <n v="3"/>
    <n v="4000"/>
    <n v="12000"/>
    <n v="3200"/>
    <n v="9600"/>
    <n v="2400"/>
    <n v="0.2"/>
  </r>
  <r>
    <x v="84"/>
    <s v="ORD-01185"/>
    <x v="0"/>
    <x v="1"/>
    <x v="82"/>
    <x v="5"/>
    <x v="3"/>
    <n v="7"/>
    <n v="726"/>
    <n v="5082"/>
    <n v="600"/>
    <n v="4200"/>
    <n v="882"/>
    <n v="0.17355371900826447"/>
  </r>
  <r>
    <x v="84"/>
    <s v="ORD-01186"/>
    <x v="0"/>
    <x v="2"/>
    <x v="2"/>
    <x v="0"/>
    <x v="0"/>
    <n v="2"/>
    <n v="4064"/>
    <n v="8128"/>
    <n v="3200"/>
    <n v="6400"/>
    <n v="1728"/>
    <n v="0.2125984251968504"/>
  </r>
  <r>
    <x v="84"/>
    <s v="ORD-01187"/>
    <x v="0"/>
    <x v="3"/>
    <x v="97"/>
    <x v="5"/>
    <x v="3"/>
    <n v="7"/>
    <n v="798"/>
    <n v="5586"/>
    <n v="600"/>
    <n v="4200"/>
    <n v="1386"/>
    <n v="0.24812030075187969"/>
  </r>
  <r>
    <x v="84"/>
    <s v="ORD-01188"/>
    <x v="1"/>
    <x v="1"/>
    <x v="132"/>
    <x v="3"/>
    <x v="0"/>
    <n v="1"/>
    <n v="3025"/>
    <n v="3025"/>
    <n v="2500"/>
    <n v="2500"/>
    <n v="525"/>
    <n v="0.17355371900826447"/>
  </r>
  <r>
    <x v="85"/>
    <s v="ORD-01189"/>
    <x v="2"/>
    <x v="4"/>
    <x v="46"/>
    <x v="5"/>
    <x v="3"/>
    <n v="8"/>
    <n v="870"/>
    <n v="6960"/>
    <n v="600"/>
    <n v="4800"/>
    <n v="2160"/>
    <n v="0.31034482758620691"/>
  </r>
  <r>
    <x v="85"/>
    <s v="ORD-01190"/>
    <x v="2"/>
    <x v="3"/>
    <x v="12"/>
    <x v="0"/>
    <x v="0"/>
    <n v="5"/>
    <n v="4032"/>
    <n v="20160"/>
    <n v="3200"/>
    <n v="16000"/>
    <n v="4160"/>
    <n v="0.20634920634920634"/>
  </r>
  <r>
    <x v="85"/>
    <s v="ORD-01191"/>
    <x v="0"/>
    <x v="3"/>
    <x v="103"/>
    <x v="7"/>
    <x v="2"/>
    <n v="1"/>
    <n v="9660"/>
    <n v="9660"/>
    <n v="7000"/>
    <n v="7000"/>
    <n v="2660"/>
    <n v="0.27536231884057971"/>
  </r>
  <r>
    <x v="85"/>
    <s v="ORD-01192"/>
    <x v="1"/>
    <x v="3"/>
    <x v="111"/>
    <x v="7"/>
    <x v="2"/>
    <n v="2"/>
    <n v="9940"/>
    <n v="19880"/>
    <n v="7000"/>
    <n v="14000"/>
    <n v="5880"/>
    <n v="0.29577464788732394"/>
  </r>
  <r>
    <x v="85"/>
    <s v="ORD-01193"/>
    <x v="2"/>
    <x v="0"/>
    <x v="97"/>
    <x v="3"/>
    <x v="0"/>
    <n v="4"/>
    <n v="3600"/>
    <n v="14400"/>
    <n v="2500"/>
    <n v="10000"/>
    <n v="4400"/>
    <n v="0.30555555555555558"/>
  </r>
  <r>
    <x v="85"/>
    <s v="ORD-01194"/>
    <x v="3"/>
    <x v="4"/>
    <x v="127"/>
    <x v="1"/>
    <x v="1"/>
    <n v="5"/>
    <n v="59400"/>
    <n v="297000"/>
    <n v="45000"/>
    <n v="225000"/>
    <n v="72000"/>
    <n v="0.24242424242424243"/>
  </r>
  <r>
    <x v="85"/>
    <s v="ORD-01195"/>
    <x v="3"/>
    <x v="2"/>
    <x v="21"/>
    <x v="3"/>
    <x v="0"/>
    <n v="2"/>
    <n v="3375"/>
    <n v="6750"/>
    <n v="2500"/>
    <n v="5000"/>
    <n v="1750"/>
    <n v="0.25925925925925924"/>
  </r>
  <r>
    <x v="85"/>
    <s v="ORD-01196"/>
    <x v="0"/>
    <x v="3"/>
    <x v="57"/>
    <x v="7"/>
    <x v="2"/>
    <n v="1"/>
    <n v="8890"/>
    <n v="8890"/>
    <n v="7000"/>
    <n v="7000"/>
    <n v="1890"/>
    <n v="0.2125984251968504"/>
  </r>
  <r>
    <x v="85"/>
    <s v="ORD-01197"/>
    <x v="1"/>
    <x v="0"/>
    <x v="92"/>
    <x v="2"/>
    <x v="1"/>
    <n v="1"/>
    <n v="52820.000000000007"/>
    <n v="52820.000000000007"/>
    <n v="38000"/>
    <n v="38000"/>
    <n v="14820.000000000007"/>
    <n v="0.28057553956834541"/>
  </r>
  <r>
    <x v="85"/>
    <s v="ORD-01198"/>
    <x v="3"/>
    <x v="2"/>
    <x v="126"/>
    <x v="6"/>
    <x v="3"/>
    <n v="1"/>
    <n v="1161"/>
    <n v="1161"/>
    <n v="900"/>
    <n v="900"/>
    <n v="261"/>
    <n v="0.22480620155038761"/>
  </r>
  <r>
    <x v="85"/>
    <s v="ORD-01199"/>
    <x v="2"/>
    <x v="1"/>
    <x v="74"/>
    <x v="5"/>
    <x v="3"/>
    <n v="8"/>
    <n v="864"/>
    <n v="6912"/>
    <n v="600"/>
    <n v="4800"/>
    <n v="2112"/>
    <n v="0.30555555555555558"/>
  </r>
  <r>
    <x v="85"/>
    <s v="ORD-01200"/>
    <x v="2"/>
    <x v="4"/>
    <x v="129"/>
    <x v="1"/>
    <x v="1"/>
    <n v="8"/>
    <n v="54000"/>
    <n v="432000"/>
    <n v="45000"/>
    <n v="360000"/>
    <n v="72000"/>
    <n v="0.16666666666666666"/>
  </r>
  <r>
    <x v="85"/>
    <s v="ORD-01201"/>
    <x v="3"/>
    <x v="1"/>
    <x v="45"/>
    <x v="2"/>
    <x v="1"/>
    <n v="4"/>
    <n v="49400"/>
    <n v="197600"/>
    <n v="38000"/>
    <n v="152000"/>
    <n v="45600"/>
    <n v="0.23076923076923078"/>
  </r>
  <r>
    <x v="85"/>
    <s v="ORD-01202"/>
    <x v="3"/>
    <x v="4"/>
    <x v="8"/>
    <x v="1"/>
    <x v="1"/>
    <n v="7"/>
    <n v="58500"/>
    <n v="409500"/>
    <n v="45000"/>
    <n v="315000"/>
    <n v="94500"/>
    <n v="0.23076923076923078"/>
  </r>
  <r>
    <x v="86"/>
    <s v="ORD-01203"/>
    <x v="1"/>
    <x v="2"/>
    <x v="113"/>
    <x v="7"/>
    <x v="2"/>
    <n v="2"/>
    <n v="9730"/>
    <n v="19460"/>
    <n v="7000"/>
    <n v="14000"/>
    <n v="5460"/>
    <n v="0.2805755395683453"/>
  </r>
  <r>
    <x v="86"/>
    <s v="ORD-01204"/>
    <x v="2"/>
    <x v="3"/>
    <x v="43"/>
    <x v="5"/>
    <x v="3"/>
    <n v="6"/>
    <n v="738"/>
    <n v="4428"/>
    <n v="600"/>
    <n v="3600"/>
    <n v="828"/>
    <n v="0.18699186991869918"/>
  </r>
  <r>
    <x v="86"/>
    <s v="ORD-01205"/>
    <x v="1"/>
    <x v="3"/>
    <x v="89"/>
    <x v="6"/>
    <x v="3"/>
    <n v="9"/>
    <n v="1188"/>
    <n v="10692"/>
    <n v="900"/>
    <n v="8100"/>
    <n v="2592"/>
    <n v="0.24242424242424243"/>
  </r>
  <r>
    <x v="86"/>
    <s v="ORD-01206"/>
    <x v="1"/>
    <x v="1"/>
    <x v="34"/>
    <x v="1"/>
    <x v="1"/>
    <n v="6"/>
    <n v="60750.000000000007"/>
    <n v="364500.00000000006"/>
    <n v="45000"/>
    <n v="270000"/>
    <n v="94500.000000000058"/>
    <n v="0.25925925925925936"/>
  </r>
  <r>
    <x v="86"/>
    <s v="ORD-01207"/>
    <x v="0"/>
    <x v="4"/>
    <x v="63"/>
    <x v="2"/>
    <x v="1"/>
    <n v="2"/>
    <n v="45600"/>
    <n v="91200"/>
    <n v="38000"/>
    <n v="76000"/>
    <n v="15200"/>
    <n v="0.16666666666666666"/>
  </r>
  <r>
    <x v="86"/>
    <s v="ORD-01208"/>
    <x v="3"/>
    <x v="1"/>
    <x v="71"/>
    <x v="4"/>
    <x v="2"/>
    <n v="6"/>
    <n v="10540"/>
    <n v="63240"/>
    <n v="8500"/>
    <n v="51000"/>
    <n v="12240"/>
    <n v="0.19354838709677419"/>
  </r>
  <r>
    <x v="86"/>
    <s v="ORD-01209"/>
    <x v="0"/>
    <x v="3"/>
    <x v="126"/>
    <x v="4"/>
    <x v="2"/>
    <n v="7"/>
    <n v="10625"/>
    <n v="74375"/>
    <n v="8500"/>
    <n v="59500"/>
    <n v="14875"/>
    <n v="0.2"/>
  </r>
  <r>
    <x v="86"/>
    <s v="ORD-01210"/>
    <x v="0"/>
    <x v="1"/>
    <x v="11"/>
    <x v="5"/>
    <x v="3"/>
    <n v="8"/>
    <n v="815.99999999999989"/>
    <n v="6527.9999999999991"/>
    <n v="600"/>
    <n v="4800"/>
    <n v="1727.9999999999991"/>
    <n v="0.26470588235294107"/>
  </r>
  <r>
    <x v="86"/>
    <s v="ORD-01211"/>
    <x v="2"/>
    <x v="1"/>
    <x v="101"/>
    <x v="5"/>
    <x v="3"/>
    <n v="5"/>
    <n v="810"/>
    <n v="4050"/>
    <n v="600"/>
    <n v="3000"/>
    <n v="1050"/>
    <n v="0.25925925925925924"/>
  </r>
  <r>
    <x v="86"/>
    <s v="ORD-01212"/>
    <x v="3"/>
    <x v="1"/>
    <x v="10"/>
    <x v="1"/>
    <x v="1"/>
    <n v="6"/>
    <n v="54900"/>
    <n v="329400"/>
    <n v="45000"/>
    <n v="270000"/>
    <n v="59400"/>
    <n v="0.18032786885245902"/>
  </r>
  <r>
    <x v="86"/>
    <s v="ORD-01213"/>
    <x v="0"/>
    <x v="4"/>
    <x v="89"/>
    <x v="3"/>
    <x v="0"/>
    <n v="9"/>
    <n v="3525"/>
    <n v="31725"/>
    <n v="2500"/>
    <n v="22500"/>
    <n v="9225"/>
    <n v="0.29078014184397161"/>
  </r>
  <r>
    <x v="86"/>
    <s v="ORD-01214"/>
    <x v="0"/>
    <x v="5"/>
    <x v="92"/>
    <x v="1"/>
    <x v="1"/>
    <n v="4"/>
    <n v="64350"/>
    <n v="257400"/>
    <n v="45000"/>
    <n v="180000"/>
    <n v="77400"/>
    <n v="0.30069930069930068"/>
  </r>
  <r>
    <x v="86"/>
    <s v="ORD-01215"/>
    <x v="0"/>
    <x v="1"/>
    <x v="142"/>
    <x v="6"/>
    <x v="3"/>
    <n v="1"/>
    <n v="1179"/>
    <n v="1179"/>
    <n v="900"/>
    <n v="900"/>
    <n v="279"/>
    <n v="0.23664122137404581"/>
  </r>
  <r>
    <x v="86"/>
    <s v="ORD-01216"/>
    <x v="2"/>
    <x v="2"/>
    <x v="71"/>
    <x v="4"/>
    <x v="2"/>
    <n v="3"/>
    <n v="10285"/>
    <n v="30855"/>
    <n v="8500"/>
    <n v="25500"/>
    <n v="5355"/>
    <n v="0.17355371900826447"/>
  </r>
  <r>
    <x v="87"/>
    <s v="ORD-01217"/>
    <x v="3"/>
    <x v="4"/>
    <x v="60"/>
    <x v="6"/>
    <x v="3"/>
    <n v="8"/>
    <n v="1287"/>
    <n v="10296"/>
    <n v="900"/>
    <n v="7200"/>
    <n v="3096"/>
    <n v="0.30069930069930068"/>
  </r>
  <r>
    <x v="87"/>
    <s v="ORD-01218"/>
    <x v="1"/>
    <x v="5"/>
    <x v="86"/>
    <x v="3"/>
    <x v="0"/>
    <n v="7"/>
    <n v="3475.0000000000005"/>
    <n v="24325.000000000004"/>
    <n v="2500"/>
    <n v="17500"/>
    <n v="6825.0000000000036"/>
    <n v="0.28057553956834541"/>
  </r>
  <r>
    <x v="87"/>
    <s v="ORD-01219"/>
    <x v="3"/>
    <x v="2"/>
    <x v="63"/>
    <x v="7"/>
    <x v="2"/>
    <n v="6"/>
    <n v="8750"/>
    <n v="52500"/>
    <n v="7000"/>
    <n v="42000"/>
    <n v="10500"/>
    <n v="0.2"/>
  </r>
  <r>
    <x v="87"/>
    <s v="ORD-01220"/>
    <x v="2"/>
    <x v="2"/>
    <x v="35"/>
    <x v="1"/>
    <x v="1"/>
    <n v="7"/>
    <n v="55800"/>
    <n v="390600"/>
    <n v="45000"/>
    <n v="315000"/>
    <n v="75600"/>
    <n v="0.19354838709677419"/>
  </r>
  <r>
    <x v="87"/>
    <s v="ORD-01221"/>
    <x v="2"/>
    <x v="4"/>
    <x v="114"/>
    <x v="4"/>
    <x v="2"/>
    <n v="7"/>
    <n v="11135"/>
    <n v="77945"/>
    <n v="8500"/>
    <n v="59500"/>
    <n v="18445"/>
    <n v="0.23664122137404581"/>
  </r>
  <r>
    <x v="87"/>
    <s v="ORD-01222"/>
    <x v="2"/>
    <x v="2"/>
    <x v="38"/>
    <x v="5"/>
    <x v="3"/>
    <n v="4"/>
    <n v="827.99999999999989"/>
    <n v="3311.9999999999995"/>
    <n v="600"/>
    <n v="2400"/>
    <n v="911.99999999999955"/>
    <n v="0.2753623188405796"/>
  </r>
  <r>
    <x v="87"/>
    <s v="ORD-01223"/>
    <x v="2"/>
    <x v="0"/>
    <x v="144"/>
    <x v="3"/>
    <x v="0"/>
    <n v="4"/>
    <n v="3125"/>
    <n v="12500"/>
    <n v="2500"/>
    <n v="10000"/>
    <n v="2500"/>
    <n v="0.2"/>
  </r>
  <r>
    <x v="87"/>
    <s v="ORD-01224"/>
    <x v="0"/>
    <x v="4"/>
    <x v="122"/>
    <x v="7"/>
    <x v="2"/>
    <n v="5"/>
    <n v="8750"/>
    <n v="43750"/>
    <n v="7000"/>
    <n v="35000"/>
    <n v="8750"/>
    <n v="0.2"/>
  </r>
  <r>
    <x v="87"/>
    <s v="ORD-01225"/>
    <x v="1"/>
    <x v="1"/>
    <x v="19"/>
    <x v="1"/>
    <x v="1"/>
    <n v="4"/>
    <n v="60750.000000000007"/>
    <n v="243000.00000000003"/>
    <n v="45000"/>
    <n v="180000"/>
    <n v="63000.000000000029"/>
    <n v="0.25925925925925936"/>
  </r>
  <r>
    <x v="87"/>
    <s v="ORD-01226"/>
    <x v="2"/>
    <x v="4"/>
    <x v="14"/>
    <x v="2"/>
    <x v="1"/>
    <n v="6"/>
    <n v="45600"/>
    <n v="273600"/>
    <n v="38000"/>
    <n v="228000"/>
    <n v="45600"/>
    <n v="0.16666666666666666"/>
  </r>
  <r>
    <x v="87"/>
    <s v="ORD-01227"/>
    <x v="3"/>
    <x v="0"/>
    <x v="31"/>
    <x v="4"/>
    <x v="2"/>
    <n v="2"/>
    <n v="10285"/>
    <n v="20570"/>
    <n v="8500"/>
    <n v="17000"/>
    <n v="3570"/>
    <n v="0.17355371900826447"/>
  </r>
  <r>
    <x v="87"/>
    <s v="ORD-01228"/>
    <x v="3"/>
    <x v="2"/>
    <x v="42"/>
    <x v="2"/>
    <x v="1"/>
    <n v="8"/>
    <n v="46360"/>
    <n v="370880"/>
    <n v="38000"/>
    <n v="304000"/>
    <n v="66880"/>
    <n v="0.18032786885245902"/>
  </r>
  <r>
    <x v="87"/>
    <s v="ORD-01229"/>
    <x v="1"/>
    <x v="4"/>
    <x v="129"/>
    <x v="7"/>
    <x v="2"/>
    <n v="7"/>
    <n v="8820"/>
    <n v="61740"/>
    <n v="7000"/>
    <n v="49000"/>
    <n v="12740"/>
    <n v="0.20634920634920634"/>
  </r>
  <r>
    <x v="87"/>
    <s v="ORD-01230"/>
    <x v="1"/>
    <x v="4"/>
    <x v="133"/>
    <x v="4"/>
    <x v="2"/>
    <n v="8"/>
    <n v="12240"/>
    <n v="97920"/>
    <n v="8500"/>
    <n v="68000"/>
    <n v="29920"/>
    <n v="0.30555555555555558"/>
  </r>
  <r>
    <x v="88"/>
    <s v="ORD-01231"/>
    <x v="3"/>
    <x v="0"/>
    <x v="115"/>
    <x v="4"/>
    <x v="2"/>
    <n v="10"/>
    <n v="11985"/>
    <n v="119850"/>
    <n v="8500"/>
    <n v="85000"/>
    <n v="34850"/>
    <n v="0.29078014184397161"/>
  </r>
  <r>
    <x v="88"/>
    <s v="ORD-01232"/>
    <x v="0"/>
    <x v="0"/>
    <x v="148"/>
    <x v="0"/>
    <x v="0"/>
    <n v="3"/>
    <n v="4320"/>
    <n v="12960"/>
    <n v="3200"/>
    <n v="9600"/>
    <n v="3360"/>
    <n v="0.25925925925925924"/>
  </r>
  <r>
    <x v="88"/>
    <s v="ORD-01233"/>
    <x v="1"/>
    <x v="3"/>
    <x v="59"/>
    <x v="3"/>
    <x v="0"/>
    <n v="7"/>
    <n v="3500"/>
    <n v="24500"/>
    <n v="2500"/>
    <n v="17500"/>
    <n v="7000"/>
    <n v="0.2857142857142857"/>
  </r>
  <r>
    <x v="88"/>
    <s v="ORD-01234"/>
    <x v="1"/>
    <x v="2"/>
    <x v="55"/>
    <x v="2"/>
    <x v="1"/>
    <n v="9"/>
    <n v="49400"/>
    <n v="444600"/>
    <n v="38000"/>
    <n v="342000"/>
    <n v="102600"/>
    <n v="0.23076923076923078"/>
  </r>
  <r>
    <x v="88"/>
    <s v="ORD-01235"/>
    <x v="1"/>
    <x v="4"/>
    <x v="90"/>
    <x v="4"/>
    <x v="2"/>
    <n v="4"/>
    <n v="11305"/>
    <n v="45220"/>
    <n v="8500"/>
    <n v="34000"/>
    <n v="11220"/>
    <n v="0.24812030075187969"/>
  </r>
  <r>
    <x v="88"/>
    <s v="ORD-01236"/>
    <x v="0"/>
    <x v="4"/>
    <x v="6"/>
    <x v="0"/>
    <x v="0"/>
    <n v="6"/>
    <n v="4192"/>
    <n v="25152"/>
    <n v="3200"/>
    <n v="19200"/>
    <n v="5952"/>
    <n v="0.23664122137404581"/>
  </r>
  <r>
    <x v="88"/>
    <s v="ORD-01237"/>
    <x v="2"/>
    <x v="3"/>
    <x v="113"/>
    <x v="3"/>
    <x v="0"/>
    <n v="8"/>
    <n v="3175"/>
    <n v="25400"/>
    <n v="2500"/>
    <n v="20000"/>
    <n v="5400"/>
    <n v="0.2125984251968504"/>
  </r>
  <r>
    <x v="88"/>
    <s v="ORD-01238"/>
    <x v="3"/>
    <x v="5"/>
    <x v="9"/>
    <x v="1"/>
    <x v="1"/>
    <n v="7"/>
    <n v="62550.000000000007"/>
    <n v="437850.00000000006"/>
    <n v="45000"/>
    <n v="315000"/>
    <n v="122850.00000000006"/>
    <n v="0.28057553956834541"/>
  </r>
  <r>
    <x v="88"/>
    <s v="ORD-01239"/>
    <x v="0"/>
    <x v="1"/>
    <x v="135"/>
    <x v="7"/>
    <x v="2"/>
    <n v="1"/>
    <n v="9730"/>
    <n v="9730"/>
    <n v="7000"/>
    <n v="7000"/>
    <n v="2730"/>
    <n v="0.2805755395683453"/>
  </r>
  <r>
    <x v="88"/>
    <s v="ORD-01240"/>
    <x v="2"/>
    <x v="2"/>
    <x v="105"/>
    <x v="4"/>
    <x v="2"/>
    <n v="8"/>
    <n v="11645"/>
    <n v="93160"/>
    <n v="8500"/>
    <n v="68000"/>
    <n v="25160"/>
    <n v="0.27007299270072993"/>
  </r>
  <r>
    <x v="88"/>
    <s v="ORD-01241"/>
    <x v="3"/>
    <x v="2"/>
    <x v="118"/>
    <x v="6"/>
    <x v="3"/>
    <n v="4"/>
    <n v="1161"/>
    <n v="4644"/>
    <n v="900"/>
    <n v="3600"/>
    <n v="1044"/>
    <n v="0.22480620155038761"/>
  </r>
  <r>
    <x v="88"/>
    <s v="ORD-01242"/>
    <x v="0"/>
    <x v="0"/>
    <x v="37"/>
    <x v="6"/>
    <x v="3"/>
    <n v="6"/>
    <n v="1206"/>
    <n v="7236"/>
    <n v="900"/>
    <n v="5400"/>
    <n v="1836"/>
    <n v="0.2537313432835821"/>
  </r>
  <r>
    <x v="88"/>
    <s v="ORD-01243"/>
    <x v="2"/>
    <x v="0"/>
    <x v="43"/>
    <x v="6"/>
    <x v="3"/>
    <n v="1"/>
    <n v="1278"/>
    <n v="1278"/>
    <n v="900"/>
    <n v="900"/>
    <n v="378"/>
    <n v="0.29577464788732394"/>
  </r>
  <r>
    <x v="88"/>
    <s v="ORD-01244"/>
    <x v="2"/>
    <x v="2"/>
    <x v="142"/>
    <x v="4"/>
    <x v="2"/>
    <n v="10"/>
    <n v="10455"/>
    <n v="104550"/>
    <n v="8500"/>
    <n v="85000"/>
    <n v="19550"/>
    <n v="0.18699186991869918"/>
  </r>
  <r>
    <x v="89"/>
    <s v="ORD-01245"/>
    <x v="1"/>
    <x v="0"/>
    <x v="113"/>
    <x v="7"/>
    <x v="2"/>
    <n v="8"/>
    <n v="9730"/>
    <n v="77840"/>
    <n v="7000"/>
    <n v="56000"/>
    <n v="21840"/>
    <n v="0.2805755395683453"/>
  </r>
  <r>
    <x v="89"/>
    <s v="ORD-01246"/>
    <x v="1"/>
    <x v="1"/>
    <x v="103"/>
    <x v="5"/>
    <x v="3"/>
    <n v="7"/>
    <n v="774"/>
    <n v="5418"/>
    <n v="600"/>
    <n v="4200"/>
    <n v="1218"/>
    <n v="0.22480620155038761"/>
  </r>
  <r>
    <x v="89"/>
    <s v="ORD-01247"/>
    <x v="0"/>
    <x v="3"/>
    <x v="132"/>
    <x v="3"/>
    <x v="0"/>
    <n v="7"/>
    <n v="3475.0000000000005"/>
    <n v="24325.000000000004"/>
    <n v="2500"/>
    <n v="17500"/>
    <n v="6825.0000000000036"/>
    <n v="0.28057553956834541"/>
  </r>
  <r>
    <x v="89"/>
    <s v="ORD-01248"/>
    <x v="2"/>
    <x v="5"/>
    <x v="48"/>
    <x v="1"/>
    <x v="1"/>
    <n v="7"/>
    <n v="64800"/>
    <n v="453600"/>
    <n v="45000"/>
    <n v="315000"/>
    <n v="138600"/>
    <n v="0.30555555555555558"/>
  </r>
  <r>
    <x v="89"/>
    <s v="ORD-01249"/>
    <x v="3"/>
    <x v="3"/>
    <x v="103"/>
    <x v="5"/>
    <x v="3"/>
    <n v="9"/>
    <n v="738"/>
    <n v="6642"/>
    <n v="600"/>
    <n v="5400"/>
    <n v="1242"/>
    <n v="0.18699186991869918"/>
  </r>
  <r>
    <x v="89"/>
    <s v="ORD-01250"/>
    <x v="2"/>
    <x v="2"/>
    <x v="56"/>
    <x v="3"/>
    <x v="0"/>
    <n v="9"/>
    <n v="3025"/>
    <n v="27225"/>
    <n v="2500"/>
    <n v="22500"/>
    <n v="4725"/>
    <n v="0.17355371900826447"/>
  </r>
  <r>
    <x v="89"/>
    <s v="ORD-01251"/>
    <x v="0"/>
    <x v="2"/>
    <x v="47"/>
    <x v="1"/>
    <x v="1"/>
    <n v="10"/>
    <n v="56250"/>
    <n v="562500"/>
    <n v="45000"/>
    <n v="450000"/>
    <n v="112500"/>
    <n v="0.2"/>
  </r>
  <r>
    <x v="89"/>
    <s v="ORD-01252"/>
    <x v="2"/>
    <x v="1"/>
    <x v="96"/>
    <x v="4"/>
    <x v="2"/>
    <n v="6"/>
    <n v="10625"/>
    <n v="63750"/>
    <n v="8500"/>
    <n v="51000"/>
    <n v="12750"/>
    <n v="0.2"/>
  </r>
  <r>
    <x v="89"/>
    <s v="ORD-01253"/>
    <x v="3"/>
    <x v="3"/>
    <x v="1"/>
    <x v="1"/>
    <x v="1"/>
    <n v="2"/>
    <n v="55350"/>
    <n v="110700"/>
    <n v="45000"/>
    <n v="90000"/>
    <n v="20700"/>
    <n v="0.18699186991869918"/>
  </r>
  <r>
    <x v="89"/>
    <s v="ORD-01254"/>
    <x v="3"/>
    <x v="1"/>
    <x v="24"/>
    <x v="5"/>
    <x v="3"/>
    <n v="4"/>
    <n v="870"/>
    <n v="3480"/>
    <n v="600"/>
    <n v="2400"/>
    <n v="1080"/>
    <n v="0.31034482758620691"/>
  </r>
  <r>
    <x v="89"/>
    <s v="ORD-01255"/>
    <x v="0"/>
    <x v="4"/>
    <x v="147"/>
    <x v="2"/>
    <x v="1"/>
    <n v="7"/>
    <n v="47120"/>
    <n v="329840"/>
    <n v="38000"/>
    <n v="266000"/>
    <n v="63840"/>
    <n v="0.19354838709677419"/>
  </r>
  <r>
    <x v="89"/>
    <s v="ORD-01256"/>
    <x v="0"/>
    <x v="0"/>
    <x v="104"/>
    <x v="4"/>
    <x v="2"/>
    <n v="9"/>
    <n v="10285"/>
    <n v="92565"/>
    <n v="8500"/>
    <n v="76500"/>
    <n v="16065"/>
    <n v="0.17355371900826447"/>
  </r>
  <r>
    <x v="89"/>
    <s v="ORD-01257"/>
    <x v="2"/>
    <x v="2"/>
    <x v="24"/>
    <x v="0"/>
    <x v="0"/>
    <n v="8"/>
    <n v="4512"/>
    <n v="36096"/>
    <n v="3200"/>
    <n v="25600"/>
    <n v="10496"/>
    <n v="0.29078014184397161"/>
  </r>
  <r>
    <x v="89"/>
    <s v="ORD-01258"/>
    <x v="1"/>
    <x v="5"/>
    <x v="80"/>
    <x v="7"/>
    <x v="2"/>
    <n v="9"/>
    <n v="8470"/>
    <n v="76230"/>
    <n v="7000"/>
    <n v="63000"/>
    <n v="13230"/>
    <n v="0.17355371900826447"/>
  </r>
  <r>
    <x v="90"/>
    <s v="ORD-01259"/>
    <x v="0"/>
    <x v="2"/>
    <x v="33"/>
    <x v="6"/>
    <x v="3"/>
    <n v="10"/>
    <n v="1098"/>
    <n v="10980"/>
    <n v="900"/>
    <n v="9000"/>
    <n v="1980"/>
    <n v="0.18032786885245902"/>
  </r>
  <r>
    <x v="90"/>
    <s v="ORD-01260"/>
    <x v="3"/>
    <x v="4"/>
    <x v="61"/>
    <x v="5"/>
    <x v="3"/>
    <n v="6"/>
    <n v="870"/>
    <n v="5220"/>
    <n v="600"/>
    <n v="3600"/>
    <n v="1620"/>
    <n v="0.31034482758620691"/>
  </r>
  <r>
    <x v="90"/>
    <s v="ORD-01261"/>
    <x v="1"/>
    <x v="4"/>
    <x v="49"/>
    <x v="6"/>
    <x v="3"/>
    <n v="3"/>
    <n v="1305"/>
    <n v="3915"/>
    <n v="900"/>
    <n v="2700"/>
    <n v="1215"/>
    <n v="0.31034482758620691"/>
  </r>
  <r>
    <x v="90"/>
    <s v="ORD-01262"/>
    <x v="3"/>
    <x v="1"/>
    <x v="33"/>
    <x v="6"/>
    <x v="3"/>
    <n v="3"/>
    <n v="1125"/>
    <n v="3375"/>
    <n v="900"/>
    <n v="2700"/>
    <n v="675"/>
    <n v="0.2"/>
  </r>
  <r>
    <x v="90"/>
    <s v="ORD-01263"/>
    <x v="3"/>
    <x v="4"/>
    <x v="96"/>
    <x v="2"/>
    <x v="1"/>
    <n v="9"/>
    <n v="53960"/>
    <n v="485640"/>
    <n v="38000"/>
    <n v="342000"/>
    <n v="143640"/>
    <n v="0.29577464788732394"/>
  </r>
  <r>
    <x v="90"/>
    <s v="ORD-01264"/>
    <x v="3"/>
    <x v="4"/>
    <x v="13"/>
    <x v="1"/>
    <x v="1"/>
    <n v="7"/>
    <n v="61199.999999999993"/>
    <n v="428399.99999999994"/>
    <n v="45000"/>
    <n v="315000"/>
    <n v="113399.99999999994"/>
    <n v="0.26470588235294107"/>
  </r>
  <r>
    <x v="90"/>
    <s v="ORD-01265"/>
    <x v="2"/>
    <x v="3"/>
    <x v="42"/>
    <x v="4"/>
    <x v="2"/>
    <n v="7"/>
    <n v="11559.999999999998"/>
    <n v="80919.999999999985"/>
    <n v="8500"/>
    <n v="59500"/>
    <n v="21419.999999999985"/>
    <n v="0.26470588235294107"/>
  </r>
  <r>
    <x v="90"/>
    <s v="ORD-01266"/>
    <x v="2"/>
    <x v="2"/>
    <x v="87"/>
    <x v="5"/>
    <x v="3"/>
    <n v="3"/>
    <n v="732"/>
    <n v="2196"/>
    <n v="600"/>
    <n v="1800"/>
    <n v="396"/>
    <n v="0.18032786885245902"/>
  </r>
  <r>
    <x v="90"/>
    <s v="ORD-01267"/>
    <x v="0"/>
    <x v="2"/>
    <x v="79"/>
    <x v="3"/>
    <x v="0"/>
    <n v="4"/>
    <n v="3200"/>
    <n v="12800"/>
    <n v="2500"/>
    <n v="10000"/>
    <n v="2800"/>
    <n v="0.21875"/>
  </r>
  <r>
    <x v="90"/>
    <s v="ORD-01268"/>
    <x v="1"/>
    <x v="5"/>
    <x v="144"/>
    <x v="2"/>
    <x v="1"/>
    <n v="5"/>
    <n v="46360"/>
    <n v="231800"/>
    <n v="38000"/>
    <n v="190000"/>
    <n v="41800"/>
    <n v="0.18032786885245902"/>
  </r>
  <r>
    <x v="90"/>
    <s v="ORD-01269"/>
    <x v="1"/>
    <x v="4"/>
    <x v="109"/>
    <x v="4"/>
    <x v="2"/>
    <n v="2"/>
    <n v="11050"/>
    <n v="22100"/>
    <n v="8500"/>
    <n v="17000"/>
    <n v="5100"/>
    <n v="0.23076923076923078"/>
  </r>
  <r>
    <x v="90"/>
    <s v="ORD-01270"/>
    <x v="2"/>
    <x v="4"/>
    <x v="20"/>
    <x v="5"/>
    <x v="3"/>
    <n v="8"/>
    <n v="780"/>
    <n v="6240"/>
    <n v="600"/>
    <n v="4800"/>
    <n v="1440"/>
    <n v="0.23076923076923078"/>
  </r>
  <r>
    <x v="90"/>
    <s v="ORD-01271"/>
    <x v="3"/>
    <x v="2"/>
    <x v="82"/>
    <x v="5"/>
    <x v="3"/>
    <n v="2"/>
    <n v="846"/>
    <n v="1692"/>
    <n v="600"/>
    <n v="1200"/>
    <n v="492"/>
    <n v="0.29078014184397161"/>
  </r>
  <r>
    <x v="90"/>
    <s v="ORD-01272"/>
    <x v="2"/>
    <x v="2"/>
    <x v="16"/>
    <x v="0"/>
    <x v="0"/>
    <n v="1"/>
    <n v="4096"/>
    <n v="4096"/>
    <n v="3200"/>
    <n v="3200"/>
    <n v="896"/>
    <n v="0.21875"/>
  </r>
  <r>
    <x v="91"/>
    <s v="ORD-01273"/>
    <x v="3"/>
    <x v="1"/>
    <x v="9"/>
    <x v="6"/>
    <x v="3"/>
    <n v="1"/>
    <n v="1296"/>
    <n v="1296"/>
    <n v="900"/>
    <n v="900"/>
    <n v="396"/>
    <n v="0.30555555555555558"/>
  </r>
  <r>
    <x v="91"/>
    <s v="ORD-01274"/>
    <x v="0"/>
    <x v="5"/>
    <x v="53"/>
    <x v="6"/>
    <x v="3"/>
    <n v="4"/>
    <n v="1134"/>
    <n v="4536"/>
    <n v="900"/>
    <n v="3600"/>
    <n v="936"/>
    <n v="0.20634920634920634"/>
  </r>
  <r>
    <x v="91"/>
    <s v="ORD-01275"/>
    <x v="0"/>
    <x v="1"/>
    <x v="58"/>
    <x v="1"/>
    <x v="1"/>
    <n v="8"/>
    <n v="58050"/>
    <n v="464400"/>
    <n v="45000"/>
    <n v="360000"/>
    <n v="104400"/>
    <n v="0.22480620155038761"/>
  </r>
  <r>
    <x v="91"/>
    <s v="ORD-01276"/>
    <x v="1"/>
    <x v="4"/>
    <x v="9"/>
    <x v="0"/>
    <x v="0"/>
    <n v="9"/>
    <n v="4000"/>
    <n v="36000"/>
    <n v="3200"/>
    <n v="28800"/>
    <n v="7200"/>
    <n v="0.2"/>
  </r>
  <r>
    <x v="91"/>
    <s v="ORD-01277"/>
    <x v="0"/>
    <x v="2"/>
    <x v="88"/>
    <x v="2"/>
    <x v="1"/>
    <n v="2"/>
    <n v="54340"/>
    <n v="108680"/>
    <n v="38000"/>
    <n v="76000"/>
    <n v="32680"/>
    <n v="0.30069930069930068"/>
  </r>
  <r>
    <x v="91"/>
    <s v="ORD-01278"/>
    <x v="1"/>
    <x v="5"/>
    <x v="126"/>
    <x v="3"/>
    <x v="0"/>
    <n v="8"/>
    <n v="3000"/>
    <n v="24000"/>
    <n v="2500"/>
    <n v="20000"/>
    <n v="4000"/>
    <n v="0.16666666666666666"/>
  </r>
  <r>
    <x v="91"/>
    <s v="ORD-01279"/>
    <x v="2"/>
    <x v="5"/>
    <x v="145"/>
    <x v="2"/>
    <x v="1"/>
    <n v="8"/>
    <n v="46360"/>
    <n v="370880"/>
    <n v="38000"/>
    <n v="304000"/>
    <n v="66880"/>
    <n v="0.18032786885245902"/>
  </r>
  <r>
    <x v="91"/>
    <s v="ORD-01280"/>
    <x v="2"/>
    <x v="4"/>
    <x v="45"/>
    <x v="3"/>
    <x v="0"/>
    <n v="8"/>
    <n v="3275"/>
    <n v="26200"/>
    <n v="2500"/>
    <n v="20000"/>
    <n v="6200"/>
    <n v="0.23664122137404581"/>
  </r>
  <r>
    <x v="91"/>
    <s v="ORD-01281"/>
    <x v="3"/>
    <x v="0"/>
    <x v="119"/>
    <x v="4"/>
    <x v="2"/>
    <n v="10"/>
    <n v="12070"/>
    <n v="120700"/>
    <n v="8500"/>
    <n v="85000"/>
    <n v="35700"/>
    <n v="0.29577464788732394"/>
  </r>
  <r>
    <x v="91"/>
    <s v="ORD-01282"/>
    <x v="1"/>
    <x v="1"/>
    <x v="56"/>
    <x v="7"/>
    <x v="2"/>
    <n v="1"/>
    <n v="8750"/>
    <n v="8750"/>
    <n v="7000"/>
    <n v="7000"/>
    <n v="1750"/>
    <n v="0.2"/>
  </r>
  <r>
    <x v="91"/>
    <s v="ORD-01283"/>
    <x v="3"/>
    <x v="1"/>
    <x v="57"/>
    <x v="5"/>
    <x v="3"/>
    <n v="4"/>
    <n v="780"/>
    <n v="3120"/>
    <n v="600"/>
    <n v="2400"/>
    <n v="720"/>
    <n v="0.23076923076923078"/>
  </r>
  <r>
    <x v="91"/>
    <s v="ORD-01284"/>
    <x v="3"/>
    <x v="2"/>
    <x v="129"/>
    <x v="3"/>
    <x v="0"/>
    <n v="4"/>
    <n v="3500"/>
    <n v="14000"/>
    <n v="2500"/>
    <n v="10000"/>
    <n v="4000"/>
    <n v="0.2857142857142857"/>
  </r>
  <r>
    <x v="91"/>
    <s v="ORD-01285"/>
    <x v="0"/>
    <x v="4"/>
    <x v="113"/>
    <x v="0"/>
    <x v="0"/>
    <n v="1"/>
    <n v="4224"/>
    <n v="4224"/>
    <n v="3200"/>
    <n v="3200"/>
    <n v="1024"/>
    <n v="0.24242424242424243"/>
  </r>
  <r>
    <x v="91"/>
    <s v="ORD-01286"/>
    <x v="3"/>
    <x v="4"/>
    <x v="111"/>
    <x v="3"/>
    <x v="0"/>
    <n v="7"/>
    <n v="3375"/>
    <n v="23625"/>
    <n v="2500"/>
    <n v="17500"/>
    <n v="6125"/>
    <n v="0.25925925925925924"/>
  </r>
  <r>
    <x v="92"/>
    <s v="ORD-01287"/>
    <x v="0"/>
    <x v="0"/>
    <x v="87"/>
    <x v="6"/>
    <x v="3"/>
    <n v="7"/>
    <n v="1125"/>
    <n v="7875"/>
    <n v="900"/>
    <n v="6300"/>
    <n v="1575"/>
    <n v="0.2"/>
  </r>
  <r>
    <x v="92"/>
    <s v="ORD-01288"/>
    <x v="3"/>
    <x v="0"/>
    <x v="15"/>
    <x v="0"/>
    <x v="0"/>
    <n v="10"/>
    <n v="4512"/>
    <n v="45120"/>
    <n v="3200"/>
    <n v="32000"/>
    <n v="13120"/>
    <n v="0.29078014184397161"/>
  </r>
  <r>
    <x v="92"/>
    <s v="ORD-01289"/>
    <x v="2"/>
    <x v="5"/>
    <x v="75"/>
    <x v="0"/>
    <x v="0"/>
    <n v="8"/>
    <n v="3904"/>
    <n v="31232"/>
    <n v="3200"/>
    <n v="25600"/>
    <n v="5632"/>
    <n v="0.18032786885245902"/>
  </r>
  <r>
    <x v="92"/>
    <s v="ORD-01290"/>
    <x v="1"/>
    <x v="1"/>
    <x v="143"/>
    <x v="6"/>
    <x v="3"/>
    <n v="8"/>
    <n v="1170"/>
    <n v="9360"/>
    <n v="900"/>
    <n v="7200"/>
    <n v="2160"/>
    <n v="0.23076923076923078"/>
  </r>
  <r>
    <x v="92"/>
    <s v="ORD-01291"/>
    <x v="1"/>
    <x v="2"/>
    <x v="142"/>
    <x v="7"/>
    <x v="2"/>
    <n v="1"/>
    <n v="8400"/>
    <n v="8400"/>
    <n v="7000"/>
    <n v="7000"/>
    <n v="1400"/>
    <n v="0.16666666666666666"/>
  </r>
  <r>
    <x v="92"/>
    <s v="ORD-01292"/>
    <x v="0"/>
    <x v="4"/>
    <x v="60"/>
    <x v="2"/>
    <x v="1"/>
    <n v="3"/>
    <n v="47120"/>
    <n v="141360"/>
    <n v="38000"/>
    <n v="114000"/>
    <n v="27360"/>
    <n v="0.19354838709677419"/>
  </r>
  <r>
    <x v="92"/>
    <s v="ORD-01293"/>
    <x v="2"/>
    <x v="0"/>
    <x v="81"/>
    <x v="0"/>
    <x v="0"/>
    <n v="2"/>
    <n v="4064"/>
    <n v="8128"/>
    <n v="3200"/>
    <n v="6400"/>
    <n v="1728"/>
    <n v="0.2125984251968504"/>
  </r>
  <r>
    <x v="92"/>
    <s v="ORD-01294"/>
    <x v="2"/>
    <x v="5"/>
    <x v="36"/>
    <x v="7"/>
    <x v="2"/>
    <n v="7"/>
    <n v="9590"/>
    <n v="67130"/>
    <n v="7000"/>
    <n v="49000"/>
    <n v="18130"/>
    <n v="0.27007299270072993"/>
  </r>
  <r>
    <x v="92"/>
    <s v="ORD-01295"/>
    <x v="1"/>
    <x v="5"/>
    <x v="2"/>
    <x v="3"/>
    <x v="0"/>
    <n v="3"/>
    <n v="3375"/>
    <n v="10125"/>
    <n v="2500"/>
    <n v="7500"/>
    <n v="2625"/>
    <n v="0.25925925925925924"/>
  </r>
  <r>
    <x v="92"/>
    <s v="ORD-01296"/>
    <x v="2"/>
    <x v="0"/>
    <x v="70"/>
    <x v="4"/>
    <x v="2"/>
    <n v="4"/>
    <n v="10625"/>
    <n v="42500"/>
    <n v="8500"/>
    <n v="34000"/>
    <n v="8500"/>
    <n v="0.2"/>
  </r>
  <r>
    <x v="92"/>
    <s v="ORD-01297"/>
    <x v="0"/>
    <x v="5"/>
    <x v="52"/>
    <x v="5"/>
    <x v="3"/>
    <n v="10"/>
    <n v="864"/>
    <n v="8640"/>
    <n v="600"/>
    <n v="6000"/>
    <n v="2640"/>
    <n v="0.30555555555555558"/>
  </r>
  <r>
    <x v="92"/>
    <s v="ORD-01298"/>
    <x v="0"/>
    <x v="1"/>
    <x v="58"/>
    <x v="1"/>
    <x v="1"/>
    <n v="8"/>
    <n v="63900"/>
    <n v="511200"/>
    <n v="45000"/>
    <n v="360000"/>
    <n v="151200"/>
    <n v="0.29577464788732394"/>
  </r>
  <r>
    <x v="92"/>
    <s v="ORD-01299"/>
    <x v="2"/>
    <x v="5"/>
    <x v="87"/>
    <x v="1"/>
    <x v="1"/>
    <n v="7"/>
    <n v="58950"/>
    <n v="412650"/>
    <n v="45000"/>
    <n v="315000"/>
    <n v="97650"/>
    <n v="0.23664122137404581"/>
  </r>
  <r>
    <x v="92"/>
    <s v="ORD-01300"/>
    <x v="1"/>
    <x v="4"/>
    <x v="83"/>
    <x v="2"/>
    <x v="1"/>
    <n v="9"/>
    <n v="53580"/>
    <n v="482220"/>
    <n v="38000"/>
    <n v="342000"/>
    <n v="140220"/>
    <n v="0.29078014184397161"/>
  </r>
  <r>
    <x v="93"/>
    <s v="ORD-01301"/>
    <x v="3"/>
    <x v="4"/>
    <x v="133"/>
    <x v="1"/>
    <x v="1"/>
    <n v="7"/>
    <n v="57150"/>
    <n v="400050"/>
    <n v="45000"/>
    <n v="315000"/>
    <n v="85050"/>
    <n v="0.2125984251968504"/>
  </r>
  <r>
    <x v="93"/>
    <s v="ORD-01302"/>
    <x v="1"/>
    <x v="1"/>
    <x v="35"/>
    <x v="7"/>
    <x v="2"/>
    <n v="9"/>
    <n v="9940"/>
    <n v="89460"/>
    <n v="7000"/>
    <n v="63000"/>
    <n v="26460"/>
    <n v="0.29577464788732394"/>
  </r>
  <r>
    <x v="93"/>
    <s v="ORD-01303"/>
    <x v="3"/>
    <x v="3"/>
    <x v="137"/>
    <x v="3"/>
    <x v="0"/>
    <n v="5"/>
    <n v="3425.0000000000005"/>
    <n v="17125.000000000004"/>
    <n v="2500"/>
    <n v="12500"/>
    <n v="4625.0000000000036"/>
    <n v="0.2700729927007301"/>
  </r>
  <r>
    <x v="93"/>
    <s v="ORD-01304"/>
    <x v="1"/>
    <x v="5"/>
    <x v="54"/>
    <x v="6"/>
    <x v="3"/>
    <n v="6"/>
    <n v="1080"/>
    <n v="6480"/>
    <n v="900"/>
    <n v="5400"/>
    <n v="1080"/>
    <n v="0.16666666666666666"/>
  </r>
  <r>
    <x v="93"/>
    <s v="ORD-01305"/>
    <x v="3"/>
    <x v="5"/>
    <x v="23"/>
    <x v="3"/>
    <x v="0"/>
    <n v="2"/>
    <n v="3500"/>
    <n v="7000"/>
    <n v="2500"/>
    <n v="5000"/>
    <n v="2000"/>
    <n v="0.2857142857142857"/>
  </r>
  <r>
    <x v="93"/>
    <s v="ORD-01306"/>
    <x v="0"/>
    <x v="0"/>
    <x v="97"/>
    <x v="0"/>
    <x v="0"/>
    <n v="8"/>
    <n v="4640"/>
    <n v="37120"/>
    <n v="3200"/>
    <n v="25600"/>
    <n v="11520"/>
    <n v="0.31034482758620691"/>
  </r>
  <r>
    <x v="93"/>
    <s v="ORD-01307"/>
    <x v="1"/>
    <x v="5"/>
    <x v="101"/>
    <x v="6"/>
    <x v="3"/>
    <n v="3"/>
    <n v="1098"/>
    <n v="3294"/>
    <n v="900"/>
    <n v="2700"/>
    <n v="594"/>
    <n v="0.18032786885245902"/>
  </r>
  <r>
    <x v="93"/>
    <s v="ORD-01308"/>
    <x v="0"/>
    <x v="0"/>
    <x v="21"/>
    <x v="7"/>
    <x v="2"/>
    <n v="4"/>
    <n v="9170"/>
    <n v="36680"/>
    <n v="7000"/>
    <n v="28000"/>
    <n v="8680"/>
    <n v="0.23664122137404581"/>
  </r>
  <r>
    <x v="93"/>
    <s v="ORD-01309"/>
    <x v="2"/>
    <x v="2"/>
    <x v="119"/>
    <x v="2"/>
    <x v="1"/>
    <n v="2"/>
    <n v="47120"/>
    <n v="94240"/>
    <n v="38000"/>
    <n v="76000"/>
    <n v="18240"/>
    <n v="0.19354838709677419"/>
  </r>
  <r>
    <x v="93"/>
    <s v="ORD-01310"/>
    <x v="1"/>
    <x v="2"/>
    <x v="138"/>
    <x v="3"/>
    <x v="0"/>
    <n v="5"/>
    <n v="3325"/>
    <n v="16625"/>
    <n v="2500"/>
    <n v="12500"/>
    <n v="4125"/>
    <n v="0.24812030075187969"/>
  </r>
  <r>
    <x v="93"/>
    <s v="ORD-01311"/>
    <x v="1"/>
    <x v="4"/>
    <x v="14"/>
    <x v="7"/>
    <x v="2"/>
    <n v="3"/>
    <n v="9590"/>
    <n v="28770"/>
    <n v="7000"/>
    <n v="21000"/>
    <n v="7770"/>
    <n v="0.27007299270072993"/>
  </r>
  <r>
    <x v="93"/>
    <s v="ORD-01312"/>
    <x v="1"/>
    <x v="2"/>
    <x v="72"/>
    <x v="6"/>
    <x v="3"/>
    <n v="7"/>
    <n v="1260"/>
    <n v="8820"/>
    <n v="900"/>
    <n v="6300"/>
    <n v="2520"/>
    <n v="0.2857142857142857"/>
  </r>
  <r>
    <x v="93"/>
    <s v="ORD-01313"/>
    <x v="1"/>
    <x v="5"/>
    <x v="131"/>
    <x v="4"/>
    <x v="2"/>
    <n v="9"/>
    <n v="11730"/>
    <n v="105570"/>
    <n v="8500"/>
    <n v="76500"/>
    <n v="29070"/>
    <n v="0.27536231884057971"/>
  </r>
  <r>
    <x v="93"/>
    <s v="ORD-01314"/>
    <x v="2"/>
    <x v="4"/>
    <x v="50"/>
    <x v="7"/>
    <x v="2"/>
    <n v="8"/>
    <n v="9030"/>
    <n v="72240"/>
    <n v="7000"/>
    <n v="56000"/>
    <n v="16240"/>
    <n v="0.22480620155038761"/>
  </r>
  <r>
    <x v="94"/>
    <s v="ORD-01315"/>
    <x v="3"/>
    <x v="1"/>
    <x v="83"/>
    <x v="1"/>
    <x v="1"/>
    <n v="5"/>
    <n v="65250"/>
    <n v="326250"/>
    <n v="45000"/>
    <n v="225000"/>
    <n v="101250"/>
    <n v="0.31034482758620691"/>
  </r>
  <r>
    <x v="94"/>
    <s v="ORD-01316"/>
    <x v="1"/>
    <x v="1"/>
    <x v="134"/>
    <x v="0"/>
    <x v="0"/>
    <n v="10"/>
    <n v="3872"/>
    <n v="38720"/>
    <n v="3200"/>
    <n v="32000"/>
    <n v="6720"/>
    <n v="0.17355371900826447"/>
  </r>
  <r>
    <x v="94"/>
    <s v="ORD-01317"/>
    <x v="1"/>
    <x v="4"/>
    <x v="55"/>
    <x v="0"/>
    <x v="0"/>
    <n v="9"/>
    <n v="3840"/>
    <n v="34560"/>
    <n v="3200"/>
    <n v="28800"/>
    <n v="5760"/>
    <n v="0.16666666666666666"/>
  </r>
  <r>
    <x v="94"/>
    <s v="ORD-01318"/>
    <x v="0"/>
    <x v="0"/>
    <x v="51"/>
    <x v="0"/>
    <x v="0"/>
    <n v="7"/>
    <n v="3936"/>
    <n v="27552"/>
    <n v="3200"/>
    <n v="22400"/>
    <n v="5152"/>
    <n v="0.18699186991869918"/>
  </r>
  <r>
    <x v="94"/>
    <s v="ORD-01319"/>
    <x v="0"/>
    <x v="2"/>
    <x v="74"/>
    <x v="4"/>
    <x v="2"/>
    <n v="2"/>
    <n v="12240"/>
    <n v="24480"/>
    <n v="8500"/>
    <n v="17000"/>
    <n v="7480"/>
    <n v="0.30555555555555558"/>
  </r>
  <r>
    <x v="94"/>
    <s v="ORD-01320"/>
    <x v="2"/>
    <x v="1"/>
    <x v="16"/>
    <x v="0"/>
    <x v="0"/>
    <n v="10"/>
    <n v="4448"/>
    <n v="44480"/>
    <n v="3200"/>
    <n v="32000"/>
    <n v="12480"/>
    <n v="0.2805755395683453"/>
  </r>
  <r>
    <x v="94"/>
    <s v="ORD-01321"/>
    <x v="0"/>
    <x v="4"/>
    <x v="140"/>
    <x v="3"/>
    <x v="0"/>
    <n v="5"/>
    <n v="3125"/>
    <n v="15625"/>
    <n v="2500"/>
    <n v="12500"/>
    <n v="3125"/>
    <n v="0.2"/>
  </r>
  <r>
    <x v="94"/>
    <s v="ORD-01322"/>
    <x v="0"/>
    <x v="1"/>
    <x v="26"/>
    <x v="6"/>
    <x v="3"/>
    <n v="10"/>
    <n v="1206"/>
    <n v="12060"/>
    <n v="900"/>
    <n v="9000"/>
    <n v="3060"/>
    <n v="0.2537313432835821"/>
  </r>
  <r>
    <x v="94"/>
    <s v="ORD-01323"/>
    <x v="3"/>
    <x v="0"/>
    <x v="118"/>
    <x v="3"/>
    <x v="0"/>
    <n v="9"/>
    <n v="3075"/>
    <n v="27675"/>
    <n v="2500"/>
    <n v="22500"/>
    <n v="5175"/>
    <n v="0.18699186991869918"/>
  </r>
  <r>
    <x v="94"/>
    <s v="ORD-01324"/>
    <x v="0"/>
    <x v="4"/>
    <x v="63"/>
    <x v="6"/>
    <x v="3"/>
    <n v="6"/>
    <n v="1161"/>
    <n v="6966"/>
    <n v="900"/>
    <n v="5400"/>
    <n v="1566"/>
    <n v="0.22480620155038761"/>
  </r>
  <r>
    <x v="94"/>
    <s v="ORD-01325"/>
    <x v="3"/>
    <x v="1"/>
    <x v="70"/>
    <x v="7"/>
    <x v="2"/>
    <n v="6"/>
    <n v="9870"/>
    <n v="59220"/>
    <n v="7000"/>
    <n v="42000"/>
    <n v="17220"/>
    <n v="0.29078014184397161"/>
  </r>
  <r>
    <x v="94"/>
    <s v="ORD-01326"/>
    <x v="3"/>
    <x v="5"/>
    <x v="18"/>
    <x v="3"/>
    <x v="0"/>
    <n v="1"/>
    <n v="3150"/>
    <n v="3150"/>
    <n v="2500"/>
    <n v="2500"/>
    <n v="650"/>
    <n v="0.20634920634920634"/>
  </r>
  <r>
    <x v="94"/>
    <s v="ORD-01327"/>
    <x v="0"/>
    <x v="3"/>
    <x v="51"/>
    <x v="7"/>
    <x v="2"/>
    <n v="8"/>
    <n v="9240"/>
    <n v="73920"/>
    <n v="7000"/>
    <n v="56000"/>
    <n v="17920"/>
    <n v="0.24242424242424243"/>
  </r>
  <r>
    <x v="94"/>
    <s v="ORD-01328"/>
    <x v="0"/>
    <x v="5"/>
    <x v="85"/>
    <x v="5"/>
    <x v="3"/>
    <n v="3"/>
    <n v="834.00000000000011"/>
    <n v="2502.0000000000005"/>
    <n v="600"/>
    <n v="1800"/>
    <n v="702.00000000000045"/>
    <n v="0.28057553956834547"/>
  </r>
  <r>
    <x v="95"/>
    <s v="ORD-01329"/>
    <x v="3"/>
    <x v="0"/>
    <x v="12"/>
    <x v="6"/>
    <x v="3"/>
    <n v="10"/>
    <n v="1080"/>
    <n v="10800"/>
    <n v="900"/>
    <n v="9000"/>
    <n v="1800"/>
    <n v="0.16666666666666666"/>
  </r>
  <r>
    <x v="95"/>
    <s v="ORD-01330"/>
    <x v="2"/>
    <x v="1"/>
    <x v="78"/>
    <x v="4"/>
    <x v="2"/>
    <n v="4"/>
    <n v="10965"/>
    <n v="43860"/>
    <n v="8500"/>
    <n v="34000"/>
    <n v="9860"/>
    <n v="0.22480620155038761"/>
  </r>
  <r>
    <x v="95"/>
    <s v="ORD-01331"/>
    <x v="2"/>
    <x v="0"/>
    <x v="31"/>
    <x v="2"/>
    <x v="1"/>
    <n v="8"/>
    <n v="49400"/>
    <n v="395200"/>
    <n v="38000"/>
    <n v="304000"/>
    <n v="91200"/>
    <n v="0.23076923076923078"/>
  </r>
  <r>
    <x v="95"/>
    <s v="ORD-01332"/>
    <x v="2"/>
    <x v="1"/>
    <x v="11"/>
    <x v="3"/>
    <x v="0"/>
    <n v="2"/>
    <n v="3425.0000000000005"/>
    <n v="6850.0000000000009"/>
    <n v="2500"/>
    <n v="5000"/>
    <n v="1850.0000000000009"/>
    <n v="0.27007299270073004"/>
  </r>
  <r>
    <x v="95"/>
    <s v="ORD-01333"/>
    <x v="3"/>
    <x v="5"/>
    <x v="131"/>
    <x v="3"/>
    <x v="0"/>
    <n v="2"/>
    <n v="3300"/>
    <n v="6600"/>
    <n v="2500"/>
    <n v="5000"/>
    <n v="1600"/>
    <n v="0.24242424242424243"/>
  </r>
  <r>
    <x v="95"/>
    <s v="ORD-01334"/>
    <x v="0"/>
    <x v="2"/>
    <x v="105"/>
    <x v="5"/>
    <x v="3"/>
    <n v="10"/>
    <n v="846"/>
    <n v="8460"/>
    <n v="600"/>
    <n v="6000"/>
    <n v="2460"/>
    <n v="0.29078014184397161"/>
  </r>
  <r>
    <x v="95"/>
    <s v="ORD-01335"/>
    <x v="1"/>
    <x v="4"/>
    <x v="83"/>
    <x v="4"/>
    <x v="2"/>
    <n v="4"/>
    <n v="11645"/>
    <n v="46580"/>
    <n v="8500"/>
    <n v="34000"/>
    <n v="12580"/>
    <n v="0.27007299270072993"/>
  </r>
  <r>
    <x v="95"/>
    <s v="ORD-01336"/>
    <x v="2"/>
    <x v="4"/>
    <x v="128"/>
    <x v="7"/>
    <x v="2"/>
    <n v="4"/>
    <n v="10010"/>
    <n v="40040"/>
    <n v="7000"/>
    <n v="28000"/>
    <n v="12040"/>
    <n v="0.30069930069930068"/>
  </r>
  <r>
    <x v="95"/>
    <s v="ORD-01337"/>
    <x v="1"/>
    <x v="0"/>
    <x v="51"/>
    <x v="1"/>
    <x v="1"/>
    <n v="4"/>
    <n v="62999.999999999993"/>
    <n v="251999.99999999997"/>
    <n v="45000"/>
    <n v="180000"/>
    <n v="71999.999999999971"/>
    <n v="0.28571428571428564"/>
  </r>
  <r>
    <x v="95"/>
    <s v="ORD-01338"/>
    <x v="2"/>
    <x v="2"/>
    <x v="12"/>
    <x v="7"/>
    <x v="2"/>
    <n v="9"/>
    <n v="9310"/>
    <n v="83790"/>
    <n v="7000"/>
    <n v="63000"/>
    <n v="20790"/>
    <n v="0.24812030075187969"/>
  </r>
  <r>
    <x v="95"/>
    <s v="ORD-01339"/>
    <x v="3"/>
    <x v="2"/>
    <x v="65"/>
    <x v="4"/>
    <x v="2"/>
    <n v="4"/>
    <n v="11050"/>
    <n v="44200"/>
    <n v="8500"/>
    <n v="34000"/>
    <n v="10200"/>
    <n v="0.23076923076923078"/>
  </r>
  <r>
    <x v="95"/>
    <s v="ORD-01340"/>
    <x v="0"/>
    <x v="0"/>
    <x v="60"/>
    <x v="5"/>
    <x v="3"/>
    <n v="4"/>
    <n v="726"/>
    <n v="2904"/>
    <n v="600"/>
    <n v="2400"/>
    <n v="504"/>
    <n v="0.17355371900826447"/>
  </r>
  <r>
    <x v="95"/>
    <s v="ORD-01341"/>
    <x v="3"/>
    <x v="3"/>
    <x v="124"/>
    <x v="6"/>
    <x v="3"/>
    <n v="2"/>
    <n v="1233"/>
    <n v="2466"/>
    <n v="900"/>
    <n v="1800"/>
    <n v="666"/>
    <n v="0.27007299270072993"/>
  </r>
  <r>
    <x v="95"/>
    <s v="ORD-01342"/>
    <x v="1"/>
    <x v="2"/>
    <x v="44"/>
    <x v="2"/>
    <x v="1"/>
    <n v="7"/>
    <n v="49020"/>
    <n v="343140"/>
    <n v="38000"/>
    <n v="266000"/>
    <n v="77140"/>
    <n v="0.22480620155038761"/>
  </r>
  <r>
    <x v="96"/>
    <s v="ORD-01343"/>
    <x v="0"/>
    <x v="4"/>
    <x v="35"/>
    <x v="5"/>
    <x v="3"/>
    <n v="10"/>
    <n v="780"/>
    <n v="7800"/>
    <n v="600"/>
    <n v="6000"/>
    <n v="1800"/>
    <n v="0.23076923076923078"/>
  </r>
  <r>
    <x v="96"/>
    <s v="ORD-01344"/>
    <x v="2"/>
    <x v="5"/>
    <x v="49"/>
    <x v="3"/>
    <x v="0"/>
    <n v="2"/>
    <n v="3449.9999999999995"/>
    <n v="6899.9999999999991"/>
    <n v="2500"/>
    <n v="5000"/>
    <n v="1899.9999999999991"/>
    <n v="0.2753623188405796"/>
  </r>
  <r>
    <x v="96"/>
    <s v="ORD-01345"/>
    <x v="3"/>
    <x v="0"/>
    <x v="71"/>
    <x v="1"/>
    <x v="1"/>
    <n v="8"/>
    <n v="58950"/>
    <n v="471600"/>
    <n v="45000"/>
    <n v="360000"/>
    <n v="111600"/>
    <n v="0.23664122137404581"/>
  </r>
  <r>
    <x v="96"/>
    <s v="ORD-01346"/>
    <x v="0"/>
    <x v="1"/>
    <x v="89"/>
    <x v="7"/>
    <x v="2"/>
    <n v="8"/>
    <n v="8470"/>
    <n v="67760"/>
    <n v="7000"/>
    <n v="56000"/>
    <n v="11760"/>
    <n v="0.17355371900826447"/>
  </r>
  <r>
    <x v="96"/>
    <s v="ORD-01347"/>
    <x v="1"/>
    <x v="5"/>
    <x v="6"/>
    <x v="1"/>
    <x v="1"/>
    <n v="8"/>
    <n v="54900"/>
    <n v="439200"/>
    <n v="45000"/>
    <n v="360000"/>
    <n v="79200"/>
    <n v="0.18032786885245902"/>
  </r>
  <r>
    <x v="96"/>
    <s v="ORD-01348"/>
    <x v="3"/>
    <x v="5"/>
    <x v="63"/>
    <x v="4"/>
    <x v="2"/>
    <n v="10"/>
    <n v="12240"/>
    <n v="122400"/>
    <n v="8500"/>
    <n v="85000"/>
    <n v="37400"/>
    <n v="0.30555555555555558"/>
  </r>
  <r>
    <x v="96"/>
    <s v="ORD-01349"/>
    <x v="2"/>
    <x v="2"/>
    <x v="78"/>
    <x v="6"/>
    <x v="3"/>
    <n v="8"/>
    <n v="1116"/>
    <n v="8928"/>
    <n v="900"/>
    <n v="7200"/>
    <n v="1728"/>
    <n v="0.19354838709677419"/>
  </r>
  <r>
    <x v="96"/>
    <s v="ORD-01350"/>
    <x v="0"/>
    <x v="1"/>
    <x v="114"/>
    <x v="4"/>
    <x v="2"/>
    <n v="5"/>
    <n v="10880"/>
    <n v="54400"/>
    <n v="8500"/>
    <n v="42500"/>
    <n v="11900"/>
    <n v="0.21875"/>
  </r>
  <r>
    <x v="96"/>
    <s v="ORD-01351"/>
    <x v="0"/>
    <x v="4"/>
    <x v="65"/>
    <x v="3"/>
    <x v="0"/>
    <n v="2"/>
    <n v="3449.9999999999995"/>
    <n v="6899.9999999999991"/>
    <n v="2500"/>
    <n v="5000"/>
    <n v="1899.9999999999991"/>
    <n v="0.2753623188405796"/>
  </r>
  <r>
    <x v="96"/>
    <s v="ORD-01352"/>
    <x v="1"/>
    <x v="3"/>
    <x v="74"/>
    <x v="7"/>
    <x v="2"/>
    <n v="5"/>
    <n v="9450"/>
    <n v="47250"/>
    <n v="7000"/>
    <n v="35000"/>
    <n v="12250"/>
    <n v="0.25925925925925924"/>
  </r>
  <r>
    <x v="96"/>
    <s v="ORD-01353"/>
    <x v="2"/>
    <x v="2"/>
    <x v="48"/>
    <x v="7"/>
    <x v="2"/>
    <n v="10"/>
    <n v="9870"/>
    <n v="98700"/>
    <n v="7000"/>
    <n v="70000"/>
    <n v="28700"/>
    <n v="0.29078014184397161"/>
  </r>
  <r>
    <x v="96"/>
    <s v="ORD-01354"/>
    <x v="0"/>
    <x v="5"/>
    <x v="95"/>
    <x v="3"/>
    <x v="0"/>
    <n v="7"/>
    <n v="3025"/>
    <n v="21175"/>
    <n v="2500"/>
    <n v="17500"/>
    <n v="3675"/>
    <n v="0.17355371900826447"/>
  </r>
  <r>
    <x v="96"/>
    <s v="ORD-01355"/>
    <x v="0"/>
    <x v="3"/>
    <x v="19"/>
    <x v="5"/>
    <x v="3"/>
    <n v="7"/>
    <n v="815.99999999999989"/>
    <n v="5711.9999999999991"/>
    <n v="600"/>
    <n v="4200"/>
    <n v="1511.9999999999991"/>
    <n v="0.26470588235294107"/>
  </r>
  <r>
    <x v="96"/>
    <s v="ORD-01356"/>
    <x v="3"/>
    <x v="3"/>
    <x v="20"/>
    <x v="5"/>
    <x v="3"/>
    <n v="5"/>
    <n v="822.00000000000011"/>
    <n v="4110.0000000000009"/>
    <n v="600"/>
    <n v="3000"/>
    <n v="1110.0000000000009"/>
    <n v="0.2700729927007301"/>
  </r>
  <r>
    <x v="97"/>
    <s v="ORD-01357"/>
    <x v="1"/>
    <x v="0"/>
    <x v="6"/>
    <x v="5"/>
    <x v="3"/>
    <n v="2"/>
    <n v="798"/>
    <n v="1596"/>
    <n v="600"/>
    <n v="1200"/>
    <n v="396"/>
    <n v="0.24812030075187969"/>
  </r>
  <r>
    <x v="97"/>
    <s v="ORD-01358"/>
    <x v="1"/>
    <x v="1"/>
    <x v="4"/>
    <x v="4"/>
    <x v="2"/>
    <n v="1"/>
    <n v="11559.999999999998"/>
    <n v="11559.999999999998"/>
    <n v="8500"/>
    <n v="8500"/>
    <n v="3059.9999999999982"/>
    <n v="0.26470588235294107"/>
  </r>
  <r>
    <x v="97"/>
    <s v="ORD-01359"/>
    <x v="0"/>
    <x v="2"/>
    <x v="119"/>
    <x v="6"/>
    <x v="3"/>
    <n v="7"/>
    <n v="1251"/>
    <n v="8757"/>
    <n v="900"/>
    <n v="6300"/>
    <n v="2457"/>
    <n v="0.2805755395683453"/>
  </r>
  <r>
    <x v="97"/>
    <s v="ORD-01360"/>
    <x v="0"/>
    <x v="1"/>
    <x v="56"/>
    <x v="7"/>
    <x v="2"/>
    <n v="1"/>
    <n v="9590"/>
    <n v="9590"/>
    <n v="7000"/>
    <n v="7000"/>
    <n v="2590"/>
    <n v="0.27007299270072993"/>
  </r>
  <r>
    <x v="97"/>
    <s v="ORD-01361"/>
    <x v="1"/>
    <x v="1"/>
    <x v="61"/>
    <x v="0"/>
    <x v="0"/>
    <n v="6"/>
    <n v="4480"/>
    <n v="26880"/>
    <n v="3200"/>
    <n v="19200"/>
    <n v="7680"/>
    <n v="0.2857142857142857"/>
  </r>
  <r>
    <x v="97"/>
    <s v="ORD-01362"/>
    <x v="1"/>
    <x v="3"/>
    <x v="142"/>
    <x v="0"/>
    <x v="0"/>
    <n v="2"/>
    <n v="4384"/>
    <n v="8768"/>
    <n v="3200"/>
    <n v="6400"/>
    <n v="2368"/>
    <n v="0.27007299270072993"/>
  </r>
  <r>
    <x v="97"/>
    <s v="ORD-01363"/>
    <x v="0"/>
    <x v="4"/>
    <x v="122"/>
    <x v="1"/>
    <x v="1"/>
    <n v="8"/>
    <n v="63450"/>
    <n v="507600"/>
    <n v="45000"/>
    <n v="360000"/>
    <n v="147600"/>
    <n v="0.29078014184397161"/>
  </r>
  <r>
    <x v="97"/>
    <s v="ORD-01364"/>
    <x v="3"/>
    <x v="3"/>
    <x v="84"/>
    <x v="5"/>
    <x v="3"/>
    <n v="2"/>
    <n v="870"/>
    <n v="1740"/>
    <n v="600"/>
    <n v="1200"/>
    <n v="540"/>
    <n v="0.31034482758620691"/>
  </r>
  <r>
    <x v="97"/>
    <s v="ORD-01365"/>
    <x v="3"/>
    <x v="4"/>
    <x v="95"/>
    <x v="6"/>
    <x v="3"/>
    <n v="9"/>
    <n v="1170"/>
    <n v="10530"/>
    <n v="900"/>
    <n v="8100"/>
    <n v="2430"/>
    <n v="0.23076923076923078"/>
  </r>
  <r>
    <x v="97"/>
    <s v="ORD-01366"/>
    <x v="2"/>
    <x v="3"/>
    <x v="33"/>
    <x v="0"/>
    <x v="0"/>
    <n v="4"/>
    <n v="4352"/>
    <n v="17408"/>
    <n v="3200"/>
    <n v="12800"/>
    <n v="4608"/>
    <n v="0.26470588235294118"/>
  </r>
  <r>
    <x v="97"/>
    <s v="ORD-01367"/>
    <x v="2"/>
    <x v="4"/>
    <x v="70"/>
    <x v="2"/>
    <x v="1"/>
    <n v="5"/>
    <n v="51679.999999999993"/>
    <n v="258399.99999999997"/>
    <n v="38000"/>
    <n v="190000"/>
    <n v="68399.999999999971"/>
    <n v="0.26470588235294107"/>
  </r>
  <r>
    <x v="97"/>
    <s v="ORD-01368"/>
    <x v="0"/>
    <x v="4"/>
    <x v="29"/>
    <x v="0"/>
    <x v="0"/>
    <n v="1"/>
    <n v="4192"/>
    <n v="4192"/>
    <n v="3200"/>
    <n v="3200"/>
    <n v="992"/>
    <n v="0.23664122137404581"/>
  </r>
  <r>
    <x v="97"/>
    <s v="ORD-01369"/>
    <x v="1"/>
    <x v="3"/>
    <x v="147"/>
    <x v="6"/>
    <x v="3"/>
    <n v="4"/>
    <n v="1188"/>
    <n v="4752"/>
    <n v="900"/>
    <n v="3600"/>
    <n v="1152"/>
    <n v="0.24242424242424243"/>
  </r>
  <r>
    <x v="97"/>
    <s v="ORD-01370"/>
    <x v="1"/>
    <x v="1"/>
    <x v="46"/>
    <x v="2"/>
    <x v="1"/>
    <n v="9"/>
    <n v="50160"/>
    <n v="451440"/>
    <n v="38000"/>
    <n v="342000"/>
    <n v="109440"/>
    <n v="0.24242424242424243"/>
  </r>
  <r>
    <x v="98"/>
    <s v="ORD-01371"/>
    <x v="1"/>
    <x v="5"/>
    <x v="92"/>
    <x v="1"/>
    <x v="1"/>
    <n v="1"/>
    <n v="65250"/>
    <n v="65250"/>
    <n v="45000"/>
    <n v="45000"/>
    <n v="20250"/>
    <n v="0.31034482758620691"/>
  </r>
  <r>
    <x v="98"/>
    <s v="ORD-01372"/>
    <x v="2"/>
    <x v="4"/>
    <x v="69"/>
    <x v="2"/>
    <x v="1"/>
    <n v="5"/>
    <n v="47880"/>
    <n v="239400"/>
    <n v="38000"/>
    <n v="190000"/>
    <n v="49400"/>
    <n v="0.20634920634920634"/>
  </r>
  <r>
    <x v="98"/>
    <s v="ORD-01373"/>
    <x v="3"/>
    <x v="4"/>
    <x v="128"/>
    <x v="6"/>
    <x v="3"/>
    <n v="3"/>
    <n v="1305"/>
    <n v="3915"/>
    <n v="900"/>
    <n v="2700"/>
    <n v="1215"/>
    <n v="0.31034482758620691"/>
  </r>
  <r>
    <x v="98"/>
    <s v="ORD-01374"/>
    <x v="0"/>
    <x v="4"/>
    <x v="19"/>
    <x v="1"/>
    <x v="1"/>
    <n v="9"/>
    <n v="58500"/>
    <n v="526500"/>
    <n v="45000"/>
    <n v="405000"/>
    <n v="121500"/>
    <n v="0.23076923076923078"/>
  </r>
  <r>
    <x v="98"/>
    <s v="ORD-01375"/>
    <x v="2"/>
    <x v="1"/>
    <x v="17"/>
    <x v="2"/>
    <x v="1"/>
    <n v="10"/>
    <n v="48640"/>
    <n v="486400"/>
    <n v="38000"/>
    <n v="380000"/>
    <n v="106400"/>
    <n v="0.21875"/>
  </r>
  <r>
    <x v="98"/>
    <s v="ORD-01376"/>
    <x v="2"/>
    <x v="4"/>
    <x v="53"/>
    <x v="3"/>
    <x v="0"/>
    <n v="6"/>
    <n v="3425.0000000000005"/>
    <n v="20550.000000000004"/>
    <n v="2500"/>
    <n v="15000"/>
    <n v="5550.0000000000036"/>
    <n v="0.27007299270073004"/>
  </r>
  <r>
    <x v="98"/>
    <s v="ORD-01377"/>
    <x v="1"/>
    <x v="4"/>
    <x v="118"/>
    <x v="5"/>
    <x v="3"/>
    <n v="4"/>
    <n v="792"/>
    <n v="3168"/>
    <n v="600"/>
    <n v="2400"/>
    <n v="768"/>
    <n v="0.24242424242424243"/>
  </r>
  <r>
    <x v="98"/>
    <s v="ORD-01378"/>
    <x v="1"/>
    <x v="2"/>
    <x v="76"/>
    <x v="6"/>
    <x v="3"/>
    <n v="9"/>
    <n v="1224"/>
    <n v="11016"/>
    <n v="900"/>
    <n v="8100"/>
    <n v="2916"/>
    <n v="0.26470588235294118"/>
  </r>
  <r>
    <x v="98"/>
    <s v="ORD-01379"/>
    <x v="0"/>
    <x v="4"/>
    <x v="85"/>
    <x v="6"/>
    <x v="3"/>
    <n v="2"/>
    <n v="1080"/>
    <n v="2160"/>
    <n v="900"/>
    <n v="1800"/>
    <n v="360"/>
    <n v="0.16666666666666666"/>
  </r>
  <r>
    <x v="98"/>
    <s v="ORD-01380"/>
    <x v="2"/>
    <x v="3"/>
    <x v="120"/>
    <x v="3"/>
    <x v="0"/>
    <n v="5"/>
    <n v="3525"/>
    <n v="17625"/>
    <n v="2500"/>
    <n v="12500"/>
    <n v="5125"/>
    <n v="0.29078014184397161"/>
  </r>
  <r>
    <x v="98"/>
    <s v="ORD-01381"/>
    <x v="0"/>
    <x v="5"/>
    <x v="63"/>
    <x v="4"/>
    <x v="2"/>
    <n v="2"/>
    <n v="11475"/>
    <n v="22950"/>
    <n v="8500"/>
    <n v="17000"/>
    <n v="5950"/>
    <n v="0.25925925925925924"/>
  </r>
  <r>
    <x v="98"/>
    <s v="ORD-01382"/>
    <x v="0"/>
    <x v="4"/>
    <x v="66"/>
    <x v="5"/>
    <x v="3"/>
    <n v="1"/>
    <n v="750"/>
    <n v="750"/>
    <n v="600"/>
    <n v="600"/>
    <n v="150"/>
    <n v="0.2"/>
  </r>
  <r>
    <x v="98"/>
    <s v="ORD-01383"/>
    <x v="0"/>
    <x v="0"/>
    <x v="74"/>
    <x v="4"/>
    <x v="2"/>
    <n v="8"/>
    <n v="10200"/>
    <n v="81600"/>
    <n v="8500"/>
    <n v="68000"/>
    <n v="13600"/>
    <n v="0.16666666666666666"/>
  </r>
  <r>
    <x v="98"/>
    <s v="ORD-01384"/>
    <x v="1"/>
    <x v="2"/>
    <x v="12"/>
    <x v="5"/>
    <x v="3"/>
    <n v="8"/>
    <n v="815.99999999999989"/>
    <n v="6527.9999999999991"/>
    <n v="600"/>
    <n v="4800"/>
    <n v="1727.9999999999991"/>
    <n v="0.26470588235294107"/>
  </r>
  <r>
    <x v="99"/>
    <s v="ORD-01385"/>
    <x v="0"/>
    <x v="3"/>
    <x v="52"/>
    <x v="0"/>
    <x v="0"/>
    <n v="3"/>
    <n v="4608"/>
    <n v="13824"/>
    <n v="3200"/>
    <n v="9600"/>
    <n v="4224"/>
    <n v="0.30555555555555558"/>
  </r>
  <r>
    <x v="99"/>
    <s v="ORD-01386"/>
    <x v="1"/>
    <x v="2"/>
    <x v="88"/>
    <x v="2"/>
    <x v="1"/>
    <n v="6"/>
    <n v="54720"/>
    <n v="328320"/>
    <n v="38000"/>
    <n v="228000"/>
    <n v="100320"/>
    <n v="0.30555555555555558"/>
  </r>
  <r>
    <x v="99"/>
    <s v="ORD-01387"/>
    <x v="2"/>
    <x v="3"/>
    <x v="144"/>
    <x v="4"/>
    <x v="2"/>
    <n v="8"/>
    <n v="10455"/>
    <n v="83640"/>
    <n v="8500"/>
    <n v="68000"/>
    <n v="15640"/>
    <n v="0.18699186991869918"/>
  </r>
  <r>
    <x v="99"/>
    <s v="ORD-01388"/>
    <x v="0"/>
    <x v="5"/>
    <x v="23"/>
    <x v="5"/>
    <x v="3"/>
    <n v="10"/>
    <n v="768"/>
    <n v="7680"/>
    <n v="600"/>
    <n v="6000"/>
    <n v="1680"/>
    <n v="0.21875"/>
  </r>
  <r>
    <x v="99"/>
    <s v="ORD-01389"/>
    <x v="2"/>
    <x v="4"/>
    <x v="35"/>
    <x v="6"/>
    <x v="3"/>
    <n v="9"/>
    <n v="1089"/>
    <n v="9801"/>
    <n v="900"/>
    <n v="8100"/>
    <n v="1701"/>
    <n v="0.17355371900826447"/>
  </r>
  <r>
    <x v="99"/>
    <s v="ORD-01390"/>
    <x v="0"/>
    <x v="4"/>
    <x v="115"/>
    <x v="1"/>
    <x v="1"/>
    <n v="5"/>
    <n v="61650.000000000007"/>
    <n v="308250.00000000006"/>
    <n v="45000"/>
    <n v="225000"/>
    <n v="83250.000000000058"/>
    <n v="0.27007299270073004"/>
  </r>
  <r>
    <x v="99"/>
    <s v="ORD-01391"/>
    <x v="2"/>
    <x v="3"/>
    <x v="23"/>
    <x v="1"/>
    <x v="1"/>
    <n v="1"/>
    <n v="61650.000000000007"/>
    <n v="61650.000000000007"/>
    <n v="45000"/>
    <n v="45000"/>
    <n v="16650.000000000007"/>
    <n v="0.27007299270072999"/>
  </r>
  <r>
    <x v="99"/>
    <s v="ORD-01392"/>
    <x v="1"/>
    <x v="5"/>
    <x v="63"/>
    <x v="2"/>
    <x v="1"/>
    <n v="8"/>
    <n v="54340"/>
    <n v="434720"/>
    <n v="38000"/>
    <n v="304000"/>
    <n v="130720"/>
    <n v="0.30069930069930068"/>
  </r>
  <r>
    <x v="99"/>
    <s v="ORD-01393"/>
    <x v="0"/>
    <x v="3"/>
    <x v="37"/>
    <x v="1"/>
    <x v="1"/>
    <n v="1"/>
    <n v="62099.999999999993"/>
    <n v="62099.999999999993"/>
    <n v="45000"/>
    <n v="45000"/>
    <n v="17099.999999999993"/>
    <n v="0.2753623188405796"/>
  </r>
  <r>
    <x v="99"/>
    <s v="ORD-01394"/>
    <x v="3"/>
    <x v="2"/>
    <x v="94"/>
    <x v="1"/>
    <x v="1"/>
    <n v="9"/>
    <n v="60750.000000000007"/>
    <n v="546750.00000000012"/>
    <n v="45000"/>
    <n v="405000"/>
    <n v="141750.00000000012"/>
    <n v="0.25925925925925941"/>
  </r>
  <r>
    <x v="99"/>
    <s v="ORD-01395"/>
    <x v="2"/>
    <x v="1"/>
    <x v="40"/>
    <x v="3"/>
    <x v="0"/>
    <n v="8"/>
    <n v="3150"/>
    <n v="25200"/>
    <n v="2500"/>
    <n v="20000"/>
    <n v="5200"/>
    <n v="0.20634920634920634"/>
  </r>
  <r>
    <x v="99"/>
    <s v="ORD-01396"/>
    <x v="2"/>
    <x v="0"/>
    <x v="101"/>
    <x v="7"/>
    <x v="2"/>
    <n v="10"/>
    <n v="10150"/>
    <n v="101500"/>
    <n v="7000"/>
    <n v="70000"/>
    <n v="31500"/>
    <n v="0.31034482758620691"/>
  </r>
  <r>
    <x v="99"/>
    <s v="ORD-01397"/>
    <x v="0"/>
    <x v="2"/>
    <x v="100"/>
    <x v="5"/>
    <x v="3"/>
    <n v="8"/>
    <n v="732"/>
    <n v="5856"/>
    <n v="600"/>
    <n v="4800"/>
    <n v="1056"/>
    <n v="0.18032786885245902"/>
  </r>
  <r>
    <x v="99"/>
    <s v="ORD-01398"/>
    <x v="1"/>
    <x v="2"/>
    <x v="14"/>
    <x v="3"/>
    <x v="0"/>
    <n v="6"/>
    <n v="3125"/>
    <n v="18750"/>
    <n v="2500"/>
    <n v="15000"/>
    <n v="3750"/>
    <n v="0.2"/>
  </r>
  <r>
    <x v="100"/>
    <s v="ORD-01399"/>
    <x v="2"/>
    <x v="4"/>
    <x v="47"/>
    <x v="5"/>
    <x v="3"/>
    <n v="2"/>
    <n v="750"/>
    <n v="1500"/>
    <n v="600"/>
    <n v="1200"/>
    <n v="300"/>
    <n v="0.2"/>
  </r>
  <r>
    <x v="100"/>
    <s v="ORD-01400"/>
    <x v="1"/>
    <x v="0"/>
    <x v="84"/>
    <x v="7"/>
    <x v="2"/>
    <n v="7"/>
    <n v="9590"/>
    <n v="67130"/>
    <n v="7000"/>
    <n v="49000"/>
    <n v="18130"/>
    <n v="0.27007299270072993"/>
  </r>
  <r>
    <x v="100"/>
    <s v="ORD-01401"/>
    <x v="1"/>
    <x v="3"/>
    <x v="110"/>
    <x v="3"/>
    <x v="0"/>
    <n v="7"/>
    <n v="3550"/>
    <n v="24850"/>
    <n v="2500"/>
    <n v="17500"/>
    <n v="7350"/>
    <n v="0.29577464788732394"/>
  </r>
  <r>
    <x v="100"/>
    <s v="ORD-01402"/>
    <x v="3"/>
    <x v="2"/>
    <x v="42"/>
    <x v="5"/>
    <x v="3"/>
    <n v="6"/>
    <n v="804"/>
    <n v="4824"/>
    <n v="600"/>
    <n v="3600"/>
    <n v="1224"/>
    <n v="0.2537313432835821"/>
  </r>
  <r>
    <x v="100"/>
    <s v="ORD-01403"/>
    <x v="1"/>
    <x v="4"/>
    <x v="144"/>
    <x v="0"/>
    <x v="0"/>
    <n v="8"/>
    <n v="4608"/>
    <n v="36864"/>
    <n v="3200"/>
    <n v="25600"/>
    <n v="11264"/>
    <n v="0.30555555555555558"/>
  </r>
  <r>
    <x v="100"/>
    <s v="ORD-01404"/>
    <x v="1"/>
    <x v="4"/>
    <x v="125"/>
    <x v="0"/>
    <x v="0"/>
    <n v="1"/>
    <n v="4096"/>
    <n v="4096"/>
    <n v="3200"/>
    <n v="3200"/>
    <n v="896"/>
    <n v="0.21875"/>
  </r>
  <r>
    <x v="100"/>
    <s v="ORD-01405"/>
    <x v="1"/>
    <x v="2"/>
    <x v="76"/>
    <x v="4"/>
    <x v="2"/>
    <n v="3"/>
    <n v="10455"/>
    <n v="31365"/>
    <n v="8500"/>
    <n v="25500"/>
    <n v="5865"/>
    <n v="0.18699186991869918"/>
  </r>
  <r>
    <x v="100"/>
    <s v="ORD-01406"/>
    <x v="2"/>
    <x v="2"/>
    <x v="79"/>
    <x v="4"/>
    <x v="2"/>
    <n v="7"/>
    <n v="12325"/>
    <n v="86275"/>
    <n v="8500"/>
    <n v="59500"/>
    <n v="26775"/>
    <n v="0.31034482758620691"/>
  </r>
  <r>
    <x v="100"/>
    <s v="ORD-01407"/>
    <x v="3"/>
    <x v="5"/>
    <x v="54"/>
    <x v="0"/>
    <x v="0"/>
    <n v="4"/>
    <n v="4160"/>
    <n v="16640"/>
    <n v="3200"/>
    <n v="12800"/>
    <n v="3840"/>
    <n v="0.23076923076923078"/>
  </r>
  <r>
    <x v="100"/>
    <s v="ORD-01408"/>
    <x v="3"/>
    <x v="2"/>
    <x v="85"/>
    <x v="4"/>
    <x v="2"/>
    <n v="1"/>
    <n v="10710"/>
    <n v="10710"/>
    <n v="8500"/>
    <n v="8500"/>
    <n v="2210"/>
    <n v="0.20634920634920634"/>
  </r>
  <r>
    <x v="100"/>
    <s v="ORD-01409"/>
    <x v="2"/>
    <x v="1"/>
    <x v="20"/>
    <x v="1"/>
    <x v="1"/>
    <n v="4"/>
    <n v="65250"/>
    <n v="261000"/>
    <n v="45000"/>
    <n v="180000"/>
    <n v="81000"/>
    <n v="0.31034482758620691"/>
  </r>
  <r>
    <x v="100"/>
    <s v="ORD-01410"/>
    <x v="3"/>
    <x v="5"/>
    <x v="100"/>
    <x v="0"/>
    <x v="0"/>
    <n v="10"/>
    <n v="3968"/>
    <n v="39680"/>
    <n v="3200"/>
    <n v="32000"/>
    <n v="7680"/>
    <n v="0.19354838709677419"/>
  </r>
  <r>
    <x v="100"/>
    <s v="ORD-01411"/>
    <x v="1"/>
    <x v="4"/>
    <x v="22"/>
    <x v="7"/>
    <x v="2"/>
    <n v="10"/>
    <n v="9240"/>
    <n v="92400"/>
    <n v="7000"/>
    <n v="70000"/>
    <n v="22400"/>
    <n v="0.24242424242424243"/>
  </r>
  <r>
    <x v="100"/>
    <s v="ORD-01412"/>
    <x v="1"/>
    <x v="5"/>
    <x v="35"/>
    <x v="5"/>
    <x v="3"/>
    <n v="9"/>
    <n v="732"/>
    <n v="6588"/>
    <n v="600"/>
    <n v="5400"/>
    <n v="1188"/>
    <n v="0.18032786885245902"/>
  </r>
  <r>
    <x v="101"/>
    <s v="ORD-01413"/>
    <x v="2"/>
    <x v="3"/>
    <x v="139"/>
    <x v="7"/>
    <x v="2"/>
    <n v="1"/>
    <n v="8960"/>
    <n v="8960"/>
    <n v="7000"/>
    <n v="7000"/>
    <n v="1960"/>
    <n v="0.21875"/>
  </r>
  <r>
    <x v="101"/>
    <s v="ORD-01414"/>
    <x v="0"/>
    <x v="2"/>
    <x v="52"/>
    <x v="2"/>
    <x v="1"/>
    <n v="1"/>
    <n v="54720"/>
    <n v="54720"/>
    <n v="38000"/>
    <n v="38000"/>
    <n v="16720"/>
    <n v="0.30555555555555558"/>
  </r>
  <r>
    <x v="101"/>
    <s v="ORD-01415"/>
    <x v="3"/>
    <x v="3"/>
    <x v="139"/>
    <x v="4"/>
    <x v="2"/>
    <n v="6"/>
    <n v="12325"/>
    <n v="73950"/>
    <n v="8500"/>
    <n v="51000"/>
    <n v="22950"/>
    <n v="0.31034482758620691"/>
  </r>
  <r>
    <x v="101"/>
    <s v="ORD-01416"/>
    <x v="0"/>
    <x v="3"/>
    <x v="113"/>
    <x v="2"/>
    <x v="1"/>
    <n v="4"/>
    <n v="53580"/>
    <n v="214320"/>
    <n v="38000"/>
    <n v="152000"/>
    <n v="62320"/>
    <n v="0.29078014184397161"/>
  </r>
  <r>
    <x v="101"/>
    <s v="ORD-01417"/>
    <x v="3"/>
    <x v="1"/>
    <x v="23"/>
    <x v="3"/>
    <x v="0"/>
    <n v="9"/>
    <n v="3125"/>
    <n v="28125"/>
    <n v="2500"/>
    <n v="22500"/>
    <n v="5625"/>
    <n v="0.2"/>
  </r>
  <r>
    <x v="101"/>
    <s v="ORD-01418"/>
    <x v="2"/>
    <x v="5"/>
    <x v="131"/>
    <x v="0"/>
    <x v="0"/>
    <n v="1"/>
    <n v="4448"/>
    <n v="4448"/>
    <n v="3200"/>
    <n v="3200"/>
    <n v="1248"/>
    <n v="0.2805755395683453"/>
  </r>
  <r>
    <x v="101"/>
    <s v="ORD-01419"/>
    <x v="1"/>
    <x v="5"/>
    <x v="116"/>
    <x v="7"/>
    <x v="2"/>
    <n v="7"/>
    <n v="8750"/>
    <n v="61250"/>
    <n v="7000"/>
    <n v="49000"/>
    <n v="12250"/>
    <n v="0.2"/>
  </r>
  <r>
    <x v="101"/>
    <s v="ORD-01420"/>
    <x v="3"/>
    <x v="1"/>
    <x v="75"/>
    <x v="3"/>
    <x v="0"/>
    <n v="5"/>
    <n v="3399.9999999999995"/>
    <n v="16999.999999999996"/>
    <n v="2500"/>
    <n v="12500"/>
    <n v="4499.9999999999964"/>
    <n v="0.26470588235294101"/>
  </r>
  <r>
    <x v="101"/>
    <s v="ORD-01421"/>
    <x v="0"/>
    <x v="5"/>
    <x v="63"/>
    <x v="0"/>
    <x v="0"/>
    <n v="1"/>
    <n v="4480"/>
    <n v="4480"/>
    <n v="3200"/>
    <n v="3200"/>
    <n v="1280"/>
    <n v="0.2857142857142857"/>
  </r>
  <r>
    <x v="101"/>
    <s v="ORD-01422"/>
    <x v="3"/>
    <x v="2"/>
    <x v="112"/>
    <x v="4"/>
    <x v="2"/>
    <n v="7"/>
    <n v="11900"/>
    <n v="83300"/>
    <n v="8500"/>
    <n v="59500"/>
    <n v="23800"/>
    <n v="0.2857142857142857"/>
  </r>
  <r>
    <x v="101"/>
    <s v="ORD-01423"/>
    <x v="2"/>
    <x v="3"/>
    <x v="149"/>
    <x v="0"/>
    <x v="0"/>
    <n v="1"/>
    <n v="3904"/>
    <n v="3904"/>
    <n v="3200"/>
    <n v="3200"/>
    <n v="704"/>
    <n v="0.18032786885245902"/>
  </r>
  <r>
    <x v="101"/>
    <s v="ORD-01424"/>
    <x v="1"/>
    <x v="4"/>
    <x v="73"/>
    <x v="6"/>
    <x v="3"/>
    <n v="1"/>
    <n v="1188"/>
    <n v="1188"/>
    <n v="900"/>
    <n v="900"/>
    <n v="288"/>
    <n v="0.24242424242424243"/>
  </r>
  <r>
    <x v="101"/>
    <s v="ORD-01425"/>
    <x v="2"/>
    <x v="1"/>
    <x v="59"/>
    <x v="7"/>
    <x v="2"/>
    <n v="8"/>
    <n v="9870"/>
    <n v="78960"/>
    <n v="7000"/>
    <n v="56000"/>
    <n v="22960"/>
    <n v="0.29078014184397161"/>
  </r>
  <r>
    <x v="101"/>
    <s v="ORD-01426"/>
    <x v="3"/>
    <x v="1"/>
    <x v="147"/>
    <x v="2"/>
    <x v="1"/>
    <n v="4"/>
    <n v="51300"/>
    <n v="205200"/>
    <n v="38000"/>
    <n v="152000"/>
    <n v="53200"/>
    <n v="0.25925925925925924"/>
  </r>
  <r>
    <x v="102"/>
    <s v="ORD-01427"/>
    <x v="1"/>
    <x v="2"/>
    <x v="146"/>
    <x v="3"/>
    <x v="0"/>
    <n v="4"/>
    <n v="3250"/>
    <n v="13000"/>
    <n v="2500"/>
    <n v="10000"/>
    <n v="3000"/>
    <n v="0.23076923076923078"/>
  </r>
  <r>
    <x v="102"/>
    <s v="ORD-01428"/>
    <x v="0"/>
    <x v="4"/>
    <x v="18"/>
    <x v="6"/>
    <x v="3"/>
    <n v="5"/>
    <n v="1215"/>
    <n v="6075"/>
    <n v="900"/>
    <n v="4500"/>
    <n v="1575"/>
    <n v="0.25925925925925924"/>
  </r>
  <r>
    <x v="102"/>
    <s v="ORD-01429"/>
    <x v="2"/>
    <x v="1"/>
    <x v="79"/>
    <x v="7"/>
    <x v="2"/>
    <n v="5"/>
    <n v="8540"/>
    <n v="42700"/>
    <n v="7000"/>
    <n v="35000"/>
    <n v="7700"/>
    <n v="0.18032786885245902"/>
  </r>
  <r>
    <x v="102"/>
    <s v="ORD-01430"/>
    <x v="2"/>
    <x v="4"/>
    <x v="60"/>
    <x v="4"/>
    <x v="2"/>
    <n v="7"/>
    <n v="11730"/>
    <n v="82110"/>
    <n v="8500"/>
    <n v="59500"/>
    <n v="22610"/>
    <n v="0.27536231884057971"/>
  </r>
  <r>
    <x v="102"/>
    <s v="ORD-01431"/>
    <x v="0"/>
    <x v="4"/>
    <x v="67"/>
    <x v="5"/>
    <x v="3"/>
    <n v="1"/>
    <n v="827.99999999999989"/>
    <n v="827.99999999999989"/>
    <n v="600"/>
    <n v="600"/>
    <n v="227.99999999999989"/>
    <n v="0.2753623188405796"/>
  </r>
  <r>
    <x v="102"/>
    <s v="ORD-01432"/>
    <x v="2"/>
    <x v="3"/>
    <x v="138"/>
    <x v="6"/>
    <x v="3"/>
    <n v="7"/>
    <n v="1233"/>
    <n v="8631"/>
    <n v="900"/>
    <n v="6300"/>
    <n v="2331"/>
    <n v="0.27007299270072993"/>
  </r>
  <r>
    <x v="102"/>
    <s v="ORD-01433"/>
    <x v="2"/>
    <x v="4"/>
    <x v="135"/>
    <x v="1"/>
    <x v="1"/>
    <n v="1"/>
    <n v="62550.000000000007"/>
    <n v="62550.000000000007"/>
    <n v="45000"/>
    <n v="45000"/>
    <n v="17550.000000000007"/>
    <n v="0.28057553956834541"/>
  </r>
  <r>
    <x v="102"/>
    <s v="ORD-01434"/>
    <x v="1"/>
    <x v="3"/>
    <x v="125"/>
    <x v="6"/>
    <x v="3"/>
    <n v="8"/>
    <n v="1161"/>
    <n v="9288"/>
    <n v="900"/>
    <n v="7200"/>
    <n v="2088"/>
    <n v="0.22480620155038761"/>
  </r>
  <r>
    <x v="102"/>
    <s v="ORD-01435"/>
    <x v="1"/>
    <x v="1"/>
    <x v="68"/>
    <x v="1"/>
    <x v="1"/>
    <n v="8"/>
    <n v="62550.000000000007"/>
    <n v="500400.00000000006"/>
    <n v="45000"/>
    <n v="360000"/>
    <n v="140400.00000000006"/>
    <n v="0.28057553956834541"/>
  </r>
  <r>
    <x v="102"/>
    <s v="ORD-01436"/>
    <x v="0"/>
    <x v="4"/>
    <x v="63"/>
    <x v="3"/>
    <x v="0"/>
    <n v="5"/>
    <n v="3625"/>
    <n v="18125"/>
    <n v="2500"/>
    <n v="12500"/>
    <n v="5625"/>
    <n v="0.31034482758620691"/>
  </r>
  <r>
    <x v="102"/>
    <s v="ORD-01437"/>
    <x v="3"/>
    <x v="3"/>
    <x v="26"/>
    <x v="1"/>
    <x v="1"/>
    <n v="10"/>
    <n v="56250"/>
    <n v="562500"/>
    <n v="45000"/>
    <n v="450000"/>
    <n v="112500"/>
    <n v="0.2"/>
  </r>
  <r>
    <x v="102"/>
    <s v="ORD-01438"/>
    <x v="0"/>
    <x v="3"/>
    <x v="95"/>
    <x v="1"/>
    <x v="1"/>
    <n v="6"/>
    <n v="57600"/>
    <n v="345600"/>
    <n v="45000"/>
    <n v="270000"/>
    <n v="75600"/>
    <n v="0.21875"/>
  </r>
  <r>
    <x v="102"/>
    <s v="ORD-01439"/>
    <x v="3"/>
    <x v="5"/>
    <x v="102"/>
    <x v="0"/>
    <x v="0"/>
    <n v="4"/>
    <n v="3968"/>
    <n v="15872"/>
    <n v="3200"/>
    <n v="12800"/>
    <n v="3072"/>
    <n v="0.19354838709677419"/>
  </r>
  <r>
    <x v="102"/>
    <s v="ORD-01440"/>
    <x v="1"/>
    <x v="0"/>
    <x v="141"/>
    <x v="3"/>
    <x v="0"/>
    <n v="6"/>
    <n v="3375"/>
    <n v="20250"/>
    <n v="2500"/>
    <n v="15000"/>
    <n v="5250"/>
    <n v="0.25925925925925924"/>
  </r>
  <r>
    <x v="103"/>
    <s v="ORD-01441"/>
    <x v="1"/>
    <x v="1"/>
    <x v="141"/>
    <x v="6"/>
    <x v="3"/>
    <n v="6"/>
    <n v="1152"/>
    <n v="6912"/>
    <n v="900"/>
    <n v="5400"/>
    <n v="1512"/>
    <n v="0.21875"/>
  </r>
  <r>
    <x v="103"/>
    <s v="ORD-01442"/>
    <x v="1"/>
    <x v="3"/>
    <x v="72"/>
    <x v="6"/>
    <x v="3"/>
    <n v="8"/>
    <n v="1089"/>
    <n v="8712"/>
    <n v="900"/>
    <n v="7200"/>
    <n v="1512"/>
    <n v="0.17355371900826447"/>
  </r>
  <r>
    <x v="103"/>
    <s v="ORD-01443"/>
    <x v="3"/>
    <x v="5"/>
    <x v="2"/>
    <x v="6"/>
    <x v="3"/>
    <n v="6"/>
    <n v="1260"/>
    <n v="7560"/>
    <n v="900"/>
    <n v="5400"/>
    <n v="2160"/>
    <n v="0.2857142857142857"/>
  </r>
  <r>
    <x v="103"/>
    <s v="ORD-01444"/>
    <x v="2"/>
    <x v="3"/>
    <x v="82"/>
    <x v="0"/>
    <x v="0"/>
    <n v="3"/>
    <n v="4608"/>
    <n v="13824"/>
    <n v="3200"/>
    <n v="9600"/>
    <n v="4224"/>
    <n v="0.30555555555555558"/>
  </r>
  <r>
    <x v="103"/>
    <s v="ORD-01445"/>
    <x v="0"/>
    <x v="3"/>
    <x v="132"/>
    <x v="4"/>
    <x v="2"/>
    <n v="5"/>
    <n v="11475"/>
    <n v="57375"/>
    <n v="8500"/>
    <n v="42500"/>
    <n v="14875"/>
    <n v="0.25925925925925924"/>
  </r>
  <r>
    <x v="103"/>
    <s v="ORD-01446"/>
    <x v="2"/>
    <x v="4"/>
    <x v="51"/>
    <x v="0"/>
    <x v="0"/>
    <n v="8"/>
    <n v="4000"/>
    <n v="32000"/>
    <n v="3200"/>
    <n v="25600"/>
    <n v="6400"/>
    <n v="0.2"/>
  </r>
  <r>
    <x v="103"/>
    <s v="ORD-01447"/>
    <x v="1"/>
    <x v="1"/>
    <x v="0"/>
    <x v="1"/>
    <x v="1"/>
    <n v="6"/>
    <n v="58950"/>
    <n v="353700"/>
    <n v="45000"/>
    <n v="270000"/>
    <n v="83700"/>
    <n v="0.23664122137404581"/>
  </r>
  <r>
    <x v="103"/>
    <s v="ORD-01448"/>
    <x v="0"/>
    <x v="4"/>
    <x v="9"/>
    <x v="7"/>
    <x v="2"/>
    <n v="1"/>
    <n v="9030"/>
    <n v="9030"/>
    <n v="7000"/>
    <n v="7000"/>
    <n v="2030"/>
    <n v="0.22480620155038761"/>
  </r>
  <r>
    <x v="103"/>
    <s v="ORD-01449"/>
    <x v="0"/>
    <x v="1"/>
    <x v="26"/>
    <x v="1"/>
    <x v="1"/>
    <n v="3"/>
    <n v="59850"/>
    <n v="179550"/>
    <n v="45000"/>
    <n v="135000"/>
    <n v="44550"/>
    <n v="0.24812030075187969"/>
  </r>
  <r>
    <x v="103"/>
    <s v="ORD-01450"/>
    <x v="0"/>
    <x v="0"/>
    <x v="120"/>
    <x v="4"/>
    <x v="2"/>
    <n v="8"/>
    <n v="10540"/>
    <n v="84320"/>
    <n v="8500"/>
    <n v="68000"/>
    <n v="16320"/>
    <n v="0.19354838709677419"/>
  </r>
  <r>
    <x v="103"/>
    <s v="ORD-01451"/>
    <x v="1"/>
    <x v="4"/>
    <x v="67"/>
    <x v="0"/>
    <x v="0"/>
    <n v="5"/>
    <n v="4064"/>
    <n v="20320"/>
    <n v="3200"/>
    <n v="16000"/>
    <n v="4320"/>
    <n v="0.2125984251968504"/>
  </r>
  <r>
    <x v="103"/>
    <s v="ORD-01452"/>
    <x v="1"/>
    <x v="5"/>
    <x v="71"/>
    <x v="5"/>
    <x v="3"/>
    <n v="3"/>
    <n v="780"/>
    <n v="2340"/>
    <n v="600"/>
    <n v="1800"/>
    <n v="540"/>
    <n v="0.23076923076923078"/>
  </r>
  <r>
    <x v="103"/>
    <s v="ORD-01453"/>
    <x v="3"/>
    <x v="1"/>
    <x v="116"/>
    <x v="0"/>
    <x v="0"/>
    <n v="8"/>
    <n v="4096"/>
    <n v="32768"/>
    <n v="3200"/>
    <n v="25600"/>
    <n v="7168"/>
    <n v="0.21875"/>
  </r>
  <r>
    <x v="103"/>
    <s v="ORD-01454"/>
    <x v="2"/>
    <x v="1"/>
    <x v="126"/>
    <x v="7"/>
    <x v="2"/>
    <n v="1"/>
    <n v="9940"/>
    <n v="9940"/>
    <n v="7000"/>
    <n v="7000"/>
    <n v="2940"/>
    <n v="0.29577464788732394"/>
  </r>
  <r>
    <x v="104"/>
    <s v="ORD-01455"/>
    <x v="0"/>
    <x v="5"/>
    <x v="52"/>
    <x v="4"/>
    <x v="2"/>
    <n v="1"/>
    <n v="10285"/>
    <n v="10285"/>
    <n v="8500"/>
    <n v="8500"/>
    <n v="1785"/>
    <n v="0.17355371900826447"/>
  </r>
  <r>
    <x v="104"/>
    <s v="ORD-01456"/>
    <x v="0"/>
    <x v="5"/>
    <x v="18"/>
    <x v="6"/>
    <x v="3"/>
    <n v="3"/>
    <n v="1197"/>
    <n v="3591"/>
    <n v="900"/>
    <n v="2700"/>
    <n v="891"/>
    <n v="0.24812030075187969"/>
  </r>
  <r>
    <x v="104"/>
    <s v="ORD-01457"/>
    <x v="2"/>
    <x v="0"/>
    <x v="18"/>
    <x v="7"/>
    <x v="2"/>
    <n v="8"/>
    <n v="10080"/>
    <n v="80640"/>
    <n v="7000"/>
    <n v="56000"/>
    <n v="24640"/>
    <n v="0.30555555555555558"/>
  </r>
  <r>
    <x v="104"/>
    <s v="ORD-01458"/>
    <x v="3"/>
    <x v="3"/>
    <x v="11"/>
    <x v="7"/>
    <x v="2"/>
    <n v="3"/>
    <n v="9310"/>
    <n v="27930"/>
    <n v="7000"/>
    <n v="21000"/>
    <n v="6930"/>
    <n v="0.24812030075187969"/>
  </r>
  <r>
    <x v="104"/>
    <s v="ORD-01459"/>
    <x v="2"/>
    <x v="2"/>
    <x v="85"/>
    <x v="7"/>
    <x v="2"/>
    <n v="6"/>
    <n v="10010"/>
    <n v="60060"/>
    <n v="7000"/>
    <n v="42000"/>
    <n v="18060"/>
    <n v="0.30069930069930068"/>
  </r>
  <r>
    <x v="104"/>
    <s v="ORD-01460"/>
    <x v="3"/>
    <x v="0"/>
    <x v="104"/>
    <x v="7"/>
    <x v="2"/>
    <n v="10"/>
    <n v="8400"/>
    <n v="84000"/>
    <n v="7000"/>
    <n v="70000"/>
    <n v="14000"/>
    <n v="0.16666666666666666"/>
  </r>
  <r>
    <x v="104"/>
    <s v="ORD-01461"/>
    <x v="0"/>
    <x v="0"/>
    <x v="89"/>
    <x v="5"/>
    <x v="3"/>
    <n v="6"/>
    <n v="738"/>
    <n v="4428"/>
    <n v="600"/>
    <n v="3600"/>
    <n v="828"/>
    <n v="0.18699186991869918"/>
  </r>
  <r>
    <x v="104"/>
    <s v="ORD-01462"/>
    <x v="1"/>
    <x v="1"/>
    <x v="148"/>
    <x v="4"/>
    <x v="2"/>
    <n v="6"/>
    <n v="11645"/>
    <n v="69870"/>
    <n v="8500"/>
    <n v="51000"/>
    <n v="18870"/>
    <n v="0.27007299270072993"/>
  </r>
  <r>
    <x v="104"/>
    <s v="ORD-01463"/>
    <x v="3"/>
    <x v="2"/>
    <x v="57"/>
    <x v="2"/>
    <x v="1"/>
    <n v="7"/>
    <n v="46740"/>
    <n v="327180"/>
    <n v="38000"/>
    <n v="266000"/>
    <n v="61180"/>
    <n v="0.18699186991869918"/>
  </r>
  <r>
    <x v="104"/>
    <s v="ORD-01464"/>
    <x v="0"/>
    <x v="4"/>
    <x v="102"/>
    <x v="0"/>
    <x v="0"/>
    <n v="1"/>
    <n v="4224"/>
    <n v="4224"/>
    <n v="3200"/>
    <n v="3200"/>
    <n v="1024"/>
    <n v="0.24242424242424243"/>
  </r>
  <r>
    <x v="104"/>
    <s v="ORD-01465"/>
    <x v="1"/>
    <x v="4"/>
    <x v="44"/>
    <x v="6"/>
    <x v="3"/>
    <n v="6"/>
    <n v="1269"/>
    <n v="7614"/>
    <n v="900"/>
    <n v="5400"/>
    <n v="2214"/>
    <n v="0.29078014184397161"/>
  </r>
  <r>
    <x v="104"/>
    <s v="ORD-01466"/>
    <x v="0"/>
    <x v="0"/>
    <x v="114"/>
    <x v="4"/>
    <x v="2"/>
    <n v="9"/>
    <n v="11050"/>
    <n v="99450"/>
    <n v="8500"/>
    <n v="76500"/>
    <n v="22950"/>
    <n v="0.23076923076923078"/>
  </r>
  <r>
    <x v="104"/>
    <s v="ORD-01467"/>
    <x v="1"/>
    <x v="3"/>
    <x v="145"/>
    <x v="7"/>
    <x v="2"/>
    <n v="8"/>
    <n v="9520"/>
    <n v="76160"/>
    <n v="7000"/>
    <n v="56000"/>
    <n v="20160"/>
    <n v="0.26470588235294118"/>
  </r>
  <r>
    <x v="104"/>
    <s v="ORD-01468"/>
    <x v="3"/>
    <x v="0"/>
    <x v="120"/>
    <x v="7"/>
    <x v="2"/>
    <n v="7"/>
    <n v="9100"/>
    <n v="63700"/>
    <n v="7000"/>
    <n v="49000"/>
    <n v="14700"/>
    <n v="0.23076923076923078"/>
  </r>
  <r>
    <x v="105"/>
    <s v="ORD-01469"/>
    <x v="1"/>
    <x v="1"/>
    <x v="55"/>
    <x v="2"/>
    <x v="1"/>
    <n v="9"/>
    <n v="53200"/>
    <n v="478800"/>
    <n v="38000"/>
    <n v="342000"/>
    <n v="136800"/>
    <n v="0.2857142857142857"/>
  </r>
  <r>
    <x v="105"/>
    <s v="ORD-01470"/>
    <x v="3"/>
    <x v="5"/>
    <x v="58"/>
    <x v="1"/>
    <x v="1"/>
    <n v="1"/>
    <n v="57600"/>
    <n v="57600"/>
    <n v="45000"/>
    <n v="45000"/>
    <n v="12600"/>
    <n v="0.21875"/>
  </r>
  <r>
    <x v="105"/>
    <s v="ORD-01471"/>
    <x v="3"/>
    <x v="1"/>
    <x v="135"/>
    <x v="4"/>
    <x v="2"/>
    <n v="7"/>
    <n v="12070"/>
    <n v="84490"/>
    <n v="8500"/>
    <n v="59500"/>
    <n v="24990"/>
    <n v="0.29577464788732394"/>
  </r>
  <r>
    <x v="105"/>
    <s v="ORD-01472"/>
    <x v="0"/>
    <x v="3"/>
    <x v="67"/>
    <x v="5"/>
    <x v="3"/>
    <n v="1"/>
    <n v="827.99999999999989"/>
    <n v="827.99999999999989"/>
    <n v="600"/>
    <n v="600"/>
    <n v="227.99999999999989"/>
    <n v="0.2753623188405796"/>
  </r>
  <r>
    <x v="105"/>
    <s v="ORD-01473"/>
    <x v="1"/>
    <x v="2"/>
    <x v="142"/>
    <x v="7"/>
    <x v="2"/>
    <n v="10"/>
    <n v="9590"/>
    <n v="95900"/>
    <n v="7000"/>
    <n v="70000"/>
    <n v="25900"/>
    <n v="0.27007299270072993"/>
  </r>
  <r>
    <x v="105"/>
    <s v="ORD-01474"/>
    <x v="3"/>
    <x v="0"/>
    <x v="93"/>
    <x v="5"/>
    <x v="3"/>
    <n v="2"/>
    <n v="846"/>
    <n v="1692"/>
    <n v="600"/>
    <n v="1200"/>
    <n v="492"/>
    <n v="0.29078014184397161"/>
  </r>
  <r>
    <x v="105"/>
    <s v="ORD-01475"/>
    <x v="0"/>
    <x v="2"/>
    <x v="140"/>
    <x v="6"/>
    <x v="3"/>
    <n v="5"/>
    <n v="1152"/>
    <n v="5760"/>
    <n v="900"/>
    <n v="4500"/>
    <n v="1260"/>
    <n v="0.21875"/>
  </r>
  <r>
    <x v="105"/>
    <s v="ORD-01476"/>
    <x v="1"/>
    <x v="0"/>
    <x v="137"/>
    <x v="3"/>
    <x v="0"/>
    <n v="9"/>
    <n v="3050"/>
    <n v="27450"/>
    <n v="2500"/>
    <n v="22500"/>
    <n v="4950"/>
    <n v="0.18032786885245902"/>
  </r>
  <r>
    <x v="105"/>
    <s v="ORD-01477"/>
    <x v="1"/>
    <x v="5"/>
    <x v="20"/>
    <x v="0"/>
    <x v="0"/>
    <n v="6"/>
    <n v="4448"/>
    <n v="26688"/>
    <n v="3200"/>
    <n v="19200"/>
    <n v="7488"/>
    <n v="0.2805755395683453"/>
  </r>
  <r>
    <x v="105"/>
    <s v="ORD-01478"/>
    <x v="0"/>
    <x v="5"/>
    <x v="40"/>
    <x v="5"/>
    <x v="3"/>
    <n v="6"/>
    <n v="726"/>
    <n v="4356"/>
    <n v="600"/>
    <n v="3600"/>
    <n v="756"/>
    <n v="0.17355371900826447"/>
  </r>
  <r>
    <x v="105"/>
    <s v="ORD-01479"/>
    <x v="3"/>
    <x v="2"/>
    <x v="11"/>
    <x v="5"/>
    <x v="3"/>
    <n v="2"/>
    <n v="846"/>
    <n v="1692"/>
    <n v="600"/>
    <n v="1200"/>
    <n v="492"/>
    <n v="0.29078014184397161"/>
  </r>
  <r>
    <x v="105"/>
    <s v="ORD-01480"/>
    <x v="3"/>
    <x v="5"/>
    <x v="59"/>
    <x v="3"/>
    <x v="0"/>
    <n v="8"/>
    <n v="3350"/>
    <n v="26800"/>
    <n v="2500"/>
    <n v="20000"/>
    <n v="6800"/>
    <n v="0.2537313432835821"/>
  </r>
  <r>
    <x v="105"/>
    <s v="ORD-01481"/>
    <x v="1"/>
    <x v="2"/>
    <x v="64"/>
    <x v="5"/>
    <x v="3"/>
    <n v="7"/>
    <n v="858"/>
    <n v="6006"/>
    <n v="600"/>
    <n v="4200"/>
    <n v="1806"/>
    <n v="0.30069930069930068"/>
  </r>
  <r>
    <x v="105"/>
    <s v="ORD-01482"/>
    <x v="3"/>
    <x v="4"/>
    <x v="11"/>
    <x v="0"/>
    <x v="0"/>
    <n v="4"/>
    <n v="4160"/>
    <n v="16640"/>
    <n v="3200"/>
    <n v="12800"/>
    <n v="3840"/>
    <n v="0.23076923076923078"/>
  </r>
  <r>
    <x v="106"/>
    <s v="ORD-01483"/>
    <x v="0"/>
    <x v="0"/>
    <x v="80"/>
    <x v="3"/>
    <x v="0"/>
    <n v="2"/>
    <n v="3200"/>
    <n v="6400"/>
    <n v="2500"/>
    <n v="5000"/>
    <n v="1400"/>
    <n v="0.21875"/>
  </r>
  <r>
    <x v="106"/>
    <s v="ORD-01484"/>
    <x v="3"/>
    <x v="2"/>
    <x v="43"/>
    <x v="1"/>
    <x v="1"/>
    <n v="3"/>
    <n v="55800"/>
    <n v="167400"/>
    <n v="45000"/>
    <n v="135000"/>
    <n v="32400"/>
    <n v="0.19354838709677419"/>
  </r>
  <r>
    <x v="106"/>
    <s v="ORD-01485"/>
    <x v="0"/>
    <x v="2"/>
    <x v="93"/>
    <x v="0"/>
    <x v="0"/>
    <n v="2"/>
    <n v="4576"/>
    <n v="9152"/>
    <n v="3200"/>
    <n v="6400"/>
    <n v="2752"/>
    <n v="0.30069930069930068"/>
  </r>
  <r>
    <x v="106"/>
    <s v="ORD-01486"/>
    <x v="1"/>
    <x v="2"/>
    <x v="93"/>
    <x v="0"/>
    <x v="0"/>
    <n v="1"/>
    <n v="3968"/>
    <n v="3968"/>
    <n v="3200"/>
    <n v="3200"/>
    <n v="768"/>
    <n v="0.19354838709677419"/>
  </r>
  <r>
    <x v="106"/>
    <s v="ORD-01487"/>
    <x v="1"/>
    <x v="5"/>
    <x v="20"/>
    <x v="1"/>
    <x v="1"/>
    <n v="10"/>
    <n v="63900"/>
    <n v="639000"/>
    <n v="45000"/>
    <n v="450000"/>
    <n v="189000"/>
    <n v="0.29577464788732394"/>
  </r>
  <r>
    <x v="106"/>
    <s v="ORD-01488"/>
    <x v="0"/>
    <x v="2"/>
    <x v="24"/>
    <x v="1"/>
    <x v="1"/>
    <n v="3"/>
    <n v="62099.999999999993"/>
    <n v="186299.99999999997"/>
    <n v="45000"/>
    <n v="135000"/>
    <n v="51299.999999999971"/>
    <n v="0.2753623188405796"/>
  </r>
  <r>
    <x v="106"/>
    <s v="ORD-01489"/>
    <x v="2"/>
    <x v="3"/>
    <x v="108"/>
    <x v="2"/>
    <x v="1"/>
    <n v="6"/>
    <n v="52060.000000000007"/>
    <n v="312360.00000000006"/>
    <n v="38000"/>
    <n v="228000"/>
    <n v="84360.000000000058"/>
    <n v="0.27007299270073004"/>
  </r>
  <r>
    <x v="106"/>
    <s v="ORD-01490"/>
    <x v="0"/>
    <x v="3"/>
    <x v="118"/>
    <x v="7"/>
    <x v="2"/>
    <n v="4"/>
    <n v="8610"/>
    <n v="34440"/>
    <n v="7000"/>
    <n v="28000"/>
    <n v="6440"/>
    <n v="0.18699186991869918"/>
  </r>
  <r>
    <x v="106"/>
    <s v="ORD-01491"/>
    <x v="1"/>
    <x v="4"/>
    <x v="105"/>
    <x v="6"/>
    <x v="3"/>
    <n v="5"/>
    <n v="1089"/>
    <n v="5445"/>
    <n v="900"/>
    <n v="4500"/>
    <n v="945"/>
    <n v="0.17355371900826447"/>
  </r>
  <r>
    <x v="106"/>
    <s v="ORD-01492"/>
    <x v="3"/>
    <x v="0"/>
    <x v="26"/>
    <x v="3"/>
    <x v="0"/>
    <n v="8"/>
    <n v="3175"/>
    <n v="25400"/>
    <n v="2500"/>
    <n v="20000"/>
    <n v="5400"/>
    <n v="0.2125984251968504"/>
  </r>
  <r>
    <x v="106"/>
    <s v="ORD-01493"/>
    <x v="2"/>
    <x v="5"/>
    <x v="52"/>
    <x v="2"/>
    <x v="1"/>
    <n v="2"/>
    <n v="46740"/>
    <n v="93480"/>
    <n v="38000"/>
    <n v="76000"/>
    <n v="17480"/>
    <n v="0.18699186991869918"/>
  </r>
  <r>
    <x v="106"/>
    <s v="ORD-01494"/>
    <x v="3"/>
    <x v="4"/>
    <x v="73"/>
    <x v="5"/>
    <x v="3"/>
    <n v="7"/>
    <n v="762"/>
    <n v="5334"/>
    <n v="600"/>
    <n v="4200"/>
    <n v="1134"/>
    <n v="0.2125984251968504"/>
  </r>
  <r>
    <x v="106"/>
    <s v="ORD-01495"/>
    <x v="2"/>
    <x v="1"/>
    <x v="126"/>
    <x v="3"/>
    <x v="0"/>
    <n v="4"/>
    <n v="3449.9999999999995"/>
    <n v="13799.999999999998"/>
    <n v="2500"/>
    <n v="10000"/>
    <n v="3799.9999999999982"/>
    <n v="0.2753623188405796"/>
  </r>
  <r>
    <x v="106"/>
    <s v="ORD-01496"/>
    <x v="0"/>
    <x v="2"/>
    <x v="113"/>
    <x v="7"/>
    <x v="2"/>
    <n v="4"/>
    <n v="10150"/>
    <n v="40600"/>
    <n v="7000"/>
    <n v="28000"/>
    <n v="12600"/>
    <n v="0.31034482758620691"/>
  </r>
  <r>
    <x v="107"/>
    <s v="ORD-01497"/>
    <x v="2"/>
    <x v="3"/>
    <x v="91"/>
    <x v="0"/>
    <x v="0"/>
    <n v="8"/>
    <n v="3936"/>
    <n v="31488"/>
    <n v="3200"/>
    <n v="25600"/>
    <n v="5888"/>
    <n v="0.18699186991869918"/>
  </r>
  <r>
    <x v="107"/>
    <s v="ORD-01498"/>
    <x v="2"/>
    <x v="3"/>
    <x v="122"/>
    <x v="1"/>
    <x v="1"/>
    <n v="2"/>
    <n v="54450"/>
    <n v="108900"/>
    <n v="45000"/>
    <n v="90000"/>
    <n v="18900"/>
    <n v="0.17355371900826447"/>
  </r>
  <r>
    <x v="107"/>
    <s v="ORD-01499"/>
    <x v="2"/>
    <x v="2"/>
    <x v="138"/>
    <x v="7"/>
    <x v="2"/>
    <n v="10"/>
    <n v="9240"/>
    <n v="92400"/>
    <n v="7000"/>
    <n v="70000"/>
    <n v="22400"/>
    <n v="0.24242424242424243"/>
  </r>
  <r>
    <x v="107"/>
    <s v="ORD-01500"/>
    <x v="2"/>
    <x v="3"/>
    <x v="75"/>
    <x v="5"/>
    <x v="3"/>
    <n v="7"/>
    <n v="762"/>
    <n v="5334"/>
    <n v="600"/>
    <n v="4200"/>
    <n v="1134"/>
    <n v="0.2125984251968504"/>
  </r>
  <r>
    <x v="107"/>
    <s v="ORD-01501"/>
    <x v="1"/>
    <x v="2"/>
    <x v="103"/>
    <x v="6"/>
    <x v="3"/>
    <n v="7"/>
    <n v="1296"/>
    <n v="9072"/>
    <n v="900"/>
    <n v="6300"/>
    <n v="2772"/>
    <n v="0.30555555555555558"/>
  </r>
  <r>
    <x v="107"/>
    <s v="ORD-01502"/>
    <x v="1"/>
    <x v="5"/>
    <x v="30"/>
    <x v="2"/>
    <x v="1"/>
    <n v="6"/>
    <n v="52060.000000000007"/>
    <n v="312360.00000000006"/>
    <n v="38000"/>
    <n v="228000"/>
    <n v="84360.000000000058"/>
    <n v="0.27007299270073004"/>
  </r>
  <r>
    <x v="107"/>
    <s v="ORD-01503"/>
    <x v="0"/>
    <x v="3"/>
    <x v="123"/>
    <x v="3"/>
    <x v="0"/>
    <n v="2"/>
    <n v="3325"/>
    <n v="6650"/>
    <n v="2500"/>
    <n v="5000"/>
    <n v="1650"/>
    <n v="0.24812030075187969"/>
  </r>
  <r>
    <x v="107"/>
    <s v="ORD-01504"/>
    <x v="1"/>
    <x v="2"/>
    <x v="143"/>
    <x v="3"/>
    <x v="0"/>
    <n v="10"/>
    <n v="3250"/>
    <n v="32500"/>
    <n v="2500"/>
    <n v="25000"/>
    <n v="7500"/>
    <n v="0.23076923076923078"/>
  </r>
  <r>
    <x v="107"/>
    <s v="ORD-01505"/>
    <x v="0"/>
    <x v="5"/>
    <x v="48"/>
    <x v="3"/>
    <x v="0"/>
    <n v="3"/>
    <n v="3325"/>
    <n v="9975"/>
    <n v="2500"/>
    <n v="7500"/>
    <n v="2475"/>
    <n v="0.24812030075187969"/>
  </r>
  <r>
    <x v="107"/>
    <s v="ORD-01506"/>
    <x v="1"/>
    <x v="3"/>
    <x v="25"/>
    <x v="4"/>
    <x v="2"/>
    <n v="3"/>
    <n v="11559.999999999998"/>
    <n v="34679.999999999993"/>
    <n v="8500"/>
    <n v="25500"/>
    <n v="9179.9999999999927"/>
    <n v="0.26470588235294101"/>
  </r>
  <r>
    <x v="107"/>
    <s v="ORD-01507"/>
    <x v="0"/>
    <x v="4"/>
    <x v="119"/>
    <x v="1"/>
    <x v="1"/>
    <n v="6"/>
    <n v="57600"/>
    <n v="345600"/>
    <n v="45000"/>
    <n v="270000"/>
    <n v="75600"/>
    <n v="0.21875"/>
  </r>
  <r>
    <x v="107"/>
    <s v="ORD-01508"/>
    <x v="3"/>
    <x v="4"/>
    <x v="93"/>
    <x v="7"/>
    <x v="2"/>
    <n v="4"/>
    <n v="10080"/>
    <n v="40320"/>
    <n v="7000"/>
    <n v="28000"/>
    <n v="12320"/>
    <n v="0.30555555555555558"/>
  </r>
  <r>
    <x v="107"/>
    <s v="ORD-01509"/>
    <x v="3"/>
    <x v="2"/>
    <x v="147"/>
    <x v="1"/>
    <x v="1"/>
    <n v="4"/>
    <n v="59400"/>
    <n v="237600"/>
    <n v="45000"/>
    <n v="180000"/>
    <n v="57600"/>
    <n v="0.24242424242424243"/>
  </r>
  <r>
    <x v="107"/>
    <s v="ORD-01510"/>
    <x v="2"/>
    <x v="2"/>
    <x v="6"/>
    <x v="1"/>
    <x v="1"/>
    <n v="3"/>
    <n v="58500"/>
    <n v="175500"/>
    <n v="45000"/>
    <n v="135000"/>
    <n v="40500"/>
    <n v="0.23076923076923078"/>
  </r>
  <r>
    <x v="108"/>
    <s v="ORD-01511"/>
    <x v="3"/>
    <x v="0"/>
    <x v="145"/>
    <x v="7"/>
    <x v="2"/>
    <n v="6"/>
    <n v="8750"/>
    <n v="52500"/>
    <n v="7000"/>
    <n v="42000"/>
    <n v="10500"/>
    <n v="0.2"/>
  </r>
  <r>
    <x v="108"/>
    <s v="ORD-01512"/>
    <x v="1"/>
    <x v="4"/>
    <x v="33"/>
    <x v="2"/>
    <x v="1"/>
    <n v="7"/>
    <n v="46740"/>
    <n v="327180"/>
    <n v="38000"/>
    <n v="266000"/>
    <n v="61180"/>
    <n v="0.18699186991869918"/>
  </r>
  <r>
    <x v="108"/>
    <s v="ORD-01513"/>
    <x v="3"/>
    <x v="1"/>
    <x v="143"/>
    <x v="7"/>
    <x v="2"/>
    <n v="8"/>
    <n v="10080"/>
    <n v="80640"/>
    <n v="7000"/>
    <n v="56000"/>
    <n v="24640"/>
    <n v="0.30555555555555558"/>
  </r>
  <r>
    <x v="108"/>
    <s v="ORD-01514"/>
    <x v="0"/>
    <x v="4"/>
    <x v="127"/>
    <x v="2"/>
    <x v="1"/>
    <n v="10"/>
    <n v="46360"/>
    <n v="463600"/>
    <n v="38000"/>
    <n v="380000"/>
    <n v="83600"/>
    <n v="0.18032786885245902"/>
  </r>
  <r>
    <x v="108"/>
    <s v="ORD-01515"/>
    <x v="0"/>
    <x v="1"/>
    <x v="80"/>
    <x v="7"/>
    <x v="2"/>
    <n v="7"/>
    <n v="8540"/>
    <n v="59780"/>
    <n v="7000"/>
    <n v="49000"/>
    <n v="10780"/>
    <n v="0.18032786885245902"/>
  </r>
  <r>
    <x v="108"/>
    <s v="ORD-01516"/>
    <x v="1"/>
    <x v="5"/>
    <x v="147"/>
    <x v="7"/>
    <x v="2"/>
    <n v="6"/>
    <n v="9870"/>
    <n v="59220"/>
    <n v="7000"/>
    <n v="42000"/>
    <n v="17220"/>
    <n v="0.29078014184397161"/>
  </r>
  <r>
    <x v="108"/>
    <s v="ORD-01517"/>
    <x v="1"/>
    <x v="2"/>
    <x v="117"/>
    <x v="1"/>
    <x v="1"/>
    <n v="5"/>
    <n v="61199.999999999993"/>
    <n v="305999.99999999994"/>
    <n v="45000"/>
    <n v="225000"/>
    <n v="80999.999999999942"/>
    <n v="0.26470588235294101"/>
  </r>
  <r>
    <x v="108"/>
    <s v="ORD-01518"/>
    <x v="1"/>
    <x v="3"/>
    <x v="49"/>
    <x v="1"/>
    <x v="1"/>
    <n v="7"/>
    <n v="64350"/>
    <n v="450450"/>
    <n v="45000"/>
    <n v="315000"/>
    <n v="135450"/>
    <n v="0.30069930069930068"/>
  </r>
  <r>
    <x v="108"/>
    <s v="ORD-01519"/>
    <x v="3"/>
    <x v="0"/>
    <x v="98"/>
    <x v="0"/>
    <x v="0"/>
    <n v="3"/>
    <n v="4576"/>
    <n v="13728"/>
    <n v="3200"/>
    <n v="9600"/>
    <n v="4128"/>
    <n v="0.30069930069930068"/>
  </r>
  <r>
    <x v="108"/>
    <s v="ORD-01520"/>
    <x v="2"/>
    <x v="1"/>
    <x v="140"/>
    <x v="5"/>
    <x v="3"/>
    <n v="2"/>
    <n v="750"/>
    <n v="1500"/>
    <n v="600"/>
    <n v="1200"/>
    <n v="300"/>
    <n v="0.2"/>
  </r>
  <r>
    <x v="108"/>
    <s v="ORD-01521"/>
    <x v="2"/>
    <x v="0"/>
    <x v="71"/>
    <x v="4"/>
    <x v="2"/>
    <n v="6"/>
    <n v="10795"/>
    <n v="64770"/>
    <n v="8500"/>
    <n v="51000"/>
    <n v="13770"/>
    <n v="0.2125984251968504"/>
  </r>
  <r>
    <x v="108"/>
    <s v="ORD-01522"/>
    <x v="3"/>
    <x v="1"/>
    <x v="132"/>
    <x v="4"/>
    <x v="2"/>
    <n v="5"/>
    <n v="10455"/>
    <n v="52275"/>
    <n v="8500"/>
    <n v="42500"/>
    <n v="9775"/>
    <n v="0.18699186991869918"/>
  </r>
  <r>
    <x v="108"/>
    <s v="ORD-01523"/>
    <x v="0"/>
    <x v="3"/>
    <x v="8"/>
    <x v="7"/>
    <x v="2"/>
    <n v="8"/>
    <n v="9660"/>
    <n v="77280"/>
    <n v="7000"/>
    <n v="56000"/>
    <n v="21280"/>
    <n v="0.27536231884057971"/>
  </r>
  <r>
    <x v="108"/>
    <s v="ORD-01524"/>
    <x v="2"/>
    <x v="3"/>
    <x v="119"/>
    <x v="4"/>
    <x v="2"/>
    <n v="7"/>
    <n v="12070"/>
    <n v="84490"/>
    <n v="8500"/>
    <n v="59500"/>
    <n v="24990"/>
    <n v="0.29577464788732394"/>
  </r>
  <r>
    <x v="109"/>
    <s v="ORD-01525"/>
    <x v="0"/>
    <x v="2"/>
    <x v="75"/>
    <x v="5"/>
    <x v="3"/>
    <n v="5"/>
    <n v="815.99999999999989"/>
    <n v="4079.9999999999995"/>
    <n v="600"/>
    <n v="3000"/>
    <n v="1079.9999999999995"/>
    <n v="0.26470588235294107"/>
  </r>
  <r>
    <x v="109"/>
    <s v="ORD-01526"/>
    <x v="3"/>
    <x v="5"/>
    <x v="44"/>
    <x v="4"/>
    <x v="2"/>
    <n v="3"/>
    <n v="11985"/>
    <n v="35955"/>
    <n v="8500"/>
    <n v="25500"/>
    <n v="10455"/>
    <n v="0.29078014184397161"/>
  </r>
  <r>
    <x v="109"/>
    <s v="ORD-01527"/>
    <x v="2"/>
    <x v="5"/>
    <x v="105"/>
    <x v="0"/>
    <x v="0"/>
    <n v="6"/>
    <n v="4384"/>
    <n v="26304"/>
    <n v="3200"/>
    <n v="19200"/>
    <n v="7104"/>
    <n v="0.27007299270072993"/>
  </r>
  <r>
    <x v="109"/>
    <s v="ORD-01528"/>
    <x v="1"/>
    <x v="2"/>
    <x v="10"/>
    <x v="6"/>
    <x v="3"/>
    <n v="10"/>
    <n v="1242"/>
    <n v="12420"/>
    <n v="900"/>
    <n v="9000"/>
    <n v="3420"/>
    <n v="0.27536231884057971"/>
  </r>
  <r>
    <x v="109"/>
    <s v="ORD-01529"/>
    <x v="3"/>
    <x v="1"/>
    <x v="117"/>
    <x v="4"/>
    <x v="2"/>
    <n v="9"/>
    <n v="11050"/>
    <n v="99450"/>
    <n v="8500"/>
    <n v="76500"/>
    <n v="22950"/>
    <n v="0.23076923076923078"/>
  </r>
  <r>
    <x v="109"/>
    <s v="ORD-01530"/>
    <x v="0"/>
    <x v="5"/>
    <x v="88"/>
    <x v="3"/>
    <x v="0"/>
    <n v="2"/>
    <n v="3225"/>
    <n v="6450"/>
    <n v="2500"/>
    <n v="5000"/>
    <n v="1450"/>
    <n v="0.22480620155038761"/>
  </r>
  <r>
    <x v="109"/>
    <s v="ORD-01531"/>
    <x v="3"/>
    <x v="4"/>
    <x v="130"/>
    <x v="1"/>
    <x v="1"/>
    <n v="5"/>
    <n v="62550.000000000007"/>
    <n v="312750.00000000006"/>
    <n v="45000"/>
    <n v="225000"/>
    <n v="87750.000000000058"/>
    <n v="0.28057553956834547"/>
  </r>
  <r>
    <x v="109"/>
    <s v="ORD-01532"/>
    <x v="0"/>
    <x v="2"/>
    <x v="85"/>
    <x v="5"/>
    <x v="3"/>
    <n v="10"/>
    <n v="756"/>
    <n v="7560"/>
    <n v="600"/>
    <n v="6000"/>
    <n v="1560"/>
    <n v="0.20634920634920634"/>
  </r>
  <r>
    <x v="109"/>
    <s v="ORD-01533"/>
    <x v="1"/>
    <x v="5"/>
    <x v="103"/>
    <x v="0"/>
    <x v="0"/>
    <n v="1"/>
    <n v="4576"/>
    <n v="4576"/>
    <n v="3200"/>
    <n v="3200"/>
    <n v="1376"/>
    <n v="0.30069930069930068"/>
  </r>
  <r>
    <x v="109"/>
    <s v="ORD-01534"/>
    <x v="1"/>
    <x v="5"/>
    <x v="20"/>
    <x v="2"/>
    <x v="1"/>
    <n v="10"/>
    <n v="53200"/>
    <n v="532000"/>
    <n v="38000"/>
    <n v="380000"/>
    <n v="152000"/>
    <n v="0.2857142857142857"/>
  </r>
  <r>
    <x v="109"/>
    <s v="ORD-01535"/>
    <x v="2"/>
    <x v="4"/>
    <x v="124"/>
    <x v="3"/>
    <x v="0"/>
    <n v="5"/>
    <n v="3399.9999999999995"/>
    <n v="16999.999999999996"/>
    <n v="2500"/>
    <n v="12500"/>
    <n v="4499.9999999999964"/>
    <n v="0.26470588235294101"/>
  </r>
  <r>
    <x v="109"/>
    <s v="ORD-01536"/>
    <x v="3"/>
    <x v="0"/>
    <x v="124"/>
    <x v="5"/>
    <x v="3"/>
    <n v="7"/>
    <n v="834.00000000000011"/>
    <n v="5838.0000000000009"/>
    <n v="600"/>
    <n v="4200"/>
    <n v="1638.0000000000009"/>
    <n v="0.28057553956834541"/>
  </r>
  <r>
    <x v="109"/>
    <s v="ORD-01537"/>
    <x v="2"/>
    <x v="3"/>
    <x v="37"/>
    <x v="4"/>
    <x v="2"/>
    <n v="9"/>
    <n v="11305"/>
    <n v="101745"/>
    <n v="8500"/>
    <n v="76500"/>
    <n v="25245"/>
    <n v="0.24812030075187969"/>
  </r>
  <r>
    <x v="109"/>
    <s v="ORD-01538"/>
    <x v="3"/>
    <x v="4"/>
    <x v="35"/>
    <x v="2"/>
    <x v="1"/>
    <n v="1"/>
    <n v="45980"/>
    <n v="45980"/>
    <n v="38000"/>
    <n v="38000"/>
    <n v="7980"/>
    <n v="0.17355371900826447"/>
  </r>
  <r>
    <x v="110"/>
    <s v="ORD-01539"/>
    <x v="1"/>
    <x v="4"/>
    <x v="109"/>
    <x v="1"/>
    <x v="1"/>
    <n v="3"/>
    <n v="64800"/>
    <n v="194400"/>
    <n v="45000"/>
    <n v="135000"/>
    <n v="59400"/>
    <n v="0.30555555555555558"/>
  </r>
  <r>
    <x v="110"/>
    <s v="ORD-01540"/>
    <x v="0"/>
    <x v="1"/>
    <x v="88"/>
    <x v="1"/>
    <x v="1"/>
    <n v="3"/>
    <n v="59850"/>
    <n v="179550"/>
    <n v="45000"/>
    <n v="135000"/>
    <n v="44550"/>
    <n v="0.24812030075187969"/>
  </r>
  <r>
    <x v="110"/>
    <s v="ORD-01541"/>
    <x v="3"/>
    <x v="2"/>
    <x v="4"/>
    <x v="0"/>
    <x v="0"/>
    <n v="2"/>
    <n v="4256"/>
    <n v="8512"/>
    <n v="3200"/>
    <n v="6400"/>
    <n v="2112"/>
    <n v="0.24812030075187969"/>
  </r>
  <r>
    <x v="110"/>
    <s v="ORD-01542"/>
    <x v="3"/>
    <x v="4"/>
    <x v="17"/>
    <x v="0"/>
    <x v="0"/>
    <n v="9"/>
    <n v="4512"/>
    <n v="40608"/>
    <n v="3200"/>
    <n v="28800"/>
    <n v="11808"/>
    <n v="0.29078014184397161"/>
  </r>
  <r>
    <x v="110"/>
    <s v="ORD-01543"/>
    <x v="3"/>
    <x v="1"/>
    <x v="83"/>
    <x v="7"/>
    <x v="2"/>
    <n v="9"/>
    <n v="9660"/>
    <n v="86940"/>
    <n v="7000"/>
    <n v="63000"/>
    <n v="23940"/>
    <n v="0.27536231884057971"/>
  </r>
  <r>
    <x v="110"/>
    <s v="ORD-01544"/>
    <x v="3"/>
    <x v="4"/>
    <x v="0"/>
    <x v="7"/>
    <x v="2"/>
    <n v="10"/>
    <n v="10080"/>
    <n v="100800"/>
    <n v="7000"/>
    <n v="70000"/>
    <n v="30800"/>
    <n v="0.30555555555555558"/>
  </r>
  <r>
    <x v="110"/>
    <s v="ORD-01545"/>
    <x v="2"/>
    <x v="5"/>
    <x v="73"/>
    <x v="2"/>
    <x v="1"/>
    <n v="1"/>
    <n v="53200"/>
    <n v="53200"/>
    <n v="38000"/>
    <n v="38000"/>
    <n v="15200"/>
    <n v="0.2857142857142857"/>
  </r>
  <r>
    <x v="110"/>
    <s v="ORD-01546"/>
    <x v="1"/>
    <x v="5"/>
    <x v="22"/>
    <x v="5"/>
    <x v="3"/>
    <n v="3"/>
    <n v="750"/>
    <n v="2250"/>
    <n v="600"/>
    <n v="1800"/>
    <n v="450"/>
    <n v="0.2"/>
  </r>
  <r>
    <x v="110"/>
    <s v="ORD-01547"/>
    <x v="3"/>
    <x v="0"/>
    <x v="60"/>
    <x v="2"/>
    <x v="1"/>
    <n v="7"/>
    <n v="49400"/>
    <n v="345800"/>
    <n v="38000"/>
    <n v="266000"/>
    <n v="79800"/>
    <n v="0.23076923076923078"/>
  </r>
  <r>
    <x v="110"/>
    <s v="ORD-01548"/>
    <x v="1"/>
    <x v="3"/>
    <x v="117"/>
    <x v="3"/>
    <x v="0"/>
    <n v="9"/>
    <n v="3150"/>
    <n v="28350"/>
    <n v="2500"/>
    <n v="22500"/>
    <n v="5850"/>
    <n v="0.20634920634920634"/>
  </r>
  <r>
    <x v="110"/>
    <s v="ORD-01549"/>
    <x v="3"/>
    <x v="3"/>
    <x v="135"/>
    <x v="0"/>
    <x v="0"/>
    <n v="9"/>
    <n v="4224"/>
    <n v="38016"/>
    <n v="3200"/>
    <n v="28800"/>
    <n v="9216"/>
    <n v="0.24242424242424243"/>
  </r>
  <r>
    <x v="110"/>
    <s v="ORD-01550"/>
    <x v="3"/>
    <x v="4"/>
    <x v="130"/>
    <x v="7"/>
    <x v="2"/>
    <n v="8"/>
    <n v="9800"/>
    <n v="78400"/>
    <n v="7000"/>
    <n v="56000"/>
    <n v="22400"/>
    <n v="0.2857142857142857"/>
  </r>
  <r>
    <x v="110"/>
    <s v="ORD-01551"/>
    <x v="0"/>
    <x v="3"/>
    <x v="78"/>
    <x v="0"/>
    <x v="0"/>
    <n v="6"/>
    <n v="4576"/>
    <n v="27456"/>
    <n v="3200"/>
    <n v="19200"/>
    <n v="8256"/>
    <n v="0.30069930069930068"/>
  </r>
  <r>
    <x v="110"/>
    <s v="ORD-01552"/>
    <x v="3"/>
    <x v="0"/>
    <x v="66"/>
    <x v="3"/>
    <x v="0"/>
    <n v="6"/>
    <n v="3100"/>
    <n v="18600"/>
    <n v="2500"/>
    <n v="15000"/>
    <n v="3600"/>
    <n v="0.19354838709677419"/>
  </r>
  <r>
    <x v="111"/>
    <s v="ORD-01553"/>
    <x v="0"/>
    <x v="4"/>
    <x v="132"/>
    <x v="3"/>
    <x v="0"/>
    <n v="3"/>
    <n v="3125"/>
    <n v="9375"/>
    <n v="2500"/>
    <n v="7500"/>
    <n v="1875"/>
    <n v="0.2"/>
  </r>
  <r>
    <x v="111"/>
    <s v="ORD-01554"/>
    <x v="0"/>
    <x v="0"/>
    <x v="39"/>
    <x v="1"/>
    <x v="1"/>
    <n v="9"/>
    <n v="63450"/>
    <n v="571050"/>
    <n v="45000"/>
    <n v="405000"/>
    <n v="166050"/>
    <n v="0.29078014184397161"/>
  </r>
  <r>
    <x v="111"/>
    <s v="ORD-01555"/>
    <x v="2"/>
    <x v="4"/>
    <x v="84"/>
    <x v="7"/>
    <x v="2"/>
    <n v="2"/>
    <n v="9730"/>
    <n v="19460"/>
    <n v="7000"/>
    <n v="14000"/>
    <n v="5460"/>
    <n v="0.2805755395683453"/>
  </r>
  <r>
    <x v="111"/>
    <s v="ORD-01556"/>
    <x v="2"/>
    <x v="2"/>
    <x v="113"/>
    <x v="6"/>
    <x v="3"/>
    <n v="7"/>
    <n v="1206"/>
    <n v="8442"/>
    <n v="900"/>
    <n v="6300"/>
    <n v="2142"/>
    <n v="0.2537313432835821"/>
  </r>
  <r>
    <x v="111"/>
    <s v="ORD-01557"/>
    <x v="2"/>
    <x v="0"/>
    <x v="78"/>
    <x v="0"/>
    <x v="0"/>
    <n v="9"/>
    <n v="4320"/>
    <n v="38880"/>
    <n v="3200"/>
    <n v="28800"/>
    <n v="10080"/>
    <n v="0.25925925925925924"/>
  </r>
  <r>
    <x v="111"/>
    <s v="ORD-01558"/>
    <x v="3"/>
    <x v="4"/>
    <x v="117"/>
    <x v="6"/>
    <x v="3"/>
    <n v="2"/>
    <n v="1098"/>
    <n v="2196"/>
    <n v="900"/>
    <n v="1800"/>
    <n v="396"/>
    <n v="0.18032786885245902"/>
  </r>
  <r>
    <x v="111"/>
    <s v="ORD-01559"/>
    <x v="2"/>
    <x v="1"/>
    <x v="3"/>
    <x v="3"/>
    <x v="0"/>
    <n v="4"/>
    <n v="3300"/>
    <n v="13200"/>
    <n v="2500"/>
    <n v="10000"/>
    <n v="3200"/>
    <n v="0.24242424242424243"/>
  </r>
  <r>
    <x v="111"/>
    <s v="ORD-01560"/>
    <x v="2"/>
    <x v="2"/>
    <x v="66"/>
    <x v="2"/>
    <x v="1"/>
    <n v="5"/>
    <n v="46740"/>
    <n v="233700"/>
    <n v="38000"/>
    <n v="190000"/>
    <n v="43700"/>
    <n v="0.18699186991869918"/>
  </r>
  <r>
    <x v="111"/>
    <s v="ORD-01561"/>
    <x v="0"/>
    <x v="5"/>
    <x v="58"/>
    <x v="7"/>
    <x v="2"/>
    <n v="6"/>
    <n v="8890"/>
    <n v="53340"/>
    <n v="7000"/>
    <n v="42000"/>
    <n v="11340"/>
    <n v="0.2125984251968504"/>
  </r>
  <r>
    <x v="111"/>
    <s v="ORD-01562"/>
    <x v="1"/>
    <x v="1"/>
    <x v="142"/>
    <x v="7"/>
    <x v="2"/>
    <n v="4"/>
    <n v="10150"/>
    <n v="40600"/>
    <n v="7000"/>
    <n v="28000"/>
    <n v="12600"/>
    <n v="0.31034482758620691"/>
  </r>
  <r>
    <x v="111"/>
    <s v="ORD-01563"/>
    <x v="1"/>
    <x v="4"/>
    <x v="59"/>
    <x v="2"/>
    <x v="1"/>
    <n v="2"/>
    <n v="51300"/>
    <n v="102600"/>
    <n v="38000"/>
    <n v="76000"/>
    <n v="26600"/>
    <n v="0.25925925925925924"/>
  </r>
  <r>
    <x v="111"/>
    <s v="ORD-01564"/>
    <x v="0"/>
    <x v="5"/>
    <x v="93"/>
    <x v="2"/>
    <x v="1"/>
    <n v="6"/>
    <n v="46360"/>
    <n v="278160"/>
    <n v="38000"/>
    <n v="228000"/>
    <n v="50160"/>
    <n v="0.18032786885245902"/>
  </r>
  <r>
    <x v="111"/>
    <s v="ORD-01565"/>
    <x v="1"/>
    <x v="3"/>
    <x v="42"/>
    <x v="4"/>
    <x v="2"/>
    <n v="3"/>
    <n v="11815.000000000002"/>
    <n v="35445.000000000007"/>
    <n v="8500"/>
    <n v="25500"/>
    <n v="9945.0000000000073"/>
    <n v="0.28057553956834547"/>
  </r>
  <r>
    <x v="111"/>
    <s v="ORD-01566"/>
    <x v="2"/>
    <x v="5"/>
    <x v="48"/>
    <x v="7"/>
    <x v="2"/>
    <n v="9"/>
    <n v="9030"/>
    <n v="81270"/>
    <n v="7000"/>
    <n v="63000"/>
    <n v="18270"/>
    <n v="0.22480620155038761"/>
  </r>
  <r>
    <x v="112"/>
    <s v="ORD-01567"/>
    <x v="2"/>
    <x v="5"/>
    <x v="86"/>
    <x v="7"/>
    <x v="2"/>
    <n v="9"/>
    <n v="8400"/>
    <n v="75600"/>
    <n v="7000"/>
    <n v="63000"/>
    <n v="12600"/>
    <n v="0.16666666666666666"/>
  </r>
  <r>
    <x v="112"/>
    <s v="ORD-01568"/>
    <x v="2"/>
    <x v="2"/>
    <x v="75"/>
    <x v="6"/>
    <x v="3"/>
    <n v="7"/>
    <n v="1161"/>
    <n v="8127"/>
    <n v="900"/>
    <n v="6300"/>
    <n v="1827"/>
    <n v="0.22480620155038761"/>
  </r>
  <r>
    <x v="112"/>
    <s v="ORD-01569"/>
    <x v="2"/>
    <x v="4"/>
    <x v="33"/>
    <x v="1"/>
    <x v="1"/>
    <n v="7"/>
    <n v="58500"/>
    <n v="409500"/>
    <n v="45000"/>
    <n v="315000"/>
    <n v="94500"/>
    <n v="0.23076923076923078"/>
  </r>
  <r>
    <x v="112"/>
    <s v="ORD-01570"/>
    <x v="2"/>
    <x v="5"/>
    <x v="88"/>
    <x v="1"/>
    <x v="1"/>
    <n v="3"/>
    <n v="59850"/>
    <n v="179550"/>
    <n v="45000"/>
    <n v="135000"/>
    <n v="44550"/>
    <n v="0.24812030075187969"/>
  </r>
  <r>
    <x v="112"/>
    <s v="ORD-01571"/>
    <x v="2"/>
    <x v="3"/>
    <x v="132"/>
    <x v="1"/>
    <x v="1"/>
    <n v="9"/>
    <n v="58500"/>
    <n v="526500"/>
    <n v="45000"/>
    <n v="405000"/>
    <n v="121500"/>
    <n v="0.23076923076923078"/>
  </r>
  <r>
    <x v="112"/>
    <s v="ORD-01572"/>
    <x v="1"/>
    <x v="1"/>
    <x v="125"/>
    <x v="3"/>
    <x v="0"/>
    <n v="1"/>
    <n v="3550"/>
    <n v="3550"/>
    <n v="2500"/>
    <n v="2500"/>
    <n v="1050"/>
    <n v="0.29577464788732394"/>
  </r>
  <r>
    <x v="112"/>
    <s v="ORD-01573"/>
    <x v="1"/>
    <x v="3"/>
    <x v="131"/>
    <x v="0"/>
    <x v="0"/>
    <n v="8"/>
    <n v="3872"/>
    <n v="30976"/>
    <n v="3200"/>
    <n v="25600"/>
    <n v="5376"/>
    <n v="0.17355371900826447"/>
  </r>
  <r>
    <x v="112"/>
    <s v="ORD-01574"/>
    <x v="2"/>
    <x v="0"/>
    <x v="20"/>
    <x v="3"/>
    <x v="0"/>
    <n v="1"/>
    <n v="3575"/>
    <n v="3575"/>
    <n v="2500"/>
    <n v="2500"/>
    <n v="1075"/>
    <n v="0.30069930069930068"/>
  </r>
  <r>
    <x v="112"/>
    <s v="ORD-01575"/>
    <x v="1"/>
    <x v="4"/>
    <x v="130"/>
    <x v="7"/>
    <x v="2"/>
    <n v="6"/>
    <n v="9730"/>
    <n v="58380"/>
    <n v="7000"/>
    <n v="42000"/>
    <n v="16380"/>
    <n v="0.2805755395683453"/>
  </r>
  <r>
    <x v="112"/>
    <s v="ORD-01576"/>
    <x v="2"/>
    <x v="4"/>
    <x v="87"/>
    <x v="5"/>
    <x v="3"/>
    <n v="5"/>
    <n v="864"/>
    <n v="4320"/>
    <n v="600"/>
    <n v="3000"/>
    <n v="1320"/>
    <n v="0.30555555555555558"/>
  </r>
  <r>
    <x v="112"/>
    <s v="ORD-01577"/>
    <x v="1"/>
    <x v="2"/>
    <x v="89"/>
    <x v="4"/>
    <x v="2"/>
    <n v="9"/>
    <n v="11815.000000000002"/>
    <n v="106335.00000000001"/>
    <n v="8500"/>
    <n v="76500"/>
    <n v="29835.000000000015"/>
    <n v="0.28057553956834541"/>
  </r>
  <r>
    <x v="112"/>
    <s v="ORD-01578"/>
    <x v="3"/>
    <x v="2"/>
    <x v="80"/>
    <x v="4"/>
    <x v="2"/>
    <n v="9"/>
    <n v="11559.999999999998"/>
    <n v="104039.99999999999"/>
    <n v="8500"/>
    <n v="76500"/>
    <n v="27539.999999999985"/>
    <n v="0.26470588235294107"/>
  </r>
  <r>
    <x v="112"/>
    <s v="ORD-01579"/>
    <x v="2"/>
    <x v="0"/>
    <x v="87"/>
    <x v="4"/>
    <x v="2"/>
    <n v="4"/>
    <n v="11220"/>
    <n v="44880"/>
    <n v="8500"/>
    <n v="34000"/>
    <n v="10880"/>
    <n v="0.24242424242424243"/>
  </r>
  <r>
    <x v="112"/>
    <s v="ORD-01580"/>
    <x v="1"/>
    <x v="1"/>
    <x v="27"/>
    <x v="2"/>
    <x v="1"/>
    <n v="8"/>
    <n v="48640"/>
    <n v="389120"/>
    <n v="38000"/>
    <n v="304000"/>
    <n v="85120"/>
    <n v="0.21875"/>
  </r>
  <r>
    <x v="113"/>
    <s v="ORD-01581"/>
    <x v="3"/>
    <x v="5"/>
    <x v="76"/>
    <x v="1"/>
    <x v="1"/>
    <n v="9"/>
    <n v="58050"/>
    <n v="522450"/>
    <n v="45000"/>
    <n v="405000"/>
    <n v="117450"/>
    <n v="0.22480620155038761"/>
  </r>
  <r>
    <x v="113"/>
    <s v="ORD-01582"/>
    <x v="3"/>
    <x v="5"/>
    <x v="40"/>
    <x v="7"/>
    <x v="2"/>
    <n v="7"/>
    <n v="8960"/>
    <n v="62720"/>
    <n v="7000"/>
    <n v="49000"/>
    <n v="13720"/>
    <n v="0.21875"/>
  </r>
  <r>
    <x v="113"/>
    <s v="ORD-01583"/>
    <x v="1"/>
    <x v="2"/>
    <x v="19"/>
    <x v="5"/>
    <x v="3"/>
    <n v="8"/>
    <n v="852"/>
    <n v="6816"/>
    <n v="600"/>
    <n v="4800"/>
    <n v="2016"/>
    <n v="0.29577464788732394"/>
  </r>
  <r>
    <x v="113"/>
    <s v="ORD-01584"/>
    <x v="1"/>
    <x v="0"/>
    <x v="108"/>
    <x v="5"/>
    <x v="3"/>
    <n v="3"/>
    <n v="834.00000000000011"/>
    <n v="2502.0000000000005"/>
    <n v="600"/>
    <n v="1800"/>
    <n v="702.00000000000045"/>
    <n v="0.28057553956834547"/>
  </r>
  <r>
    <x v="113"/>
    <s v="ORD-01585"/>
    <x v="0"/>
    <x v="5"/>
    <x v="146"/>
    <x v="2"/>
    <x v="1"/>
    <n v="7"/>
    <n v="53580"/>
    <n v="375060"/>
    <n v="38000"/>
    <n v="266000"/>
    <n v="109060"/>
    <n v="0.29078014184397161"/>
  </r>
  <r>
    <x v="113"/>
    <s v="ORD-01586"/>
    <x v="2"/>
    <x v="3"/>
    <x v="80"/>
    <x v="3"/>
    <x v="0"/>
    <n v="10"/>
    <n v="3525"/>
    <n v="35250"/>
    <n v="2500"/>
    <n v="25000"/>
    <n v="10250"/>
    <n v="0.29078014184397161"/>
  </r>
  <r>
    <x v="113"/>
    <s v="ORD-01587"/>
    <x v="0"/>
    <x v="1"/>
    <x v="73"/>
    <x v="7"/>
    <x v="2"/>
    <n v="6"/>
    <n v="9660"/>
    <n v="57960"/>
    <n v="7000"/>
    <n v="42000"/>
    <n v="15960"/>
    <n v="0.27536231884057971"/>
  </r>
  <r>
    <x v="113"/>
    <s v="ORD-01588"/>
    <x v="3"/>
    <x v="1"/>
    <x v="104"/>
    <x v="4"/>
    <x v="2"/>
    <n v="8"/>
    <n v="11220"/>
    <n v="89760"/>
    <n v="8500"/>
    <n v="68000"/>
    <n v="21760"/>
    <n v="0.24242424242424243"/>
  </r>
  <r>
    <x v="113"/>
    <s v="ORD-01589"/>
    <x v="3"/>
    <x v="2"/>
    <x v="34"/>
    <x v="7"/>
    <x v="2"/>
    <n v="7"/>
    <n v="8470"/>
    <n v="59290"/>
    <n v="7000"/>
    <n v="49000"/>
    <n v="10290"/>
    <n v="0.17355371900826447"/>
  </r>
  <r>
    <x v="113"/>
    <s v="ORD-01590"/>
    <x v="3"/>
    <x v="1"/>
    <x v="29"/>
    <x v="1"/>
    <x v="1"/>
    <n v="9"/>
    <n v="60750.000000000007"/>
    <n v="546750.00000000012"/>
    <n v="45000"/>
    <n v="405000"/>
    <n v="141750.00000000012"/>
    <n v="0.25925925925925941"/>
  </r>
  <r>
    <x v="113"/>
    <s v="ORD-01591"/>
    <x v="2"/>
    <x v="3"/>
    <x v="77"/>
    <x v="6"/>
    <x v="3"/>
    <n v="9"/>
    <n v="1260"/>
    <n v="11340"/>
    <n v="900"/>
    <n v="8100"/>
    <n v="3240"/>
    <n v="0.2857142857142857"/>
  </r>
  <r>
    <x v="113"/>
    <s v="ORD-01592"/>
    <x v="2"/>
    <x v="1"/>
    <x v="52"/>
    <x v="4"/>
    <x v="2"/>
    <n v="1"/>
    <n v="12155"/>
    <n v="12155"/>
    <n v="8500"/>
    <n v="8500"/>
    <n v="3655"/>
    <n v="0.30069930069930068"/>
  </r>
  <r>
    <x v="113"/>
    <s v="ORD-01593"/>
    <x v="2"/>
    <x v="1"/>
    <x v="6"/>
    <x v="3"/>
    <x v="0"/>
    <n v="1"/>
    <n v="3475.0000000000005"/>
    <n v="3475.0000000000005"/>
    <n v="2500"/>
    <n v="2500"/>
    <n v="975.00000000000045"/>
    <n v="0.28057553956834541"/>
  </r>
  <r>
    <x v="113"/>
    <s v="ORD-01594"/>
    <x v="1"/>
    <x v="0"/>
    <x v="78"/>
    <x v="1"/>
    <x v="1"/>
    <n v="7"/>
    <n v="60750.000000000007"/>
    <n v="425250.00000000006"/>
    <n v="45000"/>
    <n v="315000"/>
    <n v="110250.00000000006"/>
    <n v="0.25925925925925936"/>
  </r>
  <r>
    <x v="114"/>
    <s v="ORD-01595"/>
    <x v="0"/>
    <x v="0"/>
    <x v="39"/>
    <x v="3"/>
    <x v="0"/>
    <n v="3"/>
    <n v="3225"/>
    <n v="9675"/>
    <n v="2500"/>
    <n v="7500"/>
    <n v="2175"/>
    <n v="0.22480620155038761"/>
  </r>
  <r>
    <x v="114"/>
    <s v="ORD-01596"/>
    <x v="3"/>
    <x v="2"/>
    <x v="22"/>
    <x v="7"/>
    <x v="2"/>
    <n v="8"/>
    <n v="9030"/>
    <n v="72240"/>
    <n v="7000"/>
    <n v="56000"/>
    <n v="16240"/>
    <n v="0.22480620155038761"/>
  </r>
  <r>
    <x v="114"/>
    <s v="ORD-01597"/>
    <x v="1"/>
    <x v="0"/>
    <x v="134"/>
    <x v="1"/>
    <x v="1"/>
    <n v="8"/>
    <n v="55350"/>
    <n v="442800"/>
    <n v="45000"/>
    <n v="360000"/>
    <n v="82800"/>
    <n v="0.18699186991869918"/>
  </r>
  <r>
    <x v="114"/>
    <s v="ORD-01598"/>
    <x v="3"/>
    <x v="1"/>
    <x v="52"/>
    <x v="6"/>
    <x v="3"/>
    <n v="7"/>
    <n v="1188"/>
    <n v="8316"/>
    <n v="900"/>
    <n v="6300"/>
    <n v="2016"/>
    <n v="0.24242424242424243"/>
  </r>
  <r>
    <x v="114"/>
    <s v="ORD-01599"/>
    <x v="2"/>
    <x v="0"/>
    <x v="32"/>
    <x v="1"/>
    <x v="1"/>
    <n v="7"/>
    <n v="57150"/>
    <n v="400050"/>
    <n v="45000"/>
    <n v="315000"/>
    <n v="85050"/>
    <n v="0.2125984251968504"/>
  </r>
  <r>
    <x v="114"/>
    <s v="ORD-01600"/>
    <x v="0"/>
    <x v="4"/>
    <x v="71"/>
    <x v="5"/>
    <x v="3"/>
    <n v="10"/>
    <n v="732"/>
    <n v="7320"/>
    <n v="600"/>
    <n v="6000"/>
    <n v="1320"/>
    <n v="0.18032786885245902"/>
  </r>
  <r>
    <x v="114"/>
    <s v="ORD-01601"/>
    <x v="0"/>
    <x v="1"/>
    <x v="102"/>
    <x v="2"/>
    <x v="1"/>
    <n v="4"/>
    <n v="53580"/>
    <n v="214320"/>
    <n v="38000"/>
    <n v="152000"/>
    <n v="62320"/>
    <n v="0.29078014184397161"/>
  </r>
  <r>
    <x v="114"/>
    <s v="ORD-01602"/>
    <x v="1"/>
    <x v="0"/>
    <x v="132"/>
    <x v="7"/>
    <x v="2"/>
    <n v="9"/>
    <n v="8400"/>
    <n v="75600"/>
    <n v="7000"/>
    <n v="63000"/>
    <n v="12600"/>
    <n v="0.16666666666666666"/>
  </r>
  <r>
    <x v="114"/>
    <s v="ORD-01603"/>
    <x v="2"/>
    <x v="3"/>
    <x v="121"/>
    <x v="0"/>
    <x v="0"/>
    <n v="1"/>
    <n v="4448"/>
    <n v="4448"/>
    <n v="3200"/>
    <n v="3200"/>
    <n v="1248"/>
    <n v="0.2805755395683453"/>
  </r>
  <r>
    <x v="114"/>
    <s v="ORD-01604"/>
    <x v="2"/>
    <x v="0"/>
    <x v="104"/>
    <x v="2"/>
    <x v="1"/>
    <n v="3"/>
    <n v="54340"/>
    <n v="163020"/>
    <n v="38000"/>
    <n v="114000"/>
    <n v="49020"/>
    <n v="0.30069930069930068"/>
  </r>
  <r>
    <x v="114"/>
    <s v="ORD-01605"/>
    <x v="3"/>
    <x v="1"/>
    <x v="23"/>
    <x v="7"/>
    <x v="2"/>
    <n v="2"/>
    <n v="8540"/>
    <n v="17080"/>
    <n v="7000"/>
    <n v="14000"/>
    <n v="3080"/>
    <n v="0.18032786885245902"/>
  </r>
  <r>
    <x v="114"/>
    <s v="ORD-01606"/>
    <x v="3"/>
    <x v="1"/>
    <x v="142"/>
    <x v="5"/>
    <x v="3"/>
    <n v="5"/>
    <n v="858"/>
    <n v="4290"/>
    <n v="600"/>
    <n v="3000"/>
    <n v="1290"/>
    <n v="0.30069930069930068"/>
  </r>
  <r>
    <x v="114"/>
    <s v="ORD-01607"/>
    <x v="2"/>
    <x v="0"/>
    <x v="94"/>
    <x v="5"/>
    <x v="3"/>
    <n v="8"/>
    <n v="846"/>
    <n v="6768"/>
    <n v="600"/>
    <n v="4800"/>
    <n v="1968"/>
    <n v="0.29078014184397161"/>
  </r>
  <r>
    <x v="114"/>
    <s v="ORD-01608"/>
    <x v="2"/>
    <x v="4"/>
    <x v="110"/>
    <x v="0"/>
    <x v="0"/>
    <n v="8"/>
    <n v="4640"/>
    <n v="37120"/>
    <n v="3200"/>
    <n v="25600"/>
    <n v="11520"/>
    <n v="0.31034482758620691"/>
  </r>
  <r>
    <x v="115"/>
    <s v="ORD-01609"/>
    <x v="0"/>
    <x v="4"/>
    <x v="126"/>
    <x v="7"/>
    <x v="2"/>
    <n v="9"/>
    <n v="9520"/>
    <n v="85680"/>
    <n v="7000"/>
    <n v="63000"/>
    <n v="22680"/>
    <n v="0.26470588235294118"/>
  </r>
  <r>
    <x v="115"/>
    <s v="ORD-01610"/>
    <x v="1"/>
    <x v="1"/>
    <x v="79"/>
    <x v="2"/>
    <x v="1"/>
    <n v="2"/>
    <n v="49400"/>
    <n v="98800"/>
    <n v="38000"/>
    <n v="76000"/>
    <n v="22800"/>
    <n v="0.23076923076923078"/>
  </r>
  <r>
    <x v="115"/>
    <s v="ORD-01611"/>
    <x v="0"/>
    <x v="2"/>
    <x v="111"/>
    <x v="2"/>
    <x v="1"/>
    <n v="8"/>
    <n v="52060.000000000007"/>
    <n v="416480.00000000006"/>
    <n v="38000"/>
    <n v="304000"/>
    <n v="112480.00000000006"/>
    <n v="0.27007299270073004"/>
  </r>
  <r>
    <x v="115"/>
    <s v="ORD-01612"/>
    <x v="1"/>
    <x v="5"/>
    <x v="32"/>
    <x v="3"/>
    <x v="0"/>
    <n v="7"/>
    <n v="3575"/>
    <n v="25025"/>
    <n v="2500"/>
    <n v="17500"/>
    <n v="7525"/>
    <n v="0.30069930069930068"/>
  </r>
  <r>
    <x v="115"/>
    <s v="ORD-01613"/>
    <x v="1"/>
    <x v="0"/>
    <x v="79"/>
    <x v="4"/>
    <x v="2"/>
    <n v="10"/>
    <n v="10540"/>
    <n v="105400"/>
    <n v="8500"/>
    <n v="85000"/>
    <n v="20400"/>
    <n v="0.19354838709677419"/>
  </r>
  <r>
    <x v="115"/>
    <s v="ORD-01614"/>
    <x v="3"/>
    <x v="2"/>
    <x v="3"/>
    <x v="1"/>
    <x v="1"/>
    <n v="6"/>
    <n v="58500"/>
    <n v="351000"/>
    <n v="45000"/>
    <n v="270000"/>
    <n v="81000"/>
    <n v="0.23076923076923078"/>
  </r>
  <r>
    <x v="115"/>
    <s v="ORD-01615"/>
    <x v="1"/>
    <x v="3"/>
    <x v="75"/>
    <x v="6"/>
    <x v="3"/>
    <n v="3"/>
    <n v="1215"/>
    <n v="3645"/>
    <n v="900"/>
    <n v="2700"/>
    <n v="945"/>
    <n v="0.25925925925925924"/>
  </r>
  <r>
    <x v="115"/>
    <s v="ORD-01616"/>
    <x v="1"/>
    <x v="0"/>
    <x v="44"/>
    <x v="1"/>
    <x v="1"/>
    <n v="5"/>
    <n v="64350"/>
    <n v="321750"/>
    <n v="45000"/>
    <n v="225000"/>
    <n v="96750"/>
    <n v="0.30069930069930068"/>
  </r>
  <r>
    <x v="115"/>
    <s v="ORD-01617"/>
    <x v="0"/>
    <x v="4"/>
    <x v="19"/>
    <x v="5"/>
    <x v="3"/>
    <n v="1"/>
    <n v="834.00000000000011"/>
    <n v="834.00000000000011"/>
    <n v="600"/>
    <n v="600"/>
    <n v="234.00000000000011"/>
    <n v="0.28057553956834541"/>
  </r>
  <r>
    <x v="115"/>
    <s v="ORD-01618"/>
    <x v="3"/>
    <x v="2"/>
    <x v="30"/>
    <x v="5"/>
    <x v="3"/>
    <n v="9"/>
    <n v="744"/>
    <n v="6696"/>
    <n v="600"/>
    <n v="5400"/>
    <n v="1296"/>
    <n v="0.19354838709677419"/>
  </r>
  <r>
    <x v="115"/>
    <s v="ORD-01619"/>
    <x v="1"/>
    <x v="5"/>
    <x v="58"/>
    <x v="5"/>
    <x v="3"/>
    <n v="6"/>
    <n v="792"/>
    <n v="4752"/>
    <n v="600"/>
    <n v="3600"/>
    <n v="1152"/>
    <n v="0.24242424242424243"/>
  </r>
  <r>
    <x v="115"/>
    <s v="ORD-01620"/>
    <x v="2"/>
    <x v="4"/>
    <x v="31"/>
    <x v="2"/>
    <x v="1"/>
    <n v="6"/>
    <n v="53580"/>
    <n v="321480"/>
    <n v="38000"/>
    <n v="228000"/>
    <n v="93480"/>
    <n v="0.29078014184397161"/>
  </r>
  <r>
    <x v="115"/>
    <s v="ORD-01621"/>
    <x v="2"/>
    <x v="5"/>
    <x v="32"/>
    <x v="3"/>
    <x v="0"/>
    <n v="6"/>
    <n v="3550"/>
    <n v="21300"/>
    <n v="2500"/>
    <n v="15000"/>
    <n v="6300"/>
    <n v="0.29577464788732394"/>
  </r>
  <r>
    <x v="115"/>
    <s v="ORD-01622"/>
    <x v="1"/>
    <x v="1"/>
    <x v="45"/>
    <x v="0"/>
    <x v="0"/>
    <n v="2"/>
    <n v="4480"/>
    <n v="8960"/>
    <n v="3200"/>
    <n v="6400"/>
    <n v="2560"/>
    <n v="0.2857142857142857"/>
  </r>
  <r>
    <x v="116"/>
    <s v="ORD-01623"/>
    <x v="3"/>
    <x v="5"/>
    <x v="43"/>
    <x v="7"/>
    <x v="2"/>
    <n v="9"/>
    <n v="9380"/>
    <n v="84420"/>
    <n v="7000"/>
    <n v="63000"/>
    <n v="21420"/>
    <n v="0.2537313432835821"/>
  </r>
  <r>
    <x v="116"/>
    <s v="ORD-01624"/>
    <x v="2"/>
    <x v="0"/>
    <x v="27"/>
    <x v="3"/>
    <x v="0"/>
    <n v="3"/>
    <n v="3600"/>
    <n v="10800"/>
    <n v="2500"/>
    <n v="7500"/>
    <n v="3300"/>
    <n v="0.30555555555555558"/>
  </r>
  <r>
    <x v="116"/>
    <s v="ORD-01625"/>
    <x v="0"/>
    <x v="3"/>
    <x v="141"/>
    <x v="3"/>
    <x v="0"/>
    <n v="9"/>
    <n v="3000"/>
    <n v="27000"/>
    <n v="2500"/>
    <n v="22500"/>
    <n v="4500"/>
    <n v="0.16666666666666666"/>
  </r>
  <r>
    <x v="116"/>
    <s v="ORD-01626"/>
    <x v="1"/>
    <x v="3"/>
    <x v="47"/>
    <x v="2"/>
    <x v="1"/>
    <n v="5"/>
    <n v="53580"/>
    <n v="267900"/>
    <n v="38000"/>
    <n v="190000"/>
    <n v="77900"/>
    <n v="0.29078014184397161"/>
  </r>
  <r>
    <x v="116"/>
    <s v="ORD-01627"/>
    <x v="1"/>
    <x v="2"/>
    <x v="32"/>
    <x v="0"/>
    <x v="0"/>
    <n v="10"/>
    <n v="4384"/>
    <n v="43840"/>
    <n v="3200"/>
    <n v="32000"/>
    <n v="11840"/>
    <n v="0.27007299270072993"/>
  </r>
  <r>
    <x v="116"/>
    <s v="ORD-01628"/>
    <x v="0"/>
    <x v="2"/>
    <x v="145"/>
    <x v="4"/>
    <x v="2"/>
    <n v="3"/>
    <n v="10540"/>
    <n v="31620"/>
    <n v="8500"/>
    <n v="25500"/>
    <n v="6120"/>
    <n v="0.19354838709677419"/>
  </r>
  <r>
    <x v="116"/>
    <s v="ORD-01629"/>
    <x v="1"/>
    <x v="4"/>
    <x v="103"/>
    <x v="7"/>
    <x v="2"/>
    <n v="4"/>
    <n v="8610"/>
    <n v="34440"/>
    <n v="7000"/>
    <n v="28000"/>
    <n v="6440"/>
    <n v="0.18699186991869918"/>
  </r>
  <r>
    <x v="116"/>
    <s v="ORD-01630"/>
    <x v="3"/>
    <x v="4"/>
    <x v="24"/>
    <x v="1"/>
    <x v="1"/>
    <n v="9"/>
    <n v="55350"/>
    <n v="498150"/>
    <n v="45000"/>
    <n v="405000"/>
    <n v="93150"/>
    <n v="0.18699186991869918"/>
  </r>
  <r>
    <x v="116"/>
    <s v="ORD-01631"/>
    <x v="1"/>
    <x v="4"/>
    <x v="139"/>
    <x v="0"/>
    <x v="0"/>
    <n v="5"/>
    <n v="4576"/>
    <n v="22880"/>
    <n v="3200"/>
    <n v="16000"/>
    <n v="6880"/>
    <n v="0.30069930069930068"/>
  </r>
  <r>
    <x v="116"/>
    <s v="ORD-01632"/>
    <x v="1"/>
    <x v="1"/>
    <x v="123"/>
    <x v="7"/>
    <x v="2"/>
    <n v="2"/>
    <n v="8680"/>
    <n v="17360"/>
    <n v="7000"/>
    <n v="14000"/>
    <n v="3360"/>
    <n v="0.19354838709677419"/>
  </r>
  <r>
    <x v="116"/>
    <s v="ORD-01633"/>
    <x v="1"/>
    <x v="2"/>
    <x v="113"/>
    <x v="4"/>
    <x v="2"/>
    <n v="5"/>
    <n v="11900"/>
    <n v="59500"/>
    <n v="8500"/>
    <n v="42500"/>
    <n v="17000"/>
    <n v="0.2857142857142857"/>
  </r>
  <r>
    <x v="116"/>
    <s v="ORD-01634"/>
    <x v="0"/>
    <x v="3"/>
    <x v="84"/>
    <x v="6"/>
    <x v="3"/>
    <n v="7"/>
    <n v="1179"/>
    <n v="8253"/>
    <n v="900"/>
    <n v="6300"/>
    <n v="1953"/>
    <n v="0.23664122137404581"/>
  </r>
  <r>
    <x v="116"/>
    <s v="ORD-01635"/>
    <x v="2"/>
    <x v="3"/>
    <x v="25"/>
    <x v="1"/>
    <x v="1"/>
    <n v="6"/>
    <n v="60300"/>
    <n v="361800"/>
    <n v="45000"/>
    <n v="270000"/>
    <n v="91800"/>
    <n v="0.2537313432835821"/>
  </r>
  <r>
    <x v="116"/>
    <s v="ORD-01636"/>
    <x v="1"/>
    <x v="0"/>
    <x v="111"/>
    <x v="6"/>
    <x v="3"/>
    <n v="7"/>
    <n v="1116"/>
    <n v="7812"/>
    <n v="900"/>
    <n v="6300"/>
    <n v="1512"/>
    <n v="0.19354838709677419"/>
  </r>
  <r>
    <x v="117"/>
    <s v="ORD-01637"/>
    <x v="2"/>
    <x v="1"/>
    <x v="6"/>
    <x v="7"/>
    <x v="2"/>
    <n v="4"/>
    <n v="9800"/>
    <n v="39200"/>
    <n v="7000"/>
    <n v="28000"/>
    <n v="11200"/>
    <n v="0.2857142857142857"/>
  </r>
  <r>
    <x v="117"/>
    <s v="ORD-01638"/>
    <x v="1"/>
    <x v="0"/>
    <x v="70"/>
    <x v="6"/>
    <x v="3"/>
    <n v="8"/>
    <n v="1116"/>
    <n v="8928"/>
    <n v="900"/>
    <n v="7200"/>
    <n v="1728"/>
    <n v="0.19354838709677419"/>
  </r>
  <r>
    <x v="117"/>
    <s v="ORD-01639"/>
    <x v="0"/>
    <x v="2"/>
    <x v="7"/>
    <x v="3"/>
    <x v="0"/>
    <n v="4"/>
    <n v="3425.0000000000005"/>
    <n v="13700.000000000002"/>
    <n v="2500"/>
    <n v="10000"/>
    <n v="3700.0000000000018"/>
    <n v="0.27007299270073004"/>
  </r>
  <r>
    <x v="117"/>
    <s v="ORD-01640"/>
    <x v="1"/>
    <x v="2"/>
    <x v="109"/>
    <x v="5"/>
    <x v="3"/>
    <n v="1"/>
    <n v="792"/>
    <n v="792"/>
    <n v="600"/>
    <n v="600"/>
    <n v="192"/>
    <n v="0.24242424242424243"/>
  </r>
  <r>
    <x v="117"/>
    <s v="ORD-01641"/>
    <x v="1"/>
    <x v="5"/>
    <x v="35"/>
    <x v="1"/>
    <x v="1"/>
    <n v="7"/>
    <n v="55350"/>
    <n v="387450"/>
    <n v="45000"/>
    <n v="315000"/>
    <n v="72450"/>
    <n v="0.18699186991869918"/>
  </r>
  <r>
    <x v="117"/>
    <s v="ORD-01642"/>
    <x v="0"/>
    <x v="3"/>
    <x v="58"/>
    <x v="1"/>
    <x v="1"/>
    <n v="6"/>
    <n v="65250"/>
    <n v="391500"/>
    <n v="45000"/>
    <n v="270000"/>
    <n v="121500"/>
    <n v="0.31034482758620691"/>
  </r>
  <r>
    <x v="117"/>
    <s v="ORD-01643"/>
    <x v="0"/>
    <x v="5"/>
    <x v="141"/>
    <x v="2"/>
    <x v="1"/>
    <n v="10"/>
    <n v="54720"/>
    <n v="547200"/>
    <n v="38000"/>
    <n v="380000"/>
    <n v="167200"/>
    <n v="0.30555555555555558"/>
  </r>
  <r>
    <x v="117"/>
    <s v="ORD-01644"/>
    <x v="0"/>
    <x v="1"/>
    <x v="0"/>
    <x v="2"/>
    <x v="1"/>
    <n v="9"/>
    <n v="46360"/>
    <n v="417240"/>
    <n v="38000"/>
    <n v="342000"/>
    <n v="75240"/>
    <n v="0.18032786885245902"/>
  </r>
  <r>
    <x v="117"/>
    <s v="ORD-01645"/>
    <x v="2"/>
    <x v="1"/>
    <x v="43"/>
    <x v="2"/>
    <x v="1"/>
    <n v="6"/>
    <n v="49780"/>
    <n v="298680"/>
    <n v="38000"/>
    <n v="228000"/>
    <n v="70680"/>
    <n v="0.23664122137404581"/>
  </r>
  <r>
    <x v="117"/>
    <s v="ORD-01646"/>
    <x v="3"/>
    <x v="2"/>
    <x v="29"/>
    <x v="5"/>
    <x v="3"/>
    <n v="4"/>
    <n v="798"/>
    <n v="3192"/>
    <n v="600"/>
    <n v="2400"/>
    <n v="792"/>
    <n v="0.24812030075187969"/>
  </r>
  <r>
    <x v="117"/>
    <s v="ORD-01647"/>
    <x v="1"/>
    <x v="1"/>
    <x v="50"/>
    <x v="5"/>
    <x v="3"/>
    <n v="6"/>
    <n v="858"/>
    <n v="5148"/>
    <n v="600"/>
    <n v="3600"/>
    <n v="1548"/>
    <n v="0.30069930069930068"/>
  </r>
  <r>
    <x v="117"/>
    <s v="ORD-01648"/>
    <x v="0"/>
    <x v="4"/>
    <x v="51"/>
    <x v="2"/>
    <x v="1"/>
    <n v="7"/>
    <n v="47120"/>
    <n v="329840"/>
    <n v="38000"/>
    <n v="266000"/>
    <n v="63840"/>
    <n v="0.19354838709677419"/>
  </r>
  <r>
    <x v="117"/>
    <s v="ORD-01649"/>
    <x v="3"/>
    <x v="5"/>
    <x v="6"/>
    <x v="2"/>
    <x v="1"/>
    <n v="6"/>
    <n v="48260"/>
    <n v="289560"/>
    <n v="38000"/>
    <n v="228000"/>
    <n v="61560"/>
    <n v="0.2125984251968504"/>
  </r>
  <r>
    <x v="117"/>
    <s v="ORD-01650"/>
    <x v="1"/>
    <x v="4"/>
    <x v="100"/>
    <x v="1"/>
    <x v="1"/>
    <n v="3"/>
    <n v="56250"/>
    <n v="168750"/>
    <n v="45000"/>
    <n v="135000"/>
    <n v="33750"/>
    <n v="0.2"/>
  </r>
  <r>
    <x v="118"/>
    <s v="ORD-01651"/>
    <x v="1"/>
    <x v="4"/>
    <x v="95"/>
    <x v="4"/>
    <x v="2"/>
    <n v="4"/>
    <n v="11050"/>
    <n v="44200"/>
    <n v="8500"/>
    <n v="34000"/>
    <n v="10200"/>
    <n v="0.23076923076923078"/>
  </r>
  <r>
    <x v="118"/>
    <s v="ORD-01652"/>
    <x v="0"/>
    <x v="4"/>
    <x v="142"/>
    <x v="1"/>
    <x v="1"/>
    <n v="3"/>
    <n v="62099.999999999993"/>
    <n v="186299.99999999997"/>
    <n v="45000"/>
    <n v="135000"/>
    <n v="51299.999999999971"/>
    <n v="0.2753623188405796"/>
  </r>
  <r>
    <x v="118"/>
    <s v="ORD-01653"/>
    <x v="0"/>
    <x v="4"/>
    <x v="65"/>
    <x v="2"/>
    <x v="1"/>
    <n v="4"/>
    <n v="48640"/>
    <n v="194560"/>
    <n v="38000"/>
    <n v="152000"/>
    <n v="42560"/>
    <n v="0.21875"/>
  </r>
  <r>
    <x v="118"/>
    <s v="ORD-01654"/>
    <x v="1"/>
    <x v="0"/>
    <x v="44"/>
    <x v="3"/>
    <x v="0"/>
    <n v="4"/>
    <n v="3000"/>
    <n v="12000"/>
    <n v="2500"/>
    <n v="10000"/>
    <n v="2000"/>
    <n v="0.16666666666666666"/>
  </r>
  <r>
    <x v="118"/>
    <s v="ORD-01655"/>
    <x v="2"/>
    <x v="2"/>
    <x v="70"/>
    <x v="4"/>
    <x v="2"/>
    <n v="8"/>
    <n v="11220"/>
    <n v="89760"/>
    <n v="8500"/>
    <n v="68000"/>
    <n v="21760"/>
    <n v="0.24242424242424243"/>
  </r>
  <r>
    <x v="118"/>
    <s v="ORD-01656"/>
    <x v="0"/>
    <x v="3"/>
    <x v="4"/>
    <x v="7"/>
    <x v="2"/>
    <n v="1"/>
    <n v="10080"/>
    <n v="10080"/>
    <n v="7000"/>
    <n v="7000"/>
    <n v="3080"/>
    <n v="0.30555555555555558"/>
  </r>
  <r>
    <x v="118"/>
    <s v="ORD-01657"/>
    <x v="2"/>
    <x v="1"/>
    <x v="95"/>
    <x v="3"/>
    <x v="0"/>
    <n v="3"/>
    <n v="3350"/>
    <n v="10050"/>
    <n v="2500"/>
    <n v="7500"/>
    <n v="2550"/>
    <n v="0.2537313432835821"/>
  </r>
  <r>
    <x v="118"/>
    <s v="ORD-01658"/>
    <x v="1"/>
    <x v="4"/>
    <x v="51"/>
    <x v="1"/>
    <x v="1"/>
    <n v="9"/>
    <n v="61650.000000000007"/>
    <n v="554850.00000000012"/>
    <n v="45000"/>
    <n v="405000"/>
    <n v="149850.00000000012"/>
    <n v="0.2700729927007301"/>
  </r>
  <r>
    <x v="118"/>
    <s v="ORD-01659"/>
    <x v="3"/>
    <x v="3"/>
    <x v="26"/>
    <x v="1"/>
    <x v="1"/>
    <n v="6"/>
    <n v="56700"/>
    <n v="340200"/>
    <n v="45000"/>
    <n v="270000"/>
    <n v="70200"/>
    <n v="0.20634920634920634"/>
  </r>
  <r>
    <x v="118"/>
    <s v="ORD-01660"/>
    <x v="2"/>
    <x v="4"/>
    <x v="59"/>
    <x v="7"/>
    <x v="2"/>
    <n v="2"/>
    <n v="10080"/>
    <n v="20160"/>
    <n v="7000"/>
    <n v="14000"/>
    <n v="6160"/>
    <n v="0.30555555555555558"/>
  </r>
  <r>
    <x v="118"/>
    <s v="ORD-01661"/>
    <x v="1"/>
    <x v="5"/>
    <x v="25"/>
    <x v="3"/>
    <x v="0"/>
    <n v="10"/>
    <n v="3300"/>
    <n v="33000"/>
    <n v="2500"/>
    <n v="25000"/>
    <n v="8000"/>
    <n v="0.24242424242424243"/>
  </r>
  <r>
    <x v="118"/>
    <s v="ORD-01662"/>
    <x v="2"/>
    <x v="4"/>
    <x v="42"/>
    <x v="1"/>
    <x v="1"/>
    <n v="1"/>
    <n v="61199.999999999993"/>
    <n v="61199.999999999993"/>
    <n v="45000"/>
    <n v="45000"/>
    <n v="16199.999999999993"/>
    <n v="0.26470588235294107"/>
  </r>
  <r>
    <x v="118"/>
    <s v="ORD-01663"/>
    <x v="1"/>
    <x v="5"/>
    <x v="65"/>
    <x v="5"/>
    <x v="3"/>
    <n v="3"/>
    <n v="774"/>
    <n v="2322"/>
    <n v="600"/>
    <n v="1800"/>
    <n v="522"/>
    <n v="0.22480620155038761"/>
  </r>
  <r>
    <x v="118"/>
    <s v="ORD-01664"/>
    <x v="3"/>
    <x v="5"/>
    <x v="130"/>
    <x v="3"/>
    <x v="0"/>
    <n v="3"/>
    <n v="3550"/>
    <n v="10650"/>
    <n v="2500"/>
    <n v="7500"/>
    <n v="3150"/>
    <n v="0.29577464788732394"/>
  </r>
  <r>
    <x v="119"/>
    <s v="ORD-01665"/>
    <x v="3"/>
    <x v="1"/>
    <x v="59"/>
    <x v="7"/>
    <x v="2"/>
    <n v="10"/>
    <n v="8470"/>
    <n v="84700"/>
    <n v="7000"/>
    <n v="70000"/>
    <n v="14700"/>
    <n v="0.17355371900826447"/>
  </r>
  <r>
    <x v="119"/>
    <s v="ORD-01666"/>
    <x v="1"/>
    <x v="3"/>
    <x v="82"/>
    <x v="0"/>
    <x v="0"/>
    <n v="5"/>
    <n v="4448"/>
    <n v="22240"/>
    <n v="3200"/>
    <n v="16000"/>
    <n v="6240"/>
    <n v="0.2805755395683453"/>
  </r>
  <r>
    <x v="119"/>
    <s v="ORD-01667"/>
    <x v="1"/>
    <x v="2"/>
    <x v="113"/>
    <x v="5"/>
    <x v="3"/>
    <n v="8"/>
    <n v="720"/>
    <n v="5760"/>
    <n v="600"/>
    <n v="4800"/>
    <n v="960"/>
    <n v="0.16666666666666666"/>
  </r>
  <r>
    <x v="119"/>
    <s v="ORD-01668"/>
    <x v="1"/>
    <x v="2"/>
    <x v="136"/>
    <x v="3"/>
    <x v="0"/>
    <n v="7"/>
    <n v="3150"/>
    <n v="22050"/>
    <n v="2500"/>
    <n v="17500"/>
    <n v="4550"/>
    <n v="0.20634920634920634"/>
  </r>
  <r>
    <x v="119"/>
    <s v="ORD-01669"/>
    <x v="1"/>
    <x v="3"/>
    <x v="68"/>
    <x v="4"/>
    <x v="2"/>
    <n v="9"/>
    <n v="10625"/>
    <n v="95625"/>
    <n v="8500"/>
    <n v="76500"/>
    <n v="19125"/>
    <n v="0.2"/>
  </r>
  <r>
    <x v="119"/>
    <s v="ORD-01670"/>
    <x v="0"/>
    <x v="1"/>
    <x v="120"/>
    <x v="6"/>
    <x v="3"/>
    <n v="9"/>
    <n v="1125"/>
    <n v="10125"/>
    <n v="900"/>
    <n v="8100"/>
    <n v="2025"/>
    <n v="0.2"/>
  </r>
  <r>
    <x v="119"/>
    <s v="ORD-01671"/>
    <x v="1"/>
    <x v="4"/>
    <x v="38"/>
    <x v="5"/>
    <x v="3"/>
    <n v="8"/>
    <n v="786"/>
    <n v="6288"/>
    <n v="600"/>
    <n v="4800"/>
    <n v="1488"/>
    <n v="0.23664122137404581"/>
  </r>
  <r>
    <x v="119"/>
    <s v="ORD-01672"/>
    <x v="2"/>
    <x v="4"/>
    <x v="15"/>
    <x v="6"/>
    <x v="3"/>
    <n v="4"/>
    <n v="1134"/>
    <n v="4536"/>
    <n v="900"/>
    <n v="3600"/>
    <n v="936"/>
    <n v="0.20634920634920634"/>
  </r>
  <r>
    <x v="119"/>
    <s v="ORD-01673"/>
    <x v="3"/>
    <x v="2"/>
    <x v="62"/>
    <x v="6"/>
    <x v="3"/>
    <n v="3"/>
    <n v="1269"/>
    <n v="3807"/>
    <n v="900"/>
    <n v="2700"/>
    <n v="1107"/>
    <n v="0.29078014184397161"/>
  </r>
  <r>
    <x v="119"/>
    <s v="ORD-01674"/>
    <x v="2"/>
    <x v="0"/>
    <x v="4"/>
    <x v="0"/>
    <x v="0"/>
    <n v="1"/>
    <n v="4480"/>
    <n v="4480"/>
    <n v="3200"/>
    <n v="3200"/>
    <n v="1280"/>
    <n v="0.2857142857142857"/>
  </r>
  <r>
    <x v="119"/>
    <s v="ORD-01675"/>
    <x v="0"/>
    <x v="1"/>
    <x v="6"/>
    <x v="6"/>
    <x v="3"/>
    <n v="3"/>
    <n v="1143"/>
    <n v="3429"/>
    <n v="900"/>
    <n v="2700"/>
    <n v="729"/>
    <n v="0.2125984251968504"/>
  </r>
  <r>
    <x v="119"/>
    <s v="ORD-01676"/>
    <x v="0"/>
    <x v="4"/>
    <x v="28"/>
    <x v="0"/>
    <x v="0"/>
    <n v="1"/>
    <n v="4608"/>
    <n v="4608"/>
    <n v="3200"/>
    <n v="3200"/>
    <n v="1408"/>
    <n v="0.30555555555555558"/>
  </r>
  <r>
    <x v="119"/>
    <s v="ORD-01677"/>
    <x v="0"/>
    <x v="0"/>
    <x v="75"/>
    <x v="5"/>
    <x v="3"/>
    <n v="8"/>
    <n v="726"/>
    <n v="5808"/>
    <n v="600"/>
    <n v="4800"/>
    <n v="1008"/>
    <n v="0.17355371900826447"/>
  </r>
  <r>
    <x v="119"/>
    <s v="ORD-01678"/>
    <x v="1"/>
    <x v="2"/>
    <x v="1"/>
    <x v="3"/>
    <x v="0"/>
    <n v="4"/>
    <n v="3275"/>
    <n v="13100"/>
    <n v="2500"/>
    <n v="10000"/>
    <n v="3100"/>
    <n v="0.23664122137404581"/>
  </r>
  <r>
    <x v="120"/>
    <s v="ORD-01679"/>
    <x v="3"/>
    <x v="5"/>
    <x v="1"/>
    <x v="1"/>
    <x v="1"/>
    <n v="4"/>
    <n v="58950"/>
    <n v="235800"/>
    <n v="45000"/>
    <n v="180000"/>
    <n v="55800"/>
    <n v="0.23664122137404581"/>
  </r>
  <r>
    <x v="120"/>
    <s v="ORD-01680"/>
    <x v="3"/>
    <x v="3"/>
    <x v="78"/>
    <x v="1"/>
    <x v="1"/>
    <n v="9"/>
    <n v="54900"/>
    <n v="494100"/>
    <n v="45000"/>
    <n v="405000"/>
    <n v="89100"/>
    <n v="0.18032786885245902"/>
  </r>
  <r>
    <x v="120"/>
    <s v="ORD-01681"/>
    <x v="1"/>
    <x v="0"/>
    <x v="147"/>
    <x v="7"/>
    <x v="2"/>
    <n v="6"/>
    <n v="9590"/>
    <n v="57540"/>
    <n v="7000"/>
    <n v="42000"/>
    <n v="15540"/>
    <n v="0.27007299270072993"/>
  </r>
  <r>
    <x v="120"/>
    <s v="ORD-01682"/>
    <x v="1"/>
    <x v="2"/>
    <x v="34"/>
    <x v="5"/>
    <x v="3"/>
    <n v="8"/>
    <n v="720"/>
    <n v="5760"/>
    <n v="600"/>
    <n v="4800"/>
    <n v="960"/>
    <n v="0.16666666666666666"/>
  </r>
  <r>
    <x v="120"/>
    <s v="ORD-01683"/>
    <x v="3"/>
    <x v="5"/>
    <x v="107"/>
    <x v="7"/>
    <x v="2"/>
    <n v="5"/>
    <n v="9310"/>
    <n v="46550"/>
    <n v="7000"/>
    <n v="35000"/>
    <n v="11550"/>
    <n v="0.24812030075187969"/>
  </r>
  <r>
    <x v="120"/>
    <s v="ORD-01684"/>
    <x v="2"/>
    <x v="1"/>
    <x v="53"/>
    <x v="5"/>
    <x v="3"/>
    <n v="7"/>
    <n v="798"/>
    <n v="5586"/>
    <n v="600"/>
    <n v="4200"/>
    <n v="1386"/>
    <n v="0.24812030075187969"/>
  </r>
  <r>
    <x v="120"/>
    <s v="ORD-01685"/>
    <x v="0"/>
    <x v="3"/>
    <x v="38"/>
    <x v="2"/>
    <x v="1"/>
    <n v="5"/>
    <n v="48260"/>
    <n v="241300"/>
    <n v="38000"/>
    <n v="190000"/>
    <n v="51300"/>
    <n v="0.2125984251968504"/>
  </r>
  <r>
    <x v="120"/>
    <s v="ORD-01686"/>
    <x v="2"/>
    <x v="0"/>
    <x v="21"/>
    <x v="4"/>
    <x v="2"/>
    <n v="3"/>
    <n v="11390"/>
    <n v="34170"/>
    <n v="8500"/>
    <n v="25500"/>
    <n v="8670"/>
    <n v="0.2537313432835821"/>
  </r>
  <r>
    <x v="120"/>
    <s v="ORD-01687"/>
    <x v="0"/>
    <x v="4"/>
    <x v="106"/>
    <x v="0"/>
    <x v="0"/>
    <n v="1"/>
    <n v="4096"/>
    <n v="4096"/>
    <n v="3200"/>
    <n v="3200"/>
    <n v="896"/>
    <n v="0.21875"/>
  </r>
  <r>
    <x v="120"/>
    <s v="ORD-01688"/>
    <x v="0"/>
    <x v="5"/>
    <x v="18"/>
    <x v="4"/>
    <x v="2"/>
    <n v="5"/>
    <n v="10710"/>
    <n v="53550"/>
    <n v="8500"/>
    <n v="42500"/>
    <n v="11050"/>
    <n v="0.20634920634920634"/>
  </r>
  <r>
    <x v="120"/>
    <s v="ORD-01689"/>
    <x v="2"/>
    <x v="2"/>
    <x v="83"/>
    <x v="0"/>
    <x v="0"/>
    <n v="4"/>
    <n v="4608"/>
    <n v="18432"/>
    <n v="3200"/>
    <n v="12800"/>
    <n v="5632"/>
    <n v="0.30555555555555558"/>
  </r>
  <r>
    <x v="120"/>
    <s v="ORD-01690"/>
    <x v="2"/>
    <x v="1"/>
    <x v="64"/>
    <x v="2"/>
    <x v="1"/>
    <n v="7"/>
    <n v="48640"/>
    <n v="340480"/>
    <n v="38000"/>
    <n v="266000"/>
    <n v="74480"/>
    <n v="0.21875"/>
  </r>
  <r>
    <x v="120"/>
    <s v="ORD-01691"/>
    <x v="3"/>
    <x v="1"/>
    <x v="1"/>
    <x v="1"/>
    <x v="1"/>
    <n v="9"/>
    <n v="62550.000000000007"/>
    <n v="562950.00000000012"/>
    <n v="45000"/>
    <n v="405000"/>
    <n v="157950.00000000012"/>
    <n v="0.28057553956834547"/>
  </r>
  <r>
    <x v="120"/>
    <s v="ORD-01692"/>
    <x v="3"/>
    <x v="0"/>
    <x v="85"/>
    <x v="3"/>
    <x v="0"/>
    <n v="3"/>
    <n v="3275"/>
    <n v="9825"/>
    <n v="2500"/>
    <n v="7500"/>
    <n v="2325"/>
    <n v="0.23664122137404581"/>
  </r>
  <r>
    <x v="121"/>
    <s v="ORD-01693"/>
    <x v="1"/>
    <x v="0"/>
    <x v="81"/>
    <x v="7"/>
    <x v="2"/>
    <n v="10"/>
    <n v="9100"/>
    <n v="91000"/>
    <n v="7000"/>
    <n v="70000"/>
    <n v="21000"/>
    <n v="0.23076923076923078"/>
  </r>
  <r>
    <x v="121"/>
    <s v="ORD-01694"/>
    <x v="1"/>
    <x v="1"/>
    <x v="52"/>
    <x v="1"/>
    <x v="1"/>
    <n v="1"/>
    <n v="61650.000000000007"/>
    <n v="61650.000000000007"/>
    <n v="45000"/>
    <n v="45000"/>
    <n v="16650.000000000007"/>
    <n v="0.27007299270072999"/>
  </r>
  <r>
    <x v="121"/>
    <s v="ORD-01695"/>
    <x v="3"/>
    <x v="2"/>
    <x v="1"/>
    <x v="5"/>
    <x v="3"/>
    <n v="1"/>
    <n v="792"/>
    <n v="792"/>
    <n v="600"/>
    <n v="600"/>
    <n v="192"/>
    <n v="0.24242424242424243"/>
  </r>
  <r>
    <x v="121"/>
    <s v="ORD-01696"/>
    <x v="2"/>
    <x v="1"/>
    <x v="9"/>
    <x v="1"/>
    <x v="1"/>
    <n v="6"/>
    <n v="60300"/>
    <n v="361800"/>
    <n v="45000"/>
    <n v="270000"/>
    <n v="91800"/>
    <n v="0.2537313432835821"/>
  </r>
  <r>
    <x v="121"/>
    <s v="ORD-01697"/>
    <x v="1"/>
    <x v="4"/>
    <x v="81"/>
    <x v="1"/>
    <x v="1"/>
    <n v="8"/>
    <n v="62550.000000000007"/>
    <n v="500400.00000000006"/>
    <n v="45000"/>
    <n v="360000"/>
    <n v="140400.00000000006"/>
    <n v="0.28057553956834541"/>
  </r>
  <r>
    <x v="121"/>
    <s v="ORD-01698"/>
    <x v="3"/>
    <x v="4"/>
    <x v="12"/>
    <x v="0"/>
    <x v="0"/>
    <n v="1"/>
    <n v="4192"/>
    <n v="4192"/>
    <n v="3200"/>
    <n v="3200"/>
    <n v="992"/>
    <n v="0.23664122137404581"/>
  </r>
  <r>
    <x v="121"/>
    <s v="ORD-01699"/>
    <x v="1"/>
    <x v="2"/>
    <x v="20"/>
    <x v="7"/>
    <x v="2"/>
    <n v="3"/>
    <n v="8820"/>
    <n v="26460"/>
    <n v="7000"/>
    <n v="21000"/>
    <n v="5460"/>
    <n v="0.20634920634920634"/>
  </r>
  <r>
    <x v="121"/>
    <s v="ORD-01700"/>
    <x v="3"/>
    <x v="0"/>
    <x v="114"/>
    <x v="0"/>
    <x v="0"/>
    <n v="4"/>
    <n v="4160"/>
    <n v="16640"/>
    <n v="3200"/>
    <n v="12800"/>
    <n v="3840"/>
    <n v="0.23076923076923078"/>
  </r>
  <r>
    <x v="121"/>
    <s v="ORD-01701"/>
    <x v="2"/>
    <x v="1"/>
    <x v="97"/>
    <x v="7"/>
    <x v="2"/>
    <n v="10"/>
    <n v="10080"/>
    <n v="100800"/>
    <n v="7000"/>
    <n v="70000"/>
    <n v="30800"/>
    <n v="0.30555555555555558"/>
  </r>
  <r>
    <x v="121"/>
    <s v="ORD-01702"/>
    <x v="2"/>
    <x v="1"/>
    <x v="118"/>
    <x v="4"/>
    <x v="2"/>
    <n v="9"/>
    <n v="11050"/>
    <n v="99450"/>
    <n v="8500"/>
    <n v="76500"/>
    <n v="22950"/>
    <n v="0.23076923076923078"/>
  </r>
  <r>
    <x v="121"/>
    <s v="ORD-01703"/>
    <x v="2"/>
    <x v="3"/>
    <x v="11"/>
    <x v="3"/>
    <x v="0"/>
    <n v="7"/>
    <n v="3525"/>
    <n v="24675"/>
    <n v="2500"/>
    <n v="17500"/>
    <n v="7175"/>
    <n v="0.29078014184397161"/>
  </r>
  <r>
    <x v="121"/>
    <s v="ORD-01704"/>
    <x v="2"/>
    <x v="4"/>
    <x v="61"/>
    <x v="2"/>
    <x v="1"/>
    <n v="7"/>
    <n v="52820.000000000007"/>
    <n v="369740.00000000006"/>
    <n v="38000"/>
    <n v="266000"/>
    <n v="103740.00000000006"/>
    <n v="0.28057553956834541"/>
  </r>
  <r>
    <x v="121"/>
    <s v="ORD-01705"/>
    <x v="3"/>
    <x v="5"/>
    <x v="109"/>
    <x v="7"/>
    <x v="2"/>
    <n v="8"/>
    <n v="9170"/>
    <n v="73360"/>
    <n v="7000"/>
    <n v="56000"/>
    <n v="17360"/>
    <n v="0.23664122137404581"/>
  </r>
  <r>
    <x v="121"/>
    <s v="ORD-01706"/>
    <x v="2"/>
    <x v="1"/>
    <x v="120"/>
    <x v="1"/>
    <x v="1"/>
    <n v="4"/>
    <n v="57600"/>
    <n v="230400"/>
    <n v="45000"/>
    <n v="180000"/>
    <n v="50400"/>
    <n v="0.21875"/>
  </r>
  <r>
    <x v="122"/>
    <s v="ORD-01707"/>
    <x v="3"/>
    <x v="0"/>
    <x v="28"/>
    <x v="4"/>
    <x v="2"/>
    <n v="2"/>
    <n v="10200"/>
    <n v="20400"/>
    <n v="8500"/>
    <n v="17000"/>
    <n v="3400"/>
    <n v="0.16666666666666666"/>
  </r>
  <r>
    <x v="122"/>
    <s v="ORD-01708"/>
    <x v="1"/>
    <x v="5"/>
    <x v="131"/>
    <x v="4"/>
    <x v="2"/>
    <n v="3"/>
    <n v="11135"/>
    <n v="33405"/>
    <n v="8500"/>
    <n v="25500"/>
    <n v="7905"/>
    <n v="0.23664122137404581"/>
  </r>
  <r>
    <x v="122"/>
    <s v="ORD-01709"/>
    <x v="2"/>
    <x v="5"/>
    <x v="87"/>
    <x v="4"/>
    <x v="2"/>
    <n v="3"/>
    <n v="11050"/>
    <n v="33150"/>
    <n v="8500"/>
    <n v="25500"/>
    <n v="7650"/>
    <n v="0.23076923076923078"/>
  </r>
  <r>
    <x v="122"/>
    <s v="ORD-01710"/>
    <x v="0"/>
    <x v="2"/>
    <x v="133"/>
    <x v="6"/>
    <x v="3"/>
    <n v="4"/>
    <n v="1242"/>
    <n v="4968"/>
    <n v="900"/>
    <n v="3600"/>
    <n v="1368"/>
    <n v="0.27536231884057971"/>
  </r>
  <r>
    <x v="122"/>
    <s v="ORD-01711"/>
    <x v="3"/>
    <x v="2"/>
    <x v="41"/>
    <x v="4"/>
    <x v="2"/>
    <n v="5"/>
    <n v="11559.999999999998"/>
    <n v="57799.999999999993"/>
    <n v="8500"/>
    <n v="42500"/>
    <n v="15299.999999999993"/>
    <n v="0.26470588235294107"/>
  </r>
  <r>
    <x v="122"/>
    <s v="ORD-01712"/>
    <x v="0"/>
    <x v="0"/>
    <x v="143"/>
    <x v="1"/>
    <x v="1"/>
    <n v="3"/>
    <n v="54900"/>
    <n v="164700"/>
    <n v="45000"/>
    <n v="135000"/>
    <n v="29700"/>
    <n v="0.18032786885245902"/>
  </r>
  <r>
    <x v="122"/>
    <s v="ORD-01713"/>
    <x v="0"/>
    <x v="2"/>
    <x v="73"/>
    <x v="2"/>
    <x v="1"/>
    <n v="2"/>
    <n v="52820.000000000007"/>
    <n v="105640.00000000001"/>
    <n v="38000"/>
    <n v="76000"/>
    <n v="29640.000000000015"/>
    <n v="0.28057553956834541"/>
  </r>
  <r>
    <x v="122"/>
    <s v="ORD-01714"/>
    <x v="0"/>
    <x v="3"/>
    <x v="71"/>
    <x v="5"/>
    <x v="3"/>
    <n v="1"/>
    <n v="864"/>
    <n v="864"/>
    <n v="600"/>
    <n v="600"/>
    <n v="264"/>
    <n v="0.30555555555555558"/>
  </r>
  <r>
    <x v="122"/>
    <s v="ORD-01715"/>
    <x v="3"/>
    <x v="5"/>
    <x v="32"/>
    <x v="1"/>
    <x v="1"/>
    <n v="1"/>
    <n v="58500"/>
    <n v="58500"/>
    <n v="45000"/>
    <n v="45000"/>
    <n v="13500"/>
    <n v="0.23076923076923078"/>
  </r>
  <r>
    <x v="122"/>
    <s v="ORD-01716"/>
    <x v="2"/>
    <x v="5"/>
    <x v="121"/>
    <x v="5"/>
    <x v="3"/>
    <n v="10"/>
    <n v="744"/>
    <n v="7440"/>
    <n v="600"/>
    <n v="6000"/>
    <n v="1440"/>
    <n v="0.19354838709677419"/>
  </r>
  <r>
    <x v="122"/>
    <s v="ORD-01717"/>
    <x v="2"/>
    <x v="5"/>
    <x v="108"/>
    <x v="2"/>
    <x v="1"/>
    <n v="7"/>
    <n v="52060.000000000007"/>
    <n v="364420.00000000006"/>
    <n v="38000"/>
    <n v="266000"/>
    <n v="98420.000000000058"/>
    <n v="0.27007299270073004"/>
  </r>
  <r>
    <x v="122"/>
    <s v="ORD-01718"/>
    <x v="3"/>
    <x v="3"/>
    <x v="109"/>
    <x v="0"/>
    <x v="0"/>
    <n v="3"/>
    <n v="4160"/>
    <n v="12480"/>
    <n v="3200"/>
    <n v="9600"/>
    <n v="2880"/>
    <n v="0.23076923076923078"/>
  </r>
  <r>
    <x v="122"/>
    <s v="ORD-01719"/>
    <x v="0"/>
    <x v="1"/>
    <x v="137"/>
    <x v="7"/>
    <x v="2"/>
    <n v="8"/>
    <n v="9380"/>
    <n v="75040"/>
    <n v="7000"/>
    <n v="56000"/>
    <n v="19040"/>
    <n v="0.2537313432835821"/>
  </r>
  <r>
    <x v="122"/>
    <s v="ORD-01720"/>
    <x v="3"/>
    <x v="1"/>
    <x v="143"/>
    <x v="5"/>
    <x v="3"/>
    <n v="4"/>
    <n v="810"/>
    <n v="3240"/>
    <n v="600"/>
    <n v="2400"/>
    <n v="840"/>
    <n v="0.25925925925925924"/>
  </r>
  <r>
    <x v="123"/>
    <s v="ORD-01721"/>
    <x v="0"/>
    <x v="3"/>
    <x v="36"/>
    <x v="4"/>
    <x v="2"/>
    <n v="5"/>
    <n v="12325"/>
    <n v="61625"/>
    <n v="8500"/>
    <n v="42500"/>
    <n v="19125"/>
    <n v="0.31034482758620691"/>
  </r>
  <r>
    <x v="123"/>
    <s v="ORD-01722"/>
    <x v="1"/>
    <x v="3"/>
    <x v="103"/>
    <x v="2"/>
    <x v="1"/>
    <n v="5"/>
    <n v="48260"/>
    <n v="241300"/>
    <n v="38000"/>
    <n v="190000"/>
    <n v="51300"/>
    <n v="0.2125984251968504"/>
  </r>
  <r>
    <x v="123"/>
    <s v="ORD-01723"/>
    <x v="2"/>
    <x v="0"/>
    <x v="86"/>
    <x v="1"/>
    <x v="1"/>
    <n v="7"/>
    <n v="62999.999999999993"/>
    <n v="440999.99999999994"/>
    <n v="45000"/>
    <n v="315000"/>
    <n v="125999.99999999994"/>
    <n v="0.28571428571428564"/>
  </r>
  <r>
    <x v="123"/>
    <s v="ORD-01724"/>
    <x v="1"/>
    <x v="1"/>
    <x v="62"/>
    <x v="0"/>
    <x v="0"/>
    <n v="9"/>
    <n v="4000"/>
    <n v="36000"/>
    <n v="3200"/>
    <n v="28800"/>
    <n v="7200"/>
    <n v="0.2"/>
  </r>
  <r>
    <x v="123"/>
    <s v="ORD-01725"/>
    <x v="3"/>
    <x v="4"/>
    <x v="86"/>
    <x v="1"/>
    <x v="1"/>
    <n v="1"/>
    <n v="62999.999999999993"/>
    <n v="62999.999999999993"/>
    <n v="45000"/>
    <n v="45000"/>
    <n v="17999.999999999993"/>
    <n v="0.28571428571428564"/>
  </r>
  <r>
    <x v="123"/>
    <s v="ORD-01726"/>
    <x v="0"/>
    <x v="5"/>
    <x v="64"/>
    <x v="5"/>
    <x v="3"/>
    <n v="2"/>
    <n v="720"/>
    <n v="1440"/>
    <n v="600"/>
    <n v="1200"/>
    <n v="240"/>
    <n v="0.16666666666666666"/>
  </r>
  <r>
    <x v="123"/>
    <s v="ORD-01727"/>
    <x v="2"/>
    <x v="3"/>
    <x v="47"/>
    <x v="5"/>
    <x v="3"/>
    <n v="5"/>
    <n v="858"/>
    <n v="4290"/>
    <n v="600"/>
    <n v="3000"/>
    <n v="1290"/>
    <n v="0.30069930069930068"/>
  </r>
  <r>
    <x v="123"/>
    <s v="ORD-01728"/>
    <x v="0"/>
    <x v="4"/>
    <x v="6"/>
    <x v="1"/>
    <x v="1"/>
    <n v="6"/>
    <n v="59400"/>
    <n v="356400"/>
    <n v="45000"/>
    <n v="270000"/>
    <n v="86400"/>
    <n v="0.24242424242424243"/>
  </r>
  <r>
    <x v="123"/>
    <s v="ORD-01729"/>
    <x v="0"/>
    <x v="2"/>
    <x v="13"/>
    <x v="7"/>
    <x v="2"/>
    <n v="1"/>
    <n v="9240"/>
    <n v="9240"/>
    <n v="7000"/>
    <n v="7000"/>
    <n v="2240"/>
    <n v="0.24242424242424243"/>
  </r>
  <r>
    <x v="123"/>
    <s v="ORD-01730"/>
    <x v="2"/>
    <x v="0"/>
    <x v="36"/>
    <x v="4"/>
    <x v="2"/>
    <n v="6"/>
    <n v="10795"/>
    <n v="64770"/>
    <n v="8500"/>
    <n v="51000"/>
    <n v="13770"/>
    <n v="0.2125984251968504"/>
  </r>
  <r>
    <x v="123"/>
    <s v="ORD-01731"/>
    <x v="1"/>
    <x v="2"/>
    <x v="35"/>
    <x v="2"/>
    <x v="1"/>
    <n v="2"/>
    <n v="53200"/>
    <n v="106400"/>
    <n v="38000"/>
    <n v="76000"/>
    <n v="30400"/>
    <n v="0.2857142857142857"/>
  </r>
  <r>
    <x v="123"/>
    <s v="ORD-01732"/>
    <x v="3"/>
    <x v="1"/>
    <x v="117"/>
    <x v="1"/>
    <x v="1"/>
    <n v="7"/>
    <n v="54000"/>
    <n v="378000"/>
    <n v="45000"/>
    <n v="315000"/>
    <n v="63000"/>
    <n v="0.16666666666666666"/>
  </r>
  <r>
    <x v="123"/>
    <s v="ORD-01733"/>
    <x v="2"/>
    <x v="2"/>
    <x v="118"/>
    <x v="4"/>
    <x v="2"/>
    <n v="3"/>
    <n v="10455"/>
    <n v="31365"/>
    <n v="8500"/>
    <n v="25500"/>
    <n v="5865"/>
    <n v="0.18699186991869918"/>
  </r>
  <r>
    <x v="123"/>
    <s v="ORD-01734"/>
    <x v="3"/>
    <x v="5"/>
    <x v="4"/>
    <x v="2"/>
    <x v="1"/>
    <n v="2"/>
    <n v="47120"/>
    <n v="94240"/>
    <n v="38000"/>
    <n v="76000"/>
    <n v="18240"/>
    <n v="0.19354838709677419"/>
  </r>
  <r>
    <x v="124"/>
    <s v="ORD-01735"/>
    <x v="2"/>
    <x v="1"/>
    <x v="142"/>
    <x v="3"/>
    <x v="0"/>
    <n v="8"/>
    <n v="3200"/>
    <n v="25600"/>
    <n v="2500"/>
    <n v="20000"/>
    <n v="5600"/>
    <n v="0.21875"/>
  </r>
  <r>
    <x v="124"/>
    <s v="ORD-01736"/>
    <x v="3"/>
    <x v="4"/>
    <x v="91"/>
    <x v="6"/>
    <x v="3"/>
    <n v="1"/>
    <n v="1116"/>
    <n v="1116"/>
    <n v="900"/>
    <n v="900"/>
    <n v="216"/>
    <n v="0.19354838709677419"/>
  </r>
  <r>
    <x v="124"/>
    <s v="ORD-01737"/>
    <x v="2"/>
    <x v="2"/>
    <x v="98"/>
    <x v="2"/>
    <x v="1"/>
    <n v="10"/>
    <n v="53960"/>
    <n v="539600"/>
    <n v="38000"/>
    <n v="380000"/>
    <n v="159600"/>
    <n v="0.29577464788732394"/>
  </r>
  <r>
    <x v="124"/>
    <s v="ORD-01738"/>
    <x v="2"/>
    <x v="5"/>
    <x v="95"/>
    <x v="7"/>
    <x v="2"/>
    <n v="8"/>
    <n v="8470"/>
    <n v="67760"/>
    <n v="7000"/>
    <n v="56000"/>
    <n v="11760"/>
    <n v="0.17355371900826447"/>
  </r>
  <r>
    <x v="124"/>
    <s v="ORD-01739"/>
    <x v="3"/>
    <x v="5"/>
    <x v="48"/>
    <x v="1"/>
    <x v="1"/>
    <n v="8"/>
    <n v="54900"/>
    <n v="439200"/>
    <n v="45000"/>
    <n v="360000"/>
    <n v="79200"/>
    <n v="0.18032786885245902"/>
  </r>
  <r>
    <x v="124"/>
    <s v="ORD-01740"/>
    <x v="3"/>
    <x v="4"/>
    <x v="63"/>
    <x v="7"/>
    <x v="2"/>
    <n v="1"/>
    <n v="9240"/>
    <n v="9240"/>
    <n v="7000"/>
    <n v="7000"/>
    <n v="2240"/>
    <n v="0.24242424242424243"/>
  </r>
  <r>
    <x v="124"/>
    <s v="ORD-01741"/>
    <x v="2"/>
    <x v="5"/>
    <x v="43"/>
    <x v="5"/>
    <x v="3"/>
    <n v="1"/>
    <n v="864"/>
    <n v="864"/>
    <n v="600"/>
    <n v="600"/>
    <n v="264"/>
    <n v="0.30555555555555558"/>
  </r>
  <r>
    <x v="124"/>
    <s v="ORD-01742"/>
    <x v="3"/>
    <x v="1"/>
    <x v="21"/>
    <x v="3"/>
    <x v="0"/>
    <n v="2"/>
    <n v="3500"/>
    <n v="7000"/>
    <n v="2500"/>
    <n v="5000"/>
    <n v="2000"/>
    <n v="0.2857142857142857"/>
  </r>
  <r>
    <x v="124"/>
    <s v="ORD-01743"/>
    <x v="2"/>
    <x v="3"/>
    <x v="124"/>
    <x v="4"/>
    <x v="2"/>
    <n v="4"/>
    <n v="10455"/>
    <n v="41820"/>
    <n v="8500"/>
    <n v="34000"/>
    <n v="7820"/>
    <n v="0.18699186991869918"/>
  </r>
  <r>
    <x v="124"/>
    <s v="ORD-01744"/>
    <x v="1"/>
    <x v="4"/>
    <x v="51"/>
    <x v="0"/>
    <x v="0"/>
    <n v="5"/>
    <n v="4352"/>
    <n v="21760"/>
    <n v="3200"/>
    <n v="16000"/>
    <n v="5760"/>
    <n v="0.26470588235294118"/>
  </r>
  <r>
    <x v="124"/>
    <s v="ORD-01745"/>
    <x v="1"/>
    <x v="0"/>
    <x v="2"/>
    <x v="0"/>
    <x v="0"/>
    <n v="9"/>
    <n v="4448"/>
    <n v="40032"/>
    <n v="3200"/>
    <n v="28800"/>
    <n v="11232"/>
    <n v="0.2805755395683453"/>
  </r>
  <r>
    <x v="124"/>
    <s v="ORD-01746"/>
    <x v="3"/>
    <x v="5"/>
    <x v="108"/>
    <x v="2"/>
    <x v="1"/>
    <n v="6"/>
    <n v="50540"/>
    <n v="303240"/>
    <n v="38000"/>
    <n v="228000"/>
    <n v="75240"/>
    <n v="0.24812030075187969"/>
  </r>
  <r>
    <x v="124"/>
    <s v="ORD-01747"/>
    <x v="1"/>
    <x v="4"/>
    <x v="110"/>
    <x v="1"/>
    <x v="1"/>
    <n v="10"/>
    <n v="61650.000000000007"/>
    <n v="616500.00000000012"/>
    <n v="45000"/>
    <n v="450000"/>
    <n v="166500.00000000012"/>
    <n v="0.27007299270073004"/>
  </r>
  <r>
    <x v="124"/>
    <s v="ORD-01748"/>
    <x v="2"/>
    <x v="0"/>
    <x v="19"/>
    <x v="3"/>
    <x v="0"/>
    <n v="8"/>
    <n v="3200"/>
    <n v="25600"/>
    <n v="2500"/>
    <n v="20000"/>
    <n v="5600"/>
    <n v="0.21875"/>
  </r>
  <r>
    <x v="125"/>
    <s v="ORD-01749"/>
    <x v="0"/>
    <x v="0"/>
    <x v="67"/>
    <x v="2"/>
    <x v="1"/>
    <n v="3"/>
    <n v="49780"/>
    <n v="149340"/>
    <n v="38000"/>
    <n v="114000"/>
    <n v="35340"/>
    <n v="0.23664122137404581"/>
  </r>
  <r>
    <x v="125"/>
    <s v="ORD-01750"/>
    <x v="2"/>
    <x v="4"/>
    <x v="141"/>
    <x v="7"/>
    <x v="2"/>
    <n v="2"/>
    <n v="9940"/>
    <n v="19880"/>
    <n v="7000"/>
    <n v="14000"/>
    <n v="5880"/>
    <n v="0.29577464788732394"/>
  </r>
  <r>
    <x v="125"/>
    <s v="ORD-01751"/>
    <x v="2"/>
    <x v="5"/>
    <x v="121"/>
    <x v="2"/>
    <x v="1"/>
    <n v="5"/>
    <n v="46740"/>
    <n v="233700"/>
    <n v="38000"/>
    <n v="190000"/>
    <n v="43700"/>
    <n v="0.18699186991869918"/>
  </r>
  <r>
    <x v="125"/>
    <s v="ORD-01752"/>
    <x v="0"/>
    <x v="2"/>
    <x v="145"/>
    <x v="0"/>
    <x v="0"/>
    <n v="2"/>
    <n v="4416"/>
    <n v="8832"/>
    <n v="3200"/>
    <n v="6400"/>
    <n v="2432"/>
    <n v="0.27536231884057971"/>
  </r>
  <r>
    <x v="125"/>
    <s v="ORD-01753"/>
    <x v="2"/>
    <x v="0"/>
    <x v="48"/>
    <x v="7"/>
    <x v="2"/>
    <n v="2"/>
    <n v="8680"/>
    <n v="17360"/>
    <n v="7000"/>
    <n v="14000"/>
    <n v="3360"/>
    <n v="0.19354838709677419"/>
  </r>
  <r>
    <x v="125"/>
    <s v="ORD-01754"/>
    <x v="2"/>
    <x v="0"/>
    <x v="120"/>
    <x v="6"/>
    <x v="3"/>
    <n v="2"/>
    <n v="1242"/>
    <n v="2484"/>
    <n v="900"/>
    <n v="1800"/>
    <n v="684"/>
    <n v="0.27536231884057971"/>
  </r>
  <r>
    <x v="125"/>
    <s v="ORD-01755"/>
    <x v="3"/>
    <x v="1"/>
    <x v="94"/>
    <x v="5"/>
    <x v="3"/>
    <n v="7"/>
    <n v="786"/>
    <n v="5502"/>
    <n v="600"/>
    <n v="4200"/>
    <n v="1302"/>
    <n v="0.23664122137404581"/>
  </r>
  <r>
    <x v="125"/>
    <s v="ORD-01756"/>
    <x v="2"/>
    <x v="4"/>
    <x v="17"/>
    <x v="1"/>
    <x v="1"/>
    <n v="8"/>
    <n v="60300"/>
    <n v="482400"/>
    <n v="45000"/>
    <n v="360000"/>
    <n v="122400"/>
    <n v="0.2537313432835821"/>
  </r>
  <r>
    <x v="125"/>
    <s v="ORD-01757"/>
    <x v="0"/>
    <x v="5"/>
    <x v="89"/>
    <x v="4"/>
    <x v="2"/>
    <n v="1"/>
    <n v="10285"/>
    <n v="10285"/>
    <n v="8500"/>
    <n v="8500"/>
    <n v="1785"/>
    <n v="0.17355371900826447"/>
  </r>
  <r>
    <x v="125"/>
    <s v="ORD-01758"/>
    <x v="0"/>
    <x v="5"/>
    <x v="51"/>
    <x v="5"/>
    <x v="3"/>
    <n v="1"/>
    <n v="780"/>
    <n v="780"/>
    <n v="600"/>
    <n v="600"/>
    <n v="180"/>
    <n v="0.23076923076923078"/>
  </r>
  <r>
    <x v="125"/>
    <s v="ORD-01759"/>
    <x v="3"/>
    <x v="5"/>
    <x v="9"/>
    <x v="3"/>
    <x v="0"/>
    <n v="9"/>
    <n v="3525"/>
    <n v="31725"/>
    <n v="2500"/>
    <n v="22500"/>
    <n v="9225"/>
    <n v="0.29078014184397161"/>
  </r>
  <r>
    <x v="125"/>
    <s v="ORD-01760"/>
    <x v="3"/>
    <x v="4"/>
    <x v="137"/>
    <x v="1"/>
    <x v="1"/>
    <n v="9"/>
    <n v="61650.000000000007"/>
    <n v="554850.00000000012"/>
    <n v="45000"/>
    <n v="405000"/>
    <n v="149850.00000000012"/>
    <n v="0.2700729927007301"/>
  </r>
  <r>
    <x v="125"/>
    <s v="ORD-01761"/>
    <x v="3"/>
    <x v="1"/>
    <x v="133"/>
    <x v="1"/>
    <x v="1"/>
    <n v="4"/>
    <n v="62999.999999999993"/>
    <n v="251999.99999999997"/>
    <n v="45000"/>
    <n v="180000"/>
    <n v="71999.999999999971"/>
    <n v="0.28571428571428564"/>
  </r>
  <r>
    <x v="125"/>
    <s v="ORD-01762"/>
    <x v="1"/>
    <x v="5"/>
    <x v="22"/>
    <x v="7"/>
    <x v="2"/>
    <n v="7"/>
    <n v="8890"/>
    <n v="62230"/>
    <n v="7000"/>
    <n v="49000"/>
    <n v="13230"/>
    <n v="0.2125984251968504"/>
  </r>
  <r>
    <x v="126"/>
    <s v="ORD-01763"/>
    <x v="2"/>
    <x v="0"/>
    <x v="78"/>
    <x v="3"/>
    <x v="0"/>
    <n v="6"/>
    <n v="3225"/>
    <n v="19350"/>
    <n v="2500"/>
    <n v="15000"/>
    <n v="4350"/>
    <n v="0.22480620155038761"/>
  </r>
  <r>
    <x v="126"/>
    <s v="ORD-01764"/>
    <x v="1"/>
    <x v="4"/>
    <x v="72"/>
    <x v="1"/>
    <x v="1"/>
    <n v="10"/>
    <n v="59850"/>
    <n v="598500"/>
    <n v="45000"/>
    <n v="450000"/>
    <n v="148500"/>
    <n v="0.24812030075187969"/>
  </r>
  <r>
    <x v="126"/>
    <s v="ORD-01765"/>
    <x v="0"/>
    <x v="2"/>
    <x v="63"/>
    <x v="5"/>
    <x v="3"/>
    <n v="3"/>
    <n v="744"/>
    <n v="2232"/>
    <n v="600"/>
    <n v="1800"/>
    <n v="432"/>
    <n v="0.19354838709677419"/>
  </r>
  <r>
    <x v="126"/>
    <s v="ORD-01766"/>
    <x v="2"/>
    <x v="2"/>
    <x v="108"/>
    <x v="1"/>
    <x v="1"/>
    <n v="2"/>
    <n v="54000"/>
    <n v="108000"/>
    <n v="45000"/>
    <n v="90000"/>
    <n v="18000"/>
    <n v="0.16666666666666666"/>
  </r>
  <r>
    <x v="126"/>
    <s v="ORD-01767"/>
    <x v="3"/>
    <x v="1"/>
    <x v="113"/>
    <x v="6"/>
    <x v="3"/>
    <n v="2"/>
    <n v="1179"/>
    <n v="2358"/>
    <n v="900"/>
    <n v="1800"/>
    <n v="558"/>
    <n v="0.23664122137404581"/>
  </r>
  <r>
    <x v="126"/>
    <s v="ORD-01768"/>
    <x v="0"/>
    <x v="1"/>
    <x v="33"/>
    <x v="0"/>
    <x v="0"/>
    <n v="5"/>
    <n v="4128"/>
    <n v="20640"/>
    <n v="3200"/>
    <n v="16000"/>
    <n v="4640"/>
    <n v="0.22480620155038761"/>
  </r>
  <r>
    <x v="126"/>
    <s v="ORD-01769"/>
    <x v="0"/>
    <x v="4"/>
    <x v="44"/>
    <x v="1"/>
    <x v="1"/>
    <n v="4"/>
    <n v="55800"/>
    <n v="223200"/>
    <n v="45000"/>
    <n v="180000"/>
    <n v="43200"/>
    <n v="0.19354838709677419"/>
  </r>
  <r>
    <x v="126"/>
    <s v="ORD-01770"/>
    <x v="2"/>
    <x v="3"/>
    <x v="37"/>
    <x v="7"/>
    <x v="2"/>
    <n v="2"/>
    <n v="9940"/>
    <n v="19880"/>
    <n v="7000"/>
    <n v="14000"/>
    <n v="5880"/>
    <n v="0.29577464788732394"/>
  </r>
  <r>
    <x v="126"/>
    <s v="ORD-01771"/>
    <x v="1"/>
    <x v="5"/>
    <x v="28"/>
    <x v="5"/>
    <x v="3"/>
    <n v="4"/>
    <n v="744"/>
    <n v="2976"/>
    <n v="600"/>
    <n v="2400"/>
    <n v="576"/>
    <n v="0.19354838709677419"/>
  </r>
  <r>
    <x v="126"/>
    <s v="ORD-01772"/>
    <x v="2"/>
    <x v="5"/>
    <x v="73"/>
    <x v="6"/>
    <x v="3"/>
    <n v="10"/>
    <n v="1116"/>
    <n v="11160"/>
    <n v="900"/>
    <n v="9000"/>
    <n v="2160"/>
    <n v="0.19354838709677419"/>
  </r>
  <r>
    <x v="126"/>
    <s v="ORD-01773"/>
    <x v="0"/>
    <x v="0"/>
    <x v="22"/>
    <x v="7"/>
    <x v="2"/>
    <n v="5"/>
    <n v="8610"/>
    <n v="43050"/>
    <n v="7000"/>
    <n v="35000"/>
    <n v="8050"/>
    <n v="0.18699186991869918"/>
  </r>
  <r>
    <x v="126"/>
    <s v="ORD-01774"/>
    <x v="2"/>
    <x v="2"/>
    <x v="105"/>
    <x v="0"/>
    <x v="0"/>
    <n v="9"/>
    <n v="4288"/>
    <n v="38592"/>
    <n v="3200"/>
    <n v="28800"/>
    <n v="9792"/>
    <n v="0.2537313432835821"/>
  </r>
  <r>
    <x v="126"/>
    <s v="ORD-01775"/>
    <x v="3"/>
    <x v="1"/>
    <x v="111"/>
    <x v="6"/>
    <x v="3"/>
    <n v="10"/>
    <n v="1269"/>
    <n v="12690"/>
    <n v="900"/>
    <n v="9000"/>
    <n v="3690"/>
    <n v="0.29078014184397161"/>
  </r>
  <r>
    <x v="126"/>
    <s v="ORD-01776"/>
    <x v="0"/>
    <x v="4"/>
    <x v="45"/>
    <x v="7"/>
    <x v="2"/>
    <n v="1"/>
    <n v="8750"/>
    <n v="8750"/>
    <n v="7000"/>
    <n v="7000"/>
    <n v="1750"/>
    <n v="0.2"/>
  </r>
  <r>
    <x v="127"/>
    <s v="ORD-01777"/>
    <x v="1"/>
    <x v="4"/>
    <x v="137"/>
    <x v="3"/>
    <x v="0"/>
    <n v="6"/>
    <n v="3200"/>
    <n v="19200"/>
    <n v="2500"/>
    <n v="15000"/>
    <n v="4200"/>
    <n v="0.21875"/>
  </r>
  <r>
    <x v="127"/>
    <s v="ORD-01778"/>
    <x v="1"/>
    <x v="4"/>
    <x v="46"/>
    <x v="7"/>
    <x v="2"/>
    <n v="7"/>
    <n v="8540"/>
    <n v="59780"/>
    <n v="7000"/>
    <n v="49000"/>
    <n v="10780"/>
    <n v="0.18032786885245902"/>
  </r>
  <r>
    <x v="127"/>
    <s v="ORD-01779"/>
    <x v="0"/>
    <x v="1"/>
    <x v="147"/>
    <x v="0"/>
    <x v="0"/>
    <n v="8"/>
    <n v="4000"/>
    <n v="32000"/>
    <n v="3200"/>
    <n v="25600"/>
    <n v="6400"/>
    <n v="0.2"/>
  </r>
  <r>
    <x v="127"/>
    <s v="ORD-01780"/>
    <x v="1"/>
    <x v="0"/>
    <x v="82"/>
    <x v="5"/>
    <x v="3"/>
    <n v="9"/>
    <n v="804"/>
    <n v="7236"/>
    <n v="600"/>
    <n v="5400"/>
    <n v="1836"/>
    <n v="0.2537313432835821"/>
  </r>
  <r>
    <x v="127"/>
    <s v="ORD-01781"/>
    <x v="1"/>
    <x v="2"/>
    <x v="51"/>
    <x v="1"/>
    <x v="1"/>
    <n v="3"/>
    <n v="59400"/>
    <n v="178200"/>
    <n v="45000"/>
    <n v="135000"/>
    <n v="43200"/>
    <n v="0.24242424242424243"/>
  </r>
  <r>
    <x v="127"/>
    <s v="ORD-01782"/>
    <x v="1"/>
    <x v="2"/>
    <x v="56"/>
    <x v="0"/>
    <x v="0"/>
    <n v="9"/>
    <n v="4128"/>
    <n v="37152"/>
    <n v="3200"/>
    <n v="28800"/>
    <n v="8352"/>
    <n v="0.22480620155038761"/>
  </r>
  <r>
    <x v="127"/>
    <s v="ORD-01783"/>
    <x v="1"/>
    <x v="1"/>
    <x v="18"/>
    <x v="6"/>
    <x v="3"/>
    <n v="6"/>
    <n v="1179"/>
    <n v="7074"/>
    <n v="900"/>
    <n v="5400"/>
    <n v="1674"/>
    <n v="0.23664122137404581"/>
  </r>
  <r>
    <x v="127"/>
    <s v="ORD-01784"/>
    <x v="2"/>
    <x v="4"/>
    <x v="51"/>
    <x v="5"/>
    <x v="3"/>
    <n v="7"/>
    <n v="720"/>
    <n v="5040"/>
    <n v="600"/>
    <n v="4200"/>
    <n v="840"/>
    <n v="0.16666666666666666"/>
  </r>
  <r>
    <x v="127"/>
    <s v="ORD-01785"/>
    <x v="3"/>
    <x v="4"/>
    <x v="124"/>
    <x v="7"/>
    <x v="2"/>
    <n v="2"/>
    <n v="9170"/>
    <n v="18340"/>
    <n v="7000"/>
    <n v="14000"/>
    <n v="4340"/>
    <n v="0.23664122137404581"/>
  </r>
  <r>
    <x v="127"/>
    <s v="ORD-01786"/>
    <x v="2"/>
    <x v="5"/>
    <x v="23"/>
    <x v="3"/>
    <x v="0"/>
    <n v="2"/>
    <n v="3175"/>
    <n v="6350"/>
    <n v="2500"/>
    <n v="5000"/>
    <n v="1350"/>
    <n v="0.2125984251968504"/>
  </r>
  <r>
    <x v="127"/>
    <s v="ORD-01787"/>
    <x v="1"/>
    <x v="4"/>
    <x v="138"/>
    <x v="3"/>
    <x v="0"/>
    <n v="6"/>
    <n v="3125"/>
    <n v="18750"/>
    <n v="2500"/>
    <n v="15000"/>
    <n v="3750"/>
    <n v="0.2"/>
  </r>
  <r>
    <x v="127"/>
    <s v="ORD-01788"/>
    <x v="3"/>
    <x v="0"/>
    <x v="144"/>
    <x v="5"/>
    <x v="3"/>
    <n v="4"/>
    <n v="768"/>
    <n v="3072"/>
    <n v="600"/>
    <n v="2400"/>
    <n v="672"/>
    <n v="0.21875"/>
  </r>
  <r>
    <x v="127"/>
    <s v="ORD-01789"/>
    <x v="1"/>
    <x v="5"/>
    <x v="55"/>
    <x v="7"/>
    <x v="2"/>
    <n v="2"/>
    <n v="8470"/>
    <n v="16940"/>
    <n v="7000"/>
    <n v="14000"/>
    <n v="2940"/>
    <n v="0.17355371900826447"/>
  </r>
  <r>
    <x v="127"/>
    <s v="ORD-01790"/>
    <x v="3"/>
    <x v="3"/>
    <x v="94"/>
    <x v="2"/>
    <x v="1"/>
    <n v="9"/>
    <n v="53960"/>
    <n v="485640"/>
    <n v="38000"/>
    <n v="342000"/>
    <n v="143640"/>
    <n v="0.29577464788732394"/>
  </r>
  <r>
    <x v="128"/>
    <s v="ORD-01791"/>
    <x v="3"/>
    <x v="3"/>
    <x v="51"/>
    <x v="2"/>
    <x v="1"/>
    <n v="10"/>
    <n v="50920"/>
    <n v="509200"/>
    <n v="38000"/>
    <n v="380000"/>
    <n v="129200"/>
    <n v="0.2537313432835821"/>
  </r>
  <r>
    <x v="128"/>
    <s v="ORD-01792"/>
    <x v="3"/>
    <x v="3"/>
    <x v="102"/>
    <x v="6"/>
    <x v="3"/>
    <n v="2"/>
    <n v="1080"/>
    <n v="2160"/>
    <n v="900"/>
    <n v="1800"/>
    <n v="360"/>
    <n v="0.16666666666666666"/>
  </r>
  <r>
    <x v="128"/>
    <s v="ORD-01793"/>
    <x v="0"/>
    <x v="4"/>
    <x v="58"/>
    <x v="2"/>
    <x v="1"/>
    <n v="4"/>
    <n v="52439.999999999993"/>
    <n v="209759.99999999997"/>
    <n v="38000"/>
    <n v="152000"/>
    <n v="57759.999999999971"/>
    <n v="0.2753623188405796"/>
  </r>
  <r>
    <x v="128"/>
    <s v="ORD-01794"/>
    <x v="2"/>
    <x v="5"/>
    <x v="62"/>
    <x v="7"/>
    <x v="2"/>
    <n v="10"/>
    <n v="8680"/>
    <n v="86800"/>
    <n v="7000"/>
    <n v="70000"/>
    <n v="16800"/>
    <n v="0.19354838709677419"/>
  </r>
  <r>
    <x v="128"/>
    <s v="ORD-01795"/>
    <x v="0"/>
    <x v="5"/>
    <x v="121"/>
    <x v="6"/>
    <x v="3"/>
    <n v="10"/>
    <n v="1242"/>
    <n v="12420"/>
    <n v="900"/>
    <n v="9000"/>
    <n v="3420"/>
    <n v="0.27536231884057971"/>
  </r>
  <r>
    <x v="128"/>
    <s v="ORD-01796"/>
    <x v="3"/>
    <x v="0"/>
    <x v="98"/>
    <x v="2"/>
    <x v="1"/>
    <n v="9"/>
    <n v="50920"/>
    <n v="458280"/>
    <n v="38000"/>
    <n v="342000"/>
    <n v="116280"/>
    <n v="0.2537313432835821"/>
  </r>
  <r>
    <x v="128"/>
    <s v="ORD-01797"/>
    <x v="1"/>
    <x v="0"/>
    <x v="124"/>
    <x v="1"/>
    <x v="1"/>
    <n v="6"/>
    <n v="65250"/>
    <n v="391500"/>
    <n v="45000"/>
    <n v="270000"/>
    <n v="121500"/>
    <n v="0.31034482758620691"/>
  </r>
  <r>
    <x v="128"/>
    <s v="ORD-01798"/>
    <x v="3"/>
    <x v="4"/>
    <x v="32"/>
    <x v="7"/>
    <x v="2"/>
    <n v="2"/>
    <n v="8680"/>
    <n v="17360"/>
    <n v="7000"/>
    <n v="14000"/>
    <n v="3360"/>
    <n v="0.19354838709677419"/>
  </r>
  <r>
    <x v="128"/>
    <s v="ORD-01799"/>
    <x v="0"/>
    <x v="0"/>
    <x v="100"/>
    <x v="4"/>
    <x v="2"/>
    <n v="2"/>
    <n v="11559.999999999998"/>
    <n v="23119.999999999996"/>
    <n v="8500"/>
    <n v="17000"/>
    <n v="6119.9999999999964"/>
    <n v="0.26470588235294107"/>
  </r>
  <r>
    <x v="128"/>
    <s v="ORD-01800"/>
    <x v="0"/>
    <x v="5"/>
    <x v="62"/>
    <x v="1"/>
    <x v="1"/>
    <n v="3"/>
    <n v="63900"/>
    <n v="191700"/>
    <n v="45000"/>
    <n v="135000"/>
    <n v="56700"/>
    <n v="0.29577464788732394"/>
  </r>
  <r>
    <x v="128"/>
    <s v="ORD-01801"/>
    <x v="1"/>
    <x v="4"/>
    <x v="83"/>
    <x v="6"/>
    <x v="3"/>
    <n v="4"/>
    <n v="1134"/>
    <n v="4536"/>
    <n v="900"/>
    <n v="3600"/>
    <n v="936"/>
    <n v="0.20634920634920634"/>
  </r>
  <r>
    <x v="128"/>
    <s v="ORD-01802"/>
    <x v="0"/>
    <x v="1"/>
    <x v="148"/>
    <x v="2"/>
    <x v="1"/>
    <n v="8"/>
    <n v="54720"/>
    <n v="437760"/>
    <n v="38000"/>
    <n v="304000"/>
    <n v="133760"/>
    <n v="0.30555555555555558"/>
  </r>
  <r>
    <x v="128"/>
    <s v="ORD-01803"/>
    <x v="1"/>
    <x v="2"/>
    <x v="72"/>
    <x v="7"/>
    <x v="2"/>
    <n v="4"/>
    <n v="9170"/>
    <n v="36680"/>
    <n v="7000"/>
    <n v="28000"/>
    <n v="8680"/>
    <n v="0.23664122137404581"/>
  </r>
  <r>
    <x v="128"/>
    <s v="ORD-01804"/>
    <x v="3"/>
    <x v="4"/>
    <x v="32"/>
    <x v="1"/>
    <x v="1"/>
    <n v="6"/>
    <n v="61199.999999999993"/>
    <n v="367199.99999999994"/>
    <n v="45000"/>
    <n v="270000"/>
    <n v="97199.999999999942"/>
    <n v="0.26470588235294107"/>
  </r>
  <r>
    <x v="129"/>
    <s v="ORD-01805"/>
    <x v="2"/>
    <x v="3"/>
    <x v="82"/>
    <x v="3"/>
    <x v="0"/>
    <n v="5"/>
    <n v="3200"/>
    <n v="16000"/>
    <n v="2500"/>
    <n v="12500"/>
    <n v="3500"/>
    <n v="0.21875"/>
  </r>
  <r>
    <x v="129"/>
    <s v="ORD-01806"/>
    <x v="1"/>
    <x v="0"/>
    <x v="77"/>
    <x v="2"/>
    <x v="1"/>
    <n v="8"/>
    <n v="50540"/>
    <n v="404320"/>
    <n v="38000"/>
    <n v="304000"/>
    <n v="100320"/>
    <n v="0.24812030075187969"/>
  </r>
  <r>
    <x v="129"/>
    <s v="ORD-01807"/>
    <x v="1"/>
    <x v="0"/>
    <x v="61"/>
    <x v="1"/>
    <x v="1"/>
    <n v="4"/>
    <n v="54450"/>
    <n v="217800"/>
    <n v="45000"/>
    <n v="180000"/>
    <n v="37800"/>
    <n v="0.17355371900826447"/>
  </r>
  <r>
    <x v="129"/>
    <s v="ORD-01808"/>
    <x v="3"/>
    <x v="0"/>
    <x v="34"/>
    <x v="0"/>
    <x v="0"/>
    <n v="1"/>
    <n v="4096"/>
    <n v="4096"/>
    <n v="3200"/>
    <n v="3200"/>
    <n v="896"/>
    <n v="0.21875"/>
  </r>
  <r>
    <x v="129"/>
    <s v="ORD-01809"/>
    <x v="0"/>
    <x v="5"/>
    <x v="143"/>
    <x v="5"/>
    <x v="3"/>
    <n v="6"/>
    <n v="870"/>
    <n v="5220"/>
    <n v="600"/>
    <n v="3600"/>
    <n v="1620"/>
    <n v="0.31034482758620691"/>
  </r>
  <r>
    <x v="129"/>
    <s v="ORD-01810"/>
    <x v="1"/>
    <x v="0"/>
    <x v="139"/>
    <x v="4"/>
    <x v="2"/>
    <n v="2"/>
    <n v="11645"/>
    <n v="23290"/>
    <n v="8500"/>
    <n v="17000"/>
    <n v="6290"/>
    <n v="0.27007299270072993"/>
  </r>
  <r>
    <x v="129"/>
    <s v="ORD-01811"/>
    <x v="2"/>
    <x v="3"/>
    <x v="86"/>
    <x v="4"/>
    <x v="2"/>
    <n v="5"/>
    <n v="12240"/>
    <n v="61200"/>
    <n v="8500"/>
    <n v="42500"/>
    <n v="18700"/>
    <n v="0.30555555555555558"/>
  </r>
  <r>
    <x v="129"/>
    <s v="ORD-01812"/>
    <x v="3"/>
    <x v="2"/>
    <x v="22"/>
    <x v="6"/>
    <x v="3"/>
    <n v="10"/>
    <n v="1305"/>
    <n v="13050"/>
    <n v="900"/>
    <n v="9000"/>
    <n v="4050"/>
    <n v="0.31034482758620691"/>
  </r>
  <r>
    <x v="129"/>
    <s v="ORD-01813"/>
    <x v="3"/>
    <x v="3"/>
    <x v="3"/>
    <x v="6"/>
    <x v="3"/>
    <n v="5"/>
    <n v="1305"/>
    <n v="6525"/>
    <n v="900"/>
    <n v="4500"/>
    <n v="2025"/>
    <n v="0.31034482758620691"/>
  </r>
  <r>
    <x v="129"/>
    <s v="ORD-01814"/>
    <x v="1"/>
    <x v="5"/>
    <x v="124"/>
    <x v="5"/>
    <x v="3"/>
    <n v="1"/>
    <n v="738"/>
    <n v="738"/>
    <n v="600"/>
    <n v="600"/>
    <n v="138"/>
    <n v="0.18699186991869918"/>
  </r>
  <r>
    <x v="129"/>
    <s v="ORD-01815"/>
    <x v="1"/>
    <x v="0"/>
    <x v="35"/>
    <x v="4"/>
    <x v="2"/>
    <n v="9"/>
    <n v="10455"/>
    <n v="94095"/>
    <n v="8500"/>
    <n v="76500"/>
    <n v="17595"/>
    <n v="0.18699186991869918"/>
  </r>
  <r>
    <x v="129"/>
    <s v="ORD-01816"/>
    <x v="2"/>
    <x v="0"/>
    <x v="113"/>
    <x v="4"/>
    <x v="2"/>
    <n v="8"/>
    <n v="12070"/>
    <n v="96560"/>
    <n v="8500"/>
    <n v="68000"/>
    <n v="28560"/>
    <n v="0.29577464788732394"/>
  </r>
  <r>
    <x v="129"/>
    <s v="ORD-01817"/>
    <x v="0"/>
    <x v="1"/>
    <x v="64"/>
    <x v="3"/>
    <x v="0"/>
    <n v="3"/>
    <n v="3325"/>
    <n v="9975"/>
    <n v="2500"/>
    <n v="7500"/>
    <n v="2475"/>
    <n v="0.24812030075187969"/>
  </r>
  <r>
    <x v="129"/>
    <s v="ORD-01818"/>
    <x v="1"/>
    <x v="4"/>
    <x v="31"/>
    <x v="6"/>
    <x v="3"/>
    <n v="7"/>
    <n v="1089"/>
    <n v="7623"/>
    <n v="900"/>
    <n v="6300"/>
    <n v="1323"/>
    <n v="0.17355371900826447"/>
  </r>
  <r>
    <x v="130"/>
    <s v="ORD-01819"/>
    <x v="0"/>
    <x v="4"/>
    <x v="102"/>
    <x v="1"/>
    <x v="1"/>
    <n v="5"/>
    <n v="60300"/>
    <n v="301500"/>
    <n v="45000"/>
    <n v="225000"/>
    <n v="76500"/>
    <n v="0.2537313432835821"/>
  </r>
  <r>
    <x v="130"/>
    <s v="ORD-01820"/>
    <x v="0"/>
    <x v="1"/>
    <x v="116"/>
    <x v="6"/>
    <x v="3"/>
    <n v="7"/>
    <n v="1206"/>
    <n v="8442"/>
    <n v="900"/>
    <n v="6300"/>
    <n v="2142"/>
    <n v="0.2537313432835821"/>
  </r>
  <r>
    <x v="130"/>
    <s v="ORD-01821"/>
    <x v="1"/>
    <x v="1"/>
    <x v="94"/>
    <x v="7"/>
    <x v="2"/>
    <n v="4"/>
    <n v="10010"/>
    <n v="40040"/>
    <n v="7000"/>
    <n v="28000"/>
    <n v="12040"/>
    <n v="0.30069930069930068"/>
  </r>
  <r>
    <x v="130"/>
    <s v="ORD-01822"/>
    <x v="2"/>
    <x v="0"/>
    <x v="135"/>
    <x v="0"/>
    <x v="0"/>
    <n v="6"/>
    <n v="3872"/>
    <n v="23232"/>
    <n v="3200"/>
    <n v="19200"/>
    <n v="4032"/>
    <n v="0.17355371900826447"/>
  </r>
  <r>
    <x v="130"/>
    <s v="ORD-01823"/>
    <x v="2"/>
    <x v="0"/>
    <x v="104"/>
    <x v="6"/>
    <x v="3"/>
    <n v="1"/>
    <n v="1125"/>
    <n v="1125"/>
    <n v="900"/>
    <n v="900"/>
    <n v="225"/>
    <n v="0.2"/>
  </r>
  <r>
    <x v="130"/>
    <s v="ORD-01824"/>
    <x v="3"/>
    <x v="2"/>
    <x v="103"/>
    <x v="0"/>
    <x v="0"/>
    <n v="2"/>
    <n v="4192"/>
    <n v="8384"/>
    <n v="3200"/>
    <n v="6400"/>
    <n v="1984"/>
    <n v="0.23664122137404581"/>
  </r>
  <r>
    <x v="130"/>
    <s v="ORD-01825"/>
    <x v="3"/>
    <x v="0"/>
    <x v="65"/>
    <x v="2"/>
    <x v="1"/>
    <n v="2"/>
    <n v="46360"/>
    <n v="92720"/>
    <n v="38000"/>
    <n v="76000"/>
    <n v="16720"/>
    <n v="0.18032786885245902"/>
  </r>
  <r>
    <x v="130"/>
    <s v="ORD-01826"/>
    <x v="3"/>
    <x v="4"/>
    <x v="102"/>
    <x v="2"/>
    <x v="1"/>
    <n v="5"/>
    <n v="49020"/>
    <n v="245100"/>
    <n v="38000"/>
    <n v="190000"/>
    <n v="55100"/>
    <n v="0.22480620155038761"/>
  </r>
  <r>
    <x v="130"/>
    <s v="ORD-01827"/>
    <x v="3"/>
    <x v="3"/>
    <x v="1"/>
    <x v="2"/>
    <x v="1"/>
    <n v="6"/>
    <n v="52439.999999999993"/>
    <n v="314639.99999999994"/>
    <n v="38000"/>
    <n v="228000"/>
    <n v="86639.999999999942"/>
    <n v="0.2753623188405796"/>
  </r>
  <r>
    <x v="130"/>
    <s v="ORD-01828"/>
    <x v="2"/>
    <x v="3"/>
    <x v="100"/>
    <x v="2"/>
    <x v="1"/>
    <n v="1"/>
    <n v="45600"/>
    <n v="45600"/>
    <n v="38000"/>
    <n v="38000"/>
    <n v="7600"/>
    <n v="0.16666666666666666"/>
  </r>
  <r>
    <x v="130"/>
    <s v="ORD-01829"/>
    <x v="2"/>
    <x v="1"/>
    <x v="17"/>
    <x v="6"/>
    <x v="3"/>
    <n v="6"/>
    <n v="1305"/>
    <n v="7830"/>
    <n v="900"/>
    <n v="5400"/>
    <n v="2430"/>
    <n v="0.31034482758620691"/>
  </r>
  <r>
    <x v="130"/>
    <s v="ORD-01830"/>
    <x v="3"/>
    <x v="0"/>
    <x v="85"/>
    <x v="3"/>
    <x v="0"/>
    <n v="10"/>
    <n v="3625"/>
    <n v="36250"/>
    <n v="2500"/>
    <n v="25000"/>
    <n v="11250"/>
    <n v="0.31034482758620691"/>
  </r>
  <r>
    <x v="130"/>
    <s v="ORD-01831"/>
    <x v="2"/>
    <x v="0"/>
    <x v="129"/>
    <x v="4"/>
    <x v="2"/>
    <n v="9"/>
    <n v="11645"/>
    <n v="104805"/>
    <n v="8500"/>
    <n v="76500"/>
    <n v="28305"/>
    <n v="0.27007299270072993"/>
  </r>
  <r>
    <x v="130"/>
    <s v="ORD-01832"/>
    <x v="3"/>
    <x v="5"/>
    <x v="104"/>
    <x v="2"/>
    <x v="1"/>
    <n v="2"/>
    <n v="50160"/>
    <n v="100320"/>
    <n v="38000"/>
    <n v="76000"/>
    <n v="24320"/>
    <n v="0.24242424242424243"/>
  </r>
  <r>
    <x v="131"/>
    <s v="ORD-01833"/>
    <x v="1"/>
    <x v="3"/>
    <x v="149"/>
    <x v="5"/>
    <x v="3"/>
    <n v="5"/>
    <n v="726"/>
    <n v="3630"/>
    <n v="600"/>
    <n v="3000"/>
    <n v="630"/>
    <n v="0.17355371900826447"/>
  </r>
  <r>
    <x v="131"/>
    <s v="ORD-01834"/>
    <x v="2"/>
    <x v="0"/>
    <x v="23"/>
    <x v="7"/>
    <x v="2"/>
    <n v="3"/>
    <n v="9940"/>
    <n v="29820"/>
    <n v="7000"/>
    <n v="21000"/>
    <n v="8820"/>
    <n v="0.29577464788732394"/>
  </r>
  <r>
    <x v="131"/>
    <s v="ORD-01835"/>
    <x v="3"/>
    <x v="3"/>
    <x v="79"/>
    <x v="6"/>
    <x v="3"/>
    <n v="7"/>
    <n v="1098"/>
    <n v="7686"/>
    <n v="900"/>
    <n v="6300"/>
    <n v="1386"/>
    <n v="0.18032786885245902"/>
  </r>
  <r>
    <x v="131"/>
    <s v="ORD-01836"/>
    <x v="3"/>
    <x v="0"/>
    <x v="26"/>
    <x v="5"/>
    <x v="3"/>
    <n v="1"/>
    <n v="798"/>
    <n v="798"/>
    <n v="600"/>
    <n v="600"/>
    <n v="198"/>
    <n v="0.24812030075187969"/>
  </r>
  <r>
    <x v="131"/>
    <s v="ORD-01837"/>
    <x v="2"/>
    <x v="5"/>
    <x v="64"/>
    <x v="3"/>
    <x v="0"/>
    <n v="4"/>
    <n v="3600"/>
    <n v="14400"/>
    <n v="2500"/>
    <n v="10000"/>
    <n v="4400"/>
    <n v="0.30555555555555558"/>
  </r>
  <r>
    <x v="131"/>
    <s v="ORD-01838"/>
    <x v="2"/>
    <x v="0"/>
    <x v="51"/>
    <x v="2"/>
    <x v="1"/>
    <n v="7"/>
    <n v="54720"/>
    <n v="383040"/>
    <n v="38000"/>
    <n v="266000"/>
    <n v="117040"/>
    <n v="0.30555555555555558"/>
  </r>
  <r>
    <x v="131"/>
    <s v="ORD-01839"/>
    <x v="0"/>
    <x v="4"/>
    <x v="131"/>
    <x v="2"/>
    <x v="1"/>
    <n v="3"/>
    <n v="45600"/>
    <n v="136800"/>
    <n v="38000"/>
    <n v="114000"/>
    <n v="22800"/>
    <n v="0.16666666666666666"/>
  </r>
  <r>
    <x v="131"/>
    <s v="ORD-01840"/>
    <x v="0"/>
    <x v="0"/>
    <x v="38"/>
    <x v="6"/>
    <x v="3"/>
    <n v="2"/>
    <n v="1170"/>
    <n v="2340"/>
    <n v="900"/>
    <n v="1800"/>
    <n v="540"/>
    <n v="0.23076923076923078"/>
  </r>
  <r>
    <x v="131"/>
    <s v="ORD-01841"/>
    <x v="0"/>
    <x v="4"/>
    <x v="124"/>
    <x v="7"/>
    <x v="2"/>
    <n v="3"/>
    <n v="8680"/>
    <n v="26040"/>
    <n v="7000"/>
    <n v="21000"/>
    <n v="5040"/>
    <n v="0.19354838709677419"/>
  </r>
  <r>
    <x v="131"/>
    <s v="ORD-01842"/>
    <x v="1"/>
    <x v="4"/>
    <x v="23"/>
    <x v="4"/>
    <x v="2"/>
    <n v="8"/>
    <n v="11135"/>
    <n v="89080"/>
    <n v="8500"/>
    <n v="68000"/>
    <n v="21080"/>
    <n v="0.23664122137404581"/>
  </r>
  <r>
    <x v="131"/>
    <s v="ORD-01843"/>
    <x v="2"/>
    <x v="5"/>
    <x v="125"/>
    <x v="2"/>
    <x v="1"/>
    <n v="9"/>
    <n v="49400"/>
    <n v="444600"/>
    <n v="38000"/>
    <n v="342000"/>
    <n v="102600"/>
    <n v="0.23076923076923078"/>
  </r>
  <r>
    <x v="131"/>
    <s v="ORD-01844"/>
    <x v="0"/>
    <x v="1"/>
    <x v="44"/>
    <x v="5"/>
    <x v="3"/>
    <n v="3"/>
    <n v="810"/>
    <n v="2430"/>
    <n v="600"/>
    <n v="1800"/>
    <n v="630"/>
    <n v="0.25925925925925924"/>
  </r>
  <r>
    <x v="131"/>
    <s v="ORD-01845"/>
    <x v="2"/>
    <x v="0"/>
    <x v="67"/>
    <x v="0"/>
    <x v="0"/>
    <n v="4"/>
    <n v="4480"/>
    <n v="17920"/>
    <n v="3200"/>
    <n v="12800"/>
    <n v="5120"/>
    <n v="0.2857142857142857"/>
  </r>
  <r>
    <x v="131"/>
    <s v="ORD-01846"/>
    <x v="0"/>
    <x v="2"/>
    <x v="9"/>
    <x v="2"/>
    <x v="1"/>
    <n v="8"/>
    <n v="46360"/>
    <n v="370880"/>
    <n v="38000"/>
    <n v="304000"/>
    <n v="66880"/>
    <n v="0.18032786885245902"/>
  </r>
  <r>
    <x v="132"/>
    <s v="ORD-01847"/>
    <x v="3"/>
    <x v="3"/>
    <x v="71"/>
    <x v="6"/>
    <x v="3"/>
    <n v="9"/>
    <n v="1260"/>
    <n v="11340"/>
    <n v="900"/>
    <n v="8100"/>
    <n v="3240"/>
    <n v="0.2857142857142857"/>
  </r>
  <r>
    <x v="132"/>
    <s v="ORD-01848"/>
    <x v="3"/>
    <x v="4"/>
    <x v="143"/>
    <x v="1"/>
    <x v="1"/>
    <n v="10"/>
    <n v="60300"/>
    <n v="603000"/>
    <n v="45000"/>
    <n v="450000"/>
    <n v="153000"/>
    <n v="0.2537313432835821"/>
  </r>
  <r>
    <x v="132"/>
    <s v="ORD-01849"/>
    <x v="1"/>
    <x v="5"/>
    <x v="126"/>
    <x v="0"/>
    <x v="0"/>
    <n v="4"/>
    <n v="4000"/>
    <n v="16000"/>
    <n v="3200"/>
    <n v="12800"/>
    <n v="3200"/>
    <n v="0.2"/>
  </r>
  <r>
    <x v="132"/>
    <s v="ORD-01850"/>
    <x v="1"/>
    <x v="5"/>
    <x v="25"/>
    <x v="0"/>
    <x v="0"/>
    <n v="1"/>
    <n v="4192"/>
    <n v="4192"/>
    <n v="3200"/>
    <n v="3200"/>
    <n v="992"/>
    <n v="0.23664122137404581"/>
  </r>
  <r>
    <x v="132"/>
    <s v="ORD-01851"/>
    <x v="1"/>
    <x v="0"/>
    <x v="135"/>
    <x v="3"/>
    <x v="0"/>
    <n v="2"/>
    <n v="3125"/>
    <n v="6250"/>
    <n v="2500"/>
    <n v="5000"/>
    <n v="1250"/>
    <n v="0.2"/>
  </r>
  <r>
    <x v="132"/>
    <s v="ORD-01852"/>
    <x v="0"/>
    <x v="0"/>
    <x v="53"/>
    <x v="1"/>
    <x v="1"/>
    <n v="2"/>
    <n v="64350"/>
    <n v="128700"/>
    <n v="45000"/>
    <n v="90000"/>
    <n v="38700"/>
    <n v="0.30069930069930068"/>
  </r>
  <r>
    <x v="132"/>
    <s v="ORD-01853"/>
    <x v="1"/>
    <x v="3"/>
    <x v="91"/>
    <x v="3"/>
    <x v="0"/>
    <n v="3"/>
    <n v="3300"/>
    <n v="9900"/>
    <n v="2500"/>
    <n v="7500"/>
    <n v="2400"/>
    <n v="0.24242424242424243"/>
  </r>
  <r>
    <x v="132"/>
    <s v="ORD-01854"/>
    <x v="2"/>
    <x v="4"/>
    <x v="81"/>
    <x v="2"/>
    <x v="1"/>
    <n v="4"/>
    <n v="47120"/>
    <n v="188480"/>
    <n v="38000"/>
    <n v="152000"/>
    <n v="36480"/>
    <n v="0.19354838709677419"/>
  </r>
  <r>
    <x v="132"/>
    <s v="ORD-01855"/>
    <x v="1"/>
    <x v="1"/>
    <x v="84"/>
    <x v="2"/>
    <x v="1"/>
    <n v="8"/>
    <n v="47880"/>
    <n v="383040"/>
    <n v="38000"/>
    <n v="304000"/>
    <n v="79040"/>
    <n v="0.20634920634920634"/>
  </r>
  <r>
    <x v="132"/>
    <s v="ORD-01856"/>
    <x v="3"/>
    <x v="1"/>
    <x v="63"/>
    <x v="6"/>
    <x v="3"/>
    <n v="10"/>
    <n v="1206"/>
    <n v="12060"/>
    <n v="900"/>
    <n v="9000"/>
    <n v="3060"/>
    <n v="0.2537313432835821"/>
  </r>
  <r>
    <x v="132"/>
    <s v="ORD-01857"/>
    <x v="2"/>
    <x v="1"/>
    <x v="133"/>
    <x v="3"/>
    <x v="0"/>
    <n v="10"/>
    <n v="3350"/>
    <n v="33500"/>
    <n v="2500"/>
    <n v="25000"/>
    <n v="8500"/>
    <n v="0.2537313432835821"/>
  </r>
  <r>
    <x v="132"/>
    <s v="ORD-01858"/>
    <x v="2"/>
    <x v="2"/>
    <x v="63"/>
    <x v="7"/>
    <x v="2"/>
    <n v="7"/>
    <n v="8820"/>
    <n v="61740"/>
    <n v="7000"/>
    <n v="49000"/>
    <n v="12740"/>
    <n v="0.20634920634920634"/>
  </r>
  <r>
    <x v="132"/>
    <s v="ORD-01859"/>
    <x v="0"/>
    <x v="3"/>
    <x v="13"/>
    <x v="0"/>
    <x v="0"/>
    <n v="3"/>
    <n v="4544"/>
    <n v="13632"/>
    <n v="3200"/>
    <n v="9600"/>
    <n v="4032"/>
    <n v="0.29577464788732394"/>
  </r>
  <r>
    <x v="132"/>
    <s v="ORD-01860"/>
    <x v="3"/>
    <x v="4"/>
    <x v="23"/>
    <x v="1"/>
    <x v="1"/>
    <n v="10"/>
    <n v="54900"/>
    <n v="549000"/>
    <n v="45000"/>
    <n v="450000"/>
    <n v="99000"/>
    <n v="0.18032786885245902"/>
  </r>
  <r>
    <x v="133"/>
    <s v="ORD-01861"/>
    <x v="0"/>
    <x v="3"/>
    <x v="51"/>
    <x v="1"/>
    <x v="1"/>
    <n v="10"/>
    <n v="54450"/>
    <n v="544500"/>
    <n v="45000"/>
    <n v="450000"/>
    <n v="94500"/>
    <n v="0.17355371900826447"/>
  </r>
  <r>
    <x v="133"/>
    <s v="ORD-01862"/>
    <x v="0"/>
    <x v="2"/>
    <x v="85"/>
    <x v="4"/>
    <x v="2"/>
    <n v="1"/>
    <n v="10625"/>
    <n v="10625"/>
    <n v="8500"/>
    <n v="8500"/>
    <n v="2125"/>
    <n v="0.2"/>
  </r>
  <r>
    <x v="133"/>
    <s v="ORD-01863"/>
    <x v="3"/>
    <x v="0"/>
    <x v="49"/>
    <x v="3"/>
    <x v="0"/>
    <n v="3"/>
    <n v="3050"/>
    <n v="9150"/>
    <n v="2500"/>
    <n v="7500"/>
    <n v="1650"/>
    <n v="0.18032786885245902"/>
  </r>
  <r>
    <x v="133"/>
    <s v="ORD-01864"/>
    <x v="3"/>
    <x v="4"/>
    <x v="83"/>
    <x v="2"/>
    <x v="1"/>
    <n v="6"/>
    <n v="52060.000000000007"/>
    <n v="312360.00000000006"/>
    <n v="38000"/>
    <n v="228000"/>
    <n v="84360.000000000058"/>
    <n v="0.27007299270073004"/>
  </r>
  <r>
    <x v="133"/>
    <s v="ORD-01865"/>
    <x v="0"/>
    <x v="3"/>
    <x v="5"/>
    <x v="0"/>
    <x v="0"/>
    <n v="4"/>
    <n v="4448"/>
    <n v="17792"/>
    <n v="3200"/>
    <n v="12800"/>
    <n v="4992"/>
    <n v="0.2805755395683453"/>
  </r>
  <r>
    <x v="133"/>
    <s v="ORD-01866"/>
    <x v="1"/>
    <x v="3"/>
    <x v="94"/>
    <x v="5"/>
    <x v="3"/>
    <n v="3"/>
    <n v="846"/>
    <n v="2538"/>
    <n v="600"/>
    <n v="1800"/>
    <n v="738"/>
    <n v="0.29078014184397161"/>
  </r>
  <r>
    <x v="133"/>
    <s v="ORD-01867"/>
    <x v="3"/>
    <x v="3"/>
    <x v="48"/>
    <x v="5"/>
    <x v="3"/>
    <n v="9"/>
    <n v="774"/>
    <n v="6966"/>
    <n v="600"/>
    <n v="5400"/>
    <n v="1566"/>
    <n v="0.22480620155038761"/>
  </r>
  <r>
    <x v="133"/>
    <s v="ORD-01868"/>
    <x v="2"/>
    <x v="0"/>
    <x v="100"/>
    <x v="3"/>
    <x v="0"/>
    <n v="10"/>
    <n v="3125"/>
    <n v="31250"/>
    <n v="2500"/>
    <n v="25000"/>
    <n v="6250"/>
    <n v="0.2"/>
  </r>
  <r>
    <x v="133"/>
    <s v="ORD-01869"/>
    <x v="0"/>
    <x v="3"/>
    <x v="104"/>
    <x v="1"/>
    <x v="1"/>
    <n v="9"/>
    <n v="59850"/>
    <n v="538650"/>
    <n v="45000"/>
    <n v="405000"/>
    <n v="133650"/>
    <n v="0.24812030075187969"/>
  </r>
  <r>
    <x v="133"/>
    <s v="ORD-01870"/>
    <x v="3"/>
    <x v="4"/>
    <x v="147"/>
    <x v="6"/>
    <x v="3"/>
    <n v="5"/>
    <n v="1278"/>
    <n v="6390"/>
    <n v="900"/>
    <n v="4500"/>
    <n v="1890"/>
    <n v="0.29577464788732394"/>
  </r>
  <r>
    <x v="133"/>
    <s v="ORD-01871"/>
    <x v="3"/>
    <x v="2"/>
    <x v="113"/>
    <x v="1"/>
    <x v="1"/>
    <n v="1"/>
    <n v="59850"/>
    <n v="59850"/>
    <n v="45000"/>
    <n v="45000"/>
    <n v="14850"/>
    <n v="0.24812030075187969"/>
  </r>
  <r>
    <x v="133"/>
    <s v="ORD-01872"/>
    <x v="1"/>
    <x v="4"/>
    <x v="83"/>
    <x v="5"/>
    <x v="3"/>
    <n v="9"/>
    <n v="738"/>
    <n v="6642"/>
    <n v="600"/>
    <n v="5400"/>
    <n v="1242"/>
    <n v="0.18699186991869918"/>
  </r>
  <r>
    <x v="133"/>
    <s v="ORD-01873"/>
    <x v="2"/>
    <x v="3"/>
    <x v="30"/>
    <x v="2"/>
    <x v="1"/>
    <n v="7"/>
    <n v="52439.999999999993"/>
    <n v="367079.99999999994"/>
    <n v="38000"/>
    <n v="266000"/>
    <n v="101079.99999999994"/>
    <n v="0.2753623188405796"/>
  </r>
  <r>
    <x v="133"/>
    <s v="ORD-01874"/>
    <x v="2"/>
    <x v="5"/>
    <x v="97"/>
    <x v="1"/>
    <x v="1"/>
    <n v="9"/>
    <n v="58950"/>
    <n v="530550"/>
    <n v="45000"/>
    <n v="405000"/>
    <n v="125550"/>
    <n v="0.23664122137404581"/>
  </r>
  <r>
    <x v="134"/>
    <s v="ORD-01875"/>
    <x v="0"/>
    <x v="3"/>
    <x v="93"/>
    <x v="4"/>
    <x v="2"/>
    <n v="4"/>
    <n v="11050"/>
    <n v="44200"/>
    <n v="8500"/>
    <n v="34000"/>
    <n v="10200"/>
    <n v="0.23076923076923078"/>
  </r>
  <r>
    <x v="134"/>
    <s v="ORD-01876"/>
    <x v="3"/>
    <x v="3"/>
    <x v="70"/>
    <x v="3"/>
    <x v="0"/>
    <n v="2"/>
    <n v="3100"/>
    <n v="6200"/>
    <n v="2500"/>
    <n v="5000"/>
    <n v="1200"/>
    <n v="0.19354838709677419"/>
  </r>
  <r>
    <x v="134"/>
    <s v="ORD-01877"/>
    <x v="3"/>
    <x v="1"/>
    <x v="22"/>
    <x v="4"/>
    <x v="2"/>
    <n v="8"/>
    <n v="10370"/>
    <n v="82960"/>
    <n v="8500"/>
    <n v="68000"/>
    <n v="14960"/>
    <n v="0.18032786885245902"/>
  </r>
  <r>
    <x v="134"/>
    <s v="ORD-01878"/>
    <x v="0"/>
    <x v="5"/>
    <x v="116"/>
    <x v="2"/>
    <x v="1"/>
    <n v="1"/>
    <n v="49400"/>
    <n v="49400"/>
    <n v="38000"/>
    <n v="38000"/>
    <n v="11400"/>
    <n v="0.23076923076923078"/>
  </r>
  <r>
    <x v="134"/>
    <s v="ORD-01879"/>
    <x v="0"/>
    <x v="5"/>
    <x v="101"/>
    <x v="5"/>
    <x v="3"/>
    <n v="4"/>
    <n v="780"/>
    <n v="3120"/>
    <n v="600"/>
    <n v="2400"/>
    <n v="720"/>
    <n v="0.23076923076923078"/>
  </r>
  <r>
    <x v="134"/>
    <s v="ORD-01880"/>
    <x v="2"/>
    <x v="0"/>
    <x v="42"/>
    <x v="0"/>
    <x v="0"/>
    <n v="5"/>
    <n v="4224"/>
    <n v="21120"/>
    <n v="3200"/>
    <n v="16000"/>
    <n v="5120"/>
    <n v="0.24242424242424243"/>
  </r>
  <r>
    <x v="134"/>
    <s v="ORD-01881"/>
    <x v="0"/>
    <x v="5"/>
    <x v="133"/>
    <x v="3"/>
    <x v="0"/>
    <n v="5"/>
    <n v="3275"/>
    <n v="16375"/>
    <n v="2500"/>
    <n v="12500"/>
    <n v="3875"/>
    <n v="0.23664122137404581"/>
  </r>
  <r>
    <x v="134"/>
    <s v="ORD-01882"/>
    <x v="0"/>
    <x v="1"/>
    <x v="91"/>
    <x v="2"/>
    <x v="1"/>
    <n v="6"/>
    <n v="52439.999999999993"/>
    <n v="314639.99999999994"/>
    <n v="38000"/>
    <n v="228000"/>
    <n v="86639.999999999942"/>
    <n v="0.2753623188405796"/>
  </r>
  <r>
    <x v="134"/>
    <s v="ORD-01883"/>
    <x v="2"/>
    <x v="3"/>
    <x v="123"/>
    <x v="7"/>
    <x v="2"/>
    <n v="3"/>
    <n v="9310"/>
    <n v="27930"/>
    <n v="7000"/>
    <n v="21000"/>
    <n v="6930"/>
    <n v="0.24812030075187969"/>
  </r>
  <r>
    <x v="134"/>
    <s v="ORD-01884"/>
    <x v="0"/>
    <x v="5"/>
    <x v="21"/>
    <x v="7"/>
    <x v="2"/>
    <n v="6"/>
    <n v="9450"/>
    <n v="56700"/>
    <n v="7000"/>
    <n v="42000"/>
    <n v="14700"/>
    <n v="0.25925925925925924"/>
  </r>
  <r>
    <x v="134"/>
    <s v="ORD-01885"/>
    <x v="3"/>
    <x v="1"/>
    <x v="119"/>
    <x v="6"/>
    <x v="3"/>
    <n v="7"/>
    <n v="1125"/>
    <n v="7875"/>
    <n v="900"/>
    <n v="6300"/>
    <n v="1575"/>
    <n v="0.2"/>
  </r>
  <r>
    <x v="134"/>
    <s v="ORD-01886"/>
    <x v="3"/>
    <x v="0"/>
    <x v="14"/>
    <x v="4"/>
    <x v="2"/>
    <n v="10"/>
    <n v="10285"/>
    <n v="102850"/>
    <n v="8500"/>
    <n v="85000"/>
    <n v="17850"/>
    <n v="0.17355371900826447"/>
  </r>
  <r>
    <x v="134"/>
    <s v="ORD-01887"/>
    <x v="1"/>
    <x v="1"/>
    <x v="127"/>
    <x v="0"/>
    <x v="0"/>
    <n v="3"/>
    <n v="4480"/>
    <n v="13440"/>
    <n v="3200"/>
    <n v="9600"/>
    <n v="3840"/>
    <n v="0.2857142857142857"/>
  </r>
  <r>
    <x v="134"/>
    <s v="ORD-01888"/>
    <x v="1"/>
    <x v="4"/>
    <x v="39"/>
    <x v="4"/>
    <x v="2"/>
    <n v="9"/>
    <n v="10455"/>
    <n v="94095"/>
    <n v="8500"/>
    <n v="76500"/>
    <n v="17595"/>
    <n v="0.18699186991869918"/>
  </r>
  <r>
    <x v="135"/>
    <s v="ORD-01889"/>
    <x v="2"/>
    <x v="1"/>
    <x v="3"/>
    <x v="7"/>
    <x v="2"/>
    <n v="7"/>
    <n v="9730"/>
    <n v="68110"/>
    <n v="7000"/>
    <n v="49000"/>
    <n v="19110"/>
    <n v="0.2805755395683453"/>
  </r>
  <r>
    <x v="135"/>
    <s v="ORD-01890"/>
    <x v="1"/>
    <x v="2"/>
    <x v="80"/>
    <x v="3"/>
    <x v="0"/>
    <n v="8"/>
    <n v="3525"/>
    <n v="28200"/>
    <n v="2500"/>
    <n v="20000"/>
    <n v="8200"/>
    <n v="0.29078014184397161"/>
  </r>
  <r>
    <x v="135"/>
    <s v="ORD-01891"/>
    <x v="0"/>
    <x v="4"/>
    <x v="67"/>
    <x v="7"/>
    <x v="2"/>
    <n v="9"/>
    <n v="8610"/>
    <n v="77490"/>
    <n v="7000"/>
    <n v="63000"/>
    <n v="14490"/>
    <n v="0.18699186991869918"/>
  </r>
  <r>
    <x v="135"/>
    <s v="ORD-01892"/>
    <x v="2"/>
    <x v="0"/>
    <x v="88"/>
    <x v="0"/>
    <x v="0"/>
    <n v="2"/>
    <n v="4512"/>
    <n v="9024"/>
    <n v="3200"/>
    <n v="6400"/>
    <n v="2624"/>
    <n v="0.29078014184397161"/>
  </r>
  <r>
    <x v="135"/>
    <s v="ORD-01893"/>
    <x v="1"/>
    <x v="1"/>
    <x v="73"/>
    <x v="6"/>
    <x v="3"/>
    <n v="2"/>
    <n v="1098"/>
    <n v="2196"/>
    <n v="900"/>
    <n v="1800"/>
    <n v="396"/>
    <n v="0.18032786885245902"/>
  </r>
  <r>
    <x v="135"/>
    <s v="ORD-01894"/>
    <x v="2"/>
    <x v="5"/>
    <x v="71"/>
    <x v="0"/>
    <x v="0"/>
    <n v="6"/>
    <n v="3968"/>
    <n v="23808"/>
    <n v="3200"/>
    <n v="19200"/>
    <n v="4608"/>
    <n v="0.19354838709677419"/>
  </r>
  <r>
    <x v="135"/>
    <s v="ORD-01895"/>
    <x v="0"/>
    <x v="3"/>
    <x v="55"/>
    <x v="2"/>
    <x v="1"/>
    <n v="10"/>
    <n v="50160"/>
    <n v="501600"/>
    <n v="38000"/>
    <n v="380000"/>
    <n v="121600"/>
    <n v="0.24242424242424243"/>
  </r>
  <r>
    <x v="135"/>
    <s v="ORD-01896"/>
    <x v="2"/>
    <x v="4"/>
    <x v="115"/>
    <x v="6"/>
    <x v="3"/>
    <n v="2"/>
    <n v="1296"/>
    <n v="2592"/>
    <n v="900"/>
    <n v="1800"/>
    <n v="792"/>
    <n v="0.30555555555555558"/>
  </r>
  <r>
    <x v="135"/>
    <s v="ORD-01897"/>
    <x v="2"/>
    <x v="5"/>
    <x v="97"/>
    <x v="2"/>
    <x v="1"/>
    <n v="8"/>
    <n v="49020"/>
    <n v="392160"/>
    <n v="38000"/>
    <n v="304000"/>
    <n v="88160"/>
    <n v="0.22480620155038761"/>
  </r>
  <r>
    <x v="135"/>
    <s v="ORD-01898"/>
    <x v="3"/>
    <x v="1"/>
    <x v="28"/>
    <x v="7"/>
    <x v="2"/>
    <n v="8"/>
    <n v="9800"/>
    <n v="78400"/>
    <n v="7000"/>
    <n v="56000"/>
    <n v="22400"/>
    <n v="0.2857142857142857"/>
  </r>
  <r>
    <x v="135"/>
    <s v="ORD-01899"/>
    <x v="2"/>
    <x v="1"/>
    <x v="42"/>
    <x v="7"/>
    <x v="2"/>
    <n v="4"/>
    <n v="9520"/>
    <n v="38080"/>
    <n v="7000"/>
    <n v="28000"/>
    <n v="10080"/>
    <n v="0.26470588235294118"/>
  </r>
  <r>
    <x v="135"/>
    <s v="ORD-01900"/>
    <x v="2"/>
    <x v="2"/>
    <x v="96"/>
    <x v="0"/>
    <x v="0"/>
    <n v="7"/>
    <n v="3936"/>
    <n v="27552"/>
    <n v="3200"/>
    <n v="22400"/>
    <n v="5152"/>
    <n v="0.18699186991869918"/>
  </r>
  <r>
    <x v="135"/>
    <s v="ORD-01901"/>
    <x v="3"/>
    <x v="4"/>
    <x v="136"/>
    <x v="7"/>
    <x v="2"/>
    <n v="5"/>
    <n v="8470"/>
    <n v="42350"/>
    <n v="7000"/>
    <n v="35000"/>
    <n v="7350"/>
    <n v="0.17355371900826447"/>
  </r>
  <r>
    <x v="135"/>
    <s v="ORD-01902"/>
    <x v="3"/>
    <x v="0"/>
    <x v="57"/>
    <x v="2"/>
    <x v="1"/>
    <n v="1"/>
    <n v="47500"/>
    <n v="47500"/>
    <n v="38000"/>
    <n v="38000"/>
    <n v="9500"/>
    <n v="0.2"/>
  </r>
  <r>
    <x v="136"/>
    <s v="ORD-01903"/>
    <x v="0"/>
    <x v="2"/>
    <x v="36"/>
    <x v="4"/>
    <x v="2"/>
    <n v="3"/>
    <n v="10285"/>
    <n v="30855"/>
    <n v="8500"/>
    <n v="25500"/>
    <n v="5355"/>
    <n v="0.17355371900826447"/>
  </r>
  <r>
    <x v="136"/>
    <s v="ORD-01904"/>
    <x v="3"/>
    <x v="1"/>
    <x v="128"/>
    <x v="6"/>
    <x v="3"/>
    <n v="9"/>
    <n v="1116"/>
    <n v="10044"/>
    <n v="900"/>
    <n v="8100"/>
    <n v="1944"/>
    <n v="0.19354838709677419"/>
  </r>
  <r>
    <x v="136"/>
    <s v="ORD-01905"/>
    <x v="1"/>
    <x v="3"/>
    <x v="74"/>
    <x v="5"/>
    <x v="3"/>
    <n v="5"/>
    <n v="810"/>
    <n v="4050"/>
    <n v="600"/>
    <n v="3000"/>
    <n v="1050"/>
    <n v="0.25925925925925924"/>
  </r>
  <r>
    <x v="136"/>
    <s v="ORD-01906"/>
    <x v="1"/>
    <x v="1"/>
    <x v="81"/>
    <x v="2"/>
    <x v="1"/>
    <n v="4"/>
    <n v="47120"/>
    <n v="188480"/>
    <n v="38000"/>
    <n v="152000"/>
    <n v="36480"/>
    <n v="0.19354838709677419"/>
  </r>
  <r>
    <x v="136"/>
    <s v="ORD-01907"/>
    <x v="3"/>
    <x v="3"/>
    <x v="130"/>
    <x v="7"/>
    <x v="2"/>
    <n v="7"/>
    <n v="8540"/>
    <n v="59780"/>
    <n v="7000"/>
    <n v="49000"/>
    <n v="10780"/>
    <n v="0.18032786885245902"/>
  </r>
  <r>
    <x v="136"/>
    <s v="ORD-01908"/>
    <x v="0"/>
    <x v="2"/>
    <x v="46"/>
    <x v="1"/>
    <x v="1"/>
    <n v="7"/>
    <n v="56700"/>
    <n v="396900"/>
    <n v="45000"/>
    <n v="315000"/>
    <n v="81900"/>
    <n v="0.20634920634920634"/>
  </r>
  <r>
    <x v="136"/>
    <s v="ORD-01909"/>
    <x v="1"/>
    <x v="5"/>
    <x v="86"/>
    <x v="2"/>
    <x v="1"/>
    <n v="2"/>
    <n v="51300"/>
    <n v="102600"/>
    <n v="38000"/>
    <n v="76000"/>
    <n v="26600"/>
    <n v="0.25925925925925924"/>
  </r>
  <r>
    <x v="136"/>
    <s v="ORD-01910"/>
    <x v="0"/>
    <x v="1"/>
    <x v="48"/>
    <x v="1"/>
    <x v="1"/>
    <n v="7"/>
    <n v="56250"/>
    <n v="393750"/>
    <n v="45000"/>
    <n v="315000"/>
    <n v="78750"/>
    <n v="0.2"/>
  </r>
  <r>
    <x v="136"/>
    <s v="ORD-01911"/>
    <x v="1"/>
    <x v="2"/>
    <x v="63"/>
    <x v="5"/>
    <x v="3"/>
    <n v="3"/>
    <n v="852"/>
    <n v="2556"/>
    <n v="600"/>
    <n v="1800"/>
    <n v="756"/>
    <n v="0.29577464788732394"/>
  </r>
  <r>
    <x v="136"/>
    <s v="ORD-01912"/>
    <x v="1"/>
    <x v="1"/>
    <x v="132"/>
    <x v="6"/>
    <x v="3"/>
    <n v="5"/>
    <n v="1179"/>
    <n v="5895"/>
    <n v="900"/>
    <n v="4500"/>
    <n v="1395"/>
    <n v="0.23664122137404581"/>
  </r>
  <r>
    <x v="136"/>
    <s v="ORD-01913"/>
    <x v="3"/>
    <x v="1"/>
    <x v="123"/>
    <x v="4"/>
    <x v="2"/>
    <n v="6"/>
    <n v="10795"/>
    <n v="64770"/>
    <n v="8500"/>
    <n v="51000"/>
    <n v="13770"/>
    <n v="0.2125984251968504"/>
  </r>
  <r>
    <x v="136"/>
    <s v="ORD-01914"/>
    <x v="3"/>
    <x v="1"/>
    <x v="101"/>
    <x v="3"/>
    <x v="0"/>
    <n v="3"/>
    <n v="3225"/>
    <n v="9675"/>
    <n v="2500"/>
    <n v="7500"/>
    <n v="2175"/>
    <n v="0.22480620155038761"/>
  </r>
  <r>
    <x v="136"/>
    <s v="ORD-01915"/>
    <x v="1"/>
    <x v="1"/>
    <x v="4"/>
    <x v="3"/>
    <x v="0"/>
    <n v="9"/>
    <n v="3449.9999999999995"/>
    <n v="31049.999999999996"/>
    <n v="2500"/>
    <n v="22500"/>
    <n v="8549.9999999999964"/>
    <n v="0.2753623188405796"/>
  </r>
  <r>
    <x v="136"/>
    <s v="ORD-01916"/>
    <x v="1"/>
    <x v="5"/>
    <x v="69"/>
    <x v="0"/>
    <x v="0"/>
    <n v="1"/>
    <n v="4384"/>
    <n v="4384"/>
    <n v="3200"/>
    <n v="3200"/>
    <n v="1184"/>
    <n v="0.27007299270072993"/>
  </r>
  <r>
    <x v="137"/>
    <s v="ORD-01917"/>
    <x v="0"/>
    <x v="2"/>
    <x v="3"/>
    <x v="7"/>
    <x v="2"/>
    <n v="10"/>
    <n v="9100"/>
    <n v="91000"/>
    <n v="7000"/>
    <n v="70000"/>
    <n v="21000"/>
    <n v="0.23076923076923078"/>
  </r>
  <r>
    <x v="137"/>
    <s v="ORD-01918"/>
    <x v="2"/>
    <x v="5"/>
    <x v="82"/>
    <x v="4"/>
    <x v="2"/>
    <n v="10"/>
    <n v="10455"/>
    <n v="104550"/>
    <n v="8500"/>
    <n v="85000"/>
    <n v="19550"/>
    <n v="0.18699186991869918"/>
  </r>
  <r>
    <x v="137"/>
    <s v="ORD-01919"/>
    <x v="1"/>
    <x v="0"/>
    <x v="68"/>
    <x v="0"/>
    <x v="0"/>
    <n v="1"/>
    <n v="4160"/>
    <n v="4160"/>
    <n v="3200"/>
    <n v="3200"/>
    <n v="960"/>
    <n v="0.23076923076923078"/>
  </r>
  <r>
    <x v="137"/>
    <s v="ORD-01920"/>
    <x v="3"/>
    <x v="2"/>
    <x v="4"/>
    <x v="0"/>
    <x v="0"/>
    <n v="5"/>
    <n v="3872"/>
    <n v="19360"/>
    <n v="3200"/>
    <n v="16000"/>
    <n v="3360"/>
    <n v="0.17355371900826447"/>
  </r>
  <r>
    <x v="137"/>
    <s v="ORD-01921"/>
    <x v="1"/>
    <x v="3"/>
    <x v="55"/>
    <x v="0"/>
    <x v="0"/>
    <n v="7"/>
    <n v="3872"/>
    <n v="27104"/>
    <n v="3200"/>
    <n v="22400"/>
    <n v="4704"/>
    <n v="0.17355371900826447"/>
  </r>
  <r>
    <x v="137"/>
    <s v="ORD-01922"/>
    <x v="2"/>
    <x v="5"/>
    <x v="50"/>
    <x v="0"/>
    <x v="0"/>
    <n v="8"/>
    <n v="4032"/>
    <n v="32256"/>
    <n v="3200"/>
    <n v="25600"/>
    <n v="6656"/>
    <n v="0.20634920634920634"/>
  </r>
  <r>
    <x v="137"/>
    <s v="ORD-01923"/>
    <x v="3"/>
    <x v="0"/>
    <x v="11"/>
    <x v="3"/>
    <x v="0"/>
    <n v="4"/>
    <n v="3075"/>
    <n v="12300"/>
    <n v="2500"/>
    <n v="10000"/>
    <n v="2300"/>
    <n v="0.18699186991869918"/>
  </r>
  <r>
    <x v="137"/>
    <s v="ORD-01924"/>
    <x v="0"/>
    <x v="3"/>
    <x v="52"/>
    <x v="5"/>
    <x v="3"/>
    <n v="4"/>
    <n v="870"/>
    <n v="3480"/>
    <n v="600"/>
    <n v="2400"/>
    <n v="1080"/>
    <n v="0.31034482758620691"/>
  </r>
  <r>
    <x v="137"/>
    <s v="ORD-01925"/>
    <x v="3"/>
    <x v="3"/>
    <x v="63"/>
    <x v="3"/>
    <x v="0"/>
    <n v="9"/>
    <n v="3150"/>
    <n v="28350"/>
    <n v="2500"/>
    <n v="22500"/>
    <n v="5850"/>
    <n v="0.20634920634920634"/>
  </r>
  <r>
    <x v="137"/>
    <s v="ORD-01926"/>
    <x v="1"/>
    <x v="3"/>
    <x v="25"/>
    <x v="0"/>
    <x v="0"/>
    <n v="1"/>
    <n v="4384"/>
    <n v="4384"/>
    <n v="3200"/>
    <n v="3200"/>
    <n v="1184"/>
    <n v="0.27007299270072993"/>
  </r>
  <r>
    <x v="137"/>
    <s v="ORD-01927"/>
    <x v="0"/>
    <x v="0"/>
    <x v="42"/>
    <x v="5"/>
    <x v="3"/>
    <n v="4"/>
    <n v="810"/>
    <n v="3240"/>
    <n v="600"/>
    <n v="2400"/>
    <n v="840"/>
    <n v="0.25925925925925924"/>
  </r>
  <r>
    <x v="137"/>
    <s v="ORD-01928"/>
    <x v="2"/>
    <x v="4"/>
    <x v="125"/>
    <x v="6"/>
    <x v="3"/>
    <n v="9"/>
    <n v="1179"/>
    <n v="10611"/>
    <n v="900"/>
    <n v="8100"/>
    <n v="2511"/>
    <n v="0.23664122137404581"/>
  </r>
  <r>
    <x v="137"/>
    <s v="ORD-01929"/>
    <x v="0"/>
    <x v="2"/>
    <x v="143"/>
    <x v="7"/>
    <x v="2"/>
    <n v="6"/>
    <n v="8890"/>
    <n v="53340"/>
    <n v="7000"/>
    <n v="42000"/>
    <n v="11340"/>
    <n v="0.2125984251968504"/>
  </r>
  <r>
    <x v="137"/>
    <s v="ORD-01930"/>
    <x v="0"/>
    <x v="3"/>
    <x v="42"/>
    <x v="2"/>
    <x v="1"/>
    <n v="2"/>
    <n v="55100"/>
    <n v="110200"/>
    <n v="38000"/>
    <n v="76000"/>
    <n v="34200"/>
    <n v="0.31034482758620691"/>
  </r>
  <r>
    <x v="138"/>
    <s v="ORD-01931"/>
    <x v="1"/>
    <x v="3"/>
    <x v="62"/>
    <x v="0"/>
    <x v="0"/>
    <n v="2"/>
    <n v="4512"/>
    <n v="9024"/>
    <n v="3200"/>
    <n v="6400"/>
    <n v="2624"/>
    <n v="0.29078014184397161"/>
  </r>
  <r>
    <x v="138"/>
    <s v="ORD-01932"/>
    <x v="0"/>
    <x v="1"/>
    <x v="28"/>
    <x v="2"/>
    <x v="1"/>
    <n v="9"/>
    <n v="47500"/>
    <n v="427500"/>
    <n v="38000"/>
    <n v="342000"/>
    <n v="85500"/>
    <n v="0.2"/>
  </r>
  <r>
    <x v="138"/>
    <s v="ORD-01933"/>
    <x v="3"/>
    <x v="3"/>
    <x v="142"/>
    <x v="5"/>
    <x v="3"/>
    <n v="4"/>
    <n v="786"/>
    <n v="3144"/>
    <n v="600"/>
    <n v="2400"/>
    <n v="744"/>
    <n v="0.23664122137404581"/>
  </r>
  <r>
    <x v="138"/>
    <s v="ORD-01934"/>
    <x v="2"/>
    <x v="2"/>
    <x v="80"/>
    <x v="2"/>
    <x v="1"/>
    <n v="3"/>
    <n v="50160"/>
    <n v="150480"/>
    <n v="38000"/>
    <n v="114000"/>
    <n v="36480"/>
    <n v="0.24242424242424243"/>
  </r>
  <r>
    <x v="138"/>
    <s v="ORD-01935"/>
    <x v="2"/>
    <x v="5"/>
    <x v="79"/>
    <x v="1"/>
    <x v="1"/>
    <n v="10"/>
    <n v="58950"/>
    <n v="589500"/>
    <n v="45000"/>
    <n v="450000"/>
    <n v="139500"/>
    <n v="0.23664122137404581"/>
  </r>
  <r>
    <x v="138"/>
    <s v="ORD-01936"/>
    <x v="1"/>
    <x v="1"/>
    <x v="131"/>
    <x v="4"/>
    <x v="2"/>
    <n v="5"/>
    <n v="10795"/>
    <n v="53975"/>
    <n v="8500"/>
    <n v="42500"/>
    <n v="11475"/>
    <n v="0.2125984251968504"/>
  </r>
  <r>
    <x v="138"/>
    <s v="ORD-01937"/>
    <x v="3"/>
    <x v="4"/>
    <x v="97"/>
    <x v="5"/>
    <x v="3"/>
    <n v="6"/>
    <n v="804"/>
    <n v="4824"/>
    <n v="600"/>
    <n v="3600"/>
    <n v="1224"/>
    <n v="0.2537313432835821"/>
  </r>
  <r>
    <x v="138"/>
    <s v="ORD-01938"/>
    <x v="0"/>
    <x v="5"/>
    <x v="138"/>
    <x v="1"/>
    <x v="1"/>
    <n v="7"/>
    <n v="62550.000000000007"/>
    <n v="437850.00000000006"/>
    <n v="45000"/>
    <n v="315000"/>
    <n v="122850.00000000006"/>
    <n v="0.28057553956834541"/>
  </r>
  <r>
    <x v="138"/>
    <s v="ORD-01939"/>
    <x v="3"/>
    <x v="0"/>
    <x v="31"/>
    <x v="3"/>
    <x v="0"/>
    <n v="7"/>
    <n v="3150"/>
    <n v="22050"/>
    <n v="2500"/>
    <n v="17500"/>
    <n v="4550"/>
    <n v="0.20634920634920634"/>
  </r>
  <r>
    <x v="138"/>
    <s v="ORD-01940"/>
    <x v="2"/>
    <x v="1"/>
    <x v="56"/>
    <x v="1"/>
    <x v="1"/>
    <n v="8"/>
    <n v="54450"/>
    <n v="435600"/>
    <n v="45000"/>
    <n v="360000"/>
    <n v="75600"/>
    <n v="0.17355371900826447"/>
  </r>
  <r>
    <x v="138"/>
    <s v="ORD-01941"/>
    <x v="3"/>
    <x v="5"/>
    <x v="117"/>
    <x v="4"/>
    <x v="2"/>
    <n v="9"/>
    <n v="10285"/>
    <n v="92565"/>
    <n v="8500"/>
    <n v="76500"/>
    <n v="16065"/>
    <n v="0.17355371900826447"/>
  </r>
  <r>
    <x v="138"/>
    <s v="ORD-01942"/>
    <x v="0"/>
    <x v="4"/>
    <x v="105"/>
    <x v="6"/>
    <x v="3"/>
    <n v="1"/>
    <n v="1089"/>
    <n v="1089"/>
    <n v="900"/>
    <n v="900"/>
    <n v="189"/>
    <n v="0.17355371900826447"/>
  </r>
  <r>
    <x v="138"/>
    <s v="ORD-01943"/>
    <x v="0"/>
    <x v="5"/>
    <x v="62"/>
    <x v="3"/>
    <x v="0"/>
    <n v="6"/>
    <n v="3449.9999999999995"/>
    <n v="20699.999999999996"/>
    <n v="2500"/>
    <n v="15000"/>
    <n v="5699.9999999999964"/>
    <n v="0.2753623188405796"/>
  </r>
  <r>
    <x v="138"/>
    <s v="ORD-01944"/>
    <x v="3"/>
    <x v="5"/>
    <x v="52"/>
    <x v="7"/>
    <x v="2"/>
    <n v="8"/>
    <n v="8540"/>
    <n v="68320"/>
    <n v="7000"/>
    <n v="56000"/>
    <n v="12320"/>
    <n v="0.18032786885245902"/>
  </r>
  <r>
    <x v="139"/>
    <s v="ORD-01945"/>
    <x v="2"/>
    <x v="1"/>
    <x v="1"/>
    <x v="7"/>
    <x v="2"/>
    <n v="6"/>
    <n v="9590"/>
    <n v="57540"/>
    <n v="7000"/>
    <n v="42000"/>
    <n v="15540"/>
    <n v="0.27007299270072993"/>
  </r>
  <r>
    <x v="139"/>
    <s v="ORD-01946"/>
    <x v="1"/>
    <x v="1"/>
    <x v="58"/>
    <x v="4"/>
    <x v="2"/>
    <n v="1"/>
    <n v="12325"/>
    <n v="12325"/>
    <n v="8500"/>
    <n v="8500"/>
    <n v="3825"/>
    <n v="0.31034482758620691"/>
  </r>
  <r>
    <x v="139"/>
    <s v="ORD-01947"/>
    <x v="0"/>
    <x v="5"/>
    <x v="1"/>
    <x v="6"/>
    <x v="3"/>
    <n v="3"/>
    <n v="1080"/>
    <n v="3240"/>
    <n v="900"/>
    <n v="2700"/>
    <n v="540"/>
    <n v="0.16666666666666666"/>
  </r>
  <r>
    <x v="139"/>
    <s v="ORD-01948"/>
    <x v="3"/>
    <x v="4"/>
    <x v="146"/>
    <x v="0"/>
    <x v="0"/>
    <n v="5"/>
    <n v="4576"/>
    <n v="22880"/>
    <n v="3200"/>
    <n v="16000"/>
    <n v="6880"/>
    <n v="0.30069930069930068"/>
  </r>
  <r>
    <x v="139"/>
    <s v="ORD-01949"/>
    <x v="2"/>
    <x v="1"/>
    <x v="71"/>
    <x v="7"/>
    <x v="2"/>
    <n v="1"/>
    <n v="9170"/>
    <n v="9170"/>
    <n v="7000"/>
    <n v="7000"/>
    <n v="2170"/>
    <n v="0.23664122137404581"/>
  </r>
  <r>
    <x v="139"/>
    <s v="ORD-01950"/>
    <x v="3"/>
    <x v="2"/>
    <x v="19"/>
    <x v="0"/>
    <x v="0"/>
    <n v="9"/>
    <n v="4608"/>
    <n v="41472"/>
    <n v="3200"/>
    <n v="28800"/>
    <n v="12672"/>
    <n v="0.30555555555555558"/>
  </r>
  <r>
    <x v="139"/>
    <s v="ORD-01951"/>
    <x v="0"/>
    <x v="2"/>
    <x v="82"/>
    <x v="7"/>
    <x v="2"/>
    <n v="4"/>
    <n v="10150"/>
    <n v="40600"/>
    <n v="7000"/>
    <n v="28000"/>
    <n v="12600"/>
    <n v="0.31034482758620691"/>
  </r>
  <r>
    <x v="139"/>
    <s v="ORD-01952"/>
    <x v="0"/>
    <x v="0"/>
    <x v="53"/>
    <x v="6"/>
    <x v="3"/>
    <n v="10"/>
    <n v="1305"/>
    <n v="13050"/>
    <n v="900"/>
    <n v="9000"/>
    <n v="4050"/>
    <n v="0.31034482758620691"/>
  </r>
  <r>
    <x v="139"/>
    <s v="ORD-01953"/>
    <x v="2"/>
    <x v="0"/>
    <x v="72"/>
    <x v="5"/>
    <x v="3"/>
    <n v="8"/>
    <n v="792"/>
    <n v="6336"/>
    <n v="600"/>
    <n v="4800"/>
    <n v="1536"/>
    <n v="0.24242424242424243"/>
  </r>
  <r>
    <x v="139"/>
    <s v="ORD-01954"/>
    <x v="2"/>
    <x v="5"/>
    <x v="86"/>
    <x v="2"/>
    <x v="1"/>
    <n v="7"/>
    <n v="49020"/>
    <n v="343140"/>
    <n v="38000"/>
    <n v="266000"/>
    <n v="77140"/>
    <n v="0.22480620155038761"/>
  </r>
  <r>
    <x v="139"/>
    <s v="ORD-01955"/>
    <x v="0"/>
    <x v="1"/>
    <x v="145"/>
    <x v="6"/>
    <x v="3"/>
    <n v="6"/>
    <n v="1125"/>
    <n v="6750"/>
    <n v="900"/>
    <n v="5400"/>
    <n v="1350"/>
    <n v="0.2"/>
  </r>
  <r>
    <x v="139"/>
    <s v="ORD-01956"/>
    <x v="1"/>
    <x v="2"/>
    <x v="36"/>
    <x v="0"/>
    <x v="0"/>
    <n v="7"/>
    <n v="4512"/>
    <n v="31584"/>
    <n v="3200"/>
    <n v="22400"/>
    <n v="9184"/>
    <n v="0.29078014184397161"/>
  </r>
  <r>
    <x v="139"/>
    <s v="ORD-01957"/>
    <x v="1"/>
    <x v="0"/>
    <x v="42"/>
    <x v="4"/>
    <x v="2"/>
    <n v="7"/>
    <n v="10965"/>
    <n v="76755"/>
    <n v="8500"/>
    <n v="59500"/>
    <n v="17255"/>
    <n v="0.22480620155038761"/>
  </r>
  <r>
    <x v="139"/>
    <s v="ORD-01958"/>
    <x v="2"/>
    <x v="5"/>
    <x v="127"/>
    <x v="6"/>
    <x v="3"/>
    <n v="4"/>
    <n v="1143"/>
    <n v="4572"/>
    <n v="900"/>
    <n v="3600"/>
    <n v="972"/>
    <n v="0.2125984251968504"/>
  </r>
  <r>
    <x v="140"/>
    <s v="ORD-01959"/>
    <x v="3"/>
    <x v="5"/>
    <x v="115"/>
    <x v="5"/>
    <x v="3"/>
    <n v="5"/>
    <n v="834.00000000000011"/>
    <n v="4170.0000000000009"/>
    <n v="600"/>
    <n v="3000"/>
    <n v="1170.0000000000009"/>
    <n v="0.28057553956834547"/>
  </r>
  <r>
    <x v="140"/>
    <s v="ORD-01960"/>
    <x v="3"/>
    <x v="0"/>
    <x v="91"/>
    <x v="7"/>
    <x v="2"/>
    <n v="1"/>
    <n v="9940"/>
    <n v="9940"/>
    <n v="7000"/>
    <n v="7000"/>
    <n v="2940"/>
    <n v="0.29577464788732394"/>
  </r>
  <r>
    <x v="140"/>
    <s v="ORD-01961"/>
    <x v="1"/>
    <x v="3"/>
    <x v="146"/>
    <x v="0"/>
    <x v="0"/>
    <n v="6"/>
    <n v="4416"/>
    <n v="26496"/>
    <n v="3200"/>
    <n v="19200"/>
    <n v="7296"/>
    <n v="0.27536231884057971"/>
  </r>
  <r>
    <x v="140"/>
    <s v="ORD-01962"/>
    <x v="3"/>
    <x v="2"/>
    <x v="96"/>
    <x v="6"/>
    <x v="3"/>
    <n v="8"/>
    <n v="1188"/>
    <n v="9504"/>
    <n v="900"/>
    <n v="7200"/>
    <n v="2304"/>
    <n v="0.24242424242424243"/>
  </r>
  <r>
    <x v="140"/>
    <s v="ORD-01963"/>
    <x v="3"/>
    <x v="2"/>
    <x v="124"/>
    <x v="0"/>
    <x v="0"/>
    <n v="8"/>
    <n v="4160"/>
    <n v="33280"/>
    <n v="3200"/>
    <n v="25600"/>
    <n v="7680"/>
    <n v="0.23076923076923078"/>
  </r>
  <r>
    <x v="140"/>
    <s v="ORD-01964"/>
    <x v="0"/>
    <x v="3"/>
    <x v="119"/>
    <x v="6"/>
    <x v="3"/>
    <n v="1"/>
    <n v="1170"/>
    <n v="1170"/>
    <n v="900"/>
    <n v="900"/>
    <n v="270"/>
    <n v="0.23076923076923078"/>
  </r>
  <r>
    <x v="140"/>
    <s v="ORD-01965"/>
    <x v="0"/>
    <x v="4"/>
    <x v="53"/>
    <x v="2"/>
    <x v="1"/>
    <n v="10"/>
    <n v="52820.000000000007"/>
    <n v="528200.00000000012"/>
    <n v="38000"/>
    <n v="380000"/>
    <n v="148200.00000000012"/>
    <n v="0.28057553956834547"/>
  </r>
  <r>
    <x v="140"/>
    <s v="ORD-01966"/>
    <x v="2"/>
    <x v="0"/>
    <x v="25"/>
    <x v="1"/>
    <x v="1"/>
    <n v="3"/>
    <n v="54900"/>
    <n v="164700"/>
    <n v="45000"/>
    <n v="135000"/>
    <n v="29700"/>
    <n v="0.18032786885245902"/>
  </r>
  <r>
    <x v="140"/>
    <s v="ORD-01967"/>
    <x v="3"/>
    <x v="3"/>
    <x v="106"/>
    <x v="4"/>
    <x v="2"/>
    <n v="2"/>
    <n v="11900"/>
    <n v="23800"/>
    <n v="8500"/>
    <n v="17000"/>
    <n v="6800"/>
    <n v="0.2857142857142857"/>
  </r>
  <r>
    <x v="140"/>
    <s v="ORD-01968"/>
    <x v="1"/>
    <x v="3"/>
    <x v="25"/>
    <x v="3"/>
    <x v="0"/>
    <n v="6"/>
    <n v="3175"/>
    <n v="19050"/>
    <n v="2500"/>
    <n v="15000"/>
    <n v="4050"/>
    <n v="0.2125984251968504"/>
  </r>
  <r>
    <x v="140"/>
    <s v="ORD-01969"/>
    <x v="3"/>
    <x v="2"/>
    <x v="112"/>
    <x v="5"/>
    <x v="3"/>
    <n v="2"/>
    <n v="827.99999999999989"/>
    <n v="1655.9999999999998"/>
    <n v="600"/>
    <n v="1200"/>
    <n v="455.99999999999977"/>
    <n v="0.2753623188405796"/>
  </r>
  <r>
    <x v="140"/>
    <s v="ORD-01970"/>
    <x v="2"/>
    <x v="1"/>
    <x v="147"/>
    <x v="3"/>
    <x v="0"/>
    <n v="5"/>
    <n v="3350"/>
    <n v="16750"/>
    <n v="2500"/>
    <n v="12500"/>
    <n v="4250"/>
    <n v="0.2537313432835821"/>
  </r>
  <r>
    <x v="140"/>
    <s v="ORD-01971"/>
    <x v="2"/>
    <x v="2"/>
    <x v="91"/>
    <x v="0"/>
    <x v="0"/>
    <n v="9"/>
    <n v="4480"/>
    <n v="40320"/>
    <n v="3200"/>
    <n v="28800"/>
    <n v="11520"/>
    <n v="0.2857142857142857"/>
  </r>
  <r>
    <x v="140"/>
    <s v="ORD-01972"/>
    <x v="2"/>
    <x v="2"/>
    <x v="142"/>
    <x v="0"/>
    <x v="0"/>
    <n v="3"/>
    <n v="3904"/>
    <n v="11712"/>
    <n v="3200"/>
    <n v="9600"/>
    <n v="2112"/>
    <n v="0.18032786885245902"/>
  </r>
  <r>
    <x v="141"/>
    <s v="ORD-01973"/>
    <x v="2"/>
    <x v="5"/>
    <x v="112"/>
    <x v="3"/>
    <x v="0"/>
    <n v="6"/>
    <n v="3625"/>
    <n v="21750"/>
    <n v="2500"/>
    <n v="15000"/>
    <n v="6750"/>
    <n v="0.31034482758620691"/>
  </r>
  <r>
    <x v="141"/>
    <s v="ORD-01974"/>
    <x v="3"/>
    <x v="0"/>
    <x v="23"/>
    <x v="7"/>
    <x v="2"/>
    <n v="1"/>
    <n v="9800"/>
    <n v="9800"/>
    <n v="7000"/>
    <n v="7000"/>
    <n v="2800"/>
    <n v="0.2857142857142857"/>
  </r>
  <r>
    <x v="141"/>
    <s v="ORD-01975"/>
    <x v="1"/>
    <x v="3"/>
    <x v="64"/>
    <x v="4"/>
    <x v="2"/>
    <n v="3"/>
    <n v="12070"/>
    <n v="36210"/>
    <n v="8500"/>
    <n v="25500"/>
    <n v="10710"/>
    <n v="0.29577464788732394"/>
  </r>
  <r>
    <x v="141"/>
    <s v="ORD-01976"/>
    <x v="1"/>
    <x v="5"/>
    <x v="21"/>
    <x v="2"/>
    <x v="1"/>
    <n v="5"/>
    <n v="48640"/>
    <n v="243200"/>
    <n v="38000"/>
    <n v="190000"/>
    <n v="53200"/>
    <n v="0.21875"/>
  </r>
  <r>
    <x v="141"/>
    <s v="ORD-01977"/>
    <x v="0"/>
    <x v="3"/>
    <x v="9"/>
    <x v="5"/>
    <x v="3"/>
    <n v="8"/>
    <n v="744"/>
    <n v="5952"/>
    <n v="600"/>
    <n v="4800"/>
    <n v="1152"/>
    <n v="0.19354838709677419"/>
  </r>
  <r>
    <x v="141"/>
    <s v="ORD-01978"/>
    <x v="1"/>
    <x v="5"/>
    <x v="96"/>
    <x v="0"/>
    <x v="0"/>
    <n v="2"/>
    <n v="3936"/>
    <n v="7872"/>
    <n v="3200"/>
    <n v="6400"/>
    <n v="1472"/>
    <n v="0.18699186991869918"/>
  </r>
  <r>
    <x v="141"/>
    <s v="ORD-01979"/>
    <x v="2"/>
    <x v="0"/>
    <x v="143"/>
    <x v="4"/>
    <x v="2"/>
    <n v="9"/>
    <n v="12240"/>
    <n v="110160"/>
    <n v="8500"/>
    <n v="76500"/>
    <n v="33660"/>
    <n v="0.30555555555555558"/>
  </r>
  <r>
    <x v="141"/>
    <s v="ORD-01980"/>
    <x v="0"/>
    <x v="5"/>
    <x v="116"/>
    <x v="2"/>
    <x v="1"/>
    <n v="10"/>
    <n v="54720"/>
    <n v="547200"/>
    <n v="38000"/>
    <n v="380000"/>
    <n v="167200"/>
    <n v="0.30555555555555558"/>
  </r>
  <r>
    <x v="141"/>
    <s v="ORD-01981"/>
    <x v="2"/>
    <x v="4"/>
    <x v="19"/>
    <x v="1"/>
    <x v="1"/>
    <n v="6"/>
    <n v="58050"/>
    <n v="348300"/>
    <n v="45000"/>
    <n v="270000"/>
    <n v="78300"/>
    <n v="0.22480620155038761"/>
  </r>
  <r>
    <x v="141"/>
    <s v="ORD-01982"/>
    <x v="0"/>
    <x v="3"/>
    <x v="137"/>
    <x v="0"/>
    <x v="0"/>
    <n v="1"/>
    <n v="4224"/>
    <n v="4224"/>
    <n v="3200"/>
    <n v="3200"/>
    <n v="1024"/>
    <n v="0.24242424242424243"/>
  </r>
  <r>
    <x v="141"/>
    <s v="ORD-01983"/>
    <x v="1"/>
    <x v="0"/>
    <x v="54"/>
    <x v="3"/>
    <x v="0"/>
    <n v="10"/>
    <n v="3625"/>
    <n v="36250"/>
    <n v="2500"/>
    <n v="25000"/>
    <n v="11250"/>
    <n v="0.31034482758620691"/>
  </r>
  <r>
    <x v="141"/>
    <s v="ORD-01984"/>
    <x v="0"/>
    <x v="4"/>
    <x v="15"/>
    <x v="5"/>
    <x v="3"/>
    <n v="7"/>
    <n v="750"/>
    <n v="5250"/>
    <n v="600"/>
    <n v="4200"/>
    <n v="1050"/>
    <n v="0.2"/>
  </r>
  <r>
    <x v="141"/>
    <s v="ORD-01985"/>
    <x v="1"/>
    <x v="3"/>
    <x v="31"/>
    <x v="7"/>
    <x v="2"/>
    <n v="1"/>
    <n v="9030"/>
    <n v="9030"/>
    <n v="7000"/>
    <n v="7000"/>
    <n v="2030"/>
    <n v="0.22480620155038761"/>
  </r>
  <r>
    <x v="141"/>
    <s v="ORD-01986"/>
    <x v="0"/>
    <x v="5"/>
    <x v="12"/>
    <x v="3"/>
    <x v="0"/>
    <n v="8"/>
    <n v="3625"/>
    <n v="29000"/>
    <n v="2500"/>
    <n v="20000"/>
    <n v="9000"/>
    <n v="0.31034482758620691"/>
  </r>
  <r>
    <x v="142"/>
    <s v="ORD-01987"/>
    <x v="3"/>
    <x v="3"/>
    <x v="149"/>
    <x v="0"/>
    <x v="0"/>
    <n v="4"/>
    <n v="4288"/>
    <n v="17152"/>
    <n v="3200"/>
    <n v="12800"/>
    <n v="4352"/>
    <n v="0.2537313432835821"/>
  </r>
  <r>
    <x v="142"/>
    <s v="ORD-01988"/>
    <x v="3"/>
    <x v="1"/>
    <x v="135"/>
    <x v="3"/>
    <x v="0"/>
    <n v="5"/>
    <n v="3525"/>
    <n v="17625"/>
    <n v="2500"/>
    <n v="12500"/>
    <n v="5125"/>
    <n v="0.29078014184397161"/>
  </r>
  <r>
    <x v="142"/>
    <s v="ORD-01989"/>
    <x v="1"/>
    <x v="5"/>
    <x v="103"/>
    <x v="5"/>
    <x v="3"/>
    <n v="3"/>
    <n v="726"/>
    <n v="2178"/>
    <n v="600"/>
    <n v="1800"/>
    <n v="378"/>
    <n v="0.17355371900826447"/>
  </r>
  <r>
    <x v="142"/>
    <s v="ORD-01990"/>
    <x v="3"/>
    <x v="0"/>
    <x v="1"/>
    <x v="1"/>
    <x v="1"/>
    <n v="6"/>
    <n v="59850"/>
    <n v="359100"/>
    <n v="45000"/>
    <n v="270000"/>
    <n v="89100"/>
    <n v="0.24812030075187969"/>
  </r>
  <r>
    <x v="142"/>
    <s v="ORD-01991"/>
    <x v="1"/>
    <x v="1"/>
    <x v="64"/>
    <x v="0"/>
    <x v="0"/>
    <n v="4"/>
    <n v="4224"/>
    <n v="16896"/>
    <n v="3200"/>
    <n v="12800"/>
    <n v="4096"/>
    <n v="0.24242424242424243"/>
  </r>
  <r>
    <x v="142"/>
    <s v="ORD-01992"/>
    <x v="1"/>
    <x v="2"/>
    <x v="101"/>
    <x v="7"/>
    <x v="2"/>
    <n v="4"/>
    <n v="9800"/>
    <n v="39200"/>
    <n v="7000"/>
    <n v="28000"/>
    <n v="11200"/>
    <n v="0.2857142857142857"/>
  </r>
  <r>
    <x v="142"/>
    <s v="ORD-01993"/>
    <x v="3"/>
    <x v="4"/>
    <x v="146"/>
    <x v="6"/>
    <x v="3"/>
    <n v="6"/>
    <n v="1260"/>
    <n v="7560"/>
    <n v="900"/>
    <n v="5400"/>
    <n v="2160"/>
    <n v="0.2857142857142857"/>
  </r>
  <r>
    <x v="142"/>
    <s v="ORD-01994"/>
    <x v="3"/>
    <x v="4"/>
    <x v="92"/>
    <x v="2"/>
    <x v="1"/>
    <n v="2"/>
    <n v="54720"/>
    <n v="109440"/>
    <n v="38000"/>
    <n v="76000"/>
    <n v="33440"/>
    <n v="0.30555555555555558"/>
  </r>
  <r>
    <x v="142"/>
    <s v="ORD-01995"/>
    <x v="0"/>
    <x v="1"/>
    <x v="101"/>
    <x v="1"/>
    <x v="1"/>
    <n v="9"/>
    <n v="54450"/>
    <n v="490050"/>
    <n v="45000"/>
    <n v="405000"/>
    <n v="85050"/>
    <n v="0.17355371900826447"/>
  </r>
  <r>
    <x v="142"/>
    <s v="ORD-01996"/>
    <x v="1"/>
    <x v="4"/>
    <x v="138"/>
    <x v="6"/>
    <x v="3"/>
    <n v="10"/>
    <n v="1134"/>
    <n v="11340"/>
    <n v="900"/>
    <n v="9000"/>
    <n v="2340"/>
    <n v="0.20634920634920634"/>
  </r>
  <r>
    <x v="142"/>
    <s v="ORD-01997"/>
    <x v="2"/>
    <x v="5"/>
    <x v="101"/>
    <x v="7"/>
    <x v="2"/>
    <n v="7"/>
    <n v="8890"/>
    <n v="62230"/>
    <n v="7000"/>
    <n v="49000"/>
    <n v="13230"/>
    <n v="0.2125984251968504"/>
  </r>
  <r>
    <x v="142"/>
    <s v="ORD-01998"/>
    <x v="1"/>
    <x v="3"/>
    <x v="25"/>
    <x v="7"/>
    <x v="2"/>
    <n v="5"/>
    <n v="9590"/>
    <n v="47950"/>
    <n v="7000"/>
    <n v="35000"/>
    <n v="12950"/>
    <n v="0.27007299270072993"/>
  </r>
  <r>
    <x v="142"/>
    <s v="ORD-01999"/>
    <x v="2"/>
    <x v="0"/>
    <x v="47"/>
    <x v="3"/>
    <x v="0"/>
    <n v="2"/>
    <n v="3225"/>
    <n v="6450"/>
    <n v="2500"/>
    <n v="5000"/>
    <n v="1450"/>
    <n v="0.22480620155038761"/>
  </r>
  <r>
    <x v="142"/>
    <s v="ORD-02000"/>
    <x v="3"/>
    <x v="5"/>
    <x v="123"/>
    <x v="6"/>
    <x v="3"/>
    <n v="4"/>
    <n v="1206"/>
    <n v="4824"/>
    <n v="900"/>
    <n v="3600"/>
    <n v="1224"/>
    <n v="0.2537313432835821"/>
  </r>
  <r>
    <x v="143"/>
    <s v="ORD-02001"/>
    <x v="0"/>
    <x v="2"/>
    <x v="119"/>
    <x v="0"/>
    <x v="0"/>
    <n v="9"/>
    <n v="3872"/>
    <n v="34848"/>
    <n v="3200"/>
    <n v="28800"/>
    <n v="6048"/>
    <n v="0.17355371900826447"/>
  </r>
  <r>
    <x v="143"/>
    <s v="ORD-02002"/>
    <x v="0"/>
    <x v="5"/>
    <x v="43"/>
    <x v="5"/>
    <x v="3"/>
    <n v="6"/>
    <n v="834.00000000000011"/>
    <n v="5004.0000000000009"/>
    <n v="600"/>
    <n v="3600"/>
    <n v="1404.0000000000009"/>
    <n v="0.28057553956834547"/>
  </r>
  <r>
    <x v="143"/>
    <s v="ORD-02003"/>
    <x v="2"/>
    <x v="3"/>
    <x v="61"/>
    <x v="5"/>
    <x v="3"/>
    <n v="10"/>
    <n v="726"/>
    <n v="7260"/>
    <n v="600"/>
    <n v="6000"/>
    <n v="1260"/>
    <n v="0.17355371900826447"/>
  </r>
  <r>
    <x v="143"/>
    <s v="ORD-02004"/>
    <x v="1"/>
    <x v="3"/>
    <x v="92"/>
    <x v="4"/>
    <x v="2"/>
    <n v="8"/>
    <n v="11135"/>
    <n v="89080"/>
    <n v="8500"/>
    <n v="68000"/>
    <n v="21080"/>
    <n v="0.23664122137404581"/>
  </r>
  <r>
    <x v="143"/>
    <s v="ORD-02005"/>
    <x v="0"/>
    <x v="1"/>
    <x v="61"/>
    <x v="0"/>
    <x v="0"/>
    <n v="10"/>
    <n v="4256"/>
    <n v="42560"/>
    <n v="3200"/>
    <n v="32000"/>
    <n v="10560"/>
    <n v="0.24812030075187969"/>
  </r>
  <r>
    <x v="143"/>
    <s v="ORD-02006"/>
    <x v="0"/>
    <x v="5"/>
    <x v="40"/>
    <x v="5"/>
    <x v="3"/>
    <n v="8"/>
    <n v="768"/>
    <n v="6144"/>
    <n v="600"/>
    <n v="4800"/>
    <n v="1344"/>
    <n v="0.21875"/>
  </r>
  <r>
    <x v="143"/>
    <s v="ORD-02007"/>
    <x v="1"/>
    <x v="4"/>
    <x v="89"/>
    <x v="3"/>
    <x v="0"/>
    <n v="3"/>
    <n v="3500"/>
    <n v="10500"/>
    <n v="2500"/>
    <n v="7500"/>
    <n v="3000"/>
    <n v="0.2857142857142857"/>
  </r>
  <r>
    <x v="143"/>
    <s v="ORD-02008"/>
    <x v="3"/>
    <x v="1"/>
    <x v="141"/>
    <x v="6"/>
    <x v="3"/>
    <n v="9"/>
    <n v="1107"/>
    <n v="9963"/>
    <n v="900"/>
    <n v="8100"/>
    <n v="1863"/>
    <n v="0.18699186991869918"/>
  </r>
  <r>
    <x v="143"/>
    <s v="ORD-02009"/>
    <x v="1"/>
    <x v="2"/>
    <x v="37"/>
    <x v="5"/>
    <x v="3"/>
    <n v="9"/>
    <n v="810"/>
    <n v="7290"/>
    <n v="600"/>
    <n v="5400"/>
    <n v="1890"/>
    <n v="0.25925925925925924"/>
  </r>
  <r>
    <x v="143"/>
    <s v="ORD-02010"/>
    <x v="2"/>
    <x v="5"/>
    <x v="20"/>
    <x v="7"/>
    <x v="2"/>
    <n v="4"/>
    <n v="8470"/>
    <n v="33880"/>
    <n v="7000"/>
    <n v="28000"/>
    <n v="5880"/>
    <n v="0.17355371900826447"/>
  </r>
  <r>
    <x v="143"/>
    <s v="ORD-02011"/>
    <x v="0"/>
    <x v="4"/>
    <x v="110"/>
    <x v="5"/>
    <x v="3"/>
    <n v="9"/>
    <n v="864"/>
    <n v="7776"/>
    <n v="600"/>
    <n v="5400"/>
    <n v="2376"/>
    <n v="0.30555555555555558"/>
  </r>
  <r>
    <x v="143"/>
    <s v="ORD-02012"/>
    <x v="3"/>
    <x v="2"/>
    <x v="149"/>
    <x v="0"/>
    <x v="0"/>
    <n v="1"/>
    <n v="4032"/>
    <n v="4032"/>
    <n v="3200"/>
    <n v="3200"/>
    <n v="832"/>
    <n v="0.20634920634920634"/>
  </r>
  <r>
    <x v="143"/>
    <s v="ORD-02013"/>
    <x v="3"/>
    <x v="3"/>
    <x v="56"/>
    <x v="3"/>
    <x v="0"/>
    <n v="7"/>
    <n v="3175"/>
    <n v="22225"/>
    <n v="2500"/>
    <n v="17500"/>
    <n v="4725"/>
    <n v="0.2125984251968504"/>
  </r>
  <r>
    <x v="143"/>
    <s v="ORD-02014"/>
    <x v="1"/>
    <x v="3"/>
    <x v="26"/>
    <x v="1"/>
    <x v="1"/>
    <n v="4"/>
    <n v="60750.000000000007"/>
    <n v="243000.00000000003"/>
    <n v="45000"/>
    <n v="180000"/>
    <n v="63000.000000000029"/>
    <n v="0.25925925925925936"/>
  </r>
  <r>
    <x v="144"/>
    <s v="ORD-02015"/>
    <x v="2"/>
    <x v="0"/>
    <x v="80"/>
    <x v="3"/>
    <x v="0"/>
    <n v="3"/>
    <n v="3425.0000000000005"/>
    <n v="10275.000000000002"/>
    <n v="2500"/>
    <n v="7500"/>
    <n v="2775.0000000000018"/>
    <n v="0.27007299270073004"/>
  </r>
  <r>
    <x v="144"/>
    <s v="ORD-02016"/>
    <x v="0"/>
    <x v="5"/>
    <x v="143"/>
    <x v="6"/>
    <x v="3"/>
    <n v="7"/>
    <n v="1152"/>
    <n v="8064"/>
    <n v="900"/>
    <n v="6300"/>
    <n v="1764"/>
    <n v="0.21875"/>
  </r>
  <r>
    <x v="144"/>
    <s v="ORD-02017"/>
    <x v="3"/>
    <x v="4"/>
    <x v="111"/>
    <x v="4"/>
    <x v="2"/>
    <n v="5"/>
    <n v="12240"/>
    <n v="61200"/>
    <n v="8500"/>
    <n v="42500"/>
    <n v="18700"/>
    <n v="0.30555555555555558"/>
  </r>
  <r>
    <x v="144"/>
    <s v="ORD-02018"/>
    <x v="0"/>
    <x v="1"/>
    <x v="110"/>
    <x v="7"/>
    <x v="2"/>
    <n v="1"/>
    <n v="9590"/>
    <n v="9590"/>
    <n v="7000"/>
    <n v="7000"/>
    <n v="2590"/>
    <n v="0.27007299270072993"/>
  </r>
  <r>
    <x v="144"/>
    <s v="ORD-02019"/>
    <x v="1"/>
    <x v="5"/>
    <x v="70"/>
    <x v="7"/>
    <x v="2"/>
    <n v="1"/>
    <n v="9660"/>
    <n v="9660"/>
    <n v="7000"/>
    <n v="7000"/>
    <n v="2660"/>
    <n v="0.27536231884057971"/>
  </r>
  <r>
    <x v="144"/>
    <s v="ORD-02020"/>
    <x v="0"/>
    <x v="3"/>
    <x v="12"/>
    <x v="0"/>
    <x v="0"/>
    <n v="10"/>
    <n v="4096"/>
    <n v="40960"/>
    <n v="3200"/>
    <n v="32000"/>
    <n v="8960"/>
    <n v="0.21875"/>
  </r>
  <r>
    <x v="144"/>
    <s v="ORD-02021"/>
    <x v="3"/>
    <x v="5"/>
    <x v="0"/>
    <x v="7"/>
    <x v="2"/>
    <n v="1"/>
    <n v="8470"/>
    <n v="8470"/>
    <n v="7000"/>
    <n v="7000"/>
    <n v="1470"/>
    <n v="0.17355371900826447"/>
  </r>
  <r>
    <x v="144"/>
    <s v="ORD-02022"/>
    <x v="1"/>
    <x v="2"/>
    <x v="74"/>
    <x v="2"/>
    <x v="1"/>
    <n v="3"/>
    <n v="47120"/>
    <n v="141360"/>
    <n v="38000"/>
    <n v="114000"/>
    <n v="27360"/>
    <n v="0.19354838709677419"/>
  </r>
  <r>
    <x v="144"/>
    <s v="ORD-02023"/>
    <x v="0"/>
    <x v="2"/>
    <x v="114"/>
    <x v="4"/>
    <x v="2"/>
    <n v="1"/>
    <n v="11475"/>
    <n v="11475"/>
    <n v="8500"/>
    <n v="8500"/>
    <n v="2975"/>
    <n v="0.25925925925925924"/>
  </r>
  <r>
    <x v="144"/>
    <s v="ORD-02024"/>
    <x v="2"/>
    <x v="0"/>
    <x v="14"/>
    <x v="4"/>
    <x v="2"/>
    <n v="5"/>
    <n v="12240"/>
    <n v="61200"/>
    <n v="8500"/>
    <n v="42500"/>
    <n v="18700"/>
    <n v="0.30555555555555558"/>
  </r>
  <r>
    <x v="144"/>
    <s v="ORD-02025"/>
    <x v="2"/>
    <x v="5"/>
    <x v="143"/>
    <x v="4"/>
    <x v="2"/>
    <n v="5"/>
    <n v="11390"/>
    <n v="56950"/>
    <n v="8500"/>
    <n v="42500"/>
    <n v="14450"/>
    <n v="0.2537313432835821"/>
  </r>
  <r>
    <x v="144"/>
    <s v="ORD-02026"/>
    <x v="2"/>
    <x v="1"/>
    <x v="149"/>
    <x v="1"/>
    <x v="1"/>
    <n v="4"/>
    <n v="55800"/>
    <n v="223200"/>
    <n v="45000"/>
    <n v="180000"/>
    <n v="43200"/>
    <n v="0.19354838709677419"/>
  </r>
  <r>
    <x v="144"/>
    <s v="ORD-02027"/>
    <x v="1"/>
    <x v="1"/>
    <x v="57"/>
    <x v="2"/>
    <x v="1"/>
    <n v="1"/>
    <n v="50920"/>
    <n v="50920"/>
    <n v="38000"/>
    <n v="38000"/>
    <n v="12920"/>
    <n v="0.2537313432835821"/>
  </r>
  <r>
    <x v="144"/>
    <s v="ORD-02028"/>
    <x v="0"/>
    <x v="0"/>
    <x v="46"/>
    <x v="3"/>
    <x v="0"/>
    <n v="6"/>
    <n v="3449.9999999999995"/>
    <n v="20699.999999999996"/>
    <n v="2500"/>
    <n v="15000"/>
    <n v="5699.9999999999964"/>
    <n v="0.2753623188405796"/>
  </r>
  <r>
    <x v="145"/>
    <s v="ORD-02029"/>
    <x v="1"/>
    <x v="0"/>
    <x v="29"/>
    <x v="6"/>
    <x v="3"/>
    <n v="7"/>
    <n v="1098"/>
    <n v="7686"/>
    <n v="900"/>
    <n v="6300"/>
    <n v="1386"/>
    <n v="0.18032786885245902"/>
  </r>
  <r>
    <x v="145"/>
    <s v="ORD-02030"/>
    <x v="1"/>
    <x v="1"/>
    <x v="18"/>
    <x v="2"/>
    <x v="1"/>
    <n v="8"/>
    <n v="49780"/>
    <n v="398240"/>
    <n v="38000"/>
    <n v="304000"/>
    <n v="94240"/>
    <n v="0.23664122137404581"/>
  </r>
  <r>
    <x v="145"/>
    <s v="ORD-02031"/>
    <x v="3"/>
    <x v="2"/>
    <x v="132"/>
    <x v="7"/>
    <x v="2"/>
    <n v="8"/>
    <n v="9660"/>
    <n v="77280"/>
    <n v="7000"/>
    <n v="56000"/>
    <n v="21280"/>
    <n v="0.27536231884057971"/>
  </r>
  <r>
    <x v="145"/>
    <s v="ORD-02032"/>
    <x v="1"/>
    <x v="1"/>
    <x v="102"/>
    <x v="7"/>
    <x v="2"/>
    <n v="2"/>
    <n v="8540"/>
    <n v="17080"/>
    <n v="7000"/>
    <n v="14000"/>
    <n v="3080"/>
    <n v="0.18032786885245902"/>
  </r>
  <r>
    <x v="145"/>
    <s v="ORD-02033"/>
    <x v="3"/>
    <x v="5"/>
    <x v="49"/>
    <x v="3"/>
    <x v="0"/>
    <n v="7"/>
    <n v="3375"/>
    <n v="23625"/>
    <n v="2500"/>
    <n v="17500"/>
    <n v="6125"/>
    <n v="0.25925925925925924"/>
  </r>
  <r>
    <x v="145"/>
    <s v="ORD-02034"/>
    <x v="1"/>
    <x v="3"/>
    <x v="117"/>
    <x v="5"/>
    <x v="3"/>
    <n v="6"/>
    <n v="726"/>
    <n v="4356"/>
    <n v="600"/>
    <n v="3600"/>
    <n v="756"/>
    <n v="0.17355371900826447"/>
  </r>
  <r>
    <x v="145"/>
    <s v="ORD-02035"/>
    <x v="2"/>
    <x v="4"/>
    <x v="48"/>
    <x v="4"/>
    <x v="2"/>
    <n v="4"/>
    <n v="11730"/>
    <n v="46920"/>
    <n v="8500"/>
    <n v="34000"/>
    <n v="12920"/>
    <n v="0.27536231884057971"/>
  </r>
  <r>
    <x v="145"/>
    <s v="ORD-02036"/>
    <x v="3"/>
    <x v="5"/>
    <x v="28"/>
    <x v="3"/>
    <x v="0"/>
    <n v="6"/>
    <n v="3025"/>
    <n v="18150"/>
    <n v="2500"/>
    <n v="15000"/>
    <n v="3150"/>
    <n v="0.17355371900826447"/>
  </r>
  <r>
    <x v="145"/>
    <s v="ORD-02037"/>
    <x v="3"/>
    <x v="5"/>
    <x v="142"/>
    <x v="4"/>
    <x v="2"/>
    <n v="7"/>
    <n v="11730"/>
    <n v="82110"/>
    <n v="8500"/>
    <n v="59500"/>
    <n v="22610"/>
    <n v="0.27536231884057971"/>
  </r>
  <r>
    <x v="145"/>
    <s v="ORD-02038"/>
    <x v="3"/>
    <x v="2"/>
    <x v="97"/>
    <x v="1"/>
    <x v="1"/>
    <n v="1"/>
    <n v="59400"/>
    <n v="59400"/>
    <n v="45000"/>
    <n v="45000"/>
    <n v="14400"/>
    <n v="0.24242424242424243"/>
  </r>
  <r>
    <x v="145"/>
    <s v="ORD-02039"/>
    <x v="0"/>
    <x v="0"/>
    <x v="96"/>
    <x v="3"/>
    <x v="0"/>
    <n v="3"/>
    <n v="3425.0000000000005"/>
    <n v="10275.000000000002"/>
    <n v="2500"/>
    <n v="7500"/>
    <n v="2775.0000000000018"/>
    <n v="0.27007299270073004"/>
  </r>
  <r>
    <x v="145"/>
    <s v="ORD-02040"/>
    <x v="2"/>
    <x v="3"/>
    <x v="100"/>
    <x v="2"/>
    <x v="1"/>
    <n v="9"/>
    <n v="52439.999999999993"/>
    <n v="471959.99999999994"/>
    <n v="38000"/>
    <n v="342000"/>
    <n v="129959.99999999994"/>
    <n v="0.2753623188405796"/>
  </r>
  <r>
    <x v="145"/>
    <s v="ORD-02041"/>
    <x v="1"/>
    <x v="1"/>
    <x v="85"/>
    <x v="4"/>
    <x v="2"/>
    <n v="9"/>
    <n v="11050"/>
    <n v="99450"/>
    <n v="8500"/>
    <n v="76500"/>
    <n v="22950"/>
    <n v="0.23076923076923078"/>
  </r>
  <r>
    <x v="145"/>
    <s v="ORD-02042"/>
    <x v="3"/>
    <x v="0"/>
    <x v="97"/>
    <x v="6"/>
    <x v="3"/>
    <n v="1"/>
    <n v="1089"/>
    <n v="1089"/>
    <n v="900"/>
    <n v="900"/>
    <n v="189"/>
    <n v="0.17355371900826447"/>
  </r>
  <r>
    <x v="146"/>
    <s v="ORD-02043"/>
    <x v="3"/>
    <x v="2"/>
    <x v="2"/>
    <x v="3"/>
    <x v="0"/>
    <n v="7"/>
    <n v="3399.9999999999995"/>
    <n v="23799.999999999996"/>
    <n v="2500"/>
    <n v="17500"/>
    <n v="6299.9999999999964"/>
    <n v="0.26470588235294107"/>
  </r>
  <r>
    <x v="146"/>
    <s v="ORD-02044"/>
    <x v="2"/>
    <x v="4"/>
    <x v="137"/>
    <x v="5"/>
    <x v="3"/>
    <n v="9"/>
    <n v="756"/>
    <n v="6804"/>
    <n v="600"/>
    <n v="5400"/>
    <n v="1404"/>
    <n v="0.20634920634920634"/>
  </r>
  <r>
    <x v="146"/>
    <s v="ORD-02045"/>
    <x v="3"/>
    <x v="4"/>
    <x v="109"/>
    <x v="0"/>
    <x v="0"/>
    <n v="4"/>
    <n v="4064"/>
    <n v="16256"/>
    <n v="3200"/>
    <n v="12800"/>
    <n v="3456"/>
    <n v="0.2125984251968504"/>
  </r>
  <r>
    <x v="146"/>
    <s v="ORD-02046"/>
    <x v="1"/>
    <x v="1"/>
    <x v="58"/>
    <x v="1"/>
    <x v="1"/>
    <n v="10"/>
    <n v="61650.000000000007"/>
    <n v="616500.00000000012"/>
    <n v="45000"/>
    <n v="450000"/>
    <n v="166500.00000000012"/>
    <n v="0.27007299270073004"/>
  </r>
  <r>
    <x v="146"/>
    <s v="ORD-02047"/>
    <x v="0"/>
    <x v="2"/>
    <x v="120"/>
    <x v="7"/>
    <x v="2"/>
    <n v="3"/>
    <n v="10010"/>
    <n v="30030"/>
    <n v="7000"/>
    <n v="21000"/>
    <n v="9030"/>
    <n v="0.30069930069930068"/>
  </r>
  <r>
    <x v="146"/>
    <s v="ORD-02048"/>
    <x v="0"/>
    <x v="4"/>
    <x v="80"/>
    <x v="2"/>
    <x v="1"/>
    <n v="1"/>
    <n v="50540"/>
    <n v="50540"/>
    <n v="38000"/>
    <n v="38000"/>
    <n v="12540"/>
    <n v="0.24812030075187969"/>
  </r>
  <r>
    <x v="146"/>
    <s v="ORD-02049"/>
    <x v="2"/>
    <x v="5"/>
    <x v="9"/>
    <x v="7"/>
    <x v="2"/>
    <n v="3"/>
    <n v="8750"/>
    <n v="26250"/>
    <n v="7000"/>
    <n v="21000"/>
    <n v="5250"/>
    <n v="0.2"/>
  </r>
  <r>
    <x v="146"/>
    <s v="ORD-02050"/>
    <x v="0"/>
    <x v="4"/>
    <x v="102"/>
    <x v="5"/>
    <x v="3"/>
    <n v="8"/>
    <n v="780"/>
    <n v="6240"/>
    <n v="600"/>
    <n v="4800"/>
    <n v="1440"/>
    <n v="0.23076923076923078"/>
  </r>
  <r>
    <x v="146"/>
    <s v="ORD-02051"/>
    <x v="3"/>
    <x v="4"/>
    <x v="56"/>
    <x v="5"/>
    <x v="3"/>
    <n v="1"/>
    <n v="827.99999999999989"/>
    <n v="827.99999999999989"/>
    <n v="600"/>
    <n v="600"/>
    <n v="227.99999999999989"/>
    <n v="0.2753623188405796"/>
  </r>
  <r>
    <x v="146"/>
    <s v="ORD-02052"/>
    <x v="2"/>
    <x v="2"/>
    <x v="96"/>
    <x v="6"/>
    <x v="3"/>
    <n v="1"/>
    <n v="1305"/>
    <n v="1305"/>
    <n v="900"/>
    <n v="900"/>
    <n v="405"/>
    <n v="0.31034482758620691"/>
  </r>
  <r>
    <x v="146"/>
    <s v="ORD-02053"/>
    <x v="1"/>
    <x v="1"/>
    <x v="59"/>
    <x v="7"/>
    <x v="2"/>
    <n v="7"/>
    <n v="10150"/>
    <n v="71050"/>
    <n v="7000"/>
    <n v="49000"/>
    <n v="22050"/>
    <n v="0.31034482758620691"/>
  </r>
  <r>
    <x v="146"/>
    <s v="ORD-02054"/>
    <x v="0"/>
    <x v="1"/>
    <x v="24"/>
    <x v="3"/>
    <x v="0"/>
    <n v="6"/>
    <n v="3125"/>
    <n v="18750"/>
    <n v="2500"/>
    <n v="15000"/>
    <n v="3750"/>
    <n v="0.2"/>
  </r>
  <r>
    <x v="146"/>
    <s v="ORD-02055"/>
    <x v="1"/>
    <x v="2"/>
    <x v="148"/>
    <x v="1"/>
    <x v="1"/>
    <n v="10"/>
    <n v="60300"/>
    <n v="603000"/>
    <n v="45000"/>
    <n v="450000"/>
    <n v="153000"/>
    <n v="0.2537313432835821"/>
  </r>
  <r>
    <x v="146"/>
    <s v="ORD-02056"/>
    <x v="1"/>
    <x v="3"/>
    <x v="144"/>
    <x v="3"/>
    <x v="0"/>
    <n v="1"/>
    <n v="3575"/>
    <n v="3575"/>
    <n v="2500"/>
    <n v="2500"/>
    <n v="1075"/>
    <n v="0.30069930069930068"/>
  </r>
  <r>
    <x v="147"/>
    <s v="ORD-02057"/>
    <x v="1"/>
    <x v="4"/>
    <x v="142"/>
    <x v="5"/>
    <x v="3"/>
    <n v="4"/>
    <n v="840"/>
    <n v="3360"/>
    <n v="600"/>
    <n v="2400"/>
    <n v="960"/>
    <n v="0.2857142857142857"/>
  </r>
  <r>
    <x v="147"/>
    <s v="ORD-02058"/>
    <x v="2"/>
    <x v="4"/>
    <x v="53"/>
    <x v="1"/>
    <x v="1"/>
    <n v="1"/>
    <n v="54000"/>
    <n v="54000"/>
    <n v="45000"/>
    <n v="45000"/>
    <n v="9000"/>
    <n v="0.16666666666666666"/>
  </r>
  <r>
    <x v="147"/>
    <s v="ORD-02059"/>
    <x v="0"/>
    <x v="2"/>
    <x v="120"/>
    <x v="5"/>
    <x v="3"/>
    <n v="5"/>
    <n v="774"/>
    <n v="3870"/>
    <n v="600"/>
    <n v="3000"/>
    <n v="870"/>
    <n v="0.22480620155038761"/>
  </r>
  <r>
    <x v="147"/>
    <s v="ORD-02060"/>
    <x v="3"/>
    <x v="0"/>
    <x v="116"/>
    <x v="3"/>
    <x v="0"/>
    <n v="2"/>
    <n v="3375"/>
    <n v="6750"/>
    <n v="2500"/>
    <n v="5000"/>
    <n v="1750"/>
    <n v="0.25925925925925924"/>
  </r>
  <r>
    <x v="147"/>
    <s v="ORD-02061"/>
    <x v="2"/>
    <x v="5"/>
    <x v="69"/>
    <x v="3"/>
    <x v="0"/>
    <n v="10"/>
    <n v="3275"/>
    <n v="32750"/>
    <n v="2500"/>
    <n v="25000"/>
    <n v="7750"/>
    <n v="0.23664122137404581"/>
  </r>
  <r>
    <x v="147"/>
    <s v="ORD-02062"/>
    <x v="1"/>
    <x v="4"/>
    <x v="84"/>
    <x v="0"/>
    <x v="0"/>
    <n v="9"/>
    <n v="4640"/>
    <n v="41760"/>
    <n v="3200"/>
    <n v="28800"/>
    <n v="12960"/>
    <n v="0.31034482758620691"/>
  </r>
  <r>
    <x v="147"/>
    <s v="ORD-02063"/>
    <x v="0"/>
    <x v="5"/>
    <x v="145"/>
    <x v="6"/>
    <x v="3"/>
    <n v="10"/>
    <n v="1098"/>
    <n v="10980"/>
    <n v="900"/>
    <n v="9000"/>
    <n v="1980"/>
    <n v="0.18032786885245902"/>
  </r>
  <r>
    <x v="147"/>
    <s v="ORD-02064"/>
    <x v="2"/>
    <x v="1"/>
    <x v="123"/>
    <x v="0"/>
    <x v="0"/>
    <n v="6"/>
    <n v="4512"/>
    <n v="27072"/>
    <n v="3200"/>
    <n v="19200"/>
    <n v="7872"/>
    <n v="0.29078014184397161"/>
  </r>
  <r>
    <x v="147"/>
    <s v="ORD-02065"/>
    <x v="1"/>
    <x v="2"/>
    <x v="83"/>
    <x v="3"/>
    <x v="0"/>
    <n v="5"/>
    <n v="3250"/>
    <n v="16250"/>
    <n v="2500"/>
    <n v="12500"/>
    <n v="3750"/>
    <n v="0.23076923076923078"/>
  </r>
  <r>
    <x v="147"/>
    <s v="ORD-02066"/>
    <x v="2"/>
    <x v="0"/>
    <x v="47"/>
    <x v="0"/>
    <x v="0"/>
    <n v="10"/>
    <n v="4512"/>
    <n v="45120"/>
    <n v="3200"/>
    <n v="32000"/>
    <n v="13120"/>
    <n v="0.29078014184397161"/>
  </r>
  <r>
    <x v="147"/>
    <s v="ORD-02067"/>
    <x v="1"/>
    <x v="0"/>
    <x v="93"/>
    <x v="4"/>
    <x v="2"/>
    <n v="4"/>
    <n v="10965"/>
    <n v="43860"/>
    <n v="8500"/>
    <n v="34000"/>
    <n v="9860"/>
    <n v="0.22480620155038761"/>
  </r>
  <r>
    <x v="147"/>
    <s v="ORD-02068"/>
    <x v="3"/>
    <x v="2"/>
    <x v="119"/>
    <x v="5"/>
    <x v="3"/>
    <n v="3"/>
    <n v="810"/>
    <n v="2430"/>
    <n v="600"/>
    <n v="1800"/>
    <n v="630"/>
    <n v="0.25925925925925924"/>
  </r>
  <r>
    <x v="147"/>
    <s v="ORD-02069"/>
    <x v="0"/>
    <x v="2"/>
    <x v="37"/>
    <x v="2"/>
    <x v="1"/>
    <n v="7"/>
    <n v="47120"/>
    <n v="329840"/>
    <n v="38000"/>
    <n v="266000"/>
    <n v="63840"/>
    <n v="0.19354838709677419"/>
  </r>
  <r>
    <x v="147"/>
    <s v="ORD-02070"/>
    <x v="3"/>
    <x v="1"/>
    <x v="29"/>
    <x v="1"/>
    <x v="1"/>
    <n v="10"/>
    <n v="62999.999999999993"/>
    <n v="629999.99999999988"/>
    <n v="45000"/>
    <n v="450000"/>
    <n v="179999.99999999988"/>
    <n v="0.28571428571428559"/>
  </r>
  <r>
    <x v="148"/>
    <s v="ORD-02071"/>
    <x v="3"/>
    <x v="1"/>
    <x v="111"/>
    <x v="5"/>
    <x v="3"/>
    <n v="3"/>
    <n v="852"/>
    <n v="2556"/>
    <n v="600"/>
    <n v="1800"/>
    <n v="756"/>
    <n v="0.29577464788732394"/>
  </r>
  <r>
    <x v="148"/>
    <s v="ORD-02072"/>
    <x v="1"/>
    <x v="2"/>
    <x v="43"/>
    <x v="7"/>
    <x v="2"/>
    <n v="3"/>
    <n v="10080"/>
    <n v="30240"/>
    <n v="7000"/>
    <n v="21000"/>
    <n v="9240"/>
    <n v="0.30555555555555558"/>
  </r>
  <r>
    <x v="148"/>
    <s v="ORD-02073"/>
    <x v="0"/>
    <x v="4"/>
    <x v="123"/>
    <x v="3"/>
    <x v="0"/>
    <n v="1"/>
    <n v="3350"/>
    <n v="3350"/>
    <n v="2500"/>
    <n v="2500"/>
    <n v="850"/>
    <n v="0.2537313432835821"/>
  </r>
  <r>
    <x v="148"/>
    <s v="ORD-02074"/>
    <x v="1"/>
    <x v="1"/>
    <x v="44"/>
    <x v="5"/>
    <x v="3"/>
    <n v="10"/>
    <n v="774"/>
    <n v="7740"/>
    <n v="600"/>
    <n v="6000"/>
    <n v="1740"/>
    <n v="0.22480620155038761"/>
  </r>
  <r>
    <x v="148"/>
    <s v="ORD-02075"/>
    <x v="0"/>
    <x v="5"/>
    <x v="101"/>
    <x v="2"/>
    <x v="1"/>
    <n v="4"/>
    <n v="47120"/>
    <n v="188480"/>
    <n v="38000"/>
    <n v="152000"/>
    <n v="36480"/>
    <n v="0.19354838709677419"/>
  </r>
  <r>
    <x v="148"/>
    <s v="ORD-02076"/>
    <x v="3"/>
    <x v="5"/>
    <x v="23"/>
    <x v="4"/>
    <x v="2"/>
    <n v="2"/>
    <n v="11985"/>
    <n v="23970"/>
    <n v="8500"/>
    <n v="17000"/>
    <n v="6970"/>
    <n v="0.29078014184397161"/>
  </r>
  <r>
    <x v="148"/>
    <s v="ORD-02077"/>
    <x v="2"/>
    <x v="3"/>
    <x v="139"/>
    <x v="7"/>
    <x v="2"/>
    <n v="9"/>
    <n v="8400"/>
    <n v="75600"/>
    <n v="7000"/>
    <n v="63000"/>
    <n v="12600"/>
    <n v="0.16666666666666666"/>
  </r>
  <r>
    <x v="148"/>
    <s v="ORD-02078"/>
    <x v="3"/>
    <x v="0"/>
    <x v="5"/>
    <x v="4"/>
    <x v="2"/>
    <n v="7"/>
    <n v="11220"/>
    <n v="78540"/>
    <n v="8500"/>
    <n v="59500"/>
    <n v="19040"/>
    <n v="0.24242424242424243"/>
  </r>
  <r>
    <x v="148"/>
    <s v="ORD-02079"/>
    <x v="2"/>
    <x v="2"/>
    <x v="116"/>
    <x v="5"/>
    <x v="3"/>
    <n v="10"/>
    <n v="852"/>
    <n v="8520"/>
    <n v="600"/>
    <n v="6000"/>
    <n v="2520"/>
    <n v="0.29577464788732394"/>
  </r>
  <r>
    <x v="148"/>
    <s v="ORD-02080"/>
    <x v="3"/>
    <x v="5"/>
    <x v="76"/>
    <x v="7"/>
    <x v="2"/>
    <n v="7"/>
    <n v="9170"/>
    <n v="64190"/>
    <n v="7000"/>
    <n v="49000"/>
    <n v="15190"/>
    <n v="0.23664122137404581"/>
  </r>
  <r>
    <x v="148"/>
    <s v="ORD-02081"/>
    <x v="2"/>
    <x v="3"/>
    <x v="115"/>
    <x v="5"/>
    <x v="3"/>
    <n v="4"/>
    <n v="774"/>
    <n v="3096"/>
    <n v="600"/>
    <n v="2400"/>
    <n v="696"/>
    <n v="0.22480620155038761"/>
  </r>
  <r>
    <x v="148"/>
    <s v="ORD-02082"/>
    <x v="1"/>
    <x v="4"/>
    <x v="24"/>
    <x v="3"/>
    <x v="0"/>
    <n v="2"/>
    <n v="3350"/>
    <n v="6700"/>
    <n v="2500"/>
    <n v="5000"/>
    <n v="1700"/>
    <n v="0.2537313432835821"/>
  </r>
  <r>
    <x v="148"/>
    <s v="ORD-02083"/>
    <x v="1"/>
    <x v="1"/>
    <x v="11"/>
    <x v="7"/>
    <x v="2"/>
    <n v="6"/>
    <n v="8470"/>
    <n v="50820"/>
    <n v="7000"/>
    <n v="42000"/>
    <n v="8820"/>
    <n v="0.17355371900826447"/>
  </r>
  <r>
    <x v="148"/>
    <s v="ORD-02084"/>
    <x v="1"/>
    <x v="3"/>
    <x v="56"/>
    <x v="2"/>
    <x v="1"/>
    <n v="3"/>
    <n v="51300"/>
    <n v="153900"/>
    <n v="38000"/>
    <n v="114000"/>
    <n v="39900"/>
    <n v="0.25925925925925924"/>
  </r>
  <r>
    <x v="149"/>
    <s v="ORD-02085"/>
    <x v="0"/>
    <x v="5"/>
    <x v="75"/>
    <x v="7"/>
    <x v="2"/>
    <n v="1"/>
    <n v="8890"/>
    <n v="8890"/>
    <n v="7000"/>
    <n v="7000"/>
    <n v="1890"/>
    <n v="0.2125984251968504"/>
  </r>
  <r>
    <x v="149"/>
    <s v="ORD-02086"/>
    <x v="0"/>
    <x v="1"/>
    <x v="129"/>
    <x v="6"/>
    <x v="3"/>
    <n v="4"/>
    <n v="1143"/>
    <n v="4572"/>
    <n v="900"/>
    <n v="3600"/>
    <n v="972"/>
    <n v="0.2125984251968504"/>
  </r>
  <r>
    <x v="149"/>
    <s v="ORD-02087"/>
    <x v="3"/>
    <x v="1"/>
    <x v="10"/>
    <x v="3"/>
    <x v="0"/>
    <n v="7"/>
    <n v="3525"/>
    <n v="24675"/>
    <n v="2500"/>
    <n v="17500"/>
    <n v="7175"/>
    <n v="0.29078014184397161"/>
  </r>
  <r>
    <x v="149"/>
    <s v="ORD-02088"/>
    <x v="2"/>
    <x v="5"/>
    <x v="76"/>
    <x v="5"/>
    <x v="3"/>
    <n v="2"/>
    <n v="756"/>
    <n v="1512"/>
    <n v="600"/>
    <n v="1200"/>
    <n v="312"/>
    <n v="0.20634920634920634"/>
  </r>
  <r>
    <x v="149"/>
    <s v="ORD-02089"/>
    <x v="2"/>
    <x v="2"/>
    <x v="54"/>
    <x v="3"/>
    <x v="0"/>
    <n v="7"/>
    <n v="3200"/>
    <n v="22400"/>
    <n v="2500"/>
    <n v="17500"/>
    <n v="4900"/>
    <n v="0.21875"/>
  </r>
  <r>
    <x v="149"/>
    <s v="ORD-02090"/>
    <x v="3"/>
    <x v="1"/>
    <x v="142"/>
    <x v="2"/>
    <x v="1"/>
    <n v="2"/>
    <n v="51300"/>
    <n v="102600"/>
    <n v="38000"/>
    <n v="76000"/>
    <n v="26600"/>
    <n v="0.25925925925925924"/>
  </r>
  <r>
    <x v="149"/>
    <s v="ORD-02091"/>
    <x v="3"/>
    <x v="3"/>
    <x v="36"/>
    <x v="0"/>
    <x v="0"/>
    <n v="4"/>
    <n v="4000"/>
    <n v="16000"/>
    <n v="3200"/>
    <n v="12800"/>
    <n v="3200"/>
    <n v="0.2"/>
  </r>
  <r>
    <x v="149"/>
    <s v="ORD-02092"/>
    <x v="2"/>
    <x v="0"/>
    <x v="134"/>
    <x v="2"/>
    <x v="1"/>
    <n v="1"/>
    <n v="50160"/>
    <n v="50160"/>
    <n v="38000"/>
    <n v="38000"/>
    <n v="12160"/>
    <n v="0.24242424242424243"/>
  </r>
  <r>
    <x v="149"/>
    <s v="ORD-02093"/>
    <x v="0"/>
    <x v="4"/>
    <x v="61"/>
    <x v="7"/>
    <x v="2"/>
    <n v="2"/>
    <n v="9100"/>
    <n v="18200"/>
    <n v="7000"/>
    <n v="14000"/>
    <n v="4200"/>
    <n v="0.23076923076923078"/>
  </r>
  <r>
    <x v="149"/>
    <s v="ORD-02094"/>
    <x v="0"/>
    <x v="0"/>
    <x v="18"/>
    <x v="6"/>
    <x v="3"/>
    <n v="4"/>
    <n v="1224"/>
    <n v="4896"/>
    <n v="900"/>
    <n v="3600"/>
    <n v="1296"/>
    <n v="0.26470588235294118"/>
  </r>
  <r>
    <x v="149"/>
    <s v="ORD-02095"/>
    <x v="3"/>
    <x v="1"/>
    <x v="80"/>
    <x v="0"/>
    <x v="0"/>
    <n v="7"/>
    <n v="4416"/>
    <n v="30912"/>
    <n v="3200"/>
    <n v="22400"/>
    <n v="8512"/>
    <n v="0.27536231884057971"/>
  </r>
  <r>
    <x v="149"/>
    <s v="ORD-02096"/>
    <x v="0"/>
    <x v="1"/>
    <x v="75"/>
    <x v="3"/>
    <x v="0"/>
    <n v="2"/>
    <n v="3625"/>
    <n v="7250"/>
    <n v="2500"/>
    <n v="5000"/>
    <n v="2250"/>
    <n v="0.31034482758620691"/>
  </r>
  <r>
    <x v="149"/>
    <s v="ORD-02097"/>
    <x v="1"/>
    <x v="4"/>
    <x v="81"/>
    <x v="7"/>
    <x v="2"/>
    <n v="10"/>
    <n v="8680"/>
    <n v="86800"/>
    <n v="7000"/>
    <n v="70000"/>
    <n v="16800"/>
    <n v="0.19354838709677419"/>
  </r>
  <r>
    <x v="149"/>
    <s v="ORD-02098"/>
    <x v="1"/>
    <x v="1"/>
    <x v="51"/>
    <x v="4"/>
    <x v="2"/>
    <n v="6"/>
    <n v="11645"/>
    <n v="69870"/>
    <n v="8500"/>
    <n v="51000"/>
    <n v="18870"/>
    <n v="0.27007299270072993"/>
  </r>
  <r>
    <x v="150"/>
    <s v="ORD-02099"/>
    <x v="0"/>
    <x v="1"/>
    <x v="11"/>
    <x v="0"/>
    <x v="0"/>
    <n v="2"/>
    <n v="4192"/>
    <n v="8384"/>
    <n v="3200"/>
    <n v="6400"/>
    <n v="1984"/>
    <n v="0.23664122137404581"/>
  </r>
  <r>
    <x v="150"/>
    <s v="ORD-02100"/>
    <x v="1"/>
    <x v="5"/>
    <x v="92"/>
    <x v="1"/>
    <x v="1"/>
    <n v="7"/>
    <n v="61650.000000000007"/>
    <n v="431550.00000000006"/>
    <n v="45000"/>
    <n v="315000"/>
    <n v="116550.00000000006"/>
    <n v="0.27007299270073004"/>
  </r>
  <r>
    <x v="150"/>
    <s v="ORD-02101"/>
    <x v="3"/>
    <x v="1"/>
    <x v="70"/>
    <x v="7"/>
    <x v="2"/>
    <n v="2"/>
    <n v="8960"/>
    <n v="17920"/>
    <n v="7000"/>
    <n v="14000"/>
    <n v="3920"/>
    <n v="0.21875"/>
  </r>
  <r>
    <x v="150"/>
    <s v="ORD-02102"/>
    <x v="1"/>
    <x v="3"/>
    <x v="148"/>
    <x v="5"/>
    <x v="3"/>
    <n v="6"/>
    <n v="786"/>
    <n v="4716"/>
    <n v="600"/>
    <n v="3600"/>
    <n v="1116"/>
    <n v="0.23664122137404581"/>
  </r>
  <r>
    <x v="150"/>
    <s v="ORD-02103"/>
    <x v="1"/>
    <x v="1"/>
    <x v="82"/>
    <x v="2"/>
    <x v="1"/>
    <n v="2"/>
    <n v="50920"/>
    <n v="101840"/>
    <n v="38000"/>
    <n v="76000"/>
    <n v="25840"/>
    <n v="0.2537313432835821"/>
  </r>
  <r>
    <x v="150"/>
    <s v="ORD-02104"/>
    <x v="1"/>
    <x v="3"/>
    <x v="34"/>
    <x v="4"/>
    <x v="2"/>
    <n v="4"/>
    <n v="12155"/>
    <n v="48620"/>
    <n v="8500"/>
    <n v="34000"/>
    <n v="14620"/>
    <n v="0.30069930069930068"/>
  </r>
  <r>
    <x v="150"/>
    <s v="ORD-02105"/>
    <x v="0"/>
    <x v="4"/>
    <x v="110"/>
    <x v="0"/>
    <x v="0"/>
    <n v="9"/>
    <n v="4480"/>
    <n v="40320"/>
    <n v="3200"/>
    <n v="28800"/>
    <n v="11520"/>
    <n v="0.2857142857142857"/>
  </r>
  <r>
    <x v="150"/>
    <s v="ORD-02106"/>
    <x v="2"/>
    <x v="2"/>
    <x v="47"/>
    <x v="4"/>
    <x v="2"/>
    <n v="8"/>
    <n v="11305"/>
    <n v="90440"/>
    <n v="8500"/>
    <n v="68000"/>
    <n v="22440"/>
    <n v="0.24812030075187969"/>
  </r>
  <r>
    <x v="150"/>
    <s v="ORD-02107"/>
    <x v="3"/>
    <x v="1"/>
    <x v="129"/>
    <x v="1"/>
    <x v="1"/>
    <n v="7"/>
    <n v="61199.999999999993"/>
    <n v="428399.99999999994"/>
    <n v="45000"/>
    <n v="315000"/>
    <n v="113399.99999999994"/>
    <n v="0.26470588235294107"/>
  </r>
  <r>
    <x v="150"/>
    <s v="ORD-02108"/>
    <x v="3"/>
    <x v="0"/>
    <x v="9"/>
    <x v="6"/>
    <x v="3"/>
    <n v="6"/>
    <n v="1215"/>
    <n v="7290"/>
    <n v="900"/>
    <n v="5400"/>
    <n v="1890"/>
    <n v="0.25925925925925924"/>
  </r>
  <r>
    <x v="150"/>
    <s v="ORD-02109"/>
    <x v="1"/>
    <x v="1"/>
    <x v="135"/>
    <x v="1"/>
    <x v="1"/>
    <n v="3"/>
    <n v="55800"/>
    <n v="167400"/>
    <n v="45000"/>
    <n v="135000"/>
    <n v="32400"/>
    <n v="0.19354838709677419"/>
  </r>
  <r>
    <x v="150"/>
    <s v="ORD-02110"/>
    <x v="0"/>
    <x v="2"/>
    <x v="124"/>
    <x v="5"/>
    <x v="3"/>
    <n v="8"/>
    <n v="744"/>
    <n v="5952"/>
    <n v="600"/>
    <n v="4800"/>
    <n v="1152"/>
    <n v="0.19354838709677419"/>
  </r>
  <r>
    <x v="150"/>
    <s v="ORD-02111"/>
    <x v="3"/>
    <x v="0"/>
    <x v="67"/>
    <x v="3"/>
    <x v="0"/>
    <n v="4"/>
    <n v="3050"/>
    <n v="12200"/>
    <n v="2500"/>
    <n v="10000"/>
    <n v="2200"/>
    <n v="0.18032786885245902"/>
  </r>
  <r>
    <x v="150"/>
    <s v="ORD-02112"/>
    <x v="3"/>
    <x v="4"/>
    <x v="15"/>
    <x v="0"/>
    <x v="0"/>
    <n v="3"/>
    <n v="4512"/>
    <n v="13536"/>
    <n v="3200"/>
    <n v="9600"/>
    <n v="3936"/>
    <n v="0.29078014184397161"/>
  </r>
  <r>
    <x v="151"/>
    <s v="ORD-02113"/>
    <x v="0"/>
    <x v="2"/>
    <x v="2"/>
    <x v="2"/>
    <x v="1"/>
    <n v="10"/>
    <n v="54720"/>
    <n v="547200"/>
    <n v="38000"/>
    <n v="380000"/>
    <n v="167200"/>
    <n v="0.30555555555555558"/>
  </r>
  <r>
    <x v="151"/>
    <s v="ORD-02114"/>
    <x v="0"/>
    <x v="4"/>
    <x v="19"/>
    <x v="7"/>
    <x v="2"/>
    <n v="8"/>
    <n v="8540"/>
    <n v="68320"/>
    <n v="7000"/>
    <n v="56000"/>
    <n v="12320"/>
    <n v="0.18032786885245902"/>
  </r>
  <r>
    <x v="151"/>
    <s v="ORD-02115"/>
    <x v="2"/>
    <x v="4"/>
    <x v="79"/>
    <x v="4"/>
    <x v="2"/>
    <n v="7"/>
    <n v="11390"/>
    <n v="79730"/>
    <n v="8500"/>
    <n v="59500"/>
    <n v="20230"/>
    <n v="0.2537313432835821"/>
  </r>
  <r>
    <x v="151"/>
    <s v="ORD-02116"/>
    <x v="0"/>
    <x v="5"/>
    <x v="73"/>
    <x v="1"/>
    <x v="1"/>
    <n v="7"/>
    <n v="59400"/>
    <n v="415800"/>
    <n v="45000"/>
    <n v="315000"/>
    <n v="100800"/>
    <n v="0.24242424242424243"/>
  </r>
  <r>
    <x v="151"/>
    <s v="ORD-02117"/>
    <x v="0"/>
    <x v="0"/>
    <x v="37"/>
    <x v="6"/>
    <x v="3"/>
    <n v="2"/>
    <n v="1080"/>
    <n v="2160"/>
    <n v="900"/>
    <n v="1800"/>
    <n v="360"/>
    <n v="0.16666666666666666"/>
  </r>
  <r>
    <x v="151"/>
    <s v="ORD-02118"/>
    <x v="3"/>
    <x v="3"/>
    <x v="28"/>
    <x v="5"/>
    <x v="3"/>
    <n v="4"/>
    <n v="870"/>
    <n v="3480"/>
    <n v="600"/>
    <n v="2400"/>
    <n v="1080"/>
    <n v="0.31034482758620691"/>
  </r>
  <r>
    <x v="151"/>
    <s v="ORD-02119"/>
    <x v="3"/>
    <x v="4"/>
    <x v="81"/>
    <x v="6"/>
    <x v="3"/>
    <n v="4"/>
    <n v="1107"/>
    <n v="4428"/>
    <n v="900"/>
    <n v="3600"/>
    <n v="828"/>
    <n v="0.18699186991869918"/>
  </r>
  <r>
    <x v="151"/>
    <s v="ORD-02120"/>
    <x v="3"/>
    <x v="5"/>
    <x v="114"/>
    <x v="2"/>
    <x v="1"/>
    <n v="7"/>
    <n v="50540"/>
    <n v="353780"/>
    <n v="38000"/>
    <n v="266000"/>
    <n v="87780"/>
    <n v="0.24812030075187969"/>
  </r>
  <r>
    <x v="151"/>
    <s v="ORD-02121"/>
    <x v="2"/>
    <x v="5"/>
    <x v="43"/>
    <x v="5"/>
    <x v="3"/>
    <n v="6"/>
    <n v="762"/>
    <n v="4572"/>
    <n v="600"/>
    <n v="3600"/>
    <n v="972"/>
    <n v="0.2125984251968504"/>
  </r>
  <r>
    <x v="151"/>
    <s v="ORD-02122"/>
    <x v="3"/>
    <x v="4"/>
    <x v="3"/>
    <x v="3"/>
    <x v="0"/>
    <n v="3"/>
    <n v="3375"/>
    <n v="10125"/>
    <n v="2500"/>
    <n v="7500"/>
    <n v="2625"/>
    <n v="0.25925925925925924"/>
  </r>
  <r>
    <x v="151"/>
    <s v="ORD-02123"/>
    <x v="0"/>
    <x v="4"/>
    <x v="78"/>
    <x v="5"/>
    <x v="3"/>
    <n v="9"/>
    <n v="762"/>
    <n v="6858"/>
    <n v="600"/>
    <n v="5400"/>
    <n v="1458"/>
    <n v="0.2125984251968504"/>
  </r>
  <r>
    <x v="151"/>
    <s v="ORD-02124"/>
    <x v="3"/>
    <x v="5"/>
    <x v="106"/>
    <x v="0"/>
    <x v="0"/>
    <n v="5"/>
    <n v="3904"/>
    <n v="19520"/>
    <n v="3200"/>
    <n v="16000"/>
    <n v="3520"/>
    <n v="0.18032786885245902"/>
  </r>
  <r>
    <x v="151"/>
    <s v="ORD-02125"/>
    <x v="2"/>
    <x v="4"/>
    <x v="129"/>
    <x v="0"/>
    <x v="0"/>
    <n v="3"/>
    <n v="4576"/>
    <n v="13728"/>
    <n v="3200"/>
    <n v="9600"/>
    <n v="4128"/>
    <n v="0.30069930069930068"/>
  </r>
  <r>
    <x v="151"/>
    <s v="ORD-02126"/>
    <x v="1"/>
    <x v="2"/>
    <x v="25"/>
    <x v="2"/>
    <x v="1"/>
    <n v="4"/>
    <n v="48640"/>
    <n v="194560"/>
    <n v="38000"/>
    <n v="152000"/>
    <n v="42560"/>
    <n v="0.21875"/>
  </r>
  <r>
    <x v="152"/>
    <s v="ORD-02127"/>
    <x v="3"/>
    <x v="3"/>
    <x v="80"/>
    <x v="5"/>
    <x v="3"/>
    <n v="7"/>
    <n v="870"/>
    <n v="6090"/>
    <n v="600"/>
    <n v="4200"/>
    <n v="1890"/>
    <n v="0.31034482758620691"/>
  </r>
  <r>
    <x v="152"/>
    <s v="ORD-02128"/>
    <x v="0"/>
    <x v="2"/>
    <x v="44"/>
    <x v="0"/>
    <x v="0"/>
    <n v="5"/>
    <n v="4320"/>
    <n v="21600"/>
    <n v="3200"/>
    <n v="16000"/>
    <n v="5600"/>
    <n v="0.25925925925925924"/>
  </r>
  <r>
    <x v="152"/>
    <s v="ORD-02129"/>
    <x v="2"/>
    <x v="3"/>
    <x v="104"/>
    <x v="3"/>
    <x v="0"/>
    <n v="8"/>
    <n v="3325"/>
    <n v="26600"/>
    <n v="2500"/>
    <n v="20000"/>
    <n v="6600"/>
    <n v="0.24812030075187969"/>
  </r>
  <r>
    <x v="152"/>
    <s v="ORD-02130"/>
    <x v="0"/>
    <x v="5"/>
    <x v="27"/>
    <x v="4"/>
    <x v="2"/>
    <n v="2"/>
    <n v="10455"/>
    <n v="20910"/>
    <n v="8500"/>
    <n v="17000"/>
    <n v="3910"/>
    <n v="0.18699186991869918"/>
  </r>
  <r>
    <x v="152"/>
    <s v="ORD-02131"/>
    <x v="3"/>
    <x v="0"/>
    <x v="122"/>
    <x v="6"/>
    <x v="3"/>
    <n v="7"/>
    <n v="1143"/>
    <n v="8001"/>
    <n v="900"/>
    <n v="6300"/>
    <n v="1701"/>
    <n v="0.2125984251968504"/>
  </r>
  <r>
    <x v="152"/>
    <s v="ORD-02132"/>
    <x v="2"/>
    <x v="5"/>
    <x v="7"/>
    <x v="5"/>
    <x v="3"/>
    <n v="8"/>
    <n v="780"/>
    <n v="6240"/>
    <n v="600"/>
    <n v="4800"/>
    <n v="1440"/>
    <n v="0.23076923076923078"/>
  </r>
  <r>
    <x v="152"/>
    <s v="ORD-02133"/>
    <x v="1"/>
    <x v="1"/>
    <x v="56"/>
    <x v="0"/>
    <x v="0"/>
    <n v="4"/>
    <n v="4288"/>
    <n v="17152"/>
    <n v="3200"/>
    <n v="12800"/>
    <n v="4352"/>
    <n v="0.2537313432835821"/>
  </r>
  <r>
    <x v="152"/>
    <s v="ORD-02134"/>
    <x v="1"/>
    <x v="4"/>
    <x v="111"/>
    <x v="2"/>
    <x v="1"/>
    <n v="9"/>
    <n v="50540"/>
    <n v="454860"/>
    <n v="38000"/>
    <n v="342000"/>
    <n v="112860"/>
    <n v="0.24812030075187969"/>
  </r>
  <r>
    <x v="152"/>
    <s v="ORD-02135"/>
    <x v="0"/>
    <x v="2"/>
    <x v="76"/>
    <x v="3"/>
    <x v="0"/>
    <n v="6"/>
    <n v="3225"/>
    <n v="19350"/>
    <n v="2500"/>
    <n v="15000"/>
    <n v="4350"/>
    <n v="0.22480620155038761"/>
  </r>
  <r>
    <x v="152"/>
    <s v="ORD-02136"/>
    <x v="1"/>
    <x v="0"/>
    <x v="77"/>
    <x v="0"/>
    <x v="0"/>
    <n v="9"/>
    <n v="4416"/>
    <n v="39744"/>
    <n v="3200"/>
    <n v="28800"/>
    <n v="10944"/>
    <n v="0.27536231884057971"/>
  </r>
  <r>
    <x v="152"/>
    <s v="ORD-02137"/>
    <x v="2"/>
    <x v="2"/>
    <x v="23"/>
    <x v="6"/>
    <x v="3"/>
    <n v="8"/>
    <n v="1206"/>
    <n v="9648"/>
    <n v="900"/>
    <n v="7200"/>
    <n v="2448"/>
    <n v="0.2537313432835821"/>
  </r>
  <r>
    <x v="152"/>
    <s v="ORD-02138"/>
    <x v="1"/>
    <x v="3"/>
    <x v="95"/>
    <x v="7"/>
    <x v="2"/>
    <n v="5"/>
    <n v="9660"/>
    <n v="48300"/>
    <n v="7000"/>
    <n v="35000"/>
    <n v="13300"/>
    <n v="0.27536231884057971"/>
  </r>
  <r>
    <x v="152"/>
    <s v="ORD-02139"/>
    <x v="1"/>
    <x v="4"/>
    <x v="56"/>
    <x v="1"/>
    <x v="1"/>
    <n v="3"/>
    <n v="62999.999999999993"/>
    <n v="188999.99999999997"/>
    <n v="45000"/>
    <n v="135000"/>
    <n v="53999.999999999971"/>
    <n v="0.28571428571428559"/>
  </r>
  <r>
    <x v="152"/>
    <s v="ORD-02140"/>
    <x v="0"/>
    <x v="3"/>
    <x v="86"/>
    <x v="3"/>
    <x v="0"/>
    <n v="2"/>
    <n v="3350"/>
    <n v="6700"/>
    <n v="2500"/>
    <n v="5000"/>
    <n v="1700"/>
    <n v="0.2537313432835821"/>
  </r>
  <r>
    <x v="153"/>
    <s v="ORD-02141"/>
    <x v="0"/>
    <x v="3"/>
    <x v="54"/>
    <x v="3"/>
    <x v="0"/>
    <n v="1"/>
    <n v="3449.9999999999995"/>
    <n v="3449.9999999999995"/>
    <n v="2500"/>
    <n v="2500"/>
    <n v="949.99999999999955"/>
    <n v="0.2753623188405796"/>
  </r>
  <r>
    <x v="153"/>
    <s v="ORD-02142"/>
    <x v="2"/>
    <x v="5"/>
    <x v="109"/>
    <x v="4"/>
    <x v="2"/>
    <n v="9"/>
    <n v="10540"/>
    <n v="94860"/>
    <n v="8500"/>
    <n v="76500"/>
    <n v="18360"/>
    <n v="0.19354838709677419"/>
  </r>
  <r>
    <x v="153"/>
    <s v="ORD-02143"/>
    <x v="3"/>
    <x v="1"/>
    <x v="113"/>
    <x v="6"/>
    <x v="3"/>
    <n v="10"/>
    <n v="1287"/>
    <n v="12870"/>
    <n v="900"/>
    <n v="9000"/>
    <n v="3870"/>
    <n v="0.30069930069930068"/>
  </r>
  <r>
    <x v="153"/>
    <s v="ORD-02144"/>
    <x v="0"/>
    <x v="1"/>
    <x v="32"/>
    <x v="3"/>
    <x v="0"/>
    <n v="7"/>
    <n v="3600"/>
    <n v="25200"/>
    <n v="2500"/>
    <n v="17500"/>
    <n v="7700"/>
    <n v="0.30555555555555558"/>
  </r>
  <r>
    <x v="153"/>
    <s v="ORD-02145"/>
    <x v="3"/>
    <x v="5"/>
    <x v="130"/>
    <x v="0"/>
    <x v="0"/>
    <n v="9"/>
    <n v="4160"/>
    <n v="37440"/>
    <n v="3200"/>
    <n v="28800"/>
    <n v="8640"/>
    <n v="0.23076923076923078"/>
  </r>
  <r>
    <x v="153"/>
    <s v="ORD-02146"/>
    <x v="0"/>
    <x v="0"/>
    <x v="147"/>
    <x v="0"/>
    <x v="0"/>
    <n v="2"/>
    <n v="3904"/>
    <n v="7808"/>
    <n v="3200"/>
    <n v="6400"/>
    <n v="1408"/>
    <n v="0.18032786885245902"/>
  </r>
  <r>
    <x v="153"/>
    <s v="ORD-02147"/>
    <x v="2"/>
    <x v="3"/>
    <x v="125"/>
    <x v="1"/>
    <x v="1"/>
    <n v="4"/>
    <n v="64350"/>
    <n v="257400"/>
    <n v="45000"/>
    <n v="180000"/>
    <n v="77400"/>
    <n v="0.30069930069930068"/>
  </r>
  <r>
    <x v="153"/>
    <s v="ORD-02148"/>
    <x v="1"/>
    <x v="2"/>
    <x v="130"/>
    <x v="2"/>
    <x v="1"/>
    <n v="4"/>
    <n v="47500"/>
    <n v="190000"/>
    <n v="38000"/>
    <n v="152000"/>
    <n v="38000"/>
    <n v="0.2"/>
  </r>
  <r>
    <x v="153"/>
    <s v="ORD-02149"/>
    <x v="2"/>
    <x v="3"/>
    <x v="122"/>
    <x v="1"/>
    <x v="1"/>
    <n v="7"/>
    <n v="61650.000000000007"/>
    <n v="431550.00000000006"/>
    <n v="45000"/>
    <n v="315000"/>
    <n v="116550.00000000006"/>
    <n v="0.27007299270073004"/>
  </r>
  <r>
    <x v="153"/>
    <s v="ORD-02150"/>
    <x v="3"/>
    <x v="0"/>
    <x v="118"/>
    <x v="4"/>
    <x v="2"/>
    <n v="9"/>
    <n v="11135"/>
    <n v="100215"/>
    <n v="8500"/>
    <n v="76500"/>
    <n v="23715"/>
    <n v="0.23664122137404581"/>
  </r>
  <r>
    <x v="153"/>
    <s v="ORD-02151"/>
    <x v="2"/>
    <x v="2"/>
    <x v="24"/>
    <x v="0"/>
    <x v="0"/>
    <n v="5"/>
    <n v="4416"/>
    <n v="22080"/>
    <n v="3200"/>
    <n v="16000"/>
    <n v="6080"/>
    <n v="0.27536231884057971"/>
  </r>
  <r>
    <x v="153"/>
    <s v="ORD-02152"/>
    <x v="1"/>
    <x v="4"/>
    <x v="17"/>
    <x v="1"/>
    <x v="1"/>
    <n v="1"/>
    <n v="61199.999999999993"/>
    <n v="61199.999999999993"/>
    <n v="45000"/>
    <n v="45000"/>
    <n v="16199.999999999993"/>
    <n v="0.26470588235294107"/>
  </r>
  <r>
    <x v="153"/>
    <s v="ORD-02153"/>
    <x v="0"/>
    <x v="0"/>
    <x v="138"/>
    <x v="3"/>
    <x v="0"/>
    <n v="10"/>
    <n v="3225"/>
    <n v="32250"/>
    <n v="2500"/>
    <n v="25000"/>
    <n v="7250"/>
    <n v="0.22480620155038761"/>
  </r>
  <r>
    <x v="153"/>
    <s v="ORD-02154"/>
    <x v="2"/>
    <x v="4"/>
    <x v="137"/>
    <x v="0"/>
    <x v="0"/>
    <n v="10"/>
    <n v="4096"/>
    <n v="40960"/>
    <n v="3200"/>
    <n v="32000"/>
    <n v="8960"/>
    <n v="0.21875"/>
  </r>
  <r>
    <x v="154"/>
    <s v="ORD-02155"/>
    <x v="2"/>
    <x v="5"/>
    <x v="80"/>
    <x v="3"/>
    <x v="0"/>
    <n v="10"/>
    <n v="3399.9999999999995"/>
    <n v="33999.999999999993"/>
    <n v="2500"/>
    <n v="25000"/>
    <n v="8999.9999999999927"/>
    <n v="0.26470588235294101"/>
  </r>
  <r>
    <x v="154"/>
    <s v="ORD-02156"/>
    <x v="1"/>
    <x v="0"/>
    <x v="66"/>
    <x v="6"/>
    <x v="3"/>
    <n v="6"/>
    <n v="1251"/>
    <n v="7506"/>
    <n v="900"/>
    <n v="5400"/>
    <n v="2106"/>
    <n v="0.2805755395683453"/>
  </r>
  <r>
    <x v="154"/>
    <s v="ORD-02157"/>
    <x v="0"/>
    <x v="3"/>
    <x v="35"/>
    <x v="2"/>
    <x v="1"/>
    <n v="9"/>
    <n v="47880"/>
    <n v="430920"/>
    <n v="38000"/>
    <n v="342000"/>
    <n v="88920"/>
    <n v="0.20634920634920634"/>
  </r>
  <r>
    <x v="154"/>
    <s v="ORD-02158"/>
    <x v="3"/>
    <x v="0"/>
    <x v="135"/>
    <x v="6"/>
    <x v="3"/>
    <n v="1"/>
    <n v="1161"/>
    <n v="1161"/>
    <n v="900"/>
    <n v="900"/>
    <n v="261"/>
    <n v="0.22480620155038761"/>
  </r>
  <r>
    <x v="154"/>
    <s v="ORD-02159"/>
    <x v="2"/>
    <x v="2"/>
    <x v="85"/>
    <x v="4"/>
    <x v="2"/>
    <n v="6"/>
    <n v="11050"/>
    <n v="66300"/>
    <n v="8500"/>
    <n v="51000"/>
    <n v="15300"/>
    <n v="0.23076923076923078"/>
  </r>
  <r>
    <x v="154"/>
    <s v="ORD-02160"/>
    <x v="2"/>
    <x v="5"/>
    <x v="18"/>
    <x v="2"/>
    <x v="1"/>
    <n v="9"/>
    <n v="49400"/>
    <n v="444600"/>
    <n v="38000"/>
    <n v="342000"/>
    <n v="102600"/>
    <n v="0.23076923076923078"/>
  </r>
  <r>
    <x v="154"/>
    <s v="ORD-02161"/>
    <x v="0"/>
    <x v="3"/>
    <x v="80"/>
    <x v="4"/>
    <x v="2"/>
    <n v="4"/>
    <n v="11730"/>
    <n v="46920"/>
    <n v="8500"/>
    <n v="34000"/>
    <n v="12920"/>
    <n v="0.27536231884057971"/>
  </r>
  <r>
    <x v="154"/>
    <s v="ORD-02162"/>
    <x v="1"/>
    <x v="4"/>
    <x v="24"/>
    <x v="3"/>
    <x v="0"/>
    <n v="3"/>
    <n v="3475.0000000000005"/>
    <n v="10425.000000000002"/>
    <n v="2500"/>
    <n v="7500"/>
    <n v="2925.0000000000018"/>
    <n v="0.28057553956834547"/>
  </r>
  <r>
    <x v="154"/>
    <s v="ORD-02163"/>
    <x v="2"/>
    <x v="1"/>
    <x v="124"/>
    <x v="4"/>
    <x v="2"/>
    <n v="3"/>
    <n v="10540"/>
    <n v="31620"/>
    <n v="8500"/>
    <n v="25500"/>
    <n v="6120"/>
    <n v="0.19354838709677419"/>
  </r>
  <r>
    <x v="154"/>
    <s v="ORD-02164"/>
    <x v="1"/>
    <x v="2"/>
    <x v="86"/>
    <x v="7"/>
    <x v="2"/>
    <n v="4"/>
    <n v="9800"/>
    <n v="39200"/>
    <n v="7000"/>
    <n v="28000"/>
    <n v="11200"/>
    <n v="0.2857142857142857"/>
  </r>
  <r>
    <x v="154"/>
    <s v="ORD-02165"/>
    <x v="0"/>
    <x v="5"/>
    <x v="65"/>
    <x v="6"/>
    <x v="3"/>
    <n v="3"/>
    <n v="1215"/>
    <n v="3645"/>
    <n v="900"/>
    <n v="2700"/>
    <n v="945"/>
    <n v="0.25925925925925924"/>
  </r>
  <r>
    <x v="154"/>
    <s v="ORD-02166"/>
    <x v="0"/>
    <x v="2"/>
    <x v="144"/>
    <x v="0"/>
    <x v="0"/>
    <n v="2"/>
    <n v="4224"/>
    <n v="8448"/>
    <n v="3200"/>
    <n v="6400"/>
    <n v="2048"/>
    <n v="0.24242424242424243"/>
  </r>
  <r>
    <x v="154"/>
    <s v="ORD-02167"/>
    <x v="0"/>
    <x v="4"/>
    <x v="78"/>
    <x v="5"/>
    <x v="3"/>
    <n v="7"/>
    <n v="726"/>
    <n v="5082"/>
    <n v="600"/>
    <n v="4200"/>
    <n v="882"/>
    <n v="0.17355371900826447"/>
  </r>
  <r>
    <x v="154"/>
    <s v="ORD-02168"/>
    <x v="1"/>
    <x v="0"/>
    <x v="58"/>
    <x v="1"/>
    <x v="1"/>
    <n v="5"/>
    <n v="61650.000000000007"/>
    <n v="308250.00000000006"/>
    <n v="45000"/>
    <n v="225000"/>
    <n v="83250.000000000058"/>
    <n v="0.27007299270073004"/>
  </r>
  <r>
    <x v="155"/>
    <s v="ORD-02169"/>
    <x v="2"/>
    <x v="3"/>
    <x v="145"/>
    <x v="2"/>
    <x v="1"/>
    <n v="2"/>
    <n v="51679.999999999993"/>
    <n v="103359.99999999999"/>
    <n v="38000"/>
    <n v="76000"/>
    <n v="27359.999999999985"/>
    <n v="0.26470588235294107"/>
  </r>
  <r>
    <x v="155"/>
    <s v="ORD-02170"/>
    <x v="0"/>
    <x v="1"/>
    <x v="13"/>
    <x v="3"/>
    <x v="0"/>
    <n v="1"/>
    <n v="3250"/>
    <n v="3250"/>
    <n v="2500"/>
    <n v="2500"/>
    <n v="750"/>
    <n v="0.23076923076923078"/>
  </r>
  <r>
    <x v="155"/>
    <s v="ORD-02171"/>
    <x v="1"/>
    <x v="3"/>
    <x v="55"/>
    <x v="2"/>
    <x v="1"/>
    <n v="5"/>
    <n v="53200"/>
    <n v="266000"/>
    <n v="38000"/>
    <n v="190000"/>
    <n v="76000"/>
    <n v="0.2857142857142857"/>
  </r>
  <r>
    <x v="155"/>
    <s v="ORD-02172"/>
    <x v="3"/>
    <x v="3"/>
    <x v="99"/>
    <x v="3"/>
    <x v="0"/>
    <n v="9"/>
    <n v="3000"/>
    <n v="27000"/>
    <n v="2500"/>
    <n v="22500"/>
    <n v="4500"/>
    <n v="0.16666666666666666"/>
  </r>
  <r>
    <x v="155"/>
    <s v="ORD-02173"/>
    <x v="2"/>
    <x v="5"/>
    <x v="2"/>
    <x v="6"/>
    <x v="3"/>
    <n v="2"/>
    <n v="1098"/>
    <n v="2196"/>
    <n v="900"/>
    <n v="1800"/>
    <n v="396"/>
    <n v="0.18032786885245902"/>
  </r>
  <r>
    <x v="155"/>
    <s v="ORD-02174"/>
    <x v="3"/>
    <x v="4"/>
    <x v="4"/>
    <x v="0"/>
    <x v="0"/>
    <n v="10"/>
    <n v="4480"/>
    <n v="44800"/>
    <n v="3200"/>
    <n v="32000"/>
    <n v="12800"/>
    <n v="0.2857142857142857"/>
  </r>
  <r>
    <x v="155"/>
    <s v="ORD-02175"/>
    <x v="0"/>
    <x v="3"/>
    <x v="84"/>
    <x v="1"/>
    <x v="1"/>
    <n v="6"/>
    <n v="56250"/>
    <n v="337500"/>
    <n v="45000"/>
    <n v="270000"/>
    <n v="67500"/>
    <n v="0.2"/>
  </r>
  <r>
    <x v="155"/>
    <s v="ORD-02176"/>
    <x v="0"/>
    <x v="0"/>
    <x v="98"/>
    <x v="4"/>
    <x v="2"/>
    <n v="7"/>
    <n v="11390"/>
    <n v="79730"/>
    <n v="8500"/>
    <n v="59500"/>
    <n v="20230"/>
    <n v="0.2537313432835821"/>
  </r>
  <r>
    <x v="155"/>
    <s v="ORD-02177"/>
    <x v="3"/>
    <x v="3"/>
    <x v="95"/>
    <x v="3"/>
    <x v="0"/>
    <n v="10"/>
    <n v="3375"/>
    <n v="33750"/>
    <n v="2500"/>
    <n v="25000"/>
    <n v="8750"/>
    <n v="0.25925925925925924"/>
  </r>
  <r>
    <x v="155"/>
    <s v="ORD-02178"/>
    <x v="3"/>
    <x v="2"/>
    <x v="51"/>
    <x v="1"/>
    <x v="1"/>
    <n v="6"/>
    <n v="62999.999999999993"/>
    <n v="377999.99999999994"/>
    <n v="45000"/>
    <n v="270000"/>
    <n v="107999.99999999994"/>
    <n v="0.28571428571428559"/>
  </r>
  <r>
    <x v="155"/>
    <s v="ORD-02179"/>
    <x v="2"/>
    <x v="5"/>
    <x v="84"/>
    <x v="0"/>
    <x v="0"/>
    <n v="7"/>
    <n v="4608"/>
    <n v="32256"/>
    <n v="3200"/>
    <n v="22400"/>
    <n v="9856"/>
    <n v="0.30555555555555558"/>
  </r>
  <r>
    <x v="155"/>
    <s v="ORD-02180"/>
    <x v="1"/>
    <x v="0"/>
    <x v="100"/>
    <x v="5"/>
    <x v="3"/>
    <n v="5"/>
    <n v="720"/>
    <n v="3600"/>
    <n v="600"/>
    <n v="3000"/>
    <n v="600"/>
    <n v="0.16666666666666666"/>
  </r>
  <r>
    <x v="155"/>
    <s v="ORD-02181"/>
    <x v="3"/>
    <x v="3"/>
    <x v="13"/>
    <x v="0"/>
    <x v="0"/>
    <n v="8"/>
    <n v="3872"/>
    <n v="30976"/>
    <n v="3200"/>
    <n v="25600"/>
    <n v="5376"/>
    <n v="0.17355371900826447"/>
  </r>
  <r>
    <x v="155"/>
    <s v="ORD-02182"/>
    <x v="0"/>
    <x v="2"/>
    <x v="30"/>
    <x v="3"/>
    <x v="0"/>
    <n v="1"/>
    <n v="3100"/>
    <n v="3100"/>
    <n v="2500"/>
    <n v="2500"/>
    <n v="600"/>
    <n v="0.19354838709677419"/>
  </r>
  <r>
    <x v="156"/>
    <s v="ORD-02183"/>
    <x v="1"/>
    <x v="5"/>
    <x v="55"/>
    <x v="7"/>
    <x v="2"/>
    <n v="6"/>
    <n v="9730"/>
    <n v="58380"/>
    <n v="7000"/>
    <n v="42000"/>
    <n v="16380"/>
    <n v="0.2805755395683453"/>
  </r>
  <r>
    <x v="156"/>
    <s v="ORD-02184"/>
    <x v="0"/>
    <x v="5"/>
    <x v="50"/>
    <x v="7"/>
    <x v="2"/>
    <n v="7"/>
    <n v="9310"/>
    <n v="65170"/>
    <n v="7000"/>
    <n v="49000"/>
    <n v="16170"/>
    <n v="0.24812030075187969"/>
  </r>
  <r>
    <x v="156"/>
    <s v="ORD-02185"/>
    <x v="3"/>
    <x v="3"/>
    <x v="127"/>
    <x v="6"/>
    <x v="3"/>
    <n v="3"/>
    <n v="1143"/>
    <n v="3429"/>
    <n v="900"/>
    <n v="2700"/>
    <n v="729"/>
    <n v="0.2125984251968504"/>
  </r>
  <r>
    <x v="156"/>
    <s v="ORD-02186"/>
    <x v="2"/>
    <x v="1"/>
    <x v="129"/>
    <x v="3"/>
    <x v="0"/>
    <n v="9"/>
    <n v="3425.0000000000005"/>
    <n v="30825.000000000004"/>
    <n v="2500"/>
    <n v="22500"/>
    <n v="8325.0000000000036"/>
    <n v="0.27007299270072999"/>
  </r>
  <r>
    <x v="156"/>
    <s v="ORD-02187"/>
    <x v="1"/>
    <x v="3"/>
    <x v="50"/>
    <x v="2"/>
    <x v="1"/>
    <n v="7"/>
    <n v="53200"/>
    <n v="372400"/>
    <n v="38000"/>
    <n v="266000"/>
    <n v="106400"/>
    <n v="0.2857142857142857"/>
  </r>
  <r>
    <x v="156"/>
    <s v="ORD-02188"/>
    <x v="2"/>
    <x v="4"/>
    <x v="81"/>
    <x v="4"/>
    <x v="2"/>
    <n v="10"/>
    <n v="10965"/>
    <n v="109650"/>
    <n v="8500"/>
    <n v="85000"/>
    <n v="24650"/>
    <n v="0.22480620155038761"/>
  </r>
  <r>
    <x v="156"/>
    <s v="ORD-02189"/>
    <x v="1"/>
    <x v="0"/>
    <x v="58"/>
    <x v="6"/>
    <x v="3"/>
    <n v="3"/>
    <n v="1197"/>
    <n v="3591"/>
    <n v="900"/>
    <n v="2700"/>
    <n v="891"/>
    <n v="0.24812030075187969"/>
  </r>
  <r>
    <x v="156"/>
    <s v="ORD-02190"/>
    <x v="2"/>
    <x v="2"/>
    <x v="134"/>
    <x v="7"/>
    <x v="2"/>
    <n v="6"/>
    <n v="9100"/>
    <n v="54600"/>
    <n v="7000"/>
    <n v="42000"/>
    <n v="12600"/>
    <n v="0.23076923076923078"/>
  </r>
  <r>
    <x v="156"/>
    <s v="ORD-02191"/>
    <x v="0"/>
    <x v="0"/>
    <x v="112"/>
    <x v="5"/>
    <x v="3"/>
    <n v="3"/>
    <n v="780"/>
    <n v="2340"/>
    <n v="600"/>
    <n v="1800"/>
    <n v="540"/>
    <n v="0.23076923076923078"/>
  </r>
  <r>
    <x v="156"/>
    <s v="ORD-02192"/>
    <x v="2"/>
    <x v="4"/>
    <x v="58"/>
    <x v="2"/>
    <x v="1"/>
    <n v="3"/>
    <n v="52060.000000000007"/>
    <n v="156180.00000000003"/>
    <n v="38000"/>
    <n v="114000"/>
    <n v="42180.000000000029"/>
    <n v="0.27007299270073004"/>
  </r>
  <r>
    <x v="156"/>
    <s v="ORD-02193"/>
    <x v="1"/>
    <x v="3"/>
    <x v="85"/>
    <x v="2"/>
    <x v="1"/>
    <n v="8"/>
    <n v="45980"/>
    <n v="367840"/>
    <n v="38000"/>
    <n v="304000"/>
    <n v="63840"/>
    <n v="0.17355371900826447"/>
  </r>
  <r>
    <x v="156"/>
    <s v="ORD-02194"/>
    <x v="2"/>
    <x v="2"/>
    <x v="22"/>
    <x v="1"/>
    <x v="1"/>
    <n v="6"/>
    <n v="62550.000000000007"/>
    <n v="375300.00000000006"/>
    <n v="45000"/>
    <n v="270000"/>
    <n v="105300.00000000006"/>
    <n v="0.28057553956834541"/>
  </r>
  <r>
    <x v="156"/>
    <s v="ORD-02195"/>
    <x v="1"/>
    <x v="3"/>
    <x v="5"/>
    <x v="0"/>
    <x v="0"/>
    <n v="7"/>
    <n v="4448"/>
    <n v="31136"/>
    <n v="3200"/>
    <n v="22400"/>
    <n v="8736"/>
    <n v="0.2805755395683453"/>
  </r>
  <r>
    <x v="156"/>
    <s v="ORD-02196"/>
    <x v="1"/>
    <x v="0"/>
    <x v="99"/>
    <x v="6"/>
    <x v="3"/>
    <n v="5"/>
    <n v="1206"/>
    <n v="6030"/>
    <n v="900"/>
    <n v="4500"/>
    <n v="1530"/>
    <n v="0.2537313432835821"/>
  </r>
  <r>
    <x v="157"/>
    <s v="ORD-02197"/>
    <x v="0"/>
    <x v="4"/>
    <x v="119"/>
    <x v="7"/>
    <x v="2"/>
    <n v="7"/>
    <n v="9240"/>
    <n v="64680"/>
    <n v="7000"/>
    <n v="49000"/>
    <n v="15680"/>
    <n v="0.24242424242424243"/>
  </r>
  <r>
    <x v="157"/>
    <s v="ORD-02198"/>
    <x v="2"/>
    <x v="1"/>
    <x v="0"/>
    <x v="1"/>
    <x v="1"/>
    <n v="4"/>
    <n v="62550.000000000007"/>
    <n v="250200.00000000003"/>
    <n v="45000"/>
    <n v="180000"/>
    <n v="70200.000000000029"/>
    <n v="0.28057553956834541"/>
  </r>
  <r>
    <x v="157"/>
    <s v="ORD-02199"/>
    <x v="0"/>
    <x v="5"/>
    <x v="64"/>
    <x v="4"/>
    <x v="2"/>
    <n v="1"/>
    <n v="11220"/>
    <n v="11220"/>
    <n v="8500"/>
    <n v="8500"/>
    <n v="2720"/>
    <n v="0.24242424242424243"/>
  </r>
  <r>
    <x v="157"/>
    <s v="ORD-02200"/>
    <x v="1"/>
    <x v="5"/>
    <x v="108"/>
    <x v="2"/>
    <x v="1"/>
    <n v="2"/>
    <n v="50160"/>
    <n v="100320"/>
    <n v="38000"/>
    <n v="76000"/>
    <n v="24320"/>
    <n v="0.24242424242424243"/>
  </r>
  <r>
    <x v="157"/>
    <s v="ORD-02201"/>
    <x v="3"/>
    <x v="0"/>
    <x v="142"/>
    <x v="5"/>
    <x v="3"/>
    <n v="10"/>
    <n v="804"/>
    <n v="8040"/>
    <n v="600"/>
    <n v="6000"/>
    <n v="2040"/>
    <n v="0.2537313432835821"/>
  </r>
  <r>
    <x v="157"/>
    <s v="ORD-02202"/>
    <x v="0"/>
    <x v="0"/>
    <x v="112"/>
    <x v="1"/>
    <x v="1"/>
    <n v="4"/>
    <n v="58500"/>
    <n v="234000"/>
    <n v="45000"/>
    <n v="180000"/>
    <n v="54000"/>
    <n v="0.23076923076923078"/>
  </r>
  <r>
    <x v="157"/>
    <s v="ORD-02203"/>
    <x v="0"/>
    <x v="2"/>
    <x v="121"/>
    <x v="5"/>
    <x v="3"/>
    <n v="3"/>
    <n v="744"/>
    <n v="2232"/>
    <n v="600"/>
    <n v="1800"/>
    <n v="432"/>
    <n v="0.19354838709677419"/>
  </r>
  <r>
    <x v="157"/>
    <s v="ORD-02204"/>
    <x v="1"/>
    <x v="0"/>
    <x v="18"/>
    <x v="6"/>
    <x v="3"/>
    <n v="8"/>
    <n v="1278"/>
    <n v="10224"/>
    <n v="900"/>
    <n v="7200"/>
    <n v="3024"/>
    <n v="0.29577464788732394"/>
  </r>
  <r>
    <x v="157"/>
    <s v="ORD-02205"/>
    <x v="3"/>
    <x v="2"/>
    <x v="46"/>
    <x v="5"/>
    <x v="3"/>
    <n v="10"/>
    <n v="827.99999999999989"/>
    <n v="8279.9999999999982"/>
    <n v="600"/>
    <n v="6000"/>
    <n v="2279.9999999999982"/>
    <n v="0.27536231884057955"/>
  </r>
  <r>
    <x v="157"/>
    <s v="ORD-02206"/>
    <x v="0"/>
    <x v="5"/>
    <x v="24"/>
    <x v="3"/>
    <x v="0"/>
    <n v="6"/>
    <n v="3500"/>
    <n v="21000"/>
    <n v="2500"/>
    <n v="15000"/>
    <n v="6000"/>
    <n v="0.2857142857142857"/>
  </r>
  <r>
    <x v="157"/>
    <s v="ORD-02207"/>
    <x v="0"/>
    <x v="3"/>
    <x v="105"/>
    <x v="4"/>
    <x v="2"/>
    <n v="3"/>
    <n v="11645"/>
    <n v="34935"/>
    <n v="8500"/>
    <n v="25500"/>
    <n v="9435"/>
    <n v="0.27007299270072993"/>
  </r>
  <r>
    <x v="157"/>
    <s v="ORD-02208"/>
    <x v="1"/>
    <x v="4"/>
    <x v="90"/>
    <x v="1"/>
    <x v="1"/>
    <n v="9"/>
    <n v="61199.999999999993"/>
    <n v="550799.99999999988"/>
    <n v="45000"/>
    <n v="405000"/>
    <n v="145799.99999999988"/>
    <n v="0.26470588235294101"/>
  </r>
  <r>
    <x v="157"/>
    <s v="ORD-02209"/>
    <x v="1"/>
    <x v="5"/>
    <x v="86"/>
    <x v="5"/>
    <x v="3"/>
    <n v="4"/>
    <n v="840"/>
    <n v="3360"/>
    <n v="600"/>
    <n v="2400"/>
    <n v="960"/>
    <n v="0.2857142857142857"/>
  </r>
  <r>
    <x v="157"/>
    <s v="ORD-02210"/>
    <x v="1"/>
    <x v="2"/>
    <x v="119"/>
    <x v="7"/>
    <x v="2"/>
    <n v="4"/>
    <n v="9240"/>
    <n v="36960"/>
    <n v="7000"/>
    <n v="28000"/>
    <n v="8960"/>
    <n v="0.24242424242424243"/>
  </r>
  <r>
    <x v="158"/>
    <s v="ORD-02211"/>
    <x v="3"/>
    <x v="3"/>
    <x v="123"/>
    <x v="4"/>
    <x v="2"/>
    <n v="4"/>
    <n v="11900"/>
    <n v="47600"/>
    <n v="8500"/>
    <n v="34000"/>
    <n v="13600"/>
    <n v="0.2857142857142857"/>
  </r>
  <r>
    <x v="158"/>
    <s v="ORD-02212"/>
    <x v="3"/>
    <x v="2"/>
    <x v="72"/>
    <x v="2"/>
    <x v="1"/>
    <n v="2"/>
    <n v="46360"/>
    <n v="92720"/>
    <n v="38000"/>
    <n v="76000"/>
    <n v="16720"/>
    <n v="0.18032786885245902"/>
  </r>
  <r>
    <x v="158"/>
    <s v="ORD-02213"/>
    <x v="0"/>
    <x v="4"/>
    <x v="26"/>
    <x v="0"/>
    <x v="0"/>
    <n v="5"/>
    <n v="4352"/>
    <n v="21760"/>
    <n v="3200"/>
    <n v="16000"/>
    <n v="5760"/>
    <n v="0.26470588235294118"/>
  </r>
  <r>
    <x v="158"/>
    <s v="ORD-02214"/>
    <x v="1"/>
    <x v="2"/>
    <x v="19"/>
    <x v="7"/>
    <x v="2"/>
    <n v="1"/>
    <n v="9450"/>
    <n v="9450"/>
    <n v="7000"/>
    <n v="7000"/>
    <n v="2450"/>
    <n v="0.25925925925925924"/>
  </r>
  <r>
    <x v="158"/>
    <s v="ORD-02215"/>
    <x v="2"/>
    <x v="1"/>
    <x v="82"/>
    <x v="6"/>
    <x v="3"/>
    <n v="8"/>
    <n v="1278"/>
    <n v="10224"/>
    <n v="900"/>
    <n v="7200"/>
    <n v="3024"/>
    <n v="0.29577464788732394"/>
  </r>
  <r>
    <x v="158"/>
    <s v="ORD-02216"/>
    <x v="2"/>
    <x v="3"/>
    <x v="25"/>
    <x v="0"/>
    <x v="0"/>
    <n v="10"/>
    <n v="4448"/>
    <n v="44480"/>
    <n v="3200"/>
    <n v="32000"/>
    <n v="12480"/>
    <n v="0.2805755395683453"/>
  </r>
  <r>
    <x v="158"/>
    <s v="ORD-02217"/>
    <x v="0"/>
    <x v="5"/>
    <x v="140"/>
    <x v="5"/>
    <x v="3"/>
    <n v="2"/>
    <n v="774"/>
    <n v="1548"/>
    <n v="600"/>
    <n v="1200"/>
    <n v="348"/>
    <n v="0.22480620155038761"/>
  </r>
  <r>
    <x v="158"/>
    <s v="ORD-02218"/>
    <x v="1"/>
    <x v="5"/>
    <x v="75"/>
    <x v="4"/>
    <x v="2"/>
    <n v="6"/>
    <n v="12325"/>
    <n v="73950"/>
    <n v="8500"/>
    <n v="51000"/>
    <n v="22950"/>
    <n v="0.31034482758620691"/>
  </r>
  <r>
    <x v="158"/>
    <s v="ORD-02219"/>
    <x v="0"/>
    <x v="5"/>
    <x v="104"/>
    <x v="7"/>
    <x v="2"/>
    <n v="3"/>
    <n v="9170"/>
    <n v="27510"/>
    <n v="7000"/>
    <n v="21000"/>
    <n v="6510"/>
    <n v="0.23664122137404581"/>
  </r>
  <r>
    <x v="158"/>
    <s v="ORD-02220"/>
    <x v="1"/>
    <x v="5"/>
    <x v="85"/>
    <x v="5"/>
    <x v="3"/>
    <n v="10"/>
    <n v="738"/>
    <n v="7380"/>
    <n v="600"/>
    <n v="6000"/>
    <n v="1380"/>
    <n v="0.18699186991869918"/>
  </r>
  <r>
    <x v="158"/>
    <s v="ORD-02221"/>
    <x v="0"/>
    <x v="1"/>
    <x v="149"/>
    <x v="6"/>
    <x v="3"/>
    <n v="6"/>
    <n v="1242"/>
    <n v="7452"/>
    <n v="900"/>
    <n v="5400"/>
    <n v="2052"/>
    <n v="0.27536231884057971"/>
  </r>
  <r>
    <x v="158"/>
    <s v="ORD-02222"/>
    <x v="3"/>
    <x v="1"/>
    <x v="73"/>
    <x v="1"/>
    <x v="1"/>
    <n v="9"/>
    <n v="55800"/>
    <n v="502200"/>
    <n v="45000"/>
    <n v="405000"/>
    <n v="97200"/>
    <n v="0.19354838709677419"/>
  </r>
  <r>
    <x v="158"/>
    <s v="ORD-02223"/>
    <x v="3"/>
    <x v="1"/>
    <x v="114"/>
    <x v="2"/>
    <x v="1"/>
    <n v="10"/>
    <n v="49020"/>
    <n v="490200"/>
    <n v="38000"/>
    <n v="380000"/>
    <n v="110200"/>
    <n v="0.22480620155038761"/>
  </r>
  <r>
    <x v="158"/>
    <s v="ORD-02224"/>
    <x v="3"/>
    <x v="5"/>
    <x v="33"/>
    <x v="0"/>
    <x v="0"/>
    <n v="3"/>
    <n v="4320"/>
    <n v="12960"/>
    <n v="3200"/>
    <n v="9600"/>
    <n v="3360"/>
    <n v="0.25925925925925924"/>
  </r>
  <r>
    <x v="159"/>
    <s v="ORD-02225"/>
    <x v="2"/>
    <x v="5"/>
    <x v="35"/>
    <x v="6"/>
    <x v="3"/>
    <n v="2"/>
    <n v="1215"/>
    <n v="2430"/>
    <n v="900"/>
    <n v="1800"/>
    <n v="630"/>
    <n v="0.25925925925925924"/>
  </r>
  <r>
    <x v="159"/>
    <s v="ORD-02226"/>
    <x v="0"/>
    <x v="5"/>
    <x v="75"/>
    <x v="3"/>
    <x v="0"/>
    <n v="10"/>
    <n v="3625"/>
    <n v="36250"/>
    <n v="2500"/>
    <n v="25000"/>
    <n v="11250"/>
    <n v="0.31034482758620691"/>
  </r>
  <r>
    <x v="159"/>
    <s v="ORD-02227"/>
    <x v="0"/>
    <x v="0"/>
    <x v="12"/>
    <x v="5"/>
    <x v="3"/>
    <n v="10"/>
    <n v="774"/>
    <n v="7740"/>
    <n v="600"/>
    <n v="6000"/>
    <n v="1740"/>
    <n v="0.22480620155038761"/>
  </r>
  <r>
    <x v="159"/>
    <s v="ORD-02228"/>
    <x v="1"/>
    <x v="3"/>
    <x v="57"/>
    <x v="3"/>
    <x v="0"/>
    <n v="8"/>
    <n v="3025"/>
    <n v="24200"/>
    <n v="2500"/>
    <n v="20000"/>
    <n v="4200"/>
    <n v="0.17355371900826447"/>
  </r>
  <r>
    <x v="159"/>
    <s v="ORD-02229"/>
    <x v="0"/>
    <x v="1"/>
    <x v="33"/>
    <x v="4"/>
    <x v="2"/>
    <n v="10"/>
    <n v="11559.999999999998"/>
    <n v="115599.99999999999"/>
    <n v="8500"/>
    <n v="85000"/>
    <n v="30599.999999999985"/>
    <n v="0.26470588235294107"/>
  </r>
  <r>
    <x v="159"/>
    <s v="ORD-02230"/>
    <x v="2"/>
    <x v="5"/>
    <x v="119"/>
    <x v="6"/>
    <x v="3"/>
    <n v="7"/>
    <n v="1251"/>
    <n v="8757"/>
    <n v="900"/>
    <n v="6300"/>
    <n v="2457"/>
    <n v="0.2805755395683453"/>
  </r>
  <r>
    <x v="159"/>
    <s v="ORD-02231"/>
    <x v="2"/>
    <x v="4"/>
    <x v="31"/>
    <x v="1"/>
    <x v="1"/>
    <n v="10"/>
    <n v="62550.000000000007"/>
    <n v="625500.00000000012"/>
    <n v="45000"/>
    <n v="450000"/>
    <n v="175500.00000000012"/>
    <n v="0.28057553956834547"/>
  </r>
  <r>
    <x v="159"/>
    <s v="ORD-02232"/>
    <x v="0"/>
    <x v="5"/>
    <x v="3"/>
    <x v="0"/>
    <x v="0"/>
    <n v="9"/>
    <n v="4448"/>
    <n v="40032"/>
    <n v="3200"/>
    <n v="28800"/>
    <n v="11232"/>
    <n v="0.2805755395683453"/>
  </r>
  <r>
    <x v="159"/>
    <s v="ORD-02233"/>
    <x v="2"/>
    <x v="5"/>
    <x v="131"/>
    <x v="7"/>
    <x v="2"/>
    <n v="7"/>
    <n v="9030"/>
    <n v="63210"/>
    <n v="7000"/>
    <n v="49000"/>
    <n v="14210"/>
    <n v="0.22480620155038761"/>
  </r>
  <r>
    <x v="159"/>
    <s v="ORD-02234"/>
    <x v="3"/>
    <x v="5"/>
    <x v="36"/>
    <x v="6"/>
    <x v="3"/>
    <n v="8"/>
    <n v="1251"/>
    <n v="10008"/>
    <n v="900"/>
    <n v="7200"/>
    <n v="2808"/>
    <n v="0.2805755395683453"/>
  </r>
  <r>
    <x v="159"/>
    <s v="ORD-02235"/>
    <x v="1"/>
    <x v="4"/>
    <x v="104"/>
    <x v="2"/>
    <x v="1"/>
    <n v="2"/>
    <n v="51679.999999999993"/>
    <n v="103359.99999999999"/>
    <n v="38000"/>
    <n v="76000"/>
    <n v="27359.999999999985"/>
    <n v="0.26470588235294107"/>
  </r>
  <r>
    <x v="159"/>
    <s v="ORD-02236"/>
    <x v="1"/>
    <x v="0"/>
    <x v="123"/>
    <x v="5"/>
    <x v="3"/>
    <n v="4"/>
    <n v="822.00000000000011"/>
    <n v="3288.0000000000005"/>
    <n v="600"/>
    <n v="2400"/>
    <n v="888.00000000000045"/>
    <n v="0.27007299270073004"/>
  </r>
  <r>
    <x v="159"/>
    <s v="ORD-02237"/>
    <x v="1"/>
    <x v="2"/>
    <x v="129"/>
    <x v="5"/>
    <x v="3"/>
    <n v="5"/>
    <n v="786"/>
    <n v="3930"/>
    <n v="600"/>
    <n v="3000"/>
    <n v="930"/>
    <n v="0.23664122137404581"/>
  </r>
  <r>
    <x v="159"/>
    <s v="ORD-02238"/>
    <x v="1"/>
    <x v="2"/>
    <x v="81"/>
    <x v="5"/>
    <x v="3"/>
    <n v="2"/>
    <n v="815.99999999999989"/>
    <n v="1631.9999999999998"/>
    <n v="600"/>
    <n v="1200"/>
    <n v="431.99999999999977"/>
    <n v="0.26470588235294107"/>
  </r>
  <r>
    <x v="160"/>
    <s v="ORD-02239"/>
    <x v="2"/>
    <x v="5"/>
    <x v="139"/>
    <x v="7"/>
    <x v="2"/>
    <n v="5"/>
    <n v="8540"/>
    <n v="42700"/>
    <n v="7000"/>
    <n v="35000"/>
    <n v="7700"/>
    <n v="0.18032786885245902"/>
  </r>
  <r>
    <x v="160"/>
    <s v="ORD-02240"/>
    <x v="3"/>
    <x v="4"/>
    <x v="58"/>
    <x v="2"/>
    <x v="1"/>
    <n v="3"/>
    <n v="50160"/>
    <n v="150480"/>
    <n v="38000"/>
    <n v="114000"/>
    <n v="36480"/>
    <n v="0.24242424242424243"/>
  </r>
  <r>
    <x v="160"/>
    <s v="ORD-02241"/>
    <x v="3"/>
    <x v="2"/>
    <x v="27"/>
    <x v="0"/>
    <x v="0"/>
    <n v="8"/>
    <n v="4480"/>
    <n v="35840"/>
    <n v="3200"/>
    <n v="25600"/>
    <n v="10240"/>
    <n v="0.2857142857142857"/>
  </r>
  <r>
    <x v="160"/>
    <s v="ORD-02242"/>
    <x v="1"/>
    <x v="3"/>
    <x v="35"/>
    <x v="7"/>
    <x v="2"/>
    <n v="7"/>
    <n v="9170"/>
    <n v="64190"/>
    <n v="7000"/>
    <n v="49000"/>
    <n v="15190"/>
    <n v="0.23664122137404581"/>
  </r>
  <r>
    <x v="160"/>
    <s v="ORD-02243"/>
    <x v="1"/>
    <x v="0"/>
    <x v="132"/>
    <x v="7"/>
    <x v="2"/>
    <n v="8"/>
    <n v="9240"/>
    <n v="73920"/>
    <n v="7000"/>
    <n v="56000"/>
    <n v="17920"/>
    <n v="0.24242424242424243"/>
  </r>
  <r>
    <x v="160"/>
    <s v="ORD-02244"/>
    <x v="3"/>
    <x v="5"/>
    <x v="21"/>
    <x v="7"/>
    <x v="2"/>
    <n v="9"/>
    <n v="8680"/>
    <n v="78120"/>
    <n v="7000"/>
    <n v="63000"/>
    <n v="15120"/>
    <n v="0.19354838709677419"/>
  </r>
  <r>
    <x v="160"/>
    <s v="ORD-02245"/>
    <x v="2"/>
    <x v="0"/>
    <x v="46"/>
    <x v="6"/>
    <x v="3"/>
    <n v="10"/>
    <n v="1233"/>
    <n v="12330"/>
    <n v="900"/>
    <n v="9000"/>
    <n v="3330"/>
    <n v="0.27007299270072993"/>
  </r>
  <r>
    <x v="160"/>
    <s v="ORD-02246"/>
    <x v="0"/>
    <x v="3"/>
    <x v="104"/>
    <x v="5"/>
    <x v="3"/>
    <n v="7"/>
    <n v="744"/>
    <n v="5208"/>
    <n v="600"/>
    <n v="4200"/>
    <n v="1008"/>
    <n v="0.19354838709677419"/>
  </r>
  <r>
    <x v="160"/>
    <s v="ORD-02247"/>
    <x v="1"/>
    <x v="0"/>
    <x v="23"/>
    <x v="5"/>
    <x v="3"/>
    <n v="7"/>
    <n v="864"/>
    <n v="6048"/>
    <n v="600"/>
    <n v="4200"/>
    <n v="1848"/>
    <n v="0.30555555555555558"/>
  </r>
  <r>
    <x v="160"/>
    <s v="ORD-02248"/>
    <x v="3"/>
    <x v="3"/>
    <x v="71"/>
    <x v="1"/>
    <x v="1"/>
    <n v="8"/>
    <n v="59400"/>
    <n v="475200"/>
    <n v="45000"/>
    <n v="360000"/>
    <n v="115200"/>
    <n v="0.24242424242424243"/>
  </r>
  <r>
    <x v="160"/>
    <s v="ORD-02249"/>
    <x v="1"/>
    <x v="5"/>
    <x v="133"/>
    <x v="7"/>
    <x v="2"/>
    <n v="3"/>
    <n v="9170"/>
    <n v="27510"/>
    <n v="7000"/>
    <n v="21000"/>
    <n v="6510"/>
    <n v="0.23664122137404581"/>
  </r>
  <r>
    <x v="160"/>
    <s v="ORD-02250"/>
    <x v="3"/>
    <x v="3"/>
    <x v="130"/>
    <x v="1"/>
    <x v="1"/>
    <n v="4"/>
    <n v="57150"/>
    <n v="228600"/>
    <n v="45000"/>
    <n v="180000"/>
    <n v="48600"/>
    <n v="0.2125984251968504"/>
  </r>
  <r>
    <x v="160"/>
    <s v="ORD-02251"/>
    <x v="1"/>
    <x v="4"/>
    <x v="83"/>
    <x v="4"/>
    <x v="2"/>
    <n v="4"/>
    <n v="10455"/>
    <n v="41820"/>
    <n v="8500"/>
    <n v="34000"/>
    <n v="7820"/>
    <n v="0.18699186991869918"/>
  </r>
  <r>
    <x v="160"/>
    <s v="ORD-02252"/>
    <x v="1"/>
    <x v="5"/>
    <x v="139"/>
    <x v="1"/>
    <x v="1"/>
    <n v="3"/>
    <n v="60750.000000000007"/>
    <n v="182250.00000000003"/>
    <n v="45000"/>
    <n v="135000"/>
    <n v="47250.000000000029"/>
    <n v="0.25925925925925936"/>
  </r>
  <r>
    <x v="161"/>
    <s v="ORD-02253"/>
    <x v="1"/>
    <x v="0"/>
    <x v="111"/>
    <x v="5"/>
    <x v="3"/>
    <n v="2"/>
    <n v="780"/>
    <n v="1560"/>
    <n v="600"/>
    <n v="1200"/>
    <n v="360"/>
    <n v="0.23076923076923078"/>
  </r>
  <r>
    <x v="161"/>
    <s v="ORD-02254"/>
    <x v="0"/>
    <x v="3"/>
    <x v="56"/>
    <x v="1"/>
    <x v="1"/>
    <n v="4"/>
    <n v="54450"/>
    <n v="217800"/>
    <n v="45000"/>
    <n v="180000"/>
    <n v="37800"/>
    <n v="0.17355371900826447"/>
  </r>
  <r>
    <x v="161"/>
    <s v="ORD-02255"/>
    <x v="1"/>
    <x v="3"/>
    <x v="55"/>
    <x v="7"/>
    <x v="2"/>
    <n v="1"/>
    <n v="8890"/>
    <n v="8890"/>
    <n v="7000"/>
    <n v="7000"/>
    <n v="1890"/>
    <n v="0.2125984251968504"/>
  </r>
  <r>
    <x v="161"/>
    <s v="ORD-02256"/>
    <x v="0"/>
    <x v="3"/>
    <x v="90"/>
    <x v="3"/>
    <x v="0"/>
    <n v="6"/>
    <n v="3075"/>
    <n v="18450"/>
    <n v="2500"/>
    <n v="15000"/>
    <n v="3450"/>
    <n v="0.18699186991869918"/>
  </r>
  <r>
    <x v="161"/>
    <s v="ORD-02257"/>
    <x v="1"/>
    <x v="0"/>
    <x v="83"/>
    <x v="5"/>
    <x v="3"/>
    <n v="1"/>
    <n v="762"/>
    <n v="762"/>
    <n v="600"/>
    <n v="600"/>
    <n v="162"/>
    <n v="0.2125984251968504"/>
  </r>
  <r>
    <x v="161"/>
    <s v="ORD-02258"/>
    <x v="1"/>
    <x v="5"/>
    <x v="73"/>
    <x v="3"/>
    <x v="0"/>
    <n v="7"/>
    <n v="3600"/>
    <n v="25200"/>
    <n v="2500"/>
    <n v="17500"/>
    <n v="7700"/>
    <n v="0.30555555555555558"/>
  </r>
  <r>
    <x v="161"/>
    <s v="ORD-02259"/>
    <x v="0"/>
    <x v="3"/>
    <x v="18"/>
    <x v="4"/>
    <x v="2"/>
    <n v="10"/>
    <n v="11390"/>
    <n v="113900"/>
    <n v="8500"/>
    <n v="85000"/>
    <n v="28900"/>
    <n v="0.2537313432835821"/>
  </r>
  <r>
    <x v="161"/>
    <s v="ORD-02260"/>
    <x v="2"/>
    <x v="0"/>
    <x v="98"/>
    <x v="4"/>
    <x v="2"/>
    <n v="8"/>
    <n v="10540"/>
    <n v="84320"/>
    <n v="8500"/>
    <n v="68000"/>
    <n v="16320"/>
    <n v="0.19354838709677419"/>
  </r>
  <r>
    <x v="161"/>
    <s v="ORD-02261"/>
    <x v="2"/>
    <x v="0"/>
    <x v="41"/>
    <x v="1"/>
    <x v="1"/>
    <n v="4"/>
    <n v="56700"/>
    <n v="226800"/>
    <n v="45000"/>
    <n v="180000"/>
    <n v="46800"/>
    <n v="0.20634920634920634"/>
  </r>
  <r>
    <x v="161"/>
    <s v="ORD-02262"/>
    <x v="0"/>
    <x v="3"/>
    <x v="79"/>
    <x v="3"/>
    <x v="0"/>
    <n v="9"/>
    <n v="3500"/>
    <n v="31500"/>
    <n v="2500"/>
    <n v="22500"/>
    <n v="9000"/>
    <n v="0.2857142857142857"/>
  </r>
  <r>
    <x v="161"/>
    <s v="ORD-02263"/>
    <x v="1"/>
    <x v="2"/>
    <x v="8"/>
    <x v="7"/>
    <x v="2"/>
    <n v="1"/>
    <n v="9450"/>
    <n v="9450"/>
    <n v="7000"/>
    <n v="7000"/>
    <n v="2450"/>
    <n v="0.25925925925925924"/>
  </r>
  <r>
    <x v="161"/>
    <s v="ORD-02264"/>
    <x v="2"/>
    <x v="1"/>
    <x v="91"/>
    <x v="2"/>
    <x v="1"/>
    <n v="4"/>
    <n v="47120"/>
    <n v="188480"/>
    <n v="38000"/>
    <n v="152000"/>
    <n v="36480"/>
    <n v="0.19354838709677419"/>
  </r>
  <r>
    <x v="161"/>
    <s v="ORD-02265"/>
    <x v="1"/>
    <x v="2"/>
    <x v="21"/>
    <x v="0"/>
    <x v="0"/>
    <n v="7"/>
    <n v="4544"/>
    <n v="31808"/>
    <n v="3200"/>
    <n v="22400"/>
    <n v="9408"/>
    <n v="0.29577464788732394"/>
  </r>
  <r>
    <x v="161"/>
    <s v="ORD-02266"/>
    <x v="1"/>
    <x v="5"/>
    <x v="130"/>
    <x v="4"/>
    <x v="2"/>
    <n v="9"/>
    <n v="11645"/>
    <n v="104805"/>
    <n v="8500"/>
    <n v="76500"/>
    <n v="28305"/>
    <n v="0.27007299270072993"/>
  </r>
  <r>
    <x v="162"/>
    <s v="ORD-02267"/>
    <x v="0"/>
    <x v="1"/>
    <x v="65"/>
    <x v="1"/>
    <x v="1"/>
    <n v="5"/>
    <n v="62099.999999999993"/>
    <n v="310499.99999999994"/>
    <n v="45000"/>
    <n v="225000"/>
    <n v="85499.999999999942"/>
    <n v="0.2753623188405796"/>
  </r>
  <r>
    <x v="162"/>
    <s v="ORD-02268"/>
    <x v="0"/>
    <x v="3"/>
    <x v="20"/>
    <x v="6"/>
    <x v="3"/>
    <n v="4"/>
    <n v="1089"/>
    <n v="4356"/>
    <n v="900"/>
    <n v="3600"/>
    <n v="756"/>
    <n v="0.17355371900826447"/>
  </r>
  <r>
    <x v="162"/>
    <s v="ORD-02269"/>
    <x v="2"/>
    <x v="3"/>
    <x v="138"/>
    <x v="5"/>
    <x v="3"/>
    <n v="3"/>
    <n v="798"/>
    <n v="2394"/>
    <n v="600"/>
    <n v="1800"/>
    <n v="594"/>
    <n v="0.24812030075187969"/>
  </r>
  <r>
    <x v="162"/>
    <s v="ORD-02270"/>
    <x v="0"/>
    <x v="1"/>
    <x v="83"/>
    <x v="5"/>
    <x v="3"/>
    <n v="2"/>
    <n v="798"/>
    <n v="1596"/>
    <n v="600"/>
    <n v="1200"/>
    <n v="396"/>
    <n v="0.24812030075187969"/>
  </r>
  <r>
    <x v="162"/>
    <s v="ORD-02271"/>
    <x v="2"/>
    <x v="3"/>
    <x v="30"/>
    <x v="3"/>
    <x v="0"/>
    <n v="2"/>
    <n v="3175"/>
    <n v="6350"/>
    <n v="2500"/>
    <n v="5000"/>
    <n v="1350"/>
    <n v="0.2125984251968504"/>
  </r>
  <r>
    <x v="162"/>
    <s v="ORD-02272"/>
    <x v="2"/>
    <x v="1"/>
    <x v="147"/>
    <x v="3"/>
    <x v="0"/>
    <n v="1"/>
    <n v="3449.9999999999995"/>
    <n v="3449.9999999999995"/>
    <n v="2500"/>
    <n v="2500"/>
    <n v="949.99999999999955"/>
    <n v="0.2753623188405796"/>
  </r>
  <r>
    <x v="162"/>
    <s v="ORD-02273"/>
    <x v="0"/>
    <x v="0"/>
    <x v="35"/>
    <x v="0"/>
    <x v="0"/>
    <n v="7"/>
    <n v="4608"/>
    <n v="32256"/>
    <n v="3200"/>
    <n v="22400"/>
    <n v="9856"/>
    <n v="0.30555555555555558"/>
  </r>
  <r>
    <x v="162"/>
    <s v="ORD-02274"/>
    <x v="0"/>
    <x v="2"/>
    <x v="78"/>
    <x v="6"/>
    <x v="3"/>
    <n v="3"/>
    <n v="1251"/>
    <n v="3753"/>
    <n v="900"/>
    <n v="2700"/>
    <n v="1053"/>
    <n v="0.2805755395683453"/>
  </r>
  <r>
    <x v="162"/>
    <s v="ORD-02275"/>
    <x v="0"/>
    <x v="0"/>
    <x v="72"/>
    <x v="7"/>
    <x v="2"/>
    <n v="7"/>
    <n v="9940"/>
    <n v="69580"/>
    <n v="7000"/>
    <n v="49000"/>
    <n v="20580"/>
    <n v="0.29577464788732394"/>
  </r>
  <r>
    <x v="162"/>
    <s v="ORD-02276"/>
    <x v="0"/>
    <x v="3"/>
    <x v="66"/>
    <x v="6"/>
    <x v="3"/>
    <n v="2"/>
    <n v="1233"/>
    <n v="2466"/>
    <n v="900"/>
    <n v="1800"/>
    <n v="666"/>
    <n v="0.27007299270072993"/>
  </r>
  <r>
    <x v="162"/>
    <s v="ORD-02277"/>
    <x v="0"/>
    <x v="0"/>
    <x v="26"/>
    <x v="3"/>
    <x v="0"/>
    <n v="8"/>
    <n v="3125"/>
    <n v="25000"/>
    <n v="2500"/>
    <n v="20000"/>
    <n v="5000"/>
    <n v="0.2"/>
  </r>
  <r>
    <x v="162"/>
    <s v="ORD-02278"/>
    <x v="2"/>
    <x v="3"/>
    <x v="53"/>
    <x v="2"/>
    <x v="1"/>
    <n v="5"/>
    <n v="45980"/>
    <n v="229900"/>
    <n v="38000"/>
    <n v="190000"/>
    <n v="39900"/>
    <n v="0.17355371900826447"/>
  </r>
  <r>
    <x v="162"/>
    <s v="ORD-02279"/>
    <x v="3"/>
    <x v="5"/>
    <x v="127"/>
    <x v="4"/>
    <x v="2"/>
    <n v="5"/>
    <n v="10285"/>
    <n v="51425"/>
    <n v="8500"/>
    <n v="42500"/>
    <n v="8925"/>
    <n v="0.17355371900826447"/>
  </r>
  <r>
    <x v="162"/>
    <s v="ORD-02280"/>
    <x v="3"/>
    <x v="4"/>
    <x v="135"/>
    <x v="1"/>
    <x v="1"/>
    <n v="5"/>
    <n v="58500"/>
    <n v="292500"/>
    <n v="45000"/>
    <n v="225000"/>
    <n v="67500"/>
    <n v="0.23076923076923078"/>
  </r>
  <r>
    <x v="163"/>
    <s v="ORD-02281"/>
    <x v="3"/>
    <x v="0"/>
    <x v="110"/>
    <x v="7"/>
    <x v="2"/>
    <n v="3"/>
    <n v="9450"/>
    <n v="28350"/>
    <n v="7000"/>
    <n v="21000"/>
    <n v="7350"/>
    <n v="0.25925925925925924"/>
  </r>
  <r>
    <x v="163"/>
    <s v="ORD-02282"/>
    <x v="1"/>
    <x v="2"/>
    <x v="141"/>
    <x v="5"/>
    <x v="3"/>
    <n v="6"/>
    <n v="726"/>
    <n v="4356"/>
    <n v="600"/>
    <n v="3600"/>
    <n v="756"/>
    <n v="0.17355371900826447"/>
  </r>
  <r>
    <x v="163"/>
    <s v="ORD-02283"/>
    <x v="3"/>
    <x v="3"/>
    <x v="124"/>
    <x v="7"/>
    <x v="2"/>
    <n v="10"/>
    <n v="9800"/>
    <n v="98000"/>
    <n v="7000"/>
    <n v="70000"/>
    <n v="28000"/>
    <n v="0.2857142857142857"/>
  </r>
  <r>
    <x v="163"/>
    <s v="ORD-02284"/>
    <x v="2"/>
    <x v="3"/>
    <x v="58"/>
    <x v="7"/>
    <x v="2"/>
    <n v="5"/>
    <n v="9660"/>
    <n v="48300"/>
    <n v="7000"/>
    <n v="35000"/>
    <n v="13300"/>
    <n v="0.27536231884057971"/>
  </r>
  <r>
    <x v="163"/>
    <s v="ORD-02285"/>
    <x v="1"/>
    <x v="0"/>
    <x v="144"/>
    <x v="2"/>
    <x v="1"/>
    <n v="6"/>
    <n v="50920"/>
    <n v="305520"/>
    <n v="38000"/>
    <n v="228000"/>
    <n v="77520"/>
    <n v="0.2537313432835821"/>
  </r>
  <r>
    <x v="163"/>
    <s v="ORD-02286"/>
    <x v="1"/>
    <x v="3"/>
    <x v="47"/>
    <x v="5"/>
    <x v="3"/>
    <n v="3"/>
    <n v="858"/>
    <n v="2574"/>
    <n v="600"/>
    <n v="1800"/>
    <n v="774"/>
    <n v="0.30069930069930068"/>
  </r>
  <r>
    <x v="163"/>
    <s v="ORD-02287"/>
    <x v="3"/>
    <x v="2"/>
    <x v="133"/>
    <x v="0"/>
    <x v="0"/>
    <n v="3"/>
    <n v="4608"/>
    <n v="13824"/>
    <n v="3200"/>
    <n v="9600"/>
    <n v="4224"/>
    <n v="0.30555555555555558"/>
  </r>
  <r>
    <x v="163"/>
    <s v="ORD-02288"/>
    <x v="1"/>
    <x v="3"/>
    <x v="112"/>
    <x v="5"/>
    <x v="3"/>
    <n v="2"/>
    <n v="780"/>
    <n v="1560"/>
    <n v="600"/>
    <n v="1200"/>
    <n v="360"/>
    <n v="0.23076923076923078"/>
  </r>
  <r>
    <x v="163"/>
    <s v="ORD-02289"/>
    <x v="1"/>
    <x v="2"/>
    <x v="146"/>
    <x v="3"/>
    <x v="0"/>
    <n v="9"/>
    <n v="3000"/>
    <n v="27000"/>
    <n v="2500"/>
    <n v="22500"/>
    <n v="4500"/>
    <n v="0.16666666666666666"/>
  </r>
  <r>
    <x v="163"/>
    <s v="ORD-02290"/>
    <x v="0"/>
    <x v="0"/>
    <x v="88"/>
    <x v="2"/>
    <x v="1"/>
    <n v="8"/>
    <n v="52060.000000000007"/>
    <n v="416480.00000000006"/>
    <n v="38000"/>
    <n v="304000"/>
    <n v="112480.00000000006"/>
    <n v="0.27007299270073004"/>
  </r>
  <r>
    <x v="163"/>
    <s v="ORD-02291"/>
    <x v="0"/>
    <x v="5"/>
    <x v="131"/>
    <x v="3"/>
    <x v="0"/>
    <n v="4"/>
    <n v="3525"/>
    <n v="14100"/>
    <n v="2500"/>
    <n v="10000"/>
    <n v="4100"/>
    <n v="0.29078014184397161"/>
  </r>
  <r>
    <x v="163"/>
    <s v="ORD-02292"/>
    <x v="3"/>
    <x v="1"/>
    <x v="134"/>
    <x v="3"/>
    <x v="0"/>
    <n v="7"/>
    <n v="3250"/>
    <n v="22750"/>
    <n v="2500"/>
    <n v="17500"/>
    <n v="5250"/>
    <n v="0.23076923076923078"/>
  </r>
  <r>
    <x v="163"/>
    <s v="ORD-02293"/>
    <x v="1"/>
    <x v="0"/>
    <x v="130"/>
    <x v="0"/>
    <x v="0"/>
    <n v="9"/>
    <n v="4096"/>
    <n v="36864"/>
    <n v="3200"/>
    <n v="28800"/>
    <n v="8064"/>
    <n v="0.21875"/>
  </r>
  <r>
    <x v="163"/>
    <s v="ORD-02294"/>
    <x v="1"/>
    <x v="1"/>
    <x v="24"/>
    <x v="1"/>
    <x v="1"/>
    <n v="3"/>
    <n v="58050"/>
    <n v="174150"/>
    <n v="45000"/>
    <n v="135000"/>
    <n v="39150"/>
    <n v="0.22480620155038761"/>
  </r>
  <r>
    <x v="164"/>
    <s v="ORD-02295"/>
    <x v="0"/>
    <x v="4"/>
    <x v="98"/>
    <x v="6"/>
    <x v="3"/>
    <n v="4"/>
    <n v="1224"/>
    <n v="4896"/>
    <n v="900"/>
    <n v="3600"/>
    <n v="1296"/>
    <n v="0.26470588235294118"/>
  </r>
  <r>
    <x v="164"/>
    <s v="ORD-02296"/>
    <x v="1"/>
    <x v="4"/>
    <x v="47"/>
    <x v="0"/>
    <x v="0"/>
    <n v="4"/>
    <n v="4160"/>
    <n v="16640"/>
    <n v="3200"/>
    <n v="12800"/>
    <n v="3840"/>
    <n v="0.23076923076923078"/>
  </r>
  <r>
    <x v="164"/>
    <s v="ORD-02297"/>
    <x v="0"/>
    <x v="2"/>
    <x v="129"/>
    <x v="1"/>
    <x v="1"/>
    <n v="8"/>
    <n v="54900"/>
    <n v="439200"/>
    <n v="45000"/>
    <n v="360000"/>
    <n v="79200"/>
    <n v="0.18032786885245902"/>
  </r>
  <r>
    <x v="164"/>
    <s v="ORD-02298"/>
    <x v="0"/>
    <x v="5"/>
    <x v="20"/>
    <x v="6"/>
    <x v="3"/>
    <n v="8"/>
    <n v="1188"/>
    <n v="9504"/>
    <n v="900"/>
    <n v="7200"/>
    <n v="2304"/>
    <n v="0.24242424242424243"/>
  </r>
  <r>
    <x v="164"/>
    <s v="ORD-02299"/>
    <x v="2"/>
    <x v="4"/>
    <x v="92"/>
    <x v="7"/>
    <x v="2"/>
    <n v="6"/>
    <n v="8680"/>
    <n v="52080"/>
    <n v="7000"/>
    <n v="42000"/>
    <n v="10080"/>
    <n v="0.19354838709677419"/>
  </r>
  <r>
    <x v="164"/>
    <s v="ORD-02300"/>
    <x v="1"/>
    <x v="5"/>
    <x v="42"/>
    <x v="2"/>
    <x v="1"/>
    <n v="5"/>
    <n v="47500"/>
    <n v="237500"/>
    <n v="38000"/>
    <n v="190000"/>
    <n v="47500"/>
    <n v="0.2"/>
  </r>
  <r>
    <x v="164"/>
    <s v="ORD-02301"/>
    <x v="3"/>
    <x v="1"/>
    <x v="106"/>
    <x v="3"/>
    <x v="0"/>
    <n v="8"/>
    <n v="3449.9999999999995"/>
    <n v="27599.999999999996"/>
    <n v="2500"/>
    <n v="20000"/>
    <n v="7599.9999999999964"/>
    <n v="0.2753623188405796"/>
  </r>
  <r>
    <x v="164"/>
    <s v="ORD-02302"/>
    <x v="3"/>
    <x v="0"/>
    <x v="110"/>
    <x v="5"/>
    <x v="3"/>
    <n v="10"/>
    <n v="720"/>
    <n v="7200"/>
    <n v="600"/>
    <n v="6000"/>
    <n v="1200"/>
    <n v="0.16666666666666666"/>
  </r>
  <r>
    <x v="164"/>
    <s v="ORD-02303"/>
    <x v="3"/>
    <x v="4"/>
    <x v="51"/>
    <x v="5"/>
    <x v="3"/>
    <n v="3"/>
    <n v="726"/>
    <n v="2178"/>
    <n v="600"/>
    <n v="1800"/>
    <n v="378"/>
    <n v="0.17355371900826447"/>
  </r>
  <r>
    <x v="164"/>
    <s v="ORD-02304"/>
    <x v="1"/>
    <x v="2"/>
    <x v="34"/>
    <x v="3"/>
    <x v="0"/>
    <n v="1"/>
    <n v="3300"/>
    <n v="3300"/>
    <n v="2500"/>
    <n v="2500"/>
    <n v="800"/>
    <n v="0.24242424242424243"/>
  </r>
  <r>
    <x v="164"/>
    <s v="ORD-02305"/>
    <x v="3"/>
    <x v="0"/>
    <x v="61"/>
    <x v="7"/>
    <x v="2"/>
    <n v="10"/>
    <n v="9240"/>
    <n v="92400"/>
    <n v="7000"/>
    <n v="70000"/>
    <n v="22400"/>
    <n v="0.24242424242424243"/>
  </r>
  <r>
    <x v="164"/>
    <s v="ORD-02306"/>
    <x v="2"/>
    <x v="3"/>
    <x v="14"/>
    <x v="5"/>
    <x v="3"/>
    <n v="7"/>
    <n v="774"/>
    <n v="5418"/>
    <n v="600"/>
    <n v="4200"/>
    <n v="1218"/>
    <n v="0.22480620155038761"/>
  </r>
  <r>
    <x v="164"/>
    <s v="ORD-02307"/>
    <x v="2"/>
    <x v="3"/>
    <x v="130"/>
    <x v="7"/>
    <x v="2"/>
    <n v="8"/>
    <n v="8960"/>
    <n v="71680"/>
    <n v="7000"/>
    <n v="56000"/>
    <n v="15680"/>
    <n v="0.21875"/>
  </r>
  <r>
    <x v="164"/>
    <s v="ORD-02308"/>
    <x v="1"/>
    <x v="5"/>
    <x v="15"/>
    <x v="5"/>
    <x v="3"/>
    <n v="4"/>
    <n v="827.99999999999989"/>
    <n v="3311.9999999999995"/>
    <n v="600"/>
    <n v="2400"/>
    <n v="911.99999999999955"/>
    <n v="0.2753623188405796"/>
  </r>
  <r>
    <x v="165"/>
    <s v="ORD-02309"/>
    <x v="1"/>
    <x v="1"/>
    <x v="143"/>
    <x v="5"/>
    <x v="3"/>
    <n v="9"/>
    <n v="720"/>
    <n v="6480"/>
    <n v="600"/>
    <n v="5400"/>
    <n v="1080"/>
    <n v="0.16666666666666666"/>
  </r>
  <r>
    <x v="165"/>
    <s v="ORD-02310"/>
    <x v="2"/>
    <x v="0"/>
    <x v="12"/>
    <x v="7"/>
    <x v="2"/>
    <n v="2"/>
    <n v="9730"/>
    <n v="19460"/>
    <n v="7000"/>
    <n v="14000"/>
    <n v="5460"/>
    <n v="0.2805755395683453"/>
  </r>
  <r>
    <x v="165"/>
    <s v="ORD-02311"/>
    <x v="1"/>
    <x v="2"/>
    <x v="29"/>
    <x v="3"/>
    <x v="0"/>
    <n v="9"/>
    <n v="3100"/>
    <n v="27900"/>
    <n v="2500"/>
    <n v="22500"/>
    <n v="5400"/>
    <n v="0.19354838709677419"/>
  </r>
  <r>
    <x v="165"/>
    <s v="ORD-02312"/>
    <x v="3"/>
    <x v="4"/>
    <x v="111"/>
    <x v="3"/>
    <x v="0"/>
    <n v="2"/>
    <n v="3625"/>
    <n v="7250"/>
    <n v="2500"/>
    <n v="5000"/>
    <n v="2250"/>
    <n v="0.31034482758620691"/>
  </r>
  <r>
    <x v="165"/>
    <s v="ORD-02313"/>
    <x v="3"/>
    <x v="2"/>
    <x v="120"/>
    <x v="2"/>
    <x v="1"/>
    <n v="3"/>
    <n v="45600"/>
    <n v="136800"/>
    <n v="38000"/>
    <n v="114000"/>
    <n v="22800"/>
    <n v="0.16666666666666666"/>
  </r>
  <r>
    <x v="165"/>
    <s v="ORD-02314"/>
    <x v="1"/>
    <x v="1"/>
    <x v="129"/>
    <x v="5"/>
    <x v="3"/>
    <n v="1"/>
    <n v="804"/>
    <n v="804"/>
    <n v="600"/>
    <n v="600"/>
    <n v="204"/>
    <n v="0.2537313432835821"/>
  </r>
  <r>
    <x v="165"/>
    <s v="ORD-02315"/>
    <x v="1"/>
    <x v="4"/>
    <x v="49"/>
    <x v="7"/>
    <x v="2"/>
    <n v="6"/>
    <n v="9310"/>
    <n v="55860"/>
    <n v="7000"/>
    <n v="42000"/>
    <n v="13860"/>
    <n v="0.24812030075187969"/>
  </r>
  <r>
    <x v="165"/>
    <s v="ORD-02316"/>
    <x v="0"/>
    <x v="4"/>
    <x v="19"/>
    <x v="2"/>
    <x v="1"/>
    <n v="6"/>
    <n v="45980"/>
    <n v="275880"/>
    <n v="38000"/>
    <n v="228000"/>
    <n v="47880"/>
    <n v="0.17355371900826447"/>
  </r>
  <r>
    <x v="165"/>
    <s v="ORD-02317"/>
    <x v="2"/>
    <x v="5"/>
    <x v="54"/>
    <x v="7"/>
    <x v="2"/>
    <n v="4"/>
    <n v="10080"/>
    <n v="40320"/>
    <n v="7000"/>
    <n v="28000"/>
    <n v="12320"/>
    <n v="0.30555555555555558"/>
  </r>
  <r>
    <x v="165"/>
    <s v="ORD-02318"/>
    <x v="3"/>
    <x v="5"/>
    <x v="2"/>
    <x v="7"/>
    <x v="2"/>
    <n v="9"/>
    <n v="10080"/>
    <n v="90720"/>
    <n v="7000"/>
    <n v="63000"/>
    <n v="27720"/>
    <n v="0.30555555555555558"/>
  </r>
  <r>
    <x v="165"/>
    <s v="ORD-02319"/>
    <x v="1"/>
    <x v="3"/>
    <x v="53"/>
    <x v="4"/>
    <x v="2"/>
    <n v="9"/>
    <n v="10710"/>
    <n v="96390"/>
    <n v="8500"/>
    <n v="76500"/>
    <n v="19890"/>
    <n v="0.20634920634920634"/>
  </r>
  <r>
    <x v="165"/>
    <s v="ORD-02320"/>
    <x v="3"/>
    <x v="1"/>
    <x v="95"/>
    <x v="6"/>
    <x v="3"/>
    <n v="3"/>
    <n v="1179"/>
    <n v="3537"/>
    <n v="900"/>
    <n v="2700"/>
    <n v="837"/>
    <n v="0.23664122137404581"/>
  </r>
  <r>
    <x v="165"/>
    <s v="ORD-02321"/>
    <x v="1"/>
    <x v="5"/>
    <x v="65"/>
    <x v="7"/>
    <x v="2"/>
    <n v="5"/>
    <n v="10150"/>
    <n v="50750"/>
    <n v="7000"/>
    <n v="35000"/>
    <n v="15750"/>
    <n v="0.31034482758620691"/>
  </r>
  <r>
    <x v="165"/>
    <s v="ORD-02322"/>
    <x v="3"/>
    <x v="4"/>
    <x v="34"/>
    <x v="3"/>
    <x v="0"/>
    <n v="5"/>
    <n v="3125"/>
    <n v="15625"/>
    <n v="2500"/>
    <n v="12500"/>
    <n v="3125"/>
    <n v="0.2"/>
  </r>
  <r>
    <x v="166"/>
    <s v="ORD-02323"/>
    <x v="3"/>
    <x v="4"/>
    <x v="78"/>
    <x v="3"/>
    <x v="0"/>
    <n v="9"/>
    <n v="3600"/>
    <n v="32400"/>
    <n v="2500"/>
    <n v="22500"/>
    <n v="9900"/>
    <n v="0.30555555555555558"/>
  </r>
  <r>
    <x v="166"/>
    <s v="ORD-02324"/>
    <x v="3"/>
    <x v="5"/>
    <x v="42"/>
    <x v="0"/>
    <x v="0"/>
    <n v="3"/>
    <n v="4000"/>
    <n v="12000"/>
    <n v="3200"/>
    <n v="9600"/>
    <n v="2400"/>
    <n v="0.2"/>
  </r>
  <r>
    <x v="166"/>
    <s v="ORD-02325"/>
    <x v="0"/>
    <x v="3"/>
    <x v="102"/>
    <x v="6"/>
    <x v="3"/>
    <n v="6"/>
    <n v="1125"/>
    <n v="6750"/>
    <n v="900"/>
    <n v="5400"/>
    <n v="1350"/>
    <n v="0.2"/>
  </r>
  <r>
    <x v="166"/>
    <s v="ORD-02326"/>
    <x v="0"/>
    <x v="0"/>
    <x v="79"/>
    <x v="2"/>
    <x v="1"/>
    <n v="5"/>
    <n v="45980"/>
    <n v="229900"/>
    <n v="38000"/>
    <n v="190000"/>
    <n v="39900"/>
    <n v="0.17355371900826447"/>
  </r>
  <r>
    <x v="166"/>
    <s v="ORD-02327"/>
    <x v="1"/>
    <x v="5"/>
    <x v="4"/>
    <x v="1"/>
    <x v="1"/>
    <n v="7"/>
    <n v="55350"/>
    <n v="387450"/>
    <n v="45000"/>
    <n v="315000"/>
    <n v="72450"/>
    <n v="0.18699186991869918"/>
  </r>
  <r>
    <x v="166"/>
    <s v="ORD-02328"/>
    <x v="2"/>
    <x v="2"/>
    <x v="103"/>
    <x v="7"/>
    <x v="2"/>
    <n v="4"/>
    <n v="9590"/>
    <n v="38360"/>
    <n v="7000"/>
    <n v="28000"/>
    <n v="10360"/>
    <n v="0.27007299270072993"/>
  </r>
  <r>
    <x v="166"/>
    <s v="ORD-02329"/>
    <x v="1"/>
    <x v="5"/>
    <x v="83"/>
    <x v="0"/>
    <x v="0"/>
    <n v="4"/>
    <n v="4352"/>
    <n v="17408"/>
    <n v="3200"/>
    <n v="12800"/>
    <n v="4608"/>
    <n v="0.26470588235294118"/>
  </r>
  <r>
    <x v="166"/>
    <s v="ORD-02330"/>
    <x v="1"/>
    <x v="2"/>
    <x v="44"/>
    <x v="2"/>
    <x v="1"/>
    <n v="7"/>
    <n v="48640"/>
    <n v="340480"/>
    <n v="38000"/>
    <n v="266000"/>
    <n v="74480"/>
    <n v="0.21875"/>
  </r>
  <r>
    <x v="166"/>
    <s v="ORD-02331"/>
    <x v="2"/>
    <x v="5"/>
    <x v="84"/>
    <x v="7"/>
    <x v="2"/>
    <n v="9"/>
    <n v="8680"/>
    <n v="78120"/>
    <n v="7000"/>
    <n v="63000"/>
    <n v="15120"/>
    <n v="0.19354838709677419"/>
  </r>
  <r>
    <x v="166"/>
    <s v="ORD-02332"/>
    <x v="2"/>
    <x v="2"/>
    <x v="55"/>
    <x v="1"/>
    <x v="1"/>
    <n v="3"/>
    <n v="61199.999999999993"/>
    <n v="183599.99999999997"/>
    <n v="45000"/>
    <n v="135000"/>
    <n v="48599.999999999971"/>
    <n v="0.26470588235294107"/>
  </r>
  <r>
    <x v="166"/>
    <s v="ORD-02333"/>
    <x v="3"/>
    <x v="3"/>
    <x v="30"/>
    <x v="7"/>
    <x v="2"/>
    <n v="4"/>
    <n v="9590"/>
    <n v="38360"/>
    <n v="7000"/>
    <n v="28000"/>
    <n v="10360"/>
    <n v="0.27007299270072993"/>
  </r>
  <r>
    <x v="166"/>
    <s v="ORD-02334"/>
    <x v="1"/>
    <x v="4"/>
    <x v="72"/>
    <x v="2"/>
    <x v="1"/>
    <n v="4"/>
    <n v="53960"/>
    <n v="215840"/>
    <n v="38000"/>
    <n v="152000"/>
    <n v="63840"/>
    <n v="0.29577464788732394"/>
  </r>
  <r>
    <x v="166"/>
    <s v="ORD-02335"/>
    <x v="3"/>
    <x v="3"/>
    <x v="94"/>
    <x v="2"/>
    <x v="1"/>
    <n v="1"/>
    <n v="52439.999999999993"/>
    <n v="52439.999999999993"/>
    <n v="38000"/>
    <n v="38000"/>
    <n v="14439.999999999993"/>
    <n v="0.2753623188405796"/>
  </r>
  <r>
    <x v="166"/>
    <s v="ORD-02336"/>
    <x v="0"/>
    <x v="5"/>
    <x v="144"/>
    <x v="0"/>
    <x v="0"/>
    <n v="2"/>
    <n v="3968"/>
    <n v="7936"/>
    <n v="3200"/>
    <n v="6400"/>
    <n v="1536"/>
    <n v="0.19354838709677419"/>
  </r>
  <r>
    <x v="167"/>
    <s v="ORD-02337"/>
    <x v="2"/>
    <x v="1"/>
    <x v="96"/>
    <x v="0"/>
    <x v="0"/>
    <n v="10"/>
    <n v="4224"/>
    <n v="42240"/>
    <n v="3200"/>
    <n v="32000"/>
    <n v="10240"/>
    <n v="0.24242424242424243"/>
  </r>
  <r>
    <x v="167"/>
    <s v="ORD-02338"/>
    <x v="2"/>
    <x v="1"/>
    <x v="1"/>
    <x v="7"/>
    <x v="2"/>
    <n v="6"/>
    <n v="8820"/>
    <n v="52920"/>
    <n v="7000"/>
    <n v="42000"/>
    <n v="10920"/>
    <n v="0.20634920634920634"/>
  </r>
  <r>
    <x v="167"/>
    <s v="ORD-02339"/>
    <x v="1"/>
    <x v="0"/>
    <x v="26"/>
    <x v="0"/>
    <x v="0"/>
    <n v="5"/>
    <n v="4320"/>
    <n v="21600"/>
    <n v="3200"/>
    <n v="16000"/>
    <n v="5600"/>
    <n v="0.25925925925925924"/>
  </r>
  <r>
    <x v="167"/>
    <s v="ORD-02340"/>
    <x v="3"/>
    <x v="0"/>
    <x v="46"/>
    <x v="6"/>
    <x v="3"/>
    <n v="9"/>
    <n v="1116"/>
    <n v="10044"/>
    <n v="900"/>
    <n v="8100"/>
    <n v="1944"/>
    <n v="0.19354838709677419"/>
  </r>
  <r>
    <x v="167"/>
    <s v="ORD-02341"/>
    <x v="2"/>
    <x v="0"/>
    <x v="55"/>
    <x v="3"/>
    <x v="0"/>
    <n v="8"/>
    <n v="3375"/>
    <n v="27000"/>
    <n v="2500"/>
    <n v="20000"/>
    <n v="7000"/>
    <n v="0.25925925925925924"/>
  </r>
  <r>
    <x v="167"/>
    <s v="ORD-02342"/>
    <x v="1"/>
    <x v="5"/>
    <x v="55"/>
    <x v="3"/>
    <x v="0"/>
    <n v="10"/>
    <n v="3425.0000000000005"/>
    <n v="34250.000000000007"/>
    <n v="2500"/>
    <n v="25000"/>
    <n v="9250.0000000000073"/>
    <n v="0.2700729927007301"/>
  </r>
  <r>
    <x v="167"/>
    <s v="ORD-02343"/>
    <x v="0"/>
    <x v="4"/>
    <x v="119"/>
    <x v="1"/>
    <x v="1"/>
    <n v="8"/>
    <n v="55800"/>
    <n v="446400"/>
    <n v="45000"/>
    <n v="360000"/>
    <n v="86400"/>
    <n v="0.19354838709677419"/>
  </r>
  <r>
    <x v="167"/>
    <s v="ORD-02344"/>
    <x v="0"/>
    <x v="5"/>
    <x v="41"/>
    <x v="6"/>
    <x v="3"/>
    <n v="5"/>
    <n v="1305"/>
    <n v="6525"/>
    <n v="900"/>
    <n v="4500"/>
    <n v="2025"/>
    <n v="0.31034482758620691"/>
  </r>
  <r>
    <x v="167"/>
    <s v="ORD-02345"/>
    <x v="0"/>
    <x v="0"/>
    <x v="24"/>
    <x v="7"/>
    <x v="2"/>
    <n v="9"/>
    <n v="9310"/>
    <n v="83790"/>
    <n v="7000"/>
    <n v="63000"/>
    <n v="20790"/>
    <n v="0.24812030075187969"/>
  </r>
  <r>
    <x v="167"/>
    <s v="ORD-02346"/>
    <x v="0"/>
    <x v="1"/>
    <x v="0"/>
    <x v="2"/>
    <x v="1"/>
    <n v="7"/>
    <n v="53960"/>
    <n v="377720"/>
    <n v="38000"/>
    <n v="266000"/>
    <n v="111720"/>
    <n v="0.29577464788732394"/>
  </r>
  <r>
    <x v="167"/>
    <s v="ORD-02347"/>
    <x v="2"/>
    <x v="2"/>
    <x v="58"/>
    <x v="0"/>
    <x v="0"/>
    <n v="7"/>
    <n v="4128"/>
    <n v="28896"/>
    <n v="3200"/>
    <n v="22400"/>
    <n v="6496"/>
    <n v="0.22480620155038761"/>
  </r>
  <r>
    <x v="167"/>
    <s v="ORD-02348"/>
    <x v="0"/>
    <x v="2"/>
    <x v="41"/>
    <x v="0"/>
    <x v="0"/>
    <n v="2"/>
    <n v="4416"/>
    <n v="8832"/>
    <n v="3200"/>
    <n v="6400"/>
    <n v="2432"/>
    <n v="0.27536231884057971"/>
  </r>
  <r>
    <x v="167"/>
    <s v="ORD-02349"/>
    <x v="1"/>
    <x v="3"/>
    <x v="135"/>
    <x v="5"/>
    <x v="3"/>
    <n v="5"/>
    <n v="750"/>
    <n v="3750"/>
    <n v="600"/>
    <n v="3000"/>
    <n v="750"/>
    <n v="0.2"/>
  </r>
  <r>
    <x v="167"/>
    <s v="ORD-02350"/>
    <x v="2"/>
    <x v="2"/>
    <x v="40"/>
    <x v="0"/>
    <x v="0"/>
    <n v="5"/>
    <n v="4416"/>
    <n v="22080"/>
    <n v="3200"/>
    <n v="16000"/>
    <n v="6080"/>
    <n v="0.27536231884057971"/>
  </r>
  <r>
    <x v="168"/>
    <s v="ORD-02351"/>
    <x v="2"/>
    <x v="2"/>
    <x v="105"/>
    <x v="4"/>
    <x v="2"/>
    <n v="5"/>
    <n v="11815.000000000002"/>
    <n v="59075.000000000007"/>
    <n v="8500"/>
    <n v="42500"/>
    <n v="16575.000000000007"/>
    <n v="0.28057553956834541"/>
  </r>
  <r>
    <x v="168"/>
    <s v="ORD-02352"/>
    <x v="2"/>
    <x v="2"/>
    <x v="55"/>
    <x v="6"/>
    <x v="3"/>
    <n v="10"/>
    <n v="1179"/>
    <n v="11790"/>
    <n v="900"/>
    <n v="9000"/>
    <n v="2790"/>
    <n v="0.23664122137404581"/>
  </r>
  <r>
    <x v="168"/>
    <s v="ORD-02353"/>
    <x v="1"/>
    <x v="5"/>
    <x v="19"/>
    <x v="7"/>
    <x v="2"/>
    <n v="6"/>
    <n v="8960"/>
    <n v="53760"/>
    <n v="7000"/>
    <n v="42000"/>
    <n v="11760"/>
    <n v="0.21875"/>
  </r>
  <r>
    <x v="168"/>
    <s v="ORD-02354"/>
    <x v="3"/>
    <x v="0"/>
    <x v="54"/>
    <x v="3"/>
    <x v="0"/>
    <n v="9"/>
    <n v="3300"/>
    <n v="29700"/>
    <n v="2500"/>
    <n v="22500"/>
    <n v="7200"/>
    <n v="0.24242424242424243"/>
  </r>
  <r>
    <x v="168"/>
    <s v="ORD-02355"/>
    <x v="3"/>
    <x v="4"/>
    <x v="15"/>
    <x v="4"/>
    <x v="2"/>
    <n v="2"/>
    <n v="11985"/>
    <n v="23970"/>
    <n v="8500"/>
    <n v="17000"/>
    <n v="6970"/>
    <n v="0.29078014184397161"/>
  </r>
  <r>
    <x v="168"/>
    <s v="ORD-02356"/>
    <x v="2"/>
    <x v="1"/>
    <x v="51"/>
    <x v="2"/>
    <x v="1"/>
    <n v="8"/>
    <n v="46740"/>
    <n v="373920"/>
    <n v="38000"/>
    <n v="304000"/>
    <n v="69920"/>
    <n v="0.18699186991869918"/>
  </r>
  <r>
    <x v="168"/>
    <s v="ORD-02357"/>
    <x v="2"/>
    <x v="4"/>
    <x v="118"/>
    <x v="0"/>
    <x v="0"/>
    <n v="9"/>
    <n v="4576"/>
    <n v="41184"/>
    <n v="3200"/>
    <n v="28800"/>
    <n v="12384"/>
    <n v="0.30069930069930068"/>
  </r>
  <r>
    <x v="168"/>
    <s v="ORD-02358"/>
    <x v="0"/>
    <x v="2"/>
    <x v="98"/>
    <x v="3"/>
    <x v="0"/>
    <n v="6"/>
    <n v="3050"/>
    <n v="18300"/>
    <n v="2500"/>
    <n v="15000"/>
    <n v="3300"/>
    <n v="0.18032786885245902"/>
  </r>
  <r>
    <x v="168"/>
    <s v="ORD-02359"/>
    <x v="0"/>
    <x v="3"/>
    <x v="33"/>
    <x v="1"/>
    <x v="1"/>
    <n v="2"/>
    <n v="63900"/>
    <n v="127800"/>
    <n v="45000"/>
    <n v="90000"/>
    <n v="37800"/>
    <n v="0.29577464788732394"/>
  </r>
  <r>
    <x v="168"/>
    <s v="ORD-02360"/>
    <x v="1"/>
    <x v="4"/>
    <x v="24"/>
    <x v="3"/>
    <x v="0"/>
    <n v="3"/>
    <n v="3100"/>
    <n v="9300"/>
    <n v="2500"/>
    <n v="7500"/>
    <n v="1800"/>
    <n v="0.19354838709677419"/>
  </r>
  <r>
    <x v="168"/>
    <s v="ORD-02361"/>
    <x v="3"/>
    <x v="4"/>
    <x v="130"/>
    <x v="1"/>
    <x v="1"/>
    <n v="10"/>
    <n v="58950"/>
    <n v="589500"/>
    <n v="45000"/>
    <n v="450000"/>
    <n v="139500"/>
    <n v="0.23664122137404581"/>
  </r>
  <r>
    <x v="168"/>
    <s v="ORD-02362"/>
    <x v="1"/>
    <x v="1"/>
    <x v="106"/>
    <x v="2"/>
    <x v="1"/>
    <n v="4"/>
    <n v="53200"/>
    <n v="212800"/>
    <n v="38000"/>
    <n v="152000"/>
    <n v="60800"/>
    <n v="0.2857142857142857"/>
  </r>
  <r>
    <x v="168"/>
    <s v="ORD-02363"/>
    <x v="1"/>
    <x v="3"/>
    <x v="149"/>
    <x v="3"/>
    <x v="0"/>
    <n v="5"/>
    <n v="3200"/>
    <n v="16000"/>
    <n v="2500"/>
    <n v="12500"/>
    <n v="3500"/>
    <n v="0.21875"/>
  </r>
  <r>
    <x v="168"/>
    <s v="ORD-02364"/>
    <x v="0"/>
    <x v="5"/>
    <x v="53"/>
    <x v="7"/>
    <x v="2"/>
    <n v="8"/>
    <n v="8750"/>
    <n v="70000"/>
    <n v="7000"/>
    <n v="56000"/>
    <n v="14000"/>
    <n v="0.2"/>
  </r>
  <r>
    <x v="169"/>
    <s v="ORD-02365"/>
    <x v="3"/>
    <x v="1"/>
    <x v="27"/>
    <x v="0"/>
    <x v="0"/>
    <n v="8"/>
    <n v="4352"/>
    <n v="34816"/>
    <n v="3200"/>
    <n v="25600"/>
    <n v="9216"/>
    <n v="0.26470588235294118"/>
  </r>
  <r>
    <x v="169"/>
    <s v="ORD-02366"/>
    <x v="1"/>
    <x v="0"/>
    <x v="75"/>
    <x v="5"/>
    <x v="3"/>
    <n v="2"/>
    <n v="810"/>
    <n v="1620"/>
    <n v="600"/>
    <n v="1200"/>
    <n v="420"/>
    <n v="0.25925925925925924"/>
  </r>
  <r>
    <x v="169"/>
    <s v="ORD-02367"/>
    <x v="3"/>
    <x v="2"/>
    <x v="100"/>
    <x v="6"/>
    <x v="3"/>
    <n v="9"/>
    <n v="1278"/>
    <n v="11502"/>
    <n v="900"/>
    <n v="8100"/>
    <n v="3402"/>
    <n v="0.29577464788732394"/>
  </r>
  <r>
    <x v="169"/>
    <s v="ORD-02368"/>
    <x v="0"/>
    <x v="3"/>
    <x v="19"/>
    <x v="6"/>
    <x v="3"/>
    <n v="1"/>
    <n v="1242"/>
    <n v="1242"/>
    <n v="900"/>
    <n v="900"/>
    <n v="342"/>
    <n v="0.27536231884057971"/>
  </r>
  <r>
    <x v="169"/>
    <s v="ORD-02369"/>
    <x v="2"/>
    <x v="2"/>
    <x v="20"/>
    <x v="5"/>
    <x v="3"/>
    <n v="9"/>
    <n v="756"/>
    <n v="6804"/>
    <n v="600"/>
    <n v="5400"/>
    <n v="1404"/>
    <n v="0.20634920634920634"/>
  </r>
  <r>
    <x v="169"/>
    <s v="ORD-02370"/>
    <x v="0"/>
    <x v="1"/>
    <x v="53"/>
    <x v="5"/>
    <x v="3"/>
    <n v="10"/>
    <n v="798"/>
    <n v="7980"/>
    <n v="600"/>
    <n v="6000"/>
    <n v="1980"/>
    <n v="0.24812030075187969"/>
  </r>
  <r>
    <x v="169"/>
    <s v="ORD-02371"/>
    <x v="0"/>
    <x v="3"/>
    <x v="128"/>
    <x v="2"/>
    <x v="1"/>
    <n v="6"/>
    <n v="45600"/>
    <n v="273600"/>
    <n v="38000"/>
    <n v="228000"/>
    <n v="45600"/>
    <n v="0.16666666666666666"/>
  </r>
  <r>
    <x v="169"/>
    <s v="ORD-02372"/>
    <x v="0"/>
    <x v="1"/>
    <x v="40"/>
    <x v="5"/>
    <x v="3"/>
    <n v="2"/>
    <n v="852"/>
    <n v="1704"/>
    <n v="600"/>
    <n v="1200"/>
    <n v="504"/>
    <n v="0.29577464788732394"/>
  </r>
  <r>
    <x v="169"/>
    <s v="ORD-02373"/>
    <x v="3"/>
    <x v="3"/>
    <x v="94"/>
    <x v="3"/>
    <x v="0"/>
    <n v="8"/>
    <n v="3600"/>
    <n v="28800"/>
    <n v="2500"/>
    <n v="20000"/>
    <n v="8800"/>
    <n v="0.30555555555555558"/>
  </r>
  <r>
    <x v="169"/>
    <s v="ORD-02374"/>
    <x v="1"/>
    <x v="1"/>
    <x v="144"/>
    <x v="0"/>
    <x v="0"/>
    <n v="4"/>
    <n v="4416"/>
    <n v="17664"/>
    <n v="3200"/>
    <n v="12800"/>
    <n v="4864"/>
    <n v="0.27536231884057971"/>
  </r>
  <r>
    <x v="169"/>
    <s v="ORD-02375"/>
    <x v="3"/>
    <x v="4"/>
    <x v="109"/>
    <x v="3"/>
    <x v="0"/>
    <n v="7"/>
    <n v="3025"/>
    <n v="21175"/>
    <n v="2500"/>
    <n v="17500"/>
    <n v="3675"/>
    <n v="0.17355371900826447"/>
  </r>
  <r>
    <x v="169"/>
    <s v="ORD-02376"/>
    <x v="0"/>
    <x v="2"/>
    <x v="102"/>
    <x v="4"/>
    <x v="2"/>
    <n v="2"/>
    <n v="12240"/>
    <n v="24480"/>
    <n v="8500"/>
    <n v="17000"/>
    <n v="7480"/>
    <n v="0.30555555555555558"/>
  </r>
  <r>
    <x v="169"/>
    <s v="ORD-02377"/>
    <x v="1"/>
    <x v="5"/>
    <x v="78"/>
    <x v="3"/>
    <x v="0"/>
    <n v="1"/>
    <n v="3375"/>
    <n v="3375"/>
    <n v="2500"/>
    <n v="2500"/>
    <n v="875"/>
    <n v="0.25925925925925924"/>
  </r>
  <r>
    <x v="169"/>
    <s v="ORD-02378"/>
    <x v="2"/>
    <x v="5"/>
    <x v="121"/>
    <x v="2"/>
    <x v="1"/>
    <n v="3"/>
    <n v="46740"/>
    <n v="140220"/>
    <n v="38000"/>
    <n v="114000"/>
    <n v="26220"/>
    <n v="0.18699186991869918"/>
  </r>
  <r>
    <x v="170"/>
    <s v="ORD-02379"/>
    <x v="2"/>
    <x v="4"/>
    <x v="6"/>
    <x v="2"/>
    <x v="1"/>
    <n v="6"/>
    <n v="47120"/>
    <n v="282720"/>
    <n v="38000"/>
    <n v="228000"/>
    <n v="54720"/>
    <n v="0.19354838709677419"/>
  </r>
  <r>
    <x v="170"/>
    <s v="ORD-02380"/>
    <x v="2"/>
    <x v="0"/>
    <x v="144"/>
    <x v="2"/>
    <x v="1"/>
    <n v="1"/>
    <n v="54720"/>
    <n v="54720"/>
    <n v="38000"/>
    <n v="38000"/>
    <n v="16720"/>
    <n v="0.30555555555555558"/>
  </r>
  <r>
    <x v="170"/>
    <s v="ORD-02381"/>
    <x v="1"/>
    <x v="2"/>
    <x v="73"/>
    <x v="4"/>
    <x v="2"/>
    <n v="2"/>
    <n v="11220"/>
    <n v="22440"/>
    <n v="8500"/>
    <n v="17000"/>
    <n v="5440"/>
    <n v="0.24242424242424243"/>
  </r>
  <r>
    <x v="170"/>
    <s v="ORD-02382"/>
    <x v="1"/>
    <x v="5"/>
    <x v="74"/>
    <x v="1"/>
    <x v="1"/>
    <n v="3"/>
    <n v="60750.000000000007"/>
    <n v="182250.00000000003"/>
    <n v="45000"/>
    <n v="135000"/>
    <n v="47250.000000000029"/>
    <n v="0.25925925925925936"/>
  </r>
  <r>
    <x v="170"/>
    <s v="ORD-02383"/>
    <x v="0"/>
    <x v="4"/>
    <x v="94"/>
    <x v="4"/>
    <x v="2"/>
    <n v="3"/>
    <n v="11050"/>
    <n v="33150"/>
    <n v="8500"/>
    <n v="25500"/>
    <n v="7650"/>
    <n v="0.23076923076923078"/>
  </r>
  <r>
    <x v="170"/>
    <s v="ORD-02384"/>
    <x v="1"/>
    <x v="4"/>
    <x v="44"/>
    <x v="5"/>
    <x v="3"/>
    <n v="9"/>
    <n v="750"/>
    <n v="6750"/>
    <n v="600"/>
    <n v="5400"/>
    <n v="1350"/>
    <n v="0.2"/>
  </r>
  <r>
    <x v="170"/>
    <s v="ORD-02385"/>
    <x v="0"/>
    <x v="5"/>
    <x v="143"/>
    <x v="7"/>
    <x v="2"/>
    <n v="8"/>
    <n v="8610"/>
    <n v="68880"/>
    <n v="7000"/>
    <n v="56000"/>
    <n v="12880"/>
    <n v="0.18699186991869918"/>
  </r>
  <r>
    <x v="170"/>
    <s v="ORD-02386"/>
    <x v="2"/>
    <x v="3"/>
    <x v="137"/>
    <x v="1"/>
    <x v="1"/>
    <n v="1"/>
    <n v="64350"/>
    <n v="64350"/>
    <n v="45000"/>
    <n v="45000"/>
    <n v="19350"/>
    <n v="0.30069930069930068"/>
  </r>
  <r>
    <x v="170"/>
    <s v="ORD-02387"/>
    <x v="0"/>
    <x v="5"/>
    <x v="54"/>
    <x v="5"/>
    <x v="3"/>
    <n v="6"/>
    <n v="762"/>
    <n v="4572"/>
    <n v="600"/>
    <n v="3600"/>
    <n v="972"/>
    <n v="0.2125984251968504"/>
  </r>
  <r>
    <x v="170"/>
    <s v="ORD-02388"/>
    <x v="0"/>
    <x v="3"/>
    <x v="84"/>
    <x v="1"/>
    <x v="1"/>
    <n v="2"/>
    <n v="64350"/>
    <n v="128700"/>
    <n v="45000"/>
    <n v="90000"/>
    <n v="38700"/>
    <n v="0.30069930069930068"/>
  </r>
  <r>
    <x v="170"/>
    <s v="ORD-02389"/>
    <x v="1"/>
    <x v="2"/>
    <x v="32"/>
    <x v="6"/>
    <x v="3"/>
    <n v="1"/>
    <n v="1134"/>
    <n v="1134"/>
    <n v="900"/>
    <n v="900"/>
    <n v="234"/>
    <n v="0.20634920634920634"/>
  </r>
  <r>
    <x v="170"/>
    <s v="ORD-02390"/>
    <x v="2"/>
    <x v="2"/>
    <x v="127"/>
    <x v="0"/>
    <x v="0"/>
    <n v="3"/>
    <n v="4160"/>
    <n v="12480"/>
    <n v="3200"/>
    <n v="9600"/>
    <n v="2880"/>
    <n v="0.23076923076923078"/>
  </r>
  <r>
    <x v="170"/>
    <s v="ORD-02391"/>
    <x v="3"/>
    <x v="4"/>
    <x v="53"/>
    <x v="6"/>
    <x v="3"/>
    <n v="5"/>
    <n v="1188"/>
    <n v="5940"/>
    <n v="900"/>
    <n v="4500"/>
    <n v="1440"/>
    <n v="0.24242424242424243"/>
  </r>
  <r>
    <x v="170"/>
    <s v="ORD-02392"/>
    <x v="1"/>
    <x v="4"/>
    <x v="136"/>
    <x v="4"/>
    <x v="2"/>
    <n v="2"/>
    <n v="10625"/>
    <n v="21250"/>
    <n v="8500"/>
    <n v="17000"/>
    <n v="4250"/>
    <n v="0.2"/>
  </r>
  <r>
    <x v="171"/>
    <s v="ORD-02393"/>
    <x v="2"/>
    <x v="2"/>
    <x v="81"/>
    <x v="4"/>
    <x v="2"/>
    <n v="6"/>
    <n v="10540"/>
    <n v="63240"/>
    <n v="8500"/>
    <n v="51000"/>
    <n v="12240"/>
    <n v="0.19354838709677419"/>
  </r>
  <r>
    <x v="171"/>
    <s v="ORD-02394"/>
    <x v="0"/>
    <x v="0"/>
    <x v="81"/>
    <x v="7"/>
    <x v="2"/>
    <n v="1"/>
    <n v="9870"/>
    <n v="9870"/>
    <n v="7000"/>
    <n v="7000"/>
    <n v="2870"/>
    <n v="0.29078014184397161"/>
  </r>
  <r>
    <x v="171"/>
    <s v="ORD-02395"/>
    <x v="0"/>
    <x v="2"/>
    <x v="86"/>
    <x v="6"/>
    <x v="3"/>
    <n v="10"/>
    <n v="1305"/>
    <n v="13050"/>
    <n v="900"/>
    <n v="9000"/>
    <n v="4050"/>
    <n v="0.31034482758620691"/>
  </r>
  <r>
    <x v="171"/>
    <s v="ORD-02396"/>
    <x v="1"/>
    <x v="5"/>
    <x v="124"/>
    <x v="0"/>
    <x v="0"/>
    <n v="6"/>
    <n v="4224"/>
    <n v="25344"/>
    <n v="3200"/>
    <n v="19200"/>
    <n v="6144"/>
    <n v="0.24242424242424243"/>
  </r>
  <r>
    <x v="171"/>
    <s v="ORD-02397"/>
    <x v="2"/>
    <x v="2"/>
    <x v="50"/>
    <x v="3"/>
    <x v="0"/>
    <n v="7"/>
    <n v="3575"/>
    <n v="25025"/>
    <n v="2500"/>
    <n v="17500"/>
    <n v="7525"/>
    <n v="0.30069930069930068"/>
  </r>
  <r>
    <x v="171"/>
    <s v="ORD-02398"/>
    <x v="0"/>
    <x v="1"/>
    <x v="69"/>
    <x v="2"/>
    <x v="1"/>
    <n v="3"/>
    <n v="47880"/>
    <n v="143640"/>
    <n v="38000"/>
    <n v="114000"/>
    <n v="29640"/>
    <n v="0.20634920634920634"/>
  </r>
  <r>
    <x v="171"/>
    <s v="ORD-02399"/>
    <x v="1"/>
    <x v="0"/>
    <x v="39"/>
    <x v="5"/>
    <x v="3"/>
    <n v="3"/>
    <n v="768"/>
    <n v="2304"/>
    <n v="600"/>
    <n v="1800"/>
    <n v="504"/>
    <n v="0.21875"/>
  </r>
  <r>
    <x v="171"/>
    <s v="ORD-02400"/>
    <x v="1"/>
    <x v="0"/>
    <x v="144"/>
    <x v="0"/>
    <x v="0"/>
    <n v="9"/>
    <n v="4256"/>
    <n v="38304"/>
    <n v="3200"/>
    <n v="28800"/>
    <n v="9504"/>
    <n v="0.24812030075187969"/>
  </r>
  <r>
    <x v="171"/>
    <s v="ORD-02401"/>
    <x v="2"/>
    <x v="5"/>
    <x v="27"/>
    <x v="0"/>
    <x v="0"/>
    <n v="9"/>
    <n v="3936"/>
    <n v="35424"/>
    <n v="3200"/>
    <n v="28800"/>
    <n v="6624"/>
    <n v="0.18699186991869918"/>
  </r>
  <r>
    <x v="171"/>
    <s v="ORD-02402"/>
    <x v="2"/>
    <x v="4"/>
    <x v="105"/>
    <x v="5"/>
    <x v="3"/>
    <n v="6"/>
    <n v="852"/>
    <n v="5112"/>
    <n v="600"/>
    <n v="3600"/>
    <n v="1512"/>
    <n v="0.29577464788732394"/>
  </r>
  <r>
    <x v="171"/>
    <s v="ORD-02403"/>
    <x v="0"/>
    <x v="2"/>
    <x v="139"/>
    <x v="5"/>
    <x v="3"/>
    <n v="3"/>
    <n v="732"/>
    <n v="2196"/>
    <n v="600"/>
    <n v="1800"/>
    <n v="396"/>
    <n v="0.18032786885245902"/>
  </r>
  <r>
    <x v="171"/>
    <s v="ORD-02404"/>
    <x v="3"/>
    <x v="0"/>
    <x v="55"/>
    <x v="4"/>
    <x v="2"/>
    <n v="1"/>
    <n v="11475"/>
    <n v="11475"/>
    <n v="8500"/>
    <n v="8500"/>
    <n v="2975"/>
    <n v="0.25925925925925924"/>
  </r>
  <r>
    <x v="171"/>
    <s v="ORD-02405"/>
    <x v="0"/>
    <x v="0"/>
    <x v="61"/>
    <x v="2"/>
    <x v="1"/>
    <n v="2"/>
    <n v="53960"/>
    <n v="107920"/>
    <n v="38000"/>
    <n v="76000"/>
    <n v="31920"/>
    <n v="0.29577464788732394"/>
  </r>
  <r>
    <x v="171"/>
    <s v="ORD-02406"/>
    <x v="2"/>
    <x v="1"/>
    <x v="138"/>
    <x v="3"/>
    <x v="0"/>
    <n v="7"/>
    <n v="3250"/>
    <n v="22750"/>
    <n v="2500"/>
    <n v="17500"/>
    <n v="5250"/>
    <n v="0.23076923076923078"/>
  </r>
  <r>
    <x v="172"/>
    <s v="ORD-02407"/>
    <x v="1"/>
    <x v="2"/>
    <x v="38"/>
    <x v="5"/>
    <x v="3"/>
    <n v="8"/>
    <n v="738"/>
    <n v="5904"/>
    <n v="600"/>
    <n v="4800"/>
    <n v="1104"/>
    <n v="0.18699186991869918"/>
  </r>
  <r>
    <x v="172"/>
    <s v="ORD-02408"/>
    <x v="3"/>
    <x v="0"/>
    <x v="130"/>
    <x v="0"/>
    <x v="0"/>
    <n v="8"/>
    <n v="3872"/>
    <n v="30976"/>
    <n v="3200"/>
    <n v="25600"/>
    <n v="5376"/>
    <n v="0.17355371900826447"/>
  </r>
  <r>
    <x v="172"/>
    <s v="ORD-02409"/>
    <x v="1"/>
    <x v="0"/>
    <x v="8"/>
    <x v="5"/>
    <x v="3"/>
    <n v="9"/>
    <n v="815.99999999999989"/>
    <n v="7343.9999999999991"/>
    <n v="600"/>
    <n v="5400"/>
    <n v="1943.9999999999991"/>
    <n v="0.26470588235294107"/>
  </r>
  <r>
    <x v="172"/>
    <s v="ORD-02410"/>
    <x v="3"/>
    <x v="0"/>
    <x v="75"/>
    <x v="0"/>
    <x v="0"/>
    <n v="3"/>
    <n v="3840"/>
    <n v="11520"/>
    <n v="3200"/>
    <n v="9600"/>
    <n v="1920"/>
    <n v="0.16666666666666666"/>
  </r>
  <r>
    <x v="172"/>
    <s v="ORD-02411"/>
    <x v="2"/>
    <x v="3"/>
    <x v="70"/>
    <x v="0"/>
    <x v="0"/>
    <n v="5"/>
    <n v="4000"/>
    <n v="20000"/>
    <n v="3200"/>
    <n v="16000"/>
    <n v="4000"/>
    <n v="0.2"/>
  </r>
  <r>
    <x v="172"/>
    <s v="ORD-02412"/>
    <x v="3"/>
    <x v="4"/>
    <x v="4"/>
    <x v="4"/>
    <x v="2"/>
    <n v="10"/>
    <n v="12155"/>
    <n v="121550"/>
    <n v="8500"/>
    <n v="85000"/>
    <n v="36550"/>
    <n v="0.30069930069930068"/>
  </r>
  <r>
    <x v="172"/>
    <s v="ORD-02413"/>
    <x v="0"/>
    <x v="0"/>
    <x v="62"/>
    <x v="7"/>
    <x v="2"/>
    <n v="4"/>
    <n v="9800"/>
    <n v="39200"/>
    <n v="7000"/>
    <n v="28000"/>
    <n v="11200"/>
    <n v="0.2857142857142857"/>
  </r>
  <r>
    <x v="172"/>
    <s v="ORD-02414"/>
    <x v="2"/>
    <x v="5"/>
    <x v="29"/>
    <x v="0"/>
    <x v="0"/>
    <n v="7"/>
    <n v="4576"/>
    <n v="32032"/>
    <n v="3200"/>
    <n v="22400"/>
    <n v="9632"/>
    <n v="0.30069930069930068"/>
  </r>
  <r>
    <x v="172"/>
    <s v="ORD-02415"/>
    <x v="1"/>
    <x v="1"/>
    <x v="11"/>
    <x v="0"/>
    <x v="0"/>
    <n v="9"/>
    <n v="4320"/>
    <n v="38880"/>
    <n v="3200"/>
    <n v="28800"/>
    <n v="10080"/>
    <n v="0.25925925925925924"/>
  </r>
  <r>
    <x v="172"/>
    <s v="ORD-02416"/>
    <x v="2"/>
    <x v="0"/>
    <x v="72"/>
    <x v="3"/>
    <x v="0"/>
    <n v="2"/>
    <n v="3325"/>
    <n v="6650"/>
    <n v="2500"/>
    <n v="5000"/>
    <n v="1650"/>
    <n v="0.24812030075187969"/>
  </r>
  <r>
    <x v="172"/>
    <s v="ORD-02417"/>
    <x v="0"/>
    <x v="4"/>
    <x v="14"/>
    <x v="7"/>
    <x v="2"/>
    <n v="1"/>
    <n v="8610"/>
    <n v="8610"/>
    <n v="7000"/>
    <n v="7000"/>
    <n v="1610"/>
    <n v="0.18699186991869918"/>
  </r>
  <r>
    <x v="172"/>
    <s v="ORD-02418"/>
    <x v="0"/>
    <x v="1"/>
    <x v="93"/>
    <x v="6"/>
    <x v="3"/>
    <n v="2"/>
    <n v="1170"/>
    <n v="2340"/>
    <n v="900"/>
    <n v="1800"/>
    <n v="540"/>
    <n v="0.23076923076923078"/>
  </r>
  <r>
    <x v="172"/>
    <s v="ORD-02419"/>
    <x v="1"/>
    <x v="4"/>
    <x v="60"/>
    <x v="5"/>
    <x v="3"/>
    <n v="9"/>
    <n v="744"/>
    <n v="6696"/>
    <n v="600"/>
    <n v="5400"/>
    <n v="1296"/>
    <n v="0.19354838709677419"/>
  </r>
  <r>
    <x v="172"/>
    <s v="ORD-02420"/>
    <x v="2"/>
    <x v="2"/>
    <x v="34"/>
    <x v="3"/>
    <x v="0"/>
    <n v="10"/>
    <n v="3050"/>
    <n v="30500"/>
    <n v="2500"/>
    <n v="25000"/>
    <n v="5500"/>
    <n v="0.18032786885245902"/>
  </r>
  <r>
    <x v="173"/>
    <s v="ORD-02421"/>
    <x v="0"/>
    <x v="2"/>
    <x v="19"/>
    <x v="5"/>
    <x v="3"/>
    <n v="2"/>
    <n v="858"/>
    <n v="1716"/>
    <n v="600"/>
    <n v="1200"/>
    <n v="516"/>
    <n v="0.30069930069930068"/>
  </r>
  <r>
    <x v="173"/>
    <s v="ORD-02422"/>
    <x v="0"/>
    <x v="0"/>
    <x v="137"/>
    <x v="3"/>
    <x v="0"/>
    <n v="8"/>
    <n v="3350"/>
    <n v="26800"/>
    <n v="2500"/>
    <n v="20000"/>
    <n v="6800"/>
    <n v="0.2537313432835821"/>
  </r>
  <r>
    <x v="173"/>
    <s v="ORD-02423"/>
    <x v="3"/>
    <x v="2"/>
    <x v="125"/>
    <x v="2"/>
    <x v="1"/>
    <n v="8"/>
    <n v="52439.999999999993"/>
    <n v="419519.99999999994"/>
    <n v="38000"/>
    <n v="304000"/>
    <n v="115519.99999999994"/>
    <n v="0.2753623188405796"/>
  </r>
  <r>
    <x v="173"/>
    <s v="ORD-02424"/>
    <x v="3"/>
    <x v="1"/>
    <x v="95"/>
    <x v="0"/>
    <x v="0"/>
    <n v="2"/>
    <n v="3904"/>
    <n v="7808"/>
    <n v="3200"/>
    <n v="6400"/>
    <n v="1408"/>
    <n v="0.18032786885245902"/>
  </r>
  <r>
    <x v="173"/>
    <s v="ORD-02425"/>
    <x v="0"/>
    <x v="4"/>
    <x v="17"/>
    <x v="0"/>
    <x v="0"/>
    <n v="3"/>
    <n v="4096"/>
    <n v="12288"/>
    <n v="3200"/>
    <n v="9600"/>
    <n v="2688"/>
    <n v="0.21875"/>
  </r>
  <r>
    <x v="173"/>
    <s v="ORD-02426"/>
    <x v="0"/>
    <x v="4"/>
    <x v="104"/>
    <x v="5"/>
    <x v="3"/>
    <n v="2"/>
    <n v="804"/>
    <n v="1608"/>
    <n v="600"/>
    <n v="1200"/>
    <n v="408"/>
    <n v="0.2537313432835821"/>
  </r>
  <r>
    <x v="173"/>
    <s v="ORD-02427"/>
    <x v="0"/>
    <x v="3"/>
    <x v="54"/>
    <x v="1"/>
    <x v="1"/>
    <n v="2"/>
    <n v="62999.999999999993"/>
    <n v="125999.99999999999"/>
    <n v="45000"/>
    <n v="90000"/>
    <n v="35999.999999999985"/>
    <n v="0.28571428571428564"/>
  </r>
  <r>
    <x v="173"/>
    <s v="ORD-02428"/>
    <x v="0"/>
    <x v="4"/>
    <x v="149"/>
    <x v="2"/>
    <x v="1"/>
    <n v="10"/>
    <n v="46740"/>
    <n v="467400"/>
    <n v="38000"/>
    <n v="380000"/>
    <n v="87400"/>
    <n v="0.18699186991869918"/>
  </r>
  <r>
    <x v="173"/>
    <s v="ORD-02429"/>
    <x v="3"/>
    <x v="5"/>
    <x v="144"/>
    <x v="4"/>
    <x v="2"/>
    <n v="10"/>
    <n v="11559.999999999998"/>
    <n v="115599.99999999999"/>
    <n v="8500"/>
    <n v="85000"/>
    <n v="30599.999999999985"/>
    <n v="0.26470588235294107"/>
  </r>
  <r>
    <x v="173"/>
    <s v="ORD-02430"/>
    <x v="0"/>
    <x v="0"/>
    <x v="122"/>
    <x v="4"/>
    <x v="2"/>
    <n v="7"/>
    <n v="10710"/>
    <n v="74970"/>
    <n v="8500"/>
    <n v="59500"/>
    <n v="15470"/>
    <n v="0.20634920634920634"/>
  </r>
  <r>
    <x v="173"/>
    <s v="ORD-02431"/>
    <x v="3"/>
    <x v="5"/>
    <x v="90"/>
    <x v="4"/>
    <x v="2"/>
    <n v="2"/>
    <n v="11985"/>
    <n v="23970"/>
    <n v="8500"/>
    <n v="17000"/>
    <n v="6970"/>
    <n v="0.29078014184397161"/>
  </r>
  <r>
    <x v="173"/>
    <s v="ORD-02432"/>
    <x v="2"/>
    <x v="1"/>
    <x v="86"/>
    <x v="4"/>
    <x v="2"/>
    <n v="8"/>
    <n v="11985"/>
    <n v="95880"/>
    <n v="8500"/>
    <n v="68000"/>
    <n v="27880"/>
    <n v="0.29078014184397161"/>
  </r>
  <r>
    <x v="173"/>
    <s v="ORD-02433"/>
    <x v="0"/>
    <x v="2"/>
    <x v="57"/>
    <x v="3"/>
    <x v="0"/>
    <n v="4"/>
    <n v="3325"/>
    <n v="13300"/>
    <n v="2500"/>
    <n v="10000"/>
    <n v="3300"/>
    <n v="0.24812030075187969"/>
  </r>
  <r>
    <x v="173"/>
    <s v="ORD-02434"/>
    <x v="3"/>
    <x v="5"/>
    <x v="55"/>
    <x v="2"/>
    <x v="1"/>
    <n v="1"/>
    <n v="49780"/>
    <n v="49780"/>
    <n v="38000"/>
    <n v="38000"/>
    <n v="11780"/>
    <n v="0.23664122137404581"/>
  </r>
  <r>
    <x v="174"/>
    <s v="ORD-02435"/>
    <x v="3"/>
    <x v="0"/>
    <x v="138"/>
    <x v="3"/>
    <x v="0"/>
    <n v="5"/>
    <n v="3449.9999999999995"/>
    <n v="17249.999999999996"/>
    <n v="2500"/>
    <n v="12500"/>
    <n v="4749.9999999999964"/>
    <n v="0.27536231884057955"/>
  </r>
  <r>
    <x v="174"/>
    <s v="ORD-02436"/>
    <x v="1"/>
    <x v="5"/>
    <x v="135"/>
    <x v="1"/>
    <x v="1"/>
    <n v="6"/>
    <n v="57150"/>
    <n v="342900"/>
    <n v="45000"/>
    <n v="270000"/>
    <n v="72900"/>
    <n v="0.2125984251968504"/>
  </r>
  <r>
    <x v="174"/>
    <s v="ORD-02437"/>
    <x v="2"/>
    <x v="3"/>
    <x v="23"/>
    <x v="6"/>
    <x v="3"/>
    <n v="1"/>
    <n v="1269"/>
    <n v="1269"/>
    <n v="900"/>
    <n v="900"/>
    <n v="369"/>
    <n v="0.29078014184397161"/>
  </r>
  <r>
    <x v="174"/>
    <s v="ORD-02438"/>
    <x v="0"/>
    <x v="3"/>
    <x v="18"/>
    <x v="0"/>
    <x v="0"/>
    <n v="9"/>
    <n v="4608"/>
    <n v="41472"/>
    <n v="3200"/>
    <n v="28800"/>
    <n v="12672"/>
    <n v="0.30555555555555558"/>
  </r>
  <r>
    <x v="174"/>
    <s v="ORD-02439"/>
    <x v="3"/>
    <x v="0"/>
    <x v="120"/>
    <x v="1"/>
    <x v="1"/>
    <n v="2"/>
    <n v="54000"/>
    <n v="108000"/>
    <n v="45000"/>
    <n v="90000"/>
    <n v="18000"/>
    <n v="0.16666666666666666"/>
  </r>
  <r>
    <x v="174"/>
    <s v="ORD-02440"/>
    <x v="1"/>
    <x v="0"/>
    <x v="102"/>
    <x v="6"/>
    <x v="3"/>
    <n v="8"/>
    <n v="1080"/>
    <n v="8640"/>
    <n v="900"/>
    <n v="7200"/>
    <n v="1440"/>
    <n v="0.16666666666666666"/>
  </r>
  <r>
    <x v="174"/>
    <s v="ORD-02441"/>
    <x v="3"/>
    <x v="3"/>
    <x v="11"/>
    <x v="1"/>
    <x v="1"/>
    <n v="1"/>
    <n v="54450"/>
    <n v="54450"/>
    <n v="45000"/>
    <n v="45000"/>
    <n v="9450"/>
    <n v="0.17355371900826447"/>
  </r>
  <r>
    <x v="174"/>
    <s v="ORD-02442"/>
    <x v="1"/>
    <x v="0"/>
    <x v="139"/>
    <x v="7"/>
    <x v="2"/>
    <n v="10"/>
    <n v="9380"/>
    <n v="93800"/>
    <n v="7000"/>
    <n v="70000"/>
    <n v="23800"/>
    <n v="0.2537313432835821"/>
  </r>
  <r>
    <x v="174"/>
    <s v="ORD-02443"/>
    <x v="1"/>
    <x v="5"/>
    <x v="57"/>
    <x v="7"/>
    <x v="2"/>
    <n v="6"/>
    <n v="9520"/>
    <n v="57120"/>
    <n v="7000"/>
    <n v="42000"/>
    <n v="15120"/>
    <n v="0.26470588235294118"/>
  </r>
  <r>
    <x v="174"/>
    <s v="ORD-02444"/>
    <x v="1"/>
    <x v="4"/>
    <x v="27"/>
    <x v="3"/>
    <x v="0"/>
    <n v="9"/>
    <n v="3575"/>
    <n v="32175"/>
    <n v="2500"/>
    <n v="22500"/>
    <n v="9675"/>
    <n v="0.30069930069930068"/>
  </r>
  <r>
    <x v="174"/>
    <s v="ORD-02445"/>
    <x v="3"/>
    <x v="1"/>
    <x v="76"/>
    <x v="7"/>
    <x v="2"/>
    <n v="9"/>
    <n v="9310"/>
    <n v="83790"/>
    <n v="7000"/>
    <n v="63000"/>
    <n v="20790"/>
    <n v="0.24812030075187969"/>
  </r>
  <r>
    <x v="174"/>
    <s v="ORD-02446"/>
    <x v="2"/>
    <x v="2"/>
    <x v="61"/>
    <x v="2"/>
    <x v="1"/>
    <n v="3"/>
    <n v="48640"/>
    <n v="145920"/>
    <n v="38000"/>
    <n v="114000"/>
    <n v="31920"/>
    <n v="0.21875"/>
  </r>
  <r>
    <x v="174"/>
    <s v="ORD-02447"/>
    <x v="3"/>
    <x v="2"/>
    <x v="88"/>
    <x v="6"/>
    <x v="3"/>
    <n v="8"/>
    <n v="1269"/>
    <n v="10152"/>
    <n v="900"/>
    <n v="7200"/>
    <n v="2952"/>
    <n v="0.29078014184397161"/>
  </r>
  <r>
    <x v="174"/>
    <s v="ORD-02448"/>
    <x v="3"/>
    <x v="2"/>
    <x v="59"/>
    <x v="4"/>
    <x v="2"/>
    <n v="2"/>
    <n v="12325"/>
    <n v="24650"/>
    <n v="8500"/>
    <n v="17000"/>
    <n v="7650"/>
    <n v="0.31034482758620691"/>
  </r>
  <r>
    <x v="175"/>
    <s v="ORD-02449"/>
    <x v="0"/>
    <x v="2"/>
    <x v="102"/>
    <x v="6"/>
    <x v="3"/>
    <n v="1"/>
    <n v="1170"/>
    <n v="1170"/>
    <n v="900"/>
    <n v="900"/>
    <n v="270"/>
    <n v="0.23076923076923078"/>
  </r>
  <r>
    <x v="175"/>
    <s v="ORD-02450"/>
    <x v="3"/>
    <x v="0"/>
    <x v="134"/>
    <x v="2"/>
    <x v="1"/>
    <n v="9"/>
    <n v="54340"/>
    <n v="489060"/>
    <n v="38000"/>
    <n v="342000"/>
    <n v="147060"/>
    <n v="0.30069930069930068"/>
  </r>
  <r>
    <x v="175"/>
    <s v="ORD-02451"/>
    <x v="3"/>
    <x v="0"/>
    <x v="64"/>
    <x v="4"/>
    <x v="2"/>
    <n v="2"/>
    <n v="11305"/>
    <n v="22610"/>
    <n v="8500"/>
    <n v="17000"/>
    <n v="5610"/>
    <n v="0.24812030075187969"/>
  </r>
  <r>
    <x v="175"/>
    <s v="ORD-02452"/>
    <x v="0"/>
    <x v="5"/>
    <x v="34"/>
    <x v="5"/>
    <x v="3"/>
    <n v="1"/>
    <n v="792"/>
    <n v="792"/>
    <n v="600"/>
    <n v="600"/>
    <n v="192"/>
    <n v="0.24242424242424243"/>
  </r>
  <r>
    <x v="175"/>
    <s v="ORD-02453"/>
    <x v="1"/>
    <x v="2"/>
    <x v="114"/>
    <x v="0"/>
    <x v="0"/>
    <n v="3"/>
    <n v="4128"/>
    <n v="12384"/>
    <n v="3200"/>
    <n v="9600"/>
    <n v="2784"/>
    <n v="0.22480620155038761"/>
  </r>
  <r>
    <x v="175"/>
    <s v="ORD-02454"/>
    <x v="3"/>
    <x v="5"/>
    <x v="149"/>
    <x v="3"/>
    <x v="0"/>
    <n v="2"/>
    <n v="3275"/>
    <n v="6550"/>
    <n v="2500"/>
    <n v="5000"/>
    <n v="1550"/>
    <n v="0.23664122137404581"/>
  </r>
  <r>
    <x v="175"/>
    <s v="ORD-02455"/>
    <x v="2"/>
    <x v="4"/>
    <x v="43"/>
    <x v="0"/>
    <x v="0"/>
    <n v="8"/>
    <n v="4096"/>
    <n v="32768"/>
    <n v="3200"/>
    <n v="25600"/>
    <n v="7168"/>
    <n v="0.21875"/>
  </r>
  <r>
    <x v="175"/>
    <s v="ORD-02456"/>
    <x v="1"/>
    <x v="3"/>
    <x v="95"/>
    <x v="6"/>
    <x v="3"/>
    <n v="5"/>
    <n v="1278"/>
    <n v="6390"/>
    <n v="900"/>
    <n v="4500"/>
    <n v="1890"/>
    <n v="0.29577464788732394"/>
  </r>
  <r>
    <x v="175"/>
    <s v="ORD-02457"/>
    <x v="1"/>
    <x v="2"/>
    <x v="35"/>
    <x v="6"/>
    <x v="3"/>
    <n v="7"/>
    <n v="1143"/>
    <n v="8001"/>
    <n v="900"/>
    <n v="6300"/>
    <n v="1701"/>
    <n v="0.2125984251968504"/>
  </r>
  <r>
    <x v="175"/>
    <s v="ORD-02458"/>
    <x v="3"/>
    <x v="5"/>
    <x v="2"/>
    <x v="4"/>
    <x v="2"/>
    <n v="1"/>
    <n v="11900"/>
    <n v="11900"/>
    <n v="8500"/>
    <n v="8500"/>
    <n v="3400"/>
    <n v="0.2857142857142857"/>
  </r>
  <r>
    <x v="175"/>
    <s v="ORD-02459"/>
    <x v="2"/>
    <x v="1"/>
    <x v="122"/>
    <x v="1"/>
    <x v="1"/>
    <n v="7"/>
    <n v="58500"/>
    <n v="409500"/>
    <n v="45000"/>
    <n v="315000"/>
    <n v="94500"/>
    <n v="0.23076923076923078"/>
  </r>
  <r>
    <x v="175"/>
    <s v="ORD-02460"/>
    <x v="3"/>
    <x v="4"/>
    <x v="98"/>
    <x v="7"/>
    <x v="2"/>
    <n v="7"/>
    <n v="8890"/>
    <n v="62230"/>
    <n v="7000"/>
    <n v="49000"/>
    <n v="13230"/>
    <n v="0.2125984251968504"/>
  </r>
  <r>
    <x v="175"/>
    <s v="ORD-02461"/>
    <x v="1"/>
    <x v="0"/>
    <x v="124"/>
    <x v="5"/>
    <x v="3"/>
    <n v="10"/>
    <n v="744"/>
    <n v="7440"/>
    <n v="600"/>
    <n v="6000"/>
    <n v="1440"/>
    <n v="0.19354838709677419"/>
  </r>
  <r>
    <x v="175"/>
    <s v="ORD-02462"/>
    <x v="0"/>
    <x v="3"/>
    <x v="115"/>
    <x v="2"/>
    <x v="1"/>
    <n v="10"/>
    <n v="53960"/>
    <n v="539600"/>
    <n v="38000"/>
    <n v="380000"/>
    <n v="159600"/>
    <n v="0.29577464788732394"/>
  </r>
  <r>
    <x v="176"/>
    <s v="ORD-02463"/>
    <x v="1"/>
    <x v="0"/>
    <x v="85"/>
    <x v="7"/>
    <x v="2"/>
    <n v="5"/>
    <n v="9730"/>
    <n v="48650"/>
    <n v="7000"/>
    <n v="35000"/>
    <n v="13650"/>
    <n v="0.2805755395683453"/>
  </r>
  <r>
    <x v="176"/>
    <s v="ORD-02464"/>
    <x v="2"/>
    <x v="0"/>
    <x v="146"/>
    <x v="3"/>
    <x v="0"/>
    <n v="2"/>
    <n v="3150"/>
    <n v="6300"/>
    <n v="2500"/>
    <n v="5000"/>
    <n v="1300"/>
    <n v="0.20634920634920634"/>
  </r>
  <r>
    <x v="176"/>
    <s v="ORD-02465"/>
    <x v="0"/>
    <x v="2"/>
    <x v="145"/>
    <x v="6"/>
    <x v="3"/>
    <n v="5"/>
    <n v="1179"/>
    <n v="5895"/>
    <n v="900"/>
    <n v="4500"/>
    <n v="1395"/>
    <n v="0.23664122137404581"/>
  </r>
  <r>
    <x v="176"/>
    <s v="ORD-02466"/>
    <x v="1"/>
    <x v="5"/>
    <x v="82"/>
    <x v="2"/>
    <x v="1"/>
    <n v="2"/>
    <n v="49780"/>
    <n v="99560"/>
    <n v="38000"/>
    <n v="76000"/>
    <n v="23560"/>
    <n v="0.23664122137404581"/>
  </r>
  <r>
    <x v="176"/>
    <s v="ORD-02467"/>
    <x v="1"/>
    <x v="2"/>
    <x v="78"/>
    <x v="3"/>
    <x v="0"/>
    <n v="9"/>
    <n v="3625"/>
    <n v="32625"/>
    <n v="2500"/>
    <n v="22500"/>
    <n v="10125"/>
    <n v="0.31034482758620691"/>
  </r>
  <r>
    <x v="176"/>
    <s v="ORD-02468"/>
    <x v="1"/>
    <x v="3"/>
    <x v="46"/>
    <x v="1"/>
    <x v="1"/>
    <n v="2"/>
    <n v="56250"/>
    <n v="112500"/>
    <n v="45000"/>
    <n v="90000"/>
    <n v="22500"/>
    <n v="0.2"/>
  </r>
  <r>
    <x v="176"/>
    <s v="ORD-02469"/>
    <x v="1"/>
    <x v="1"/>
    <x v="98"/>
    <x v="6"/>
    <x v="3"/>
    <n v="3"/>
    <n v="1224"/>
    <n v="3672"/>
    <n v="900"/>
    <n v="2700"/>
    <n v="972"/>
    <n v="0.26470588235294118"/>
  </r>
  <r>
    <x v="176"/>
    <s v="ORD-02470"/>
    <x v="3"/>
    <x v="4"/>
    <x v="27"/>
    <x v="5"/>
    <x v="3"/>
    <n v="9"/>
    <n v="774"/>
    <n v="6966"/>
    <n v="600"/>
    <n v="5400"/>
    <n v="1566"/>
    <n v="0.22480620155038761"/>
  </r>
  <r>
    <x v="176"/>
    <s v="ORD-02471"/>
    <x v="0"/>
    <x v="4"/>
    <x v="87"/>
    <x v="4"/>
    <x v="2"/>
    <n v="3"/>
    <n v="12325"/>
    <n v="36975"/>
    <n v="8500"/>
    <n v="25500"/>
    <n v="11475"/>
    <n v="0.31034482758620691"/>
  </r>
  <r>
    <x v="176"/>
    <s v="ORD-02472"/>
    <x v="3"/>
    <x v="1"/>
    <x v="76"/>
    <x v="3"/>
    <x v="0"/>
    <n v="9"/>
    <n v="3250"/>
    <n v="29250"/>
    <n v="2500"/>
    <n v="22500"/>
    <n v="6750"/>
    <n v="0.23076923076923078"/>
  </r>
  <r>
    <x v="176"/>
    <s v="ORD-02473"/>
    <x v="1"/>
    <x v="3"/>
    <x v="78"/>
    <x v="6"/>
    <x v="3"/>
    <n v="7"/>
    <n v="1116"/>
    <n v="7812"/>
    <n v="900"/>
    <n v="6300"/>
    <n v="1512"/>
    <n v="0.19354838709677419"/>
  </r>
  <r>
    <x v="176"/>
    <s v="ORD-02474"/>
    <x v="1"/>
    <x v="4"/>
    <x v="65"/>
    <x v="7"/>
    <x v="2"/>
    <n v="3"/>
    <n v="8750"/>
    <n v="26250"/>
    <n v="7000"/>
    <n v="21000"/>
    <n v="5250"/>
    <n v="0.2"/>
  </r>
  <r>
    <x v="176"/>
    <s v="ORD-02475"/>
    <x v="2"/>
    <x v="1"/>
    <x v="101"/>
    <x v="6"/>
    <x v="3"/>
    <n v="9"/>
    <n v="1143"/>
    <n v="10287"/>
    <n v="900"/>
    <n v="8100"/>
    <n v="2187"/>
    <n v="0.2125984251968504"/>
  </r>
  <r>
    <x v="176"/>
    <s v="ORD-02476"/>
    <x v="1"/>
    <x v="1"/>
    <x v="115"/>
    <x v="1"/>
    <x v="1"/>
    <n v="10"/>
    <n v="57600"/>
    <n v="576000"/>
    <n v="45000"/>
    <n v="450000"/>
    <n v="126000"/>
    <n v="0.21875"/>
  </r>
  <r>
    <x v="177"/>
    <s v="ORD-02477"/>
    <x v="2"/>
    <x v="5"/>
    <x v="146"/>
    <x v="6"/>
    <x v="3"/>
    <n v="4"/>
    <n v="1215"/>
    <n v="4860"/>
    <n v="900"/>
    <n v="3600"/>
    <n v="1260"/>
    <n v="0.25925925925925924"/>
  </r>
  <r>
    <x v="177"/>
    <s v="ORD-02478"/>
    <x v="3"/>
    <x v="2"/>
    <x v="94"/>
    <x v="2"/>
    <x v="1"/>
    <n v="4"/>
    <n v="50160"/>
    <n v="200640"/>
    <n v="38000"/>
    <n v="152000"/>
    <n v="48640"/>
    <n v="0.24242424242424243"/>
  </r>
  <r>
    <x v="177"/>
    <s v="ORD-02479"/>
    <x v="3"/>
    <x v="3"/>
    <x v="13"/>
    <x v="6"/>
    <x v="3"/>
    <n v="5"/>
    <n v="1224"/>
    <n v="6120"/>
    <n v="900"/>
    <n v="4500"/>
    <n v="1620"/>
    <n v="0.26470588235294118"/>
  </r>
  <r>
    <x v="177"/>
    <s v="ORD-02480"/>
    <x v="3"/>
    <x v="1"/>
    <x v="138"/>
    <x v="5"/>
    <x v="3"/>
    <n v="10"/>
    <n v="774"/>
    <n v="7740"/>
    <n v="600"/>
    <n v="6000"/>
    <n v="1740"/>
    <n v="0.22480620155038761"/>
  </r>
  <r>
    <x v="177"/>
    <s v="ORD-02481"/>
    <x v="1"/>
    <x v="0"/>
    <x v="78"/>
    <x v="1"/>
    <x v="1"/>
    <n v="7"/>
    <n v="58500"/>
    <n v="409500"/>
    <n v="45000"/>
    <n v="315000"/>
    <n v="94500"/>
    <n v="0.23076923076923078"/>
  </r>
  <r>
    <x v="177"/>
    <s v="ORD-02482"/>
    <x v="2"/>
    <x v="4"/>
    <x v="36"/>
    <x v="5"/>
    <x v="3"/>
    <n v="5"/>
    <n v="834.00000000000011"/>
    <n v="4170.0000000000009"/>
    <n v="600"/>
    <n v="3000"/>
    <n v="1170.0000000000009"/>
    <n v="0.28057553956834547"/>
  </r>
  <r>
    <x v="177"/>
    <s v="ORD-02483"/>
    <x v="3"/>
    <x v="3"/>
    <x v="105"/>
    <x v="1"/>
    <x v="1"/>
    <n v="6"/>
    <n v="65250"/>
    <n v="391500"/>
    <n v="45000"/>
    <n v="270000"/>
    <n v="121500"/>
    <n v="0.31034482758620691"/>
  </r>
  <r>
    <x v="177"/>
    <s v="ORD-02484"/>
    <x v="0"/>
    <x v="1"/>
    <x v="82"/>
    <x v="4"/>
    <x v="2"/>
    <n v="1"/>
    <n v="11815.000000000002"/>
    <n v="11815.000000000002"/>
    <n v="8500"/>
    <n v="8500"/>
    <n v="3315.0000000000018"/>
    <n v="0.28057553956834541"/>
  </r>
  <r>
    <x v="177"/>
    <s v="ORD-02485"/>
    <x v="1"/>
    <x v="0"/>
    <x v="128"/>
    <x v="1"/>
    <x v="1"/>
    <n v="8"/>
    <n v="61650.000000000007"/>
    <n v="493200.00000000006"/>
    <n v="45000"/>
    <n v="360000"/>
    <n v="133200.00000000006"/>
    <n v="0.27007299270072999"/>
  </r>
  <r>
    <x v="177"/>
    <s v="ORD-02486"/>
    <x v="0"/>
    <x v="0"/>
    <x v="35"/>
    <x v="5"/>
    <x v="3"/>
    <n v="7"/>
    <n v="756"/>
    <n v="5292"/>
    <n v="600"/>
    <n v="4200"/>
    <n v="1092"/>
    <n v="0.20634920634920634"/>
  </r>
  <r>
    <x v="177"/>
    <s v="ORD-02487"/>
    <x v="0"/>
    <x v="0"/>
    <x v="54"/>
    <x v="7"/>
    <x v="2"/>
    <n v="1"/>
    <n v="9030"/>
    <n v="9030"/>
    <n v="7000"/>
    <n v="7000"/>
    <n v="2030"/>
    <n v="0.22480620155038761"/>
  </r>
  <r>
    <x v="177"/>
    <s v="ORD-02488"/>
    <x v="0"/>
    <x v="5"/>
    <x v="138"/>
    <x v="7"/>
    <x v="2"/>
    <n v="5"/>
    <n v="8750"/>
    <n v="43750"/>
    <n v="7000"/>
    <n v="35000"/>
    <n v="8750"/>
    <n v="0.2"/>
  </r>
  <r>
    <x v="177"/>
    <s v="ORD-02489"/>
    <x v="1"/>
    <x v="3"/>
    <x v="22"/>
    <x v="1"/>
    <x v="1"/>
    <n v="4"/>
    <n v="55800"/>
    <n v="223200"/>
    <n v="45000"/>
    <n v="180000"/>
    <n v="43200"/>
    <n v="0.19354838709677419"/>
  </r>
  <r>
    <x v="177"/>
    <s v="ORD-02490"/>
    <x v="2"/>
    <x v="5"/>
    <x v="71"/>
    <x v="7"/>
    <x v="2"/>
    <n v="8"/>
    <n v="8890"/>
    <n v="71120"/>
    <n v="7000"/>
    <n v="56000"/>
    <n v="15120"/>
    <n v="0.2125984251968504"/>
  </r>
  <r>
    <x v="178"/>
    <s v="ORD-02491"/>
    <x v="1"/>
    <x v="0"/>
    <x v="74"/>
    <x v="6"/>
    <x v="3"/>
    <n v="5"/>
    <n v="1215"/>
    <n v="6075"/>
    <n v="900"/>
    <n v="4500"/>
    <n v="1575"/>
    <n v="0.25925925925925924"/>
  </r>
  <r>
    <x v="178"/>
    <s v="ORD-02492"/>
    <x v="0"/>
    <x v="3"/>
    <x v="71"/>
    <x v="2"/>
    <x v="1"/>
    <n v="4"/>
    <n v="54720"/>
    <n v="218880"/>
    <n v="38000"/>
    <n v="152000"/>
    <n v="66880"/>
    <n v="0.30555555555555558"/>
  </r>
  <r>
    <x v="178"/>
    <s v="ORD-02493"/>
    <x v="2"/>
    <x v="1"/>
    <x v="104"/>
    <x v="0"/>
    <x v="0"/>
    <n v="1"/>
    <n v="4128"/>
    <n v="4128"/>
    <n v="3200"/>
    <n v="3200"/>
    <n v="928"/>
    <n v="0.22480620155038761"/>
  </r>
  <r>
    <x v="178"/>
    <s v="ORD-02494"/>
    <x v="0"/>
    <x v="0"/>
    <x v="77"/>
    <x v="7"/>
    <x v="2"/>
    <n v="8"/>
    <n v="9520"/>
    <n v="76160"/>
    <n v="7000"/>
    <n v="56000"/>
    <n v="20160"/>
    <n v="0.26470588235294118"/>
  </r>
  <r>
    <x v="178"/>
    <s v="ORD-02495"/>
    <x v="3"/>
    <x v="3"/>
    <x v="23"/>
    <x v="2"/>
    <x v="1"/>
    <n v="1"/>
    <n v="52060.000000000007"/>
    <n v="52060.000000000007"/>
    <n v="38000"/>
    <n v="38000"/>
    <n v="14060.000000000007"/>
    <n v="0.27007299270073004"/>
  </r>
  <r>
    <x v="178"/>
    <s v="ORD-02496"/>
    <x v="0"/>
    <x v="2"/>
    <x v="8"/>
    <x v="3"/>
    <x v="0"/>
    <n v="7"/>
    <n v="3625"/>
    <n v="25375"/>
    <n v="2500"/>
    <n v="17500"/>
    <n v="7875"/>
    <n v="0.31034482758620691"/>
  </r>
  <r>
    <x v="178"/>
    <s v="ORD-02497"/>
    <x v="0"/>
    <x v="3"/>
    <x v="98"/>
    <x v="3"/>
    <x v="0"/>
    <n v="1"/>
    <n v="3275"/>
    <n v="3275"/>
    <n v="2500"/>
    <n v="2500"/>
    <n v="775"/>
    <n v="0.23664122137404581"/>
  </r>
  <r>
    <x v="178"/>
    <s v="ORD-02498"/>
    <x v="2"/>
    <x v="1"/>
    <x v="102"/>
    <x v="7"/>
    <x v="2"/>
    <n v="7"/>
    <n v="10080"/>
    <n v="70560"/>
    <n v="7000"/>
    <n v="49000"/>
    <n v="21560"/>
    <n v="0.30555555555555558"/>
  </r>
  <r>
    <x v="178"/>
    <s v="ORD-02499"/>
    <x v="2"/>
    <x v="2"/>
    <x v="69"/>
    <x v="4"/>
    <x v="2"/>
    <n v="2"/>
    <n v="11559.999999999998"/>
    <n v="23119.999999999996"/>
    <n v="8500"/>
    <n v="17000"/>
    <n v="6119.9999999999964"/>
    <n v="0.26470588235294107"/>
  </r>
  <r>
    <x v="178"/>
    <s v="ORD-02500"/>
    <x v="0"/>
    <x v="3"/>
    <x v="22"/>
    <x v="2"/>
    <x v="1"/>
    <n v="1"/>
    <n v="47880"/>
    <n v="47880"/>
    <n v="38000"/>
    <n v="38000"/>
    <n v="9880"/>
    <n v="0.20634920634920634"/>
  </r>
  <r>
    <x v="178"/>
    <s v="ORD-02501"/>
    <x v="2"/>
    <x v="2"/>
    <x v="86"/>
    <x v="1"/>
    <x v="1"/>
    <n v="1"/>
    <n v="55800"/>
    <n v="55800"/>
    <n v="45000"/>
    <n v="45000"/>
    <n v="10800"/>
    <n v="0.19354838709677419"/>
  </r>
  <r>
    <x v="178"/>
    <s v="ORD-02502"/>
    <x v="1"/>
    <x v="0"/>
    <x v="76"/>
    <x v="2"/>
    <x v="1"/>
    <n v="9"/>
    <n v="47120"/>
    <n v="424080"/>
    <n v="38000"/>
    <n v="342000"/>
    <n v="82080"/>
    <n v="0.19354838709677419"/>
  </r>
  <r>
    <x v="178"/>
    <s v="ORD-02503"/>
    <x v="1"/>
    <x v="0"/>
    <x v="37"/>
    <x v="6"/>
    <x v="3"/>
    <n v="5"/>
    <n v="1233"/>
    <n v="6165"/>
    <n v="900"/>
    <n v="4500"/>
    <n v="1665"/>
    <n v="0.27007299270072993"/>
  </r>
  <r>
    <x v="178"/>
    <s v="ORD-02504"/>
    <x v="1"/>
    <x v="3"/>
    <x v="81"/>
    <x v="7"/>
    <x v="2"/>
    <n v="3"/>
    <n v="8470"/>
    <n v="25410"/>
    <n v="7000"/>
    <n v="21000"/>
    <n v="4410"/>
    <n v="0.17355371900826447"/>
  </r>
  <r>
    <x v="179"/>
    <s v="ORD-02505"/>
    <x v="3"/>
    <x v="4"/>
    <x v="115"/>
    <x v="4"/>
    <x v="2"/>
    <n v="6"/>
    <n v="10370"/>
    <n v="62220"/>
    <n v="8500"/>
    <n v="51000"/>
    <n v="11220"/>
    <n v="0.18032786885245902"/>
  </r>
  <r>
    <x v="179"/>
    <s v="ORD-02506"/>
    <x v="2"/>
    <x v="0"/>
    <x v="130"/>
    <x v="6"/>
    <x v="3"/>
    <n v="8"/>
    <n v="1080"/>
    <n v="8640"/>
    <n v="900"/>
    <n v="7200"/>
    <n v="1440"/>
    <n v="0.16666666666666666"/>
  </r>
  <r>
    <x v="179"/>
    <s v="ORD-02507"/>
    <x v="0"/>
    <x v="5"/>
    <x v="136"/>
    <x v="3"/>
    <x v="0"/>
    <n v="7"/>
    <n v="3300"/>
    <n v="23100"/>
    <n v="2500"/>
    <n v="17500"/>
    <n v="5600"/>
    <n v="0.24242424242424243"/>
  </r>
  <r>
    <x v="179"/>
    <s v="ORD-02508"/>
    <x v="3"/>
    <x v="5"/>
    <x v="56"/>
    <x v="7"/>
    <x v="2"/>
    <n v="8"/>
    <n v="9170"/>
    <n v="73360"/>
    <n v="7000"/>
    <n v="56000"/>
    <n v="17360"/>
    <n v="0.23664122137404581"/>
  </r>
  <r>
    <x v="179"/>
    <s v="ORD-02509"/>
    <x v="3"/>
    <x v="4"/>
    <x v="3"/>
    <x v="1"/>
    <x v="1"/>
    <n v="4"/>
    <n v="54000"/>
    <n v="216000"/>
    <n v="45000"/>
    <n v="180000"/>
    <n v="36000"/>
    <n v="0.16666666666666666"/>
  </r>
  <r>
    <x v="179"/>
    <s v="ORD-02510"/>
    <x v="3"/>
    <x v="0"/>
    <x v="46"/>
    <x v="0"/>
    <x v="0"/>
    <n v="4"/>
    <n v="4160"/>
    <n v="16640"/>
    <n v="3200"/>
    <n v="12800"/>
    <n v="3840"/>
    <n v="0.23076923076923078"/>
  </r>
  <r>
    <x v="179"/>
    <s v="ORD-02511"/>
    <x v="0"/>
    <x v="3"/>
    <x v="140"/>
    <x v="3"/>
    <x v="0"/>
    <n v="6"/>
    <n v="3625"/>
    <n v="21750"/>
    <n v="2500"/>
    <n v="15000"/>
    <n v="6750"/>
    <n v="0.31034482758620691"/>
  </r>
  <r>
    <x v="179"/>
    <s v="ORD-02512"/>
    <x v="2"/>
    <x v="1"/>
    <x v="36"/>
    <x v="4"/>
    <x v="2"/>
    <n v="1"/>
    <n v="11645"/>
    <n v="11645"/>
    <n v="8500"/>
    <n v="8500"/>
    <n v="3145"/>
    <n v="0.27007299270072993"/>
  </r>
  <r>
    <x v="179"/>
    <s v="ORD-02513"/>
    <x v="0"/>
    <x v="3"/>
    <x v="31"/>
    <x v="4"/>
    <x v="2"/>
    <n v="5"/>
    <n v="11730"/>
    <n v="58650"/>
    <n v="8500"/>
    <n v="42500"/>
    <n v="16150"/>
    <n v="0.27536231884057971"/>
  </r>
  <r>
    <x v="179"/>
    <s v="ORD-02514"/>
    <x v="3"/>
    <x v="1"/>
    <x v="128"/>
    <x v="3"/>
    <x v="0"/>
    <n v="9"/>
    <n v="3025"/>
    <n v="27225"/>
    <n v="2500"/>
    <n v="22500"/>
    <n v="4725"/>
    <n v="0.17355371900826447"/>
  </r>
  <r>
    <x v="179"/>
    <s v="ORD-02515"/>
    <x v="3"/>
    <x v="2"/>
    <x v="21"/>
    <x v="3"/>
    <x v="0"/>
    <n v="1"/>
    <n v="3125"/>
    <n v="3125"/>
    <n v="2500"/>
    <n v="2500"/>
    <n v="625"/>
    <n v="0.2"/>
  </r>
  <r>
    <x v="179"/>
    <s v="ORD-02516"/>
    <x v="2"/>
    <x v="1"/>
    <x v="99"/>
    <x v="3"/>
    <x v="0"/>
    <n v="6"/>
    <n v="3225"/>
    <n v="19350"/>
    <n v="2500"/>
    <n v="15000"/>
    <n v="4350"/>
    <n v="0.22480620155038761"/>
  </r>
  <r>
    <x v="179"/>
    <s v="ORD-02517"/>
    <x v="3"/>
    <x v="1"/>
    <x v="17"/>
    <x v="7"/>
    <x v="2"/>
    <n v="8"/>
    <n v="9730"/>
    <n v="77840"/>
    <n v="7000"/>
    <n v="56000"/>
    <n v="21840"/>
    <n v="0.2805755395683453"/>
  </r>
  <r>
    <x v="179"/>
    <s v="ORD-02518"/>
    <x v="0"/>
    <x v="0"/>
    <x v="113"/>
    <x v="7"/>
    <x v="2"/>
    <n v="8"/>
    <n v="8750"/>
    <n v="70000"/>
    <n v="7000"/>
    <n v="56000"/>
    <n v="14000"/>
    <n v="0.2"/>
  </r>
  <r>
    <x v="180"/>
    <s v="ORD-02519"/>
    <x v="1"/>
    <x v="4"/>
    <x v="78"/>
    <x v="3"/>
    <x v="0"/>
    <n v="8"/>
    <n v="3425.0000000000005"/>
    <n v="27400.000000000004"/>
    <n v="2500"/>
    <n v="20000"/>
    <n v="7400.0000000000036"/>
    <n v="0.27007299270073004"/>
  </r>
  <r>
    <x v="180"/>
    <s v="ORD-02520"/>
    <x v="0"/>
    <x v="4"/>
    <x v="63"/>
    <x v="2"/>
    <x v="1"/>
    <n v="8"/>
    <n v="52060.000000000007"/>
    <n v="416480.00000000006"/>
    <n v="38000"/>
    <n v="304000"/>
    <n v="112480.00000000006"/>
    <n v="0.27007299270073004"/>
  </r>
  <r>
    <x v="180"/>
    <s v="ORD-02521"/>
    <x v="0"/>
    <x v="5"/>
    <x v="119"/>
    <x v="3"/>
    <x v="0"/>
    <n v="8"/>
    <n v="3275"/>
    <n v="26200"/>
    <n v="2500"/>
    <n v="20000"/>
    <n v="6200"/>
    <n v="0.23664122137404581"/>
  </r>
  <r>
    <x v="180"/>
    <s v="ORD-02522"/>
    <x v="0"/>
    <x v="4"/>
    <x v="24"/>
    <x v="7"/>
    <x v="2"/>
    <n v="3"/>
    <n v="9310"/>
    <n v="27930"/>
    <n v="7000"/>
    <n v="21000"/>
    <n v="6930"/>
    <n v="0.24812030075187969"/>
  </r>
  <r>
    <x v="180"/>
    <s v="ORD-02523"/>
    <x v="1"/>
    <x v="4"/>
    <x v="41"/>
    <x v="6"/>
    <x v="3"/>
    <n v="2"/>
    <n v="1296"/>
    <n v="2592"/>
    <n v="900"/>
    <n v="1800"/>
    <n v="792"/>
    <n v="0.30555555555555558"/>
  </r>
  <r>
    <x v="180"/>
    <s v="ORD-02524"/>
    <x v="2"/>
    <x v="0"/>
    <x v="69"/>
    <x v="2"/>
    <x v="1"/>
    <n v="6"/>
    <n v="46360"/>
    <n v="278160"/>
    <n v="38000"/>
    <n v="228000"/>
    <n v="50160"/>
    <n v="0.18032786885245902"/>
  </r>
  <r>
    <x v="180"/>
    <s v="ORD-02525"/>
    <x v="3"/>
    <x v="5"/>
    <x v="123"/>
    <x v="5"/>
    <x v="3"/>
    <n v="4"/>
    <n v="804"/>
    <n v="3216"/>
    <n v="600"/>
    <n v="2400"/>
    <n v="816"/>
    <n v="0.2537313432835821"/>
  </r>
  <r>
    <x v="180"/>
    <s v="ORD-02526"/>
    <x v="3"/>
    <x v="2"/>
    <x v="141"/>
    <x v="3"/>
    <x v="0"/>
    <n v="7"/>
    <n v="3600"/>
    <n v="25200"/>
    <n v="2500"/>
    <n v="17500"/>
    <n v="7700"/>
    <n v="0.30555555555555558"/>
  </r>
  <r>
    <x v="180"/>
    <s v="ORD-02527"/>
    <x v="3"/>
    <x v="2"/>
    <x v="133"/>
    <x v="3"/>
    <x v="0"/>
    <n v="9"/>
    <n v="3500"/>
    <n v="31500"/>
    <n v="2500"/>
    <n v="22500"/>
    <n v="9000"/>
    <n v="0.2857142857142857"/>
  </r>
  <r>
    <x v="180"/>
    <s v="ORD-02528"/>
    <x v="0"/>
    <x v="0"/>
    <x v="97"/>
    <x v="7"/>
    <x v="2"/>
    <n v="1"/>
    <n v="9940"/>
    <n v="9940"/>
    <n v="7000"/>
    <n v="7000"/>
    <n v="2940"/>
    <n v="0.29577464788732394"/>
  </r>
  <r>
    <x v="180"/>
    <s v="ORD-02529"/>
    <x v="0"/>
    <x v="3"/>
    <x v="143"/>
    <x v="7"/>
    <x v="2"/>
    <n v="8"/>
    <n v="8610"/>
    <n v="68880"/>
    <n v="7000"/>
    <n v="56000"/>
    <n v="12880"/>
    <n v="0.18699186991869918"/>
  </r>
  <r>
    <x v="180"/>
    <s v="ORD-02530"/>
    <x v="2"/>
    <x v="3"/>
    <x v="50"/>
    <x v="7"/>
    <x v="2"/>
    <n v="7"/>
    <n v="10010"/>
    <n v="70070"/>
    <n v="7000"/>
    <n v="49000"/>
    <n v="21070"/>
    <n v="0.30069930069930068"/>
  </r>
  <r>
    <x v="180"/>
    <s v="ORD-02531"/>
    <x v="0"/>
    <x v="4"/>
    <x v="88"/>
    <x v="0"/>
    <x v="0"/>
    <n v="4"/>
    <n v="4032"/>
    <n v="16128"/>
    <n v="3200"/>
    <n v="12800"/>
    <n v="3328"/>
    <n v="0.20634920634920634"/>
  </r>
  <r>
    <x v="180"/>
    <s v="ORD-02532"/>
    <x v="1"/>
    <x v="5"/>
    <x v="30"/>
    <x v="0"/>
    <x v="0"/>
    <n v="5"/>
    <n v="4000"/>
    <n v="20000"/>
    <n v="3200"/>
    <n v="16000"/>
    <n v="4000"/>
    <n v="0.2"/>
  </r>
  <r>
    <x v="181"/>
    <s v="ORD-02533"/>
    <x v="1"/>
    <x v="5"/>
    <x v="3"/>
    <x v="2"/>
    <x v="1"/>
    <n v="4"/>
    <n v="49400"/>
    <n v="197600"/>
    <n v="38000"/>
    <n v="152000"/>
    <n v="45600"/>
    <n v="0.23076923076923078"/>
  </r>
  <r>
    <x v="181"/>
    <s v="ORD-02534"/>
    <x v="1"/>
    <x v="1"/>
    <x v="101"/>
    <x v="3"/>
    <x v="0"/>
    <n v="5"/>
    <n v="3475.0000000000005"/>
    <n v="17375.000000000004"/>
    <n v="2500"/>
    <n v="12500"/>
    <n v="4875.0000000000036"/>
    <n v="0.28057553956834547"/>
  </r>
  <r>
    <x v="181"/>
    <s v="ORD-02535"/>
    <x v="3"/>
    <x v="2"/>
    <x v="87"/>
    <x v="2"/>
    <x v="1"/>
    <n v="8"/>
    <n v="46740"/>
    <n v="373920"/>
    <n v="38000"/>
    <n v="304000"/>
    <n v="69920"/>
    <n v="0.18699186991869918"/>
  </r>
  <r>
    <x v="181"/>
    <s v="ORD-02536"/>
    <x v="0"/>
    <x v="0"/>
    <x v="81"/>
    <x v="7"/>
    <x v="2"/>
    <n v="6"/>
    <n v="8750"/>
    <n v="52500"/>
    <n v="7000"/>
    <n v="42000"/>
    <n v="10500"/>
    <n v="0.2"/>
  </r>
  <r>
    <x v="181"/>
    <s v="ORD-02537"/>
    <x v="1"/>
    <x v="3"/>
    <x v="126"/>
    <x v="1"/>
    <x v="1"/>
    <n v="6"/>
    <n v="65250"/>
    <n v="391500"/>
    <n v="45000"/>
    <n v="270000"/>
    <n v="121500"/>
    <n v="0.31034482758620691"/>
  </r>
  <r>
    <x v="181"/>
    <s v="ORD-02538"/>
    <x v="0"/>
    <x v="1"/>
    <x v="102"/>
    <x v="0"/>
    <x v="0"/>
    <n v="9"/>
    <n v="4544"/>
    <n v="40896"/>
    <n v="3200"/>
    <n v="28800"/>
    <n v="12096"/>
    <n v="0.29577464788732394"/>
  </r>
  <r>
    <x v="181"/>
    <s v="ORD-02539"/>
    <x v="3"/>
    <x v="2"/>
    <x v="120"/>
    <x v="1"/>
    <x v="1"/>
    <n v="8"/>
    <n v="60300"/>
    <n v="482400"/>
    <n v="45000"/>
    <n v="360000"/>
    <n v="122400"/>
    <n v="0.2537313432835821"/>
  </r>
  <r>
    <x v="181"/>
    <s v="ORD-02540"/>
    <x v="3"/>
    <x v="0"/>
    <x v="13"/>
    <x v="2"/>
    <x v="1"/>
    <n v="10"/>
    <n v="45600"/>
    <n v="456000"/>
    <n v="38000"/>
    <n v="380000"/>
    <n v="76000"/>
    <n v="0.16666666666666666"/>
  </r>
  <r>
    <x v="181"/>
    <s v="ORD-02541"/>
    <x v="3"/>
    <x v="3"/>
    <x v="125"/>
    <x v="3"/>
    <x v="0"/>
    <n v="5"/>
    <n v="3250"/>
    <n v="16250"/>
    <n v="2500"/>
    <n v="12500"/>
    <n v="3750"/>
    <n v="0.23076923076923078"/>
  </r>
  <r>
    <x v="181"/>
    <s v="ORD-02542"/>
    <x v="2"/>
    <x v="3"/>
    <x v="134"/>
    <x v="5"/>
    <x v="3"/>
    <n v="8"/>
    <n v="804"/>
    <n v="6432"/>
    <n v="600"/>
    <n v="4800"/>
    <n v="1632"/>
    <n v="0.2537313432835821"/>
  </r>
  <r>
    <x v="181"/>
    <s v="ORD-02543"/>
    <x v="3"/>
    <x v="4"/>
    <x v="120"/>
    <x v="6"/>
    <x v="3"/>
    <n v="7"/>
    <n v="1134"/>
    <n v="7938"/>
    <n v="900"/>
    <n v="6300"/>
    <n v="1638"/>
    <n v="0.20634920634920634"/>
  </r>
  <r>
    <x v="181"/>
    <s v="ORD-02544"/>
    <x v="0"/>
    <x v="1"/>
    <x v="92"/>
    <x v="7"/>
    <x v="2"/>
    <n v="9"/>
    <n v="9800"/>
    <n v="88200"/>
    <n v="7000"/>
    <n v="63000"/>
    <n v="25200"/>
    <n v="0.2857142857142857"/>
  </r>
  <r>
    <x v="181"/>
    <s v="ORD-02545"/>
    <x v="0"/>
    <x v="1"/>
    <x v="83"/>
    <x v="3"/>
    <x v="0"/>
    <n v="9"/>
    <n v="3600"/>
    <n v="32400"/>
    <n v="2500"/>
    <n v="22500"/>
    <n v="9900"/>
    <n v="0.30555555555555558"/>
  </r>
  <r>
    <x v="181"/>
    <s v="ORD-02546"/>
    <x v="2"/>
    <x v="0"/>
    <x v="14"/>
    <x v="6"/>
    <x v="3"/>
    <n v="8"/>
    <n v="1134"/>
    <n v="9072"/>
    <n v="900"/>
    <n v="7200"/>
    <n v="1872"/>
    <n v="0.20634920634920634"/>
  </r>
  <r>
    <x v="182"/>
    <s v="ORD-02547"/>
    <x v="0"/>
    <x v="1"/>
    <x v="140"/>
    <x v="1"/>
    <x v="1"/>
    <n v="1"/>
    <n v="56250"/>
    <n v="56250"/>
    <n v="45000"/>
    <n v="45000"/>
    <n v="11250"/>
    <n v="0.2"/>
  </r>
  <r>
    <x v="182"/>
    <s v="ORD-02548"/>
    <x v="2"/>
    <x v="5"/>
    <x v="128"/>
    <x v="4"/>
    <x v="2"/>
    <n v="6"/>
    <n v="10285"/>
    <n v="61710"/>
    <n v="8500"/>
    <n v="51000"/>
    <n v="10710"/>
    <n v="0.17355371900826447"/>
  </r>
  <r>
    <x v="182"/>
    <s v="ORD-02549"/>
    <x v="0"/>
    <x v="0"/>
    <x v="38"/>
    <x v="1"/>
    <x v="1"/>
    <n v="9"/>
    <n v="55350"/>
    <n v="498150"/>
    <n v="45000"/>
    <n v="405000"/>
    <n v="93150"/>
    <n v="0.18699186991869918"/>
  </r>
  <r>
    <x v="182"/>
    <s v="ORD-02550"/>
    <x v="3"/>
    <x v="5"/>
    <x v="129"/>
    <x v="5"/>
    <x v="3"/>
    <n v="2"/>
    <n v="786"/>
    <n v="1572"/>
    <n v="600"/>
    <n v="1200"/>
    <n v="372"/>
    <n v="0.23664122137404581"/>
  </r>
  <r>
    <x v="182"/>
    <s v="ORD-02551"/>
    <x v="3"/>
    <x v="1"/>
    <x v="134"/>
    <x v="6"/>
    <x v="3"/>
    <n v="1"/>
    <n v="1152"/>
    <n v="1152"/>
    <n v="900"/>
    <n v="900"/>
    <n v="252"/>
    <n v="0.21875"/>
  </r>
  <r>
    <x v="182"/>
    <s v="ORD-02552"/>
    <x v="0"/>
    <x v="5"/>
    <x v="41"/>
    <x v="6"/>
    <x v="3"/>
    <n v="7"/>
    <n v="1269"/>
    <n v="8883"/>
    <n v="900"/>
    <n v="6300"/>
    <n v="2583"/>
    <n v="0.29078014184397161"/>
  </r>
  <r>
    <x v="182"/>
    <s v="ORD-02553"/>
    <x v="0"/>
    <x v="1"/>
    <x v="29"/>
    <x v="5"/>
    <x v="3"/>
    <n v="6"/>
    <n v="858"/>
    <n v="5148"/>
    <n v="600"/>
    <n v="3600"/>
    <n v="1548"/>
    <n v="0.30069930069930068"/>
  </r>
  <r>
    <x v="182"/>
    <s v="ORD-02554"/>
    <x v="3"/>
    <x v="1"/>
    <x v="79"/>
    <x v="1"/>
    <x v="1"/>
    <n v="5"/>
    <n v="55350"/>
    <n v="276750"/>
    <n v="45000"/>
    <n v="225000"/>
    <n v="51750"/>
    <n v="0.18699186991869918"/>
  </r>
  <r>
    <x v="182"/>
    <s v="ORD-02555"/>
    <x v="1"/>
    <x v="1"/>
    <x v="103"/>
    <x v="3"/>
    <x v="0"/>
    <n v="9"/>
    <n v="3399.9999999999995"/>
    <n v="30599.999999999996"/>
    <n v="2500"/>
    <n v="22500"/>
    <n v="8099.9999999999964"/>
    <n v="0.26470588235294107"/>
  </r>
  <r>
    <x v="182"/>
    <s v="ORD-02556"/>
    <x v="1"/>
    <x v="2"/>
    <x v="55"/>
    <x v="5"/>
    <x v="3"/>
    <n v="6"/>
    <n v="810"/>
    <n v="4860"/>
    <n v="600"/>
    <n v="3600"/>
    <n v="1260"/>
    <n v="0.25925925925925924"/>
  </r>
  <r>
    <x v="182"/>
    <s v="ORD-02557"/>
    <x v="3"/>
    <x v="2"/>
    <x v="8"/>
    <x v="0"/>
    <x v="0"/>
    <n v="1"/>
    <n v="4384"/>
    <n v="4384"/>
    <n v="3200"/>
    <n v="3200"/>
    <n v="1184"/>
    <n v="0.27007299270072993"/>
  </r>
  <r>
    <x v="182"/>
    <s v="ORD-02558"/>
    <x v="2"/>
    <x v="1"/>
    <x v="93"/>
    <x v="4"/>
    <x v="2"/>
    <n v="9"/>
    <n v="12240"/>
    <n v="110160"/>
    <n v="8500"/>
    <n v="76500"/>
    <n v="33660"/>
    <n v="0.30555555555555558"/>
  </r>
  <r>
    <x v="182"/>
    <s v="ORD-02559"/>
    <x v="2"/>
    <x v="1"/>
    <x v="143"/>
    <x v="2"/>
    <x v="1"/>
    <n v="10"/>
    <n v="53200"/>
    <n v="532000"/>
    <n v="38000"/>
    <n v="380000"/>
    <n v="152000"/>
    <n v="0.2857142857142857"/>
  </r>
  <r>
    <x v="182"/>
    <s v="ORD-02560"/>
    <x v="2"/>
    <x v="0"/>
    <x v="103"/>
    <x v="1"/>
    <x v="1"/>
    <n v="2"/>
    <n v="57600"/>
    <n v="115200"/>
    <n v="45000"/>
    <n v="90000"/>
    <n v="25200"/>
    <n v="0.21875"/>
  </r>
  <r>
    <x v="183"/>
    <s v="ORD-02561"/>
    <x v="0"/>
    <x v="1"/>
    <x v="58"/>
    <x v="3"/>
    <x v="0"/>
    <n v="5"/>
    <n v="3025"/>
    <n v="15125"/>
    <n v="2500"/>
    <n v="12500"/>
    <n v="2625"/>
    <n v="0.17355371900826447"/>
  </r>
  <r>
    <x v="183"/>
    <s v="ORD-02562"/>
    <x v="2"/>
    <x v="5"/>
    <x v="97"/>
    <x v="1"/>
    <x v="1"/>
    <n v="2"/>
    <n v="54000"/>
    <n v="108000"/>
    <n v="45000"/>
    <n v="90000"/>
    <n v="18000"/>
    <n v="0.16666666666666666"/>
  </r>
  <r>
    <x v="183"/>
    <s v="ORD-02563"/>
    <x v="2"/>
    <x v="4"/>
    <x v="145"/>
    <x v="1"/>
    <x v="1"/>
    <n v="7"/>
    <n v="57150"/>
    <n v="400050"/>
    <n v="45000"/>
    <n v="315000"/>
    <n v="85050"/>
    <n v="0.2125984251968504"/>
  </r>
  <r>
    <x v="183"/>
    <s v="ORD-02564"/>
    <x v="3"/>
    <x v="3"/>
    <x v="16"/>
    <x v="3"/>
    <x v="0"/>
    <n v="7"/>
    <n v="3475.0000000000005"/>
    <n v="24325.000000000004"/>
    <n v="2500"/>
    <n v="17500"/>
    <n v="6825.0000000000036"/>
    <n v="0.28057553956834541"/>
  </r>
  <r>
    <x v="183"/>
    <s v="ORD-02565"/>
    <x v="0"/>
    <x v="1"/>
    <x v="104"/>
    <x v="0"/>
    <x v="0"/>
    <n v="5"/>
    <n v="4320"/>
    <n v="21600"/>
    <n v="3200"/>
    <n v="16000"/>
    <n v="5600"/>
    <n v="0.25925925925925924"/>
  </r>
  <r>
    <x v="183"/>
    <s v="ORD-02566"/>
    <x v="1"/>
    <x v="4"/>
    <x v="137"/>
    <x v="1"/>
    <x v="1"/>
    <n v="8"/>
    <n v="64350"/>
    <n v="514800"/>
    <n v="45000"/>
    <n v="360000"/>
    <n v="154800"/>
    <n v="0.30069930069930068"/>
  </r>
  <r>
    <x v="183"/>
    <s v="ORD-02567"/>
    <x v="2"/>
    <x v="2"/>
    <x v="106"/>
    <x v="2"/>
    <x v="1"/>
    <n v="3"/>
    <n v="53200"/>
    <n v="159600"/>
    <n v="38000"/>
    <n v="114000"/>
    <n v="45600"/>
    <n v="0.2857142857142857"/>
  </r>
  <r>
    <x v="183"/>
    <s v="ORD-02568"/>
    <x v="1"/>
    <x v="5"/>
    <x v="50"/>
    <x v="6"/>
    <x v="3"/>
    <n v="4"/>
    <n v="1089"/>
    <n v="4356"/>
    <n v="900"/>
    <n v="3600"/>
    <n v="756"/>
    <n v="0.17355371900826447"/>
  </r>
  <r>
    <x v="183"/>
    <s v="ORD-02569"/>
    <x v="1"/>
    <x v="2"/>
    <x v="145"/>
    <x v="4"/>
    <x v="2"/>
    <n v="4"/>
    <n v="12155"/>
    <n v="48620"/>
    <n v="8500"/>
    <n v="34000"/>
    <n v="14620"/>
    <n v="0.30069930069930068"/>
  </r>
  <r>
    <x v="183"/>
    <s v="ORD-02570"/>
    <x v="0"/>
    <x v="5"/>
    <x v="80"/>
    <x v="5"/>
    <x v="3"/>
    <n v="3"/>
    <n v="774"/>
    <n v="2322"/>
    <n v="600"/>
    <n v="1800"/>
    <n v="522"/>
    <n v="0.22480620155038761"/>
  </r>
  <r>
    <x v="183"/>
    <s v="ORD-02571"/>
    <x v="1"/>
    <x v="4"/>
    <x v="72"/>
    <x v="2"/>
    <x v="1"/>
    <n v="1"/>
    <n v="51300"/>
    <n v="51300"/>
    <n v="38000"/>
    <n v="38000"/>
    <n v="13300"/>
    <n v="0.25925925925925924"/>
  </r>
  <r>
    <x v="183"/>
    <s v="ORD-02572"/>
    <x v="2"/>
    <x v="3"/>
    <x v="96"/>
    <x v="7"/>
    <x v="2"/>
    <n v="3"/>
    <n v="9450"/>
    <n v="28350"/>
    <n v="7000"/>
    <n v="21000"/>
    <n v="7350"/>
    <n v="0.25925925925925924"/>
  </r>
  <r>
    <x v="183"/>
    <s v="ORD-02573"/>
    <x v="0"/>
    <x v="2"/>
    <x v="45"/>
    <x v="4"/>
    <x v="2"/>
    <n v="7"/>
    <n v="11900"/>
    <n v="83300"/>
    <n v="8500"/>
    <n v="59500"/>
    <n v="23800"/>
    <n v="0.2857142857142857"/>
  </r>
  <r>
    <x v="183"/>
    <s v="ORD-02574"/>
    <x v="0"/>
    <x v="1"/>
    <x v="112"/>
    <x v="2"/>
    <x v="1"/>
    <n v="2"/>
    <n v="55100"/>
    <n v="110200"/>
    <n v="38000"/>
    <n v="76000"/>
    <n v="34200"/>
    <n v="0.31034482758620691"/>
  </r>
  <r>
    <x v="184"/>
    <s v="ORD-02575"/>
    <x v="3"/>
    <x v="3"/>
    <x v="7"/>
    <x v="6"/>
    <x v="3"/>
    <n v="8"/>
    <n v="1224"/>
    <n v="9792"/>
    <n v="900"/>
    <n v="7200"/>
    <n v="2592"/>
    <n v="0.26470588235294118"/>
  </r>
  <r>
    <x v="184"/>
    <s v="ORD-02576"/>
    <x v="1"/>
    <x v="0"/>
    <x v="37"/>
    <x v="5"/>
    <x v="3"/>
    <n v="10"/>
    <n v="732"/>
    <n v="7320"/>
    <n v="600"/>
    <n v="6000"/>
    <n v="1320"/>
    <n v="0.18032786885245902"/>
  </r>
  <r>
    <x v="184"/>
    <s v="ORD-02577"/>
    <x v="0"/>
    <x v="2"/>
    <x v="55"/>
    <x v="4"/>
    <x v="2"/>
    <n v="1"/>
    <n v="11475"/>
    <n v="11475"/>
    <n v="8500"/>
    <n v="8500"/>
    <n v="2975"/>
    <n v="0.25925925925925924"/>
  </r>
  <r>
    <x v="184"/>
    <s v="ORD-02578"/>
    <x v="2"/>
    <x v="4"/>
    <x v="22"/>
    <x v="0"/>
    <x v="0"/>
    <n v="7"/>
    <n v="4320"/>
    <n v="30240"/>
    <n v="3200"/>
    <n v="22400"/>
    <n v="7840"/>
    <n v="0.25925925925925924"/>
  </r>
  <r>
    <x v="184"/>
    <s v="ORD-02579"/>
    <x v="0"/>
    <x v="3"/>
    <x v="66"/>
    <x v="7"/>
    <x v="2"/>
    <n v="2"/>
    <n v="9380"/>
    <n v="18760"/>
    <n v="7000"/>
    <n v="14000"/>
    <n v="4760"/>
    <n v="0.2537313432835821"/>
  </r>
  <r>
    <x v="184"/>
    <s v="ORD-02580"/>
    <x v="2"/>
    <x v="0"/>
    <x v="17"/>
    <x v="6"/>
    <x v="3"/>
    <n v="8"/>
    <n v="1287"/>
    <n v="10296"/>
    <n v="900"/>
    <n v="7200"/>
    <n v="3096"/>
    <n v="0.30069930069930068"/>
  </r>
  <r>
    <x v="184"/>
    <s v="ORD-02581"/>
    <x v="0"/>
    <x v="0"/>
    <x v="9"/>
    <x v="6"/>
    <x v="3"/>
    <n v="1"/>
    <n v="1134"/>
    <n v="1134"/>
    <n v="900"/>
    <n v="900"/>
    <n v="234"/>
    <n v="0.20634920634920634"/>
  </r>
  <r>
    <x v="184"/>
    <s v="ORD-02582"/>
    <x v="3"/>
    <x v="0"/>
    <x v="34"/>
    <x v="0"/>
    <x v="0"/>
    <n v="3"/>
    <n v="3968"/>
    <n v="11904"/>
    <n v="3200"/>
    <n v="9600"/>
    <n v="2304"/>
    <n v="0.19354838709677419"/>
  </r>
  <r>
    <x v="184"/>
    <s v="ORD-02583"/>
    <x v="1"/>
    <x v="0"/>
    <x v="0"/>
    <x v="4"/>
    <x v="2"/>
    <n v="7"/>
    <n v="10710"/>
    <n v="74970"/>
    <n v="8500"/>
    <n v="59500"/>
    <n v="15470"/>
    <n v="0.20634920634920634"/>
  </r>
  <r>
    <x v="184"/>
    <s v="ORD-02584"/>
    <x v="2"/>
    <x v="3"/>
    <x v="91"/>
    <x v="0"/>
    <x v="0"/>
    <n v="4"/>
    <n v="4416"/>
    <n v="17664"/>
    <n v="3200"/>
    <n v="12800"/>
    <n v="4864"/>
    <n v="0.27536231884057971"/>
  </r>
  <r>
    <x v="184"/>
    <s v="ORD-02585"/>
    <x v="3"/>
    <x v="5"/>
    <x v="51"/>
    <x v="2"/>
    <x v="1"/>
    <n v="3"/>
    <n v="54720"/>
    <n v="164160"/>
    <n v="38000"/>
    <n v="114000"/>
    <n v="50160"/>
    <n v="0.30555555555555558"/>
  </r>
  <r>
    <x v="184"/>
    <s v="ORD-02586"/>
    <x v="2"/>
    <x v="5"/>
    <x v="33"/>
    <x v="6"/>
    <x v="3"/>
    <n v="1"/>
    <n v="1215"/>
    <n v="1215"/>
    <n v="900"/>
    <n v="900"/>
    <n v="315"/>
    <n v="0.25925925925925924"/>
  </r>
  <r>
    <x v="184"/>
    <s v="ORD-02587"/>
    <x v="2"/>
    <x v="0"/>
    <x v="131"/>
    <x v="1"/>
    <x v="1"/>
    <n v="4"/>
    <n v="62099.999999999993"/>
    <n v="248399.99999999997"/>
    <n v="45000"/>
    <n v="180000"/>
    <n v="68399.999999999971"/>
    <n v="0.2753623188405796"/>
  </r>
  <r>
    <x v="184"/>
    <s v="ORD-02588"/>
    <x v="2"/>
    <x v="1"/>
    <x v="116"/>
    <x v="4"/>
    <x v="2"/>
    <n v="9"/>
    <n v="10200"/>
    <n v="91800"/>
    <n v="8500"/>
    <n v="76500"/>
    <n v="15300"/>
    <n v="0.16666666666666666"/>
  </r>
  <r>
    <x v="185"/>
    <s v="ORD-02589"/>
    <x v="0"/>
    <x v="0"/>
    <x v="0"/>
    <x v="2"/>
    <x v="1"/>
    <n v="1"/>
    <n v="47500"/>
    <n v="47500"/>
    <n v="38000"/>
    <n v="38000"/>
    <n v="9500"/>
    <n v="0.2"/>
  </r>
  <r>
    <x v="185"/>
    <s v="ORD-02590"/>
    <x v="1"/>
    <x v="1"/>
    <x v="31"/>
    <x v="6"/>
    <x v="3"/>
    <n v="1"/>
    <n v="1161"/>
    <n v="1161"/>
    <n v="900"/>
    <n v="900"/>
    <n v="261"/>
    <n v="0.22480620155038761"/>
  </r>
  <r>
    <x v="185"/>
    <s v="ORD-02591"/>
    <x v="1"/>
    <x v="1"/>
    <x v="144"/>
    <x v="6"/>
    <x v="3"/>
    <n v="4"/>
    <n v="1269"/>
    <n v="5076"/>
    <n v="900"/>
    <n v="3600"/>
    <n v="1476"/>
    <n v="0.29078014184397161"/>
  </r>
  <r>
    <x v="185"/>
    <s v="ORD-02592"/>
    <x v="2"/>
    <x v="3"/>
    <x v="135"/>
    <x v="1"/>
    <x v="1"/>
    <n v="7"/>
    <n v="64800"/>
    <n v="453600"/>
    <n v="45000"/>
    <n v="315000"/>
    <n v="138600"/>
    <n v="0.30555555555555558"/>
  </r>
  <r>
    <x v="185"/>
    <s v="ORD-02593"/>
    <x v="0"/>
    <x v="3"/>
    <x v="52"/>
    <x v="2"/>
    <x v="1"/>
    <n v="10"/>
    <n v="52439.999999999993"/>
    <n v="524399.99999999988"/>
    <n v="38000"/>
    <n v="380000"/>
    <n v="144399.99999999988"/>
    <n v="0.27536231884057955"/>
  </r>
  <r>
    <x v="185"/>
    <s v="ORD-02594"/>
    <x v="1"/>
    <x v="1"/>
    <x v="48"/>
    <x v="0"/>
    <x v="0"/>
    <n v="6"/>
    <n v="4416"/>
    <n v="26496"/>
    <n v="3200"/>
    <n v="19200"/>
    <n v="7296"/>
    <n v="0.27536231884057971"/>
  </r>
  <r>
    <x v="185"/>
    <s v="ORD-02595"/>
    <x v="3"/>
    <x v="1"/>
    <x v="139"/>
    <x v="1"/>
    <x v="1"/>
    <n v="3"/>
    <n v="59400"/>
    <n v="178200"/>
    <n v="45000"/>
    <n v="135000"/>
    <n v="43200"/>
    <n v="0.24242424242424243"/>
  </r>
  <r>
    <x v="185"/>
    <s v="ORD-02596"/>
    <x v="1"/>
    <x v="1"/>
    <x v="33"/>
    <x v="5"/>
    <x v="3"/>
    <n v="1"/>
    <n v="774"/>
    <n v="774"/>
    <n v="600"/>
    <n v="600"/>
    <n v="174"/>
    <n v="0.22480620155038761"/>
  </r>
  <r>
    <x v="185"/>
    <s v="ORD-02597"/>
    <x v="3"/>
    <x v="2"/>
    <x v="86"/>
    <x v="2"/>
    <x v="1"/>
    <n v="10"/>
    <n v="52060.000000000007"/>
    <n v="520600.00000000006"/>
    <n v="38000"/>
    <n v="380000"/>
    <n v="140600.00000000006"/>
    <n v="0.27007299270072999"/>
  </r>
  <r>
    <x v="185"/>
    <s v="ORD-02598"/>
    <x v="3"/>
    <x v="5"/>
    <x v="100"/>
    <x v="3"/>
    <x v="0"/>
    <n v="5"/>
    <n v="3575"/>
    <n v="17875"/>
    <n v="2500"/>
    <n v="12500"/>
    <n v="5375"/>
    <n v="0.30069930069930068"/>
  </r>
  <r>
    <x v="185"/>
    <s v="ORD-02599"/>
    <x v="1"/>
    <x v="5"/>
    <x v="101"/>
    <x v="6"/>
    <x v="3"/>
    <n v="7"/>
    <n v="1224"/>
    <n v="8568"/>
    <n v="900"/>
    <n v="6300"/>
    <n v="2268"/>
    <n v="0.26470588235294118"/>
  </r>
  <r>
    <x v="185"/>
    <s v="ORD-02600"/>
    <x v="1"/>
    <x v="2"/>
    <x v="58"/>
    <x v="2"/>
    <x v="1"/>
    <n v="4"/>
    <n v="53580"/>
    <n v="214320"/>
    <n v="38000"/>
    <n v="152000"/>
    <n v="62320"/>
    <n v="0.29078014184397161"/>
  </r>
  <r>
    <x v="185"/>
    <s v="ORD-02601"/>
    <x v="1"/>
    <x v="4"/>
    <x v="120"/>
    <x v="2"/>
    <x v="1"/>
    <n v="10"/>
    <n v="49780"/>
    <n v="497800"/>
    <n v="38000"/>
    <n v="380000"/>
    <n v="117800"/>
    <n v="0.23664122137404581"/>
  </r>
  <r>
    <x v="185"/>
    <s v="ORD-02602"/>
    <x v="0"/>
    <x v="1"/>
    <x v="149"/>
    <x v="3"/>
    <x v="0"/>
    <n v="8"/>
    <n v="3075"/>
    <n v="24600"/>
    <n v="2500"/>
    <n v="20000"/>
    <n v="4600"/>
    <n v="0.18699186991869918"/>
  </r>
  <r>
    <x v="186"/>
    <s v="ORD-02603"/>
    <x v="2"/>
    <x v="2"/>
    <x v="9"/>
    <x v="3"/>
    <x v="0"/>
    <n v="4"/>
    <n v="3175"/>
    <n v="12700"/>
    <n v="2500"/>
    <n v="10000"/>
    <n v="2700"/>
    <n v="0.2125984251968504"/>
  </r>
  <r>
    <x v="186"/>
    <s v="ORD-02604"/>
    <x v="1"/>
    <x v="2"/>
    <x v="6"/>
    <x v="6"/>
    <x v="3"/>
    <n v="6"/>
    <n v="1305"/>
    <n v="7830"/>
    <n v="900"/>
    <n v="5400"/>
    <n v="2430"/>
    <n v="0.31034482758620691"/>
  </r>
  <r>
    <x v="186"/>
    <s v="ORD-02605"/>
    <x v="1"/>
    <x v="0"/>
    <x v="7"/>
    <x v="0"/>
    <x v="0"/>
    <n v="9"/>
    <n v="4576"/>
    <n v="41184"/>
    <n v="3200"/>
    <n v="28800"/>
    <n v="12384"/>
    <n v="0.30069930069930068"/>
  </r>
  <r>
    <x v="186"/>
    <s v="ORD-02606"/>
    <x v="2"/>
    <x v="2"/>
    <x v="4"/>
    <x v="3"/>
    <x v="0"/>
    <n v="9"/>
    <n v="3600"/>
    <n v="32400"/>
    <n v="2500"/>
    <n v="22500"/>
    <n v="9900"/>
    <n v="0.30555555555555558"/>
  </r>
  <r>
    <x v="186"/>
    <s v="ORD-02607"/>
    <x v="0"/>
    <x v="2"/>
    <x v="52"/>
    <x v="4"/>
    <x v="2"/>
    <n v="5"/>
    <n v="11305"/>
    <n v="56525"/>
    <n v="8500"/>
    <n v="42500"/>
    <n v="14025"/>
    <n v="0.24812030075187969"/>
  </r>
  <r>
    <x v="186"/>
    <s v="ORD-02608"/>
    <x v="1"/>
    <x v="0"/>
    <x v="59"/>
    <x v="7"/>
    <x v="2"/>
    <n v="6"/>
    <n v="9450"/>
    <n v="56700"/>
    <n v="7000"/>
    <n v="42000"/>
    <n v="14700"/>
    <n v="0.25925925925925924"/>
  </r>
  <r>
    <x v="186"/>
    <s v="ORD-02609"/>
    <x v="2"/>
    <x v="1"/>
    <x v="51"/>
    <x v="6"/>
    <x v="3"/>
    <n v="2"/>
    <n v="1116"/>
    <n v="2232"/>
    <n v="900"/>
    <n v="1800"/>
    <n v="432"/>
    <n v="0.19354838709677419"/>
  </r>
  <r>
    <x v="186"/>
    <s v="ORD-02610"/>
    <x v="0"/>
    <x v="4"/>
    <x v="116"/>
    <x v="7"/>
    <x v="2"/>
    <n v="5"/>
    <n v="9100"/>
    <n v="45500"/>
    <n v="7000"/>
    <n v="35000"/>
    <n v="10500"/>
    <n v="0.23076923076923078"/>
  </r>
  <r>
    <x v="186"/>
    <s v="ORD-02611"/>
    <x v="0"/>
    <x v="4"/>
    <x v="23"/>
    <x v="4"/>
    <x v="2"/>
    <n v="6"/>
    <n v="11900"/>
    <n v="71400"/>
    <n v="8500"/>
    <n v="51000"/>
    <n v="20400"/>
    <n v="0.2857142857142857"/>
  </r>
  <r>
    <x v="186"/>
    <s v="ORD-02612"/>
    <x v="1"/>
    <x v="2"/>
    <x v="98"/>
    <x v="5"/>
    <x v="3"/>
    <n v="8"/>
    <n v="786"/>
    <n v="6288"/>
    <n v="600"/>
    <n v="4800"/>
    <n v="1488"/>
    <n v="0.23664122137404581"/>
  </r>
  <r>
    <x v="186"/>
    <s v="ORD-02613"/>
    <x v="0"/>
    <x v="2"/>
    <x v="114"/>
    <x v="0"/>
    <x v="0"/>
    <n v="8"/>
    <n v="3968"/>
    <n v="31744"/>
    <n v="3200"/>
    <n v="25600"/>
    <n v="6144"/>
    <n v="0.19354838709677419"/>
  </r>
  <r>
    <x v="186"/>
    <s v="ORD-02614"/>
    <x v="0"/>
    <x v="3"/>
    <x v="58"/>
    <x v="1"/>
    <x v="1"/>
    <n v="10"/>
    <n v="57150"/>
    <n v="571500"/>
    <n v="45000"/>
    <n v="450000"/>
    <n v="121500"/>
    <n v="0.2125984251968504"/>
  </r>
  <r>
    <x v="186"/>
    <s v="ORD-02615"/>
    <x v="0"/>
    <x v="4"/>
    <x v="10"/>
    <x v="5"/>
    <x v="3"/>
    <n v="5"/>
    <n v="870"/>
    <n v="4350"/>
    <n v="600"/>
    <n v="3000"/>
    <n v="1350"/>
    <n v="0.31034482758620691"/>
  </r>
  <r>
    <x v="186"/>
    <s v="ORD-02616"/>
    <x v="1"/>
    <x v="4"/>
    <x v="138"/>
    <x v="5"/>
    <x v="3"/>
    <n v="10"/>
    <n v="858"/>
    <n v="8580"/>
    <n v="600"/>
    <n v="6000"/>
    <n v="2580"/>
    <n v="0.30069930069930068"/>
  </r>
  <r>
    <x v="187"/>
    <s v="ORD-02617"/>
    <x v="3"/>
    <x v="2"/>
    <x v="17"/>
    <x v="0"/>
    <x v="0"/>
    <n v="2"/>
    <n v="4096"/>
    <n v="8192"/>
    <n v="3200"/>
    <n v="6400"/>
    <n v="1792"/>
    <n v="0.21875"/>
  </r>
  <r>
    <x v="187"/>
    <s v="ORD-02618"/>
    <x v="3"/>
    <x v="4"/>
    <x v="113"/>
    <x v="4"/>
    <x v="2"/>
    <n v="4"/>
    <n v="10540"/>
    <n v="42160"/>
    <n v="8500"/>
    <n v="34000"/>
    <n v="8160"/>
    <n v="0.19354838709677419"/>
  </r>
  <r>
    <x v="187"/>
    <s v="ORD-02619"/>
    <x v="3"/>
    <x v="0"/>
    <x v="127"/>
    <x v="5"/>
    <x v="3"/>
    <n v="8"/>
    <n v="768"/>
    <n v="6144"/>
    <n v="600"/>
    <n v="4800"/>
    <n v="1344"/>
    <n v="0.21875"/>
  </r>
  <r>
    <x v="187"/>
    <s v="ORD-02620"/>
    <x v="0"/>
    <x v="4"/>
    <x v="118"/>
    <x v="6"/>
    <x v="3"/>
    <n v="3"/>
    <n v="1269"/>
    <n v="3807"/>
    <n v="900"/>
    <n v="2700"/>
    <n v="1107"/>
    <n v="0.29078014184397161"/>
  </r>
  <r>
    <x v="187"/>
    <s v="ORD-02621"/>
    <x v="3"/>
    <x v="1"/>
    <x v="67"/>
    <x v="4"/>
    <x v="2"/>
    <n v="7"/>
    <n v="12070"/>
    <n v="84490"/>
    <n v="8500"/>
    <n v="59500"/>
    <n v="24990"/>
    <n v="0.29577464788732394"/>
  </r>
  <r>
    <x v="187"/>
    <s v="ORD-02622"/>
    <x v="2"/>
    <x v="2"/>
    <x v="45"/>
    <x v="1"/>
    <x v="1"/>
    <n v="4"/>
    <n v="63450"/>
    <n v="253800"/>
    <n v="45000"/>
    <n v="180000"/>
    <n v="73800"/>
    <n v="0.29078014184397161"/>
  </r>
  <r>
    <x v="187"/>
    <s v="ORD-02623"/>
    <x v="2"/>
    <x v="4"/>
    <x v="72"/>
    <x v="5"/>
    <x v="3"/>
    <n v="1"/>
    <n v="798"/>
    <n v="798"/>
    <n v="600"/>
    <n v="600"/>
    <n v="198"/>
    <n v="0.24812030075187969"/>
  </r>
  <r>
    <x v="187"/>
    <s v="ORD-02624"/>
    <x v="0"/>
    <x v="4"/>
    <x v="15"/>
    <x v="7"/>
    <x v="2"/>
    <n v="3"/>
    <n v="10080"/>
    <n v="30240"/>
    <n v="7000"/>
    <n v="21000"/>
    <n v="9240"/>
    <n v="0.30555555555555558"/>
  </r>
  <r>
    <x v="187"/>
    <s v="ORD-02625"/>
    <x v="0"/>
    <x v="1"/>
    <x v="62"/>
    <x v="2"/>
    <x v="1"/>
    <n v="7"/>
    <n v="51300"/>
    <n v="359100"/>
    <n v="38000"/>
    <n v="266000"/>
    <n v="93100"/>
    <n v="0.25925925925925924"/>
  </r>
  <r>
    <x v="187"/>
    <s v="ORD-02626"/>
    <x v="0"/>
    <x v="5"/>
    <x v="65"/>
    <x v="7"/>
    <x v="2"/>
    <n v="10"/>
    <n v="8680"/>
    <n v="86800"/>
    <n v="7000"/>
    <n v="70000"/>
    <n v="16800"/>
    <n v="0.19354838709677419"/>
  </r>
  <r>
    <x v="187"/>
    <s v="ORD-02627"/>
    <x v="0"/>
    <x v="2"/>
    <x v="116"/>
    <x v="7"/>
    <x v="2"/>
    <n v="8"/>
    <n v="10010"/>
    <n v="80080"/>
    <n v="7000"/>
    <n v="56000"/>
    <n v="24080"/>
    <n v="0.30069930069930068"/>
  </r>
  <r>
    <x v="187"/>
    <s v="ORD-02628"/>
    <x v="1"/>
    <x v="4"/>
    <x v="107"/>
    <x v="1"/>
    <x v="1"/>
    <n v="4"/>
    <n v="54000"/>
    <n v="216000"/>
    <n v="45000"/>
    <n v="180000"/>
    <n v="36000"/>
    <n v="0.16666666666666666"/>
  </r>
  <r>
    <x v="187"/>
    <s v="ORD-02629"/>
    <x v="3"/>
    <x v="3"/>
    <x v="29"/>
    <x v="7"/>
    <x v="2"/>
    <n v="6"/>
    <n v="8680"/>
    <n v="52080"/>
    <n v="7000"/>
    <n v="42000"/>
    <n v="10080"/>
    <n v="0.19354838709677419"/>
  </r>
  <r>
    <x v="187"/>
    <s v="ORD-02630"/>
    <x v="3"/>
    <x v="4"/>
    <x v="94"/>
    <x v="3"/>
    <x v="0"/>
    <n v="3"/>
    <n v="3225"/>
    <n v="9675"/>
    <n v="2500"/>
    <n v="7500"/>
    <n v="2175"/>
    <n v="0.22480620155038761"/>
  </r>
  <r>
    <x v="188"/>
    <s v="ORD-02631"/>
    <x v="1"/>
    <x v="5"/>
    <x v="110"/>
    <x v="0"/>
    <x v="0"/>
    <n v="6"/>
    <n v="4640"/>
    <n v="27840"/>
    <n v="3200"/>
    <n v="19200"/>
    <n v="8640"/>
    <n v="0.31034482758620691"/>
  </r>
  <r>
    <x v="188"/>
    <s v="ORD-02632"/>
    <x v="0"/>
    <x v="3"/>
    <x v="54"/>
    <x v="1"/>
    <x v="1"/>
    <n v="7"/>
    <n v="63450"/>
    <n v="444150"/>
    <n v="45000"/>
    <n v="315000"/>
    <n v="129150"/>
    <n v="0.29078014184397161"/>
  </r>
  <r>
    <x v="188"/>
    <s v="ORD-02633"/>
    <x v="2"/>
    <x v="1"/>
    <x v="41"/>
    <x v="1"/>
    <x v="1"/>
    <n v="4"/>
    <n v="55800"/>
    <n v="223200"/>
    <n v="45000"/>
    <n v="180000"/>
    <n v="43200"/>
    <n v="0.19354838709677419"/>
  </r>
  <r>
    <x v="188"/>
    <s v="ORD-02634"/>
    <x v="2"/>
    <x v="3"/>
    <x v="104"/>
    <x v="5"/>
    <x v="3"/>
    <n v="2"/>
    <n v="815.99999999999989"/>
    <n v="1631.9999999999998"/>
    <n v="600"/>
    <n v="1200"/>
    <n v="431.99999999999977"/>
    <n v="0.26470588235294107"/>
  </r>
  <r>
    <x v="188"/>
    <s v="ORD-02635"/>
    <x v="2"/>
    <x v="4"/>
    <x v="42"/>
    <x v="6"/>
    <x v="3"/>
    <n v="10"/>
    <n v="1233"/>
    <n v="12330"/>
    <n v="900"/>
    <n v="9000"/>
    <n v="3330"/>
    <n v="0.27007299270072993"/>
  </r>
  <r>
    <x v="188"/>
    <s v="ORD-02636"/>
    <x v="3"/>
    <x v="0"/>
    <x v="5"/>
    <x v="2"/>
    <x v="1"/>
    <n v="8"/>
    <n v="50540"/>
    <n v="404320"/>
    <n v="38000"/>
    <n v="304000"/>
    <n v="100320"/>
    <n v="0.24812030075187969"/>
  </r>
  <r>
    <x v="188"/>
    <s v="ORD-02637"/>
    <x v="3"/>
    <x v="1"/>
    <x v="105"/>
    <x v="1"/>
    <x v="1"/>
    <n v="8"/>
    <n v="63450"/>
    <n v="507600"/>
    <n v="45000"/>
    <n v="360000"/>
    <n v="147600"/>
    <n v="0.29078014184397161"/>
  </r>
  <r>
    <x v="188"/>
    <s v="ORD-02638"/>
    <x v="0"/>
    <x v="2"/>
    <x v="102"/>
    <x v="1"/>
    <x v="1"/>
    <n v="8"/>
    <n v="55800"/>
    <n v="446400"/>
    <n v="45000"/>
    <n v="360000"/>
    <n v="86400"/>
    <n v="0.19354838709677419"/>
  </r>
  <r>
    <x v="188"/>
    <s v="ORD-02639"/>
    <x v="1"/>
    <x v="5"/>
    <x v="131"/>
    <x v="5"/>
    <x v="3"/>
    <n v="7"/>
    <n v="864"/>
    <n v="6048"/>
    <n v="600"/>
    <n v="4200"/>
    <n v="1848"/>
    <n v="0.30555555555555558"/>
  </r>
  <r>
    <x v="188"/>
    <s v="ORD-02640"/>
    <x v="3"/>
    <x v="3"/>
    <x v="105"/>
    <x v="3"/>
    <x v="0"/>
    <n v="1"/>
    <n v="3200"/>
    <n v="3200"/>
    <n v="2500"/>
    <n v="2500"/>
    <n v="700"/>
    <n v="0.21875"/>
  </r>
  <r>
    <x v="188"/>
    <s v="ORD-02641"/>
    <x v="2"/>
    <x v="2"/>
    <x v="45"/>
    <x v="6"/>
    <x v="3"/>
    <n v="4"/>
    <n v="1098"/>
    <n v="4392"/>
    <n v="900"/>
    <n v="3600"/>
    <n v="792"/>
    <n v="0.18032786885245902"/>
  </r>
  <r>
    <x v="188"/>
    <s v="ORD-02642"/>
    <x v="2"/>
    <x v="4"/>
    <x v="145"/>
    <x v="3"/>
    <x v="0"/>
    <n v="8"/>
    <n v="3200"/>
    <n v="25600"/>
    <n v="2500"/>
    <n v="20000"/>
    <n v="5600"/>
    <n v="0.21875"/>
  </r>
  <r>
    <x v="188"/>
    <s v="ORD-02643"/>
    <x v="1"/>
    <x v="0"/>
    <x v="81"/>
    <x v="2"/>
    <x v="1"/>
    <n v="2"/>
    <n v="45980"/>
    <n v="91960"/>
    <n v="38000"/>
    <n v="76000"/>
    <n v="15960"/>
    <n v="0.17355371900826447"/>
  </r>
  <r>
    <x v="188"/>
    <s v="ORD-02644"/>
    <x v="3"/>
    <x v="5"/>
    <x v="94"/>
    <x v="1"/>
    <x v="1"/>
    <n v="2"/>
    <n v="61650.000000000007"/>
    <n v="123300.00000000001"/>
    <n v="45000"/>
    <n v="90000"/>
    <n v="33300.000000000015"/>
    <n v="0.27007299270072999"/>
  </r>
  <r>
    <x v="189"/>
    <s v="ORD-02645"/>
    <x v="0"/>
    <x v="4"/>
    <x v="7"/>
    <x v="1"/>
    <x v="1"/>
    <n v="5"/>
    <n v="54000"/>
    <n v="270000"/>
    <n v="45000"/>
    <n v="225000"/>
    <n v="45000"/>
    <n v="0.16666666666666666"/>
  </r>
  <r>
    <x v="189"/>
    <s v="ORD-02646"/>
    <x v="1"/>
    <x v="0"/>
    <x v="29"/>
    <x v="6"/>
    <x v="3"/>
    <n v="1"/>
    <n v="1080"/>
    <n v="1080"/>
    <n v="900"/>
    <n v="900"/>
    <n v="180"/>
    <n v="0.16666666666666666"/>
  </r>
  <r>
    <x v="189"/>
    <s v="ORD-02647"/>
    <x v="2"/>
    <x v="4"/>
    <x v="56"/>
    <x v="2"/>
    <x v="1"/>
    <n v="4"/>
    <n v="47120"/>
    <n v="188480"/>
    <n v="38000"/>
    <n v="152000"/>
    <n v="36480"/>
    <n v="0.19354838709677419"/>
  </r>
  <r>
    <x v="189"/>
    <s v="ORD-02648"/>
    <x v="0"/>
    <x v="5"/>
    <x v="55"/>
    <x v="2"/>
    <x v="1"/>
    <n v="1"/>
    <n v="52439.999999999993"/>
    <n v="52439.999999999993"/>
    <n v="38000"/>
    <n v="38000"/>
    <n v="14439.999999999993"/>
    <n v="0.2753623188405796"/>
  </r>
  <r>
    <x v="189"/>
    <s v="ORD-02649"/>
    <x v="3"/>
    <x v="3"/>
    <x v="32"/>
    <x v="0"/>
    <x v="0"/>
    <n v="4"/>
    <n v="4544"/>
    <n v="18176"/>
    <n v="3200"/>
    <n v="12800"/>
    <n v="5376"/>
    <n v="0.29577464788732394"/>
  </r>
  <r>
    <x v="189"/>
    <s v="ORD-02650"/>
    <x v="3"/>
    <x v="0"/>
    <x v="89"/>
    <x v="3"/>
    <x v="0"/>
    <n v="4"/>
    <n v="3150"/>
    <n v="12600"/>
    <n v="2500"/>
    <n v="10000"/>
    <n v="2600"/>
    <n v="0.20634920634920634"/>
  </r>
  <r>
    <x v="189"/>
    <s v="ORD-02651"/>
    <x v="3"/>
    <x v="2"/>
    <x v="39"/>
    <x v="1"/>
    <x v="1"/>
    <n v="1"/>
    <n v="59400"/>
    <n v="59400"/>
    <n v="45000"/>
    <n v="45000"/>
    <n v="14400"/>
    <n v="0.24242424242424243"/>
  </r>
  <r>
    <x v="189"/>
    <s v="ORD-02652"/>
    <x v="2"/>
    <x v="1"/>
    <x v="77"/>
    <x v="7"/>
    <x v="2"/>
    <n v="8"/>
    <n v="9380"/>
    <n v="75040"/>
    <n v="7000"/>
    <n v="56000"/>
    <n v="19040"/>
    <n v="0.2537313432835821"/>
  </r>
  <r>
    <x v="189"/>
    <s v="ORD-02653"/>
    <x v="0"/>
    <x v="0"/>
    <x v="60"/>
    <x v="3"/>
    <x v="0"/>
    <n v="7"/>
    <n v="3275"/>
    <n v="22925"/>
    <n v="2500"/>
    <n v="17500"/>
    <n v="5425"/>
    <n v="0.23664122137404581"/>
  </r>
  <r>
    <x v="189"/>
    <s v="ORD-02654"/>
    <x v="3"/>
    <x v="4"/>
    <x v="94"/>
    <x v="7"/>
    <x v="2"/>
    <n v="6"/>
    <n v="9940"/>
    <n v="59640"/>
    <n v="7000"/>
    <n v="42000"/>
    <n v="17640"/>
    <n v="0.29577464788732394"/>
  </r>
  <r>
    <x v="189"/>
    <s v="ORD-02655"/>
    <x v="0"/>
    <x v="2"/>
    <x v="131"/>
    <x v="0"/>
    <x v="0"/>
    <n v="3"/>
    <n v="4224"/>
    <n v="12672"/>
    <n v="3200"/>
    <n v="9600"/>
    <n v="3072"/>
    <n v="0.24242424242424243"/>
  </r>
  <r>
    <x v="189"/>
    <s v="ORD-02656"/>
    <x v="3"/>
    <x v="2"/>
    <x v="146"/>
    <x v="6"/>
    <x v="3"/>
    <n v="7"/>
    <n v="1197"/>
    <n v="8379"/>
    <n v="900"/>
    <n v="6300"/>
    <n v="2079"/>
    <n v="0.24812030075187969"/>
  </r>
  <r>
    <x v="189"/>
    <s v="ORD-02657"/>
    <x v="3"/>
    <x v="4"/>
    <x v="21"/>
    <x v="0"/>
    <x v="0"/>
    <n v="10"/>
    <n v="4064"/>
    <n v="40640"/>
    <n v="3200"/>
    <n v="32000"/>
    <n v="8640"/>
    <n v="0.2125984251968504"/>
  </r>
  <r>
    <x v="189"/>
    <s v="ORD-02658"/>
    <x v="2"/>
    <x v="0"/>
    <x v="26"/>
    <x v="3"/>
    <x v="0"/>
    <n v="4"/>
    <n v="3399.9999999999995"/>
    <n v="13599.999999999998"/>
    <n v="2500"/>
    <n v="10000"/>
    <n v="3599.9999999999982"/>
    <n v="0.26470588235294107"/>
  </r>
  <r>
    <x v="190"/>
    <s v="ORD-02659"/>
    <x v="3"/>
    <x v="4"/>
    <x v="83"/>
    <x v="6"/>
    <x v="3"/>
    <n v="3"/>
    <n v="1251"/>
    <n v="3753"/>
    <n v="900"/>
    <n v="2700"/>
    <n v="1053"/>
    <n v="0.2805755395683453"/>
  </r>
  <r>
    <x v="190"/>
    <s v="ORD-02660"/>
    <x v="2"/>
    <x v="2"/>
    <x v="98"/>
    <x v="1"/>
    <x v="1"/>
    <n v="7"/>
    <n v="56700"/>
    <n v="396900"/>
    <n v="45000"/>
    <n v="315000"/>
    <n v="81900"/>
    <n v="0.20634920634920634"/>
  </r>
  <r>
    <x v="190"/>
    <s v="ORD-02661"/>
    <x v="3"/>
    <x v="1"/>
    <x v="141"/>
    <x v="7"/>
    <x v="2"/>
    <n v="1"/>
    <n v="9030"/>
    <n v="9030"/>
    <n v="7000"/>
    <n v="7000"/>
    <n v="2030"/>
    <n v="0.22480620155038761"/>
  </r>
  <r>
    <x v="190"/>
    <s v="ORD-02662"/>
    <x v="3"/>
    <x v="5"/>
    <x v="9"/>
    <x v="7"/>
    <x v="2"/>
    <n v="5"/>
    <n v="10080"/>
    <n v="50400"/>
    <n v="7000"/>
    <n v="35000"/>
    <n v="15400"/>
    <n v="0.30555555555555558"/>
  </r>
  <r>
    <x v="190"/>
    <s v="ORD-02663"/>
    <x v="2"/>
    <x v="3"/>
    <x v="92"/>
    <x v="3"/>
    <x v="0"/>
    <n v="9"/>
    <n v="3250"/>
    <n v="29250"/>
    <n v="2500"/>
    <n v="22500"/>
    <n v="6750"/>
    <n v="0.23076923076923078"/>
  </r>
  <r>
    <x v="190"/>
    <s v="ORD-02664"/>
    <x v="1"/>
    <x v="4"/>
    <x v="125"/>
    <x v="4"/>
    <x v="2"/>
    <n v="8"/>
    <n v="10625"/>
    <n v="85000"/>
    <n v="8500"/>
    <n v="68000"/>
    <n v="17000"/>
    <n v="0.2"/>
  </r>
  <r>
    <x v="190"/>
    <s v="ORD-02665"/>
    <x v="2"/>
    <x v="2"/>
    <x v="21"/>
    <x v="4"/>
    <x v="2"/>
    <n v="4"/>
    <n v="11050"/>
    <n v="44200"/>
    <n v="8500"/>
    <n v="34000"/>
    <n v="10200"/>
    <n v="0.23076923076923078"/>
  </r>
  <r>
    <x v="190"/>
    <s v="ORD-02666"/>
    <x v="0"/>
    <x v="4"/>
    <x v="62"/>
    <x v="3"/>
    <x v="0"/>
    <n v="1"/>
    <n v="3300"/>
    <n v="3300"/>
    <n v="2500"/>
    <n v="2500"/>
    <n v="800"/>
    <n v="0.24242424242424243"/>
  </r>
  <r>
    <x v="190"/>
    <s v="ORD-02667"/>
    <x v="3"/>
    <x v="5"/>
    <x v="23"/>
    <x v="4"/>
    <x v="2"/>
    <n v="5"/>
    <n v="11305"/>
    <n v="56525"/>
    <n v="8500"/>
    <n v="42500"/>
    <n v="14025"/>
    <n v="0.24812030075187969"/>
  </r>
  <r>
    <x v="190"/>
    <s v="ORD-02668"/>
    <x v="3"/>
    <x v="0"/>
    <x v="69"/>
    <x v="2"/>
    <x v="1"/>
    <n v="10"/>
    <n v="46740"/>
    <n v="467400"/>
    <n v="38000"/>
    <n v="380000"/>
    <n v="87400"/>
    <n v="0.18699186991869918"/>
  </r>
  <r>
    <x v="190"/>
    <s v="ORD-02669"/>
    <x v="1"/>
    <x v="3"/>
    <x v="141"/>
    <x v="5"/>
    <x v="3"/>
    <n v="6"/>
    <n v="827.99999999999989"/>
    <n v="4967.9999999999991"/>
    <n v="600"/>
    <n v="3600"/>
    <n v="1367.9999999999991"/>
    <n v="0.2753623188405796"/>
  </r>
  <r>
    <x v="190"/>
    <s v="ORD-02670"/>
    <x v="0"/>
    <x v="2"/>
    <x v="111"/>
    <x v="2"/>
    <x v="1"/>
    <n v="9"/>
    <n v="52820.000000000007"/>
    <n v="475380.00000000006"/>
    <n v="38000"/>
    <n v="342000"/>
    <n v="133380.00000000006"/>
    <n v="0.28057553956834541"/>
  </r>
  <r>
    <x v="190"/>
    <s v="ORD-02671"/>
    <x v="0"/>
    <x v="4"/>
    <x v="138"/>
    <x v="6"/>
    <x v="3"/>
    <n v="3"/>
    <n v="1233"/>
    <n v="3699"/>
    <n v="900"/>
    <n v="2700"/>
    <n v="999"/>
    <n v="0.27007299270072993"/>
  </r>
  <r>
    <x v="190"/>
    <s v="ORD-02672"/>
    <x v="3"/>
    <x v="5"/>
    <x v="89"/>
    <x v="2"/>
    <x v="1"/>
    <n v="6"/>
    <n v="45600"/>
    <n v="273600"/>
    <n v="38000"/>
    <n v="228000"/>
    <n v="45600"/>
    <n v="0.16666666666666666"/>
  </r>
  <r>
    <x v="191"/>
    <s v="ORD-02673"/>
    <x v="1"/>
    <x v="3"/>
    <x v="37"/>
    <x v="6"/>
    <x v="3"/>
    <n v="10"/>
    <n v="1116"/>
    <n v="11160"/>
    <n v="900"/>
    <n v="9000"/>
    <n v="2160"/>
    <n v="0.19354838709677419"/>
  </r>
  <r>
    <x v="191"/>
    <s v="ORD-02674"/>
    <x v="0"/>
    <x v="0"/>
    <x v="27"/>
    <x v="0"/>
    <x v="0"/>
    <n v="4"/>
    <n v="3840"/>
    <n v="15360"/>
    <n v="3200"/>
    <n v="12800"/>
    <n v="2560"/>
    <n v="0.16666666666666666"/>
  </r>
  <r>
    <x v="191"/>
    <s v="ORD-02675"/>
    <x v="2"/>
    <x v="4"/>
    <x v="38"/>
    <x v="5"/>
    <x v="3"/>
    <n v="10"/>
    <n v="774"/>
    <n v="7740"/>
    <n v="600"/>
    <n v="6000"/>
    <n v="1740"/>
    <n v="0.22480620155038761"/>
  </r>
  <r>
    <x v="191"/>
    <s v="ORD-02676"/>
    <x v="3"/>
    <x v="5"/>
    <x v="55"/>
    <x v="5"/>
    <x v="3"/>
    <n v="10"/>
    <n v="864"/>
    <n v="8640"/>
    <n v="600"/>
    <n v="6000"/>
    <n v="2640"/>
    <n v="0.30555555555555558"/>
  </r>
  <r>
    <x v="191"/>
    <s v="ORD-02677"/>
    <x v="2"/>
    <x v="5"/>
    <x v="31"/>
    <x v="1"/>
    <x v="1"/>
    <n v="5"/>
    <n v="59850"/>
    <n v="299250"/>
    <n v="45000"/>
    <n v="225000"/>
    <n v="74250"/>
    <n v="0.24812030075187969"/>
  </r>
  <r>
    <x v="191"/>
    <s v="ORD-02678"/>
    <x v="1"/>
    <x v="3"/>
    <x v="97"/>
    <x v="0"/>
    <x v="0"/>
    <n v="5"/>
    <n v="4064"/>
    <n v="20320"/>
    <n v="3200"/>
    <n v="16000"/>
    <n v="4320"/>
    <n v="0.2125984251968504"/>
  </r>
  <r>
    <x v="191"/>
    <s v="ORD-02679"/>
    <x v="2"/>
    <x v="1"/>
    <x v="124"/>
    <x v="5"/>
    <x v="3"/>
    <n v="6"/>
    <n v="768"/>
    <n v="4608"/>
    <n v="600"/>
    <n v="3600"/>
    <n v="1008"/>
    <n v="0.21875"/>
  </r>
  <r>
    <x v="191"/>
    <s v="ORD-02680"/>
    <x v="1"/>
    <x v="5"/>
    <x v="43"/>
    <x v="1"/>
    <x v="1"/>
    <n v="6"/>
    <n v="59400"/>
    <n v="356400"/>
    <n v="45000"/>
    <n v="270000"/>
    <n v="86400"/>
    <n v="0.24242424242424243"/>
  </r>
  <r>
    <x v="191"/>
    <s v="ORD-02681"/>
    <x v="1"/>
    <x v="1"/>
    <x v="34"/>
    <x v="2"/>
    <x v="1"/>
    <n v="9"/>
    <n v="47120"/>
    <n v="424080"/>
    <n v="38000"/>
    <n v="342000"/>
    <n v="82080"/>
    <n v="0.19354838709677419"/>
  </r>
  <r>
    <x v="191"/>
    <s v="ORD-02682"/>
    <x v="1"/>
    <x v="0"/>
    <x v="87"/>
    <x v="3"/>
    <x v="0"/>
    <n v="6"/>
    <n v="3250"/>
    <n v="19500"/>
    <n v="2500"/>
    <n v="15000"/>
    <n v="4500"/>
    <n v="0.23076923076923078"/>
  </r>
  <r>
    <x v="191"/>
    <s v="ORD-02683"/>
    <x v="1"/>
    <x v="1"/>
    <x v="105"/>
    <x v="3"/>
    <x v="0"/>
    <n v="2"/>
    <n v="3375"/>
    <n v="6750"/>
    <n v="2500"/>
    <n v="5000"/>
    <n v="1750"/>
    <n v="0.25925925925925924"/>
  </r>
  <r>
    <x v="191"/>
    <s v="ORD-02684"/>
    <x v="1"/>
    <x v="3"/>
    <x v="46"/>
    <x v="0"/>
    <x v="0"/>
    <n v="10"/>
    <n v="4320"/>
    <n v="43200"/>
    <n v="3200"/>
    <n v="32000"/>
    <n v="11200"/>
    <n v="0.25925925925925924"/>
  </r>
  <r>
    <x v="191"/>
    <s v="ORD-02685"/>
    <x v="1"/>
    <x v="0"/>
    <x v="146"/>
    <x v="7"/>
    <x v="2"/>
    <n v="5"/>
    <n v="10150"/>
    <n v="50750"/>
    <n v="7000"/>
    <n v="35000"/>
    <n v="15750"/>
    <n v="0.31034482758620691"/>
  </r>
  <r>
    <x v="191"/>
    <s v="ORD-02686"/>
    <x v="0"/>
    <x v="4"/>
    <x v="12"/>
    <x v="6"/>
    <x v="3"/>
    <n v="2"/>
    <n v="1224"/>
    <n v="2448"/>
    <n v="900"/>
    <n v="1800"/>
    <n v="648"/>
    <n v="0.26470588235294118"/>
  </r>
  <r>
    <x v="192"/>
    <s v="ORD-02687"/>
    <x v="1"/>
    <x v="4"/>
    <x v="35"/>
    <x v="2"/>
    <x v="1"/>
    <n v="7"/>
    <n v="49400"/>
    <n v="345800"/>
    <n v="38000"/>
    <n v="266000"/>
    <n v="79800"/>
    <n v="0.23076923076923078"/>
  </r>
  <r>
    <x v="192"/>
    <s v="ORD-02688"/>
    <x v="3"/>
    <x v="3"/>
    <x v="141"/>
    <x v="0"/>
    <x v="0"/>
    <n v="5"/>
    <n v="4384"/>
    <n v="21920"/>
    <n v="3200"/>
    <n v="16000"/>
    <n v="5920"/>
    <n v="0.27007299270072993"/>
  </r>
  <r>
    <x v="192"/>
    <s v="ORD-02689"/>
    <x v="1"/>
    <x v="2"/>
    <x v="2"/>
    <x v="5"/>
    <x v="3"/>
    <n v="10"/>
    <n v="732"/>
    <n v="7320"/>
    <n v="600"/>
    <n v="6000"/>
    <n v="1320"/>
    <n v="0.18032786885245902"/>
  </r>
  <r>
    <x v="192"/>
    <s v="ORD-02690"/>
    <x v="0"/>
    <x v="2"/>
    <x v="122"/>
    <x v="7"/>
    <x v="2"/>
    <n v="3"/>
    <n v="8470"/>
    <n v="25410"/>
    <n v="7000"/>
    <n v="21000"/>
    <n v="4410"/>
    <n v="0.17355371900826447"/>
  </r>
  <r>
    <x v="192"/>
    <s v="ORD-02691"/>
    <x v="1"/>
    <x v="0"/>
    <x v="126"/>
    <x v="7"/>
    <x v="2"/>
    <n v="10"/>
    <n v="9730"/>
    <n v="97300"/>
    <n v="7000"/>
    <n v="70000"/>
    <n v="27300"/>
    <n v="0.2805755395683453"/>
  </r>
  <r>
    <x v="192"/>
    <s v="ORD-02692"/>
    <x v="1"/>
    <x v="3"/>
    <x v="53"/>
    <x v="0"/>
    <x v="0"/>
    <n v="4"/>
    <n v="3840"/>
    <n v="15360"/>
    <n v="3200"/>
    <n v="12800"/>
    <n v="2560"/>
    <n v="0.16666666666666666"/>
  </r>
  <r>
    <x v="192"/>
    <s v="ORD-02693"/>
    <x v="0"/>
    <x v="0"/>
    <x v="62"/>
    <x v="2"/>
    <x v="1"/>
    <n v="8"/>
    <n v="50920"/>
    <n v="407360"/>
    <n v="38000"/>
    <n v="304000"/>
    <n v="103360"/>
    <n v="0.2537313432835821"/>
  </r>
  <r>
    <x v="192"/>
    <s v="ORD-02694"/>
    <x v="0"/>
    <x v="2"/>
    <x v="12"/>
    <x v="2"/>
    <x v="1"/>
    <n v="7"/>
    <n v="53580"/>
    <n v="375060"/>
    <n v="38000"/>
    <n v="266000"/>
    <n v="109060"/>
    <n v="0.29078014184397161"/>
  </r>
  <r>
    <x v="192"/>
    <s v="ORD-02695"/>
    <x v="0"/>
    <x v="2"/>
    <x v="22"/>
    <x v="0"/>
    <x v="0"/>
    <n v="1"/>
    <n v="4544"/>
    <n v="4544"/>
    <n v="3200"/>
    <n v="3200"/>
    <n v="1344"/>
    <n v="0.29577464788732394"/>
  </r>
  <r>
    <x v="192"/>
    <s v="ORD-02696"/>
    <x v="3"/>
    <x v="1"/>
    <x v="129"/>
    <x v="4"/>
    <x v="2"/>
    <n v="9"/>
    <n v="12070"/>
    <n v="108630"/>
    <n v="8500"/>
    <n v="76500"/>
    <n v="32130"/>
    <n v="0.29577464788732394"/>
  </r>
  <r>
    <x v="192"/>
    <s v="ORD-02697"/>
    <x v="2"/>
    <x v="4"/>
    <x v="39"/>
    <x v="0"/>
    <x v="0"/>
    <n v="9"/>
    <n v="4384"/>
    <n v="39456"/>
    <n v="3200"/>
    <n v="28800"/>
    <n v="10656"/>
    <n v="0.27007299270072993"/>
  </r>
  <r>
    <x v="192"/>
    <s v="ORD-02698"/>
    <x v="3"/>
    <x v="4"/>
    <x v="22"/>
    <x v="6"/>
    <x v="3"/>
    <n v="5"/>
    <n v="1089"/>
    <n v="5445"/>
    <n v="900"/>
    <n v="4500"/>
    <n v="945"/>
    <n v="0.17355371900826447"/>
  </r>
  <r>
    <x v="192"/>
    <s v="ORD-02699"/>
    <x v="1"/>
    <x v="2"/>
    <x v="105"/>
    <x v="7"/>
    <x v="2"/>
    <n v="7"/>
    <n v="10150"/>
    <n v="71050"/>
    <n v="7000"/>
    <n v="49000"/>
    <n v="22050"/>
    <n v="0.31034482758620691"/>
  </r>
  <r>
    <x v="192"/>
    <s v="ORD-02700"/>
    <x v="3"/>
    <x v="4"/>
    <x v="126"/>
    <x v="7"/>
    <x v="2"/>
    <n v="2"/>
    <n v="9240"/>
    <n v="18480"/>
    <n v="7000"/>
    <n v="14000"/>
    <n v="4480"/>
    <n v="0.24242424242424243"/>
  </r>
  <r>
    <x v="193"/>
    <s v="ORD-02701"/>
    <x v="1"/>
    <x v="2"/>
    <x v="53"/>
    <x v="3"/>
    <x v="0"/>
    <n v="4"/>
    <n v="3300"/>
    <n v="13200"/>
    <n v="2500"/>
    <n v="10000"/>
    <n v="3200"/>
    <n v="0.24242424242424243"/>
  </r>
  <r>
    <x v="193"/>
    <s v="ORD-02702"/>
    <x v="2"/>
    <x v="4"/>
    <x v="82"/>
    <x v="6"/>
    <x v="3"/>
    <n v="4"/>
    <n v="1224"/>
    <n v="4896"/>
    <n v="900"/>
    <n v="3600"/>
    <n v="1296"/>
    <n v="0.26470588235294118"/>
  </r>
  <r>
    <x v="193"/>
    <s v="ORD-02703"/>
    <x v="3"/>
    <x v="5"/>
    <x v="62"/>
    <x v="3"/>
    <x v="0"/>
    <n v="9"/>
    <n v="3150"/>
    <n v="28350"/>
    <n v="2500"/>
    <n v="22500"/>
    <n v="5850"/>
    <n v="0.20634920634920634"/>
  </r>
  <r>
    <x v="193"/>
    <s v="ORD-02704"/>
    <x v="1"/>
    <x v="0"/>
    <x v="70"/>
    <x v="1"/>
    <x v="1"/>
    <n v="10"/>
    <n v="57600"/>
    <n v="576000"/>
    <n v="45000"/>
    <n v="450000"/>
    <n v="126000"/>
    <n v="0.21875"/>
  </r>
  <r>
    <x v="193"/>
    <s v="ORD-02705"/>
    <x v="2"/>
    <x v="5"/>
    <x v="18"/>
    <x v="7"/>
    <x v="2"/>
    <n v="6"/>
    <n v="9100"/>
    <n v="54600"/>
    <n v="7000"/>
    <n v="42000"/>
    <n v="12600"/>
    <n v="0.23076923076923078"/>
  </r>
  <r>
    <x v="193"/>
    <s v="ORD-02706"/>
    <x v="3"/>
    <x v="4"/>
    <x v="11"/>
    <x v="5"/>
    <x v="3"/>
    <n v="2"/>
    <n v="786"/>
    <n v="1572"/>
    <n v="600"/>
    <n v="1200"/>
    <n v="372"/>
    <n v="0.23664122137404581"/>
  </r>
  <r>
    <x v="193"/>
    <s v="ORD-02707"/>
    <x v="1"/>
    <x v="3"/>
    <x v="24"/>
    <x v="4"/>
    <x v="2"/>
    <n v="2"/>
    <n v="10625"/>
    <n v="21250"/>
    <n v="8500"/>
    <n v="17000"/>
    <n v="4250"/>
    <n v="0.2"/>
  </r>
  <r>
    <x v="193"/>
    <s v="ORD-02708"/>
    <x v="2"/>
    <x v="3"/>
    <x v="41"/>
    <x v="3"/>
    <x v="0"/>
    <n v="9"/>
    <n v="3625"/>
    <n v="32625"/>
    <n v="2500"/>
    <n v="22500"/>
    <n v="10125"/>
    <n v="0.31034482758620691"/>
  </r>
  <r>
    <x v="193"/>
    <s v="ORD-02709"/>
    <x v="0"/>
    <x v="2"/>
    <x v="48"/>
    <x v="7"/>
    <x v="2"/>
    <n v="4"/>
    <n v="8750"/>
    <n v="35000"/>
    <n v="7000"/>
    <n v="28000"/>
    <n v="7000"/>
    <n v="0.2"/>
  </r>
  <r>
    <x v="193"/>
    <s v="ORD-02710"/>
    <x v="0"/>
    <x v="4"/>
    <x v="13"/>
    <x v="7"/>
    <x v="2"/>
    <n v="8"/>
    <n v="8400"/>
    <n v="67200"/>
    <n v="7000"/>
    <n v="56000"/>
    <n v="11200"/>
    <n v="0.16666666666666666"/>
  </r>
  <r>
    <x v="193"/>
    <s v="ORD-02711"/>
    <x v="1"/>
    <x v="4"/>
    <x v="9"/>
    <x v="3"/>
    <x v="0"/>
    <n v="3"/>
    <n v="3050"/>
    <n v="9150"/>
    <n v="2500"/>
    <n v="7500"/>
    <n v="1650"/>
    <n v="0.18032786885245902"/>
  </r>
  <r>
    <x v="193"/>
    <s v="ORD-02712"/>
    <x v="1"/>
    <x v="5"/>
    <x v="116"/>
    <x v="6"/>
    <x v="3"/>
    <n v="4"/>
    <n v="1197"/>
    <n v="4788"/>
    <n v="900"/>
    <n v="3600"/>
    <n v="1188"/>
    <n v="0.24812030075187969"/>
  </r>
  <r>
    <x v="193"/>
    <s v="ORD-02713"/>
    <x v="1"/>
    <x v="0"/>
    <x v="105"/>
    <x v="3"/>
    <x v="0"/>
    <n v="1"/>
    <n v="3575"/>
    <n v="3575"/>
    <n v="2500"/>
    <n v="2500"/>
    <n v="1075"/>
    <n v="0.30069930069930068"/>
  </r>
  <r>
    <x v="193"/>
    <s v="ORD-02714"/>
    <x v="2"/>
    <x v="4"/>
    <x v="38"/>
    <x v="0"/>
    <x v="0"/>
    <n v="5"/>
    <n v="4480"/>
    <n v="22400"/>
    <n v="3200"/>
    <n v="16000"/>
    <n v="6400"/>
    <n v="0.2857142857142857"/>
  </r>
  <r>
    <x v="194"/>
    <s v="ORD-02715"/>
    <x v="0"/>
    <x v="3"/>
    <x v="49"/>
    <x v="5"/>
    <x v="3"/>
    <n v="1"/>
    <n v="840"/>
    <n v="840"/>
    <n v="600"/>
    <n v="600"/>
    <n v="240"/>
    <n v="0.2857142857142857"/>
  </r>
  <r>
    <x v="194"/>
    <s v="ORD-02716"/>
    <x v="0"/>
    <x v="1"/>
    <x v="79"/>
    <x v="4"/>
    <x v="2"/>
    <n v="3"/>
    <n v="10540"/>
    <n v="31620"/>
    <n v="8500"/>
    <n v="25500"/>
    <n v="6120"/>
    <n v="0.19354838709677419"/>
  </r>
  <r>
    <x v="194"/>
    <s v="ORD-02717"/>
    <x v="0"/>
    <x v="2"/>
    <x v="80"/>
    <x v="5"/>
    <x v="3"/>
    <n v="10"/>
    <n v="786"/>
    <n v="7860"/>
    <n v="600"/>
    <n v="6000"/>
    <n v="1860"/>
    <n v="0.23664122137404581"/>
  </r>
  <r>
    <x v="194"/>
    <s v="ORD-02718"/>
    <x v="0"/>
    <x v="4"/>
    <x v="120"/>
    <x v="1"/>
    <x v="1"/>
    <n v="2"/>
    <n v="55350"/>
    <n v="110700"/>
    <n v="45000"/>
    <n v="90000"/>
    <n v="20700"/>
    <n v="0.18699186991869918"/>
  </r>
  <r>
    <x v="194"/>
    <s v="ORD-02719"/>
    <x v="0"/>
    <x v="3"/>
    <x v="9"/>
    <x v="0"/>
    <x v="0"/>
    <n v="8"/>
    <n v="3968"/>
    <n v="31744"/>
    <n v="3200"/>
    <n v="25600"/>
    <n v="6144"/>
    <n v="0.19354838709677419"/>
  </r>
  <r>
    <x v="194"/>
    <s v="ORD-02720"/>
    <x v="1"/>
    <x v="2"/>
    <x v="48"/>
    <x v="4"/>
    <x v="2"/>
    <n v="5"/>
    <n v="10370"/>
    <n v="51850"/>
    <n v="8500"/>
    <n v="42500"/>
    <n v="9350"/>
    <n v="0.18032786885245902"/>
  </r>
  <r>
    <x v="194"/>
    <s v="ORD-02721"/>
    <x v="1"/>
    <x v="4"/>
    <x v="45"/>
    <x v="0"/>
    <x v="0"/>
    <n v="10"/>
    <n v="4640"/>
    <n v="46400"/>
    <n v="3200"/>
    <n v="32000"/>
    <n v="14400"/>
    <n v="0.31034482758620691"/>
  </r>
  <r>
    <x v="194"/>
    <s v="ORD-02722"/>
    <x v="1"/>
    <x v="3"/>
    <x v="99"/>
    <x v="7"/>
    <x v="2"/>
    <n v="9"/>
    <n v="8890"/>
    <n v="80010"/>
    <n v="7000"/>
    <n v="63000"/>
    <n v="17010"/>
    <n v="0.2125984251968504"/>
  </r>
  <r>
    <x v="194"/>
    <s v="ORD-02723"/>
    <x v="0"/>
    <x v="5"/>
    <x v="106"/>
    <x v="3"/>
    <x v="0"/>
    <n v="7"/>
    <n v="3375"/>
    <n v="23625"/>
    <n v="2500"/>
    <n v="17500"/>
    <n v="6125"/>
    <n v="0.25925925925925924"/>
  </r>
  <r>
    <x v="194"/>
    <s v="ORD-02724"/>
    <x v="1"/>
    <x v="0"/>
    <x v="81"/>
    <x v="7"/>
    <x v="2"/>
    <n v="6"/>
    <n v="9310"/>
    <n v="55860"/>
    <n v="7000"/>
    <n v="42000"/>
    <n v="13860"/>
    <n v="0.24812030075187969"/>
  </r>
  <r>
    <x v="194"/>
    <s v="ORD-02725"/>
    <x v="2"/>
    <x v="3"/>
    <x v="89"/>
    <x v="5"/>
    <x v="3"/>
    <n v="6"/>
    <n v="864"/>
    <n v="5184"/>
    <n v="600"/>
    <n v="3600"/>
    <n v="1584"/>
    <n v="0.30555555555555558"/>
  </r>
  <r>
    <x v="194"/>
    <s v="ORD-02726"/>
    <x v="2"/>
    <x v="3"/>
    <x v="53"/>
    <x v="0"/>
    <x v="0"/>
    <n v="5"/>
    <n v="4064"/>
    <n v="20320"/>
    <n v="3200"/>
    <n v="16000"/>
    <n v="4320"/>
    <n v="0.2125984251968504"/>
  </r>
  <r>
    <x v="194"/>
    <s v="ORD-02727"/>
    <x v="3"/>
    <x v="2"/>
    <x v="87"/>
    <x v="6"/>
    <x v="3"/>
    <n v="5"/>
    <n v="1098"/>
    <n v="5490"/>
    <n v="900"/>
    <n v="4500"/>
    <n v="990"/>
    <n v="0.18032786885245902"/>
  </r>
  <r>
    <x v="194"/>
    <s v="ORD-02728"/>
    <x v="0"/>
    <x v="1"/>
    <x v="4"/>
    <x v="0"/>
    <x v="0"/>
    <n v="5"/>
    <n v="4640"/>
    <n v="23200"/>
    <n v="3200"/>
    <n v="16000"/>
    <n v="7200"/>
    <n v="0.31034482758620691"/>
  </r>
  <r>
    <x v="195"/>
    <s v="ORD-02729"/>
    <x v="1"/>
    <x v="0"/>
    <x v="109"/>
    <x v="7"/>
    <x v="2"/>
    <n v="8"/>
    <n v="9520"/>
    <n v="76160"/>
    <n v="7000"/>
    <n v="56000"/>
    <n v="20160"/>
    <n v="0.26470588235294118"/>
  </r>
  <r>
    <x v="195"/>
    <s v="ORD-02730"/>
    <x v="3"/>
    <x v="4"/>
    <x v="135"/>
    <x v="3"/>
    <x v="0"/>
    <n v="4"/>
    <n v="3550"/>
    <n v="14200"/>
    <n v="2500"/>
    <n v="10000"/>
    <n v="4200"/>
    <n v="0.29577464788732394"/>
  </r>
  <r>
    <x v="195"/>
    <s v="ORD-02731"/>
    <x v="3"/>
    <x v="1"/>
    <x v="103"/>
    <x v="2"/>
    <x v="1"/>
    <n v="3"/>
    <n v="51300"/>
    <n v="153900"/>
    <n v="38000"/>
    <n v="114000"/>
    <n v="39900"/>
    <n v="0.25925925925925924"/>
  </r>
  <r>
    <x v="195"/>
    <s v="ORD-02732"/>
    <x v="0"/>
    <x v="5"/>
    <x v="10"/>
    <x v="5"/>
    <x v="3"/>
    <n v="5"/>
    <n v="792"/>
    <n v="3960"/>
    <n v="600"/>
    <n v="3000"/>
    <n v="960"/>
    <n v="0.24242424242424243"/>
  </r>
  <r>
    <x v="195"/>
    <s v="ORD-02733"/>
    <x v="2"/>
    <x v="4"/>
    <x v="107"/>
    <x v="6"/>
    <x v="3"/>
    <n v="2"/>
    <n v="1278"/>
    <n v="2556"/>
    <n v="900"/>
    <n v="1800"/>
    <n v="756"/>
    <n v="0.29577464788732394"/>
  </r>
  <r>
    <x v="195"/>
    <s v="ORD-02734"/>
    <x v="1"/>
    <x v="1"/>
    <x v="87"/>
    <x v="2"/>
    <x v="1"/>
    <n v="10"/>
    <n v="50540"/>
    <n v="505400"/>
    <n v="38000"/>
    <n v="380000"/>
    <n v="125400"/>
    <n v="0.24812030075187969"/>
  </r>
  <r>
    <x v="195"/>
    <s v="ORD-02735"/>
    <x v="0"/>
    <x v="0"/>
    <x v="10"/>
    <x v="3"/>
    <x v="0"/>
    <n v="10"/>
    <n v="3500"/>
    <n v="35000"/>
    <n v="2500"/>
    <n v="25000"/>
    <n v="10000"/>
    <n v="0.2857142857142857"/>
  </r>
  <r>
    <x v="195"/>
    <s v="ORD-02736"/>
    <x v="0"/>
    <x v="1"/>
    <x v="79"/>
    <x v="6"/>
    <x v="3"/>
    <n v="10"/>
    <n v="1179"/>
    <n v="11790"/>
    <n v="900"/>
    <n v="9000"/>
    <n v="2790"/>
    <n v="0.23664122137404581"/>
  </r>
  <r>
    <x v="195"/>
    <s v="ORD-02737"/>
    <x v="1"/>
    <x v="2"/>
    <x v="26"/>
    <x v="6"/>
    <x v="3"/>
    <n v="7"/>
    <n v="1206"/>
    <n v="8442"/>
    <n v="900"/>
    <n v="6300"/>
    <n v="2142"/>
    <n v="0.2537313432835821"/>
  </r>
  <r>
    <x v="195"/>
    <s v="ORD-02738"/>
    <x v="0"/>
    <x v="2"/>
    <x v="79"/>
    <x v="0"/>
    <x v="0"/>
    <n v="8"/>
    <n v="4256"/>
    <n v="34048"/>
    <n v="3200"/>
    <n v="25600"/>
    <n v="8448"/>
    <n v="0.24812030075187969"/>
  </r>
  <r>
    <x v="195"/>
    <s v="ORD-02739"/>
    <x v="0"/>
    <x v="5"/>
    <x v="115"/>
    <x v="5"/>
    <x v="3"/>
    <n v="9"/>
    <n v="762"/>
    <n v="6858"/>
    <n v="600"/>
    <n v="5400"/>
    <n v="1458"/>
    <n v="0.2125984251968504"/>
  </r>
  <r>
    <x v="195"/>
    <s v="ORD-02740"/>
    <x v="1"/>
    <x v="0"/>
    <x v="42"/>
    <x v="5"/>
    <x v="3"/>
    <n v="9"/>
    <n v="762"/>
    <n v="6858"/>
    <n v="600"/>
    <n v="5400"/>
    <n v="1458"/>
    <n v="0.2125984251968504"/>
  </r>
  <r>
    <x v="195"/>
    <s v="ORD-02741"/>
    <x v="0"/>
    <x v="1"/>
    <x v="70"/>
    <x v="1"/>
    <x v="1"/>
    <n v="4"/>
    <n v="58950"/>
    <n v="235800"/>
    <n v="45000"/>
    <n v="180000"/>
    <n v="55800"/>
    <n v="0.23664122137404581"/>
  </r>
  <r>
    <x v="195"/>
    <s v="ORD-02742"/>
    <x v="2"/>
    <x v="1"/>
    <x v="69"/>
    <x v="3"/>
    <x v="0"/>
    <n v="10"/>
    <n v="3375"/>
    <n v="33750"/>
    <n v="2500"/>
    <n v="25000"/>
    <n v="8750"/>
    <n v="0.25925925925925924"/>
  </r>
  <r>
    <x v="196"/>
    <s v="ORD-02743"/>
    <x v="2"/>
    <x v="2"/>
    <x v="102"/>
    <x v="3"/>
    <x v="0"/>
    <n v="2"/>
    <n v="3475.0000000000005"/>
    <n v="6950.0000000000009"/>
    <n v="2500"/>
    <n v="5000"/>
    <n v="1950.0000000000009"/>
    <n v="0.28057553956834541"/>
  </r>
  <r>
    <x v="196"/>
    <s v="ORD-02744"/>
    <x v="2"/>
    <x v="5"/>
    <x v="62"/>
    <x v="4"/>
    <x v="2"/>
    <n v="2"/>
    <n v="11135"/>
    <n v="22270"/>
    <n v="8500"/>
    <n v="17000"/>
    <n v="5270"/>
    <n v="0.23664122137404581"/>
  </r>
  <r>
    <x v="196"/>
    <s v="ORD-02745"/>
    <x v="0"/>
    <x v="5"/>
    <x v="35"/>
    <x v="0"/>
    <x v="0"/>
    <n v="2"/>
    <n v="4320"/>
    <n v="8640"/>
    <n v="3200"/>
    <n v="6400"/>
    <n v="2240"/>
    <n v="0.25925925925925924"/>
  </r>
  <r>
    <x v="196"/>
    <s v="ORD-02746"/>
    <x v="1"/>
    <x v="1"/>
    <x v="81"/>
    <x v="0"/>
    <x v="0"/>
    <n v="7"/>
    <n v="4256"/>
    <n v="29792"/>
    <n v="3200"/>
    <n v="22400"/>
    <n v="7392"/>
    <n v="0.24812030075187969"/>
  </r>
  <r>
    <x v="196"/>
    <s v="ORD-02747"/>
    <x v="3"/>
    <x v="2"/>
    <x v="14"/>
    <x v="2"/>
    <x v="1"/>
    <n v="10"/>
    <n v="49780"/>
    <n v="497800"/>
    <n v="38000"/>
    <n v="380000"/>
    <n v="117800"/>
    <n v="0.23664122137404581"/>
  </r>
  <r>
    <x v="196"/>
    <s v="ORD-02748"/>
    <x v="1"/>
    <x v="5"/>
    <x v="96"/>
    <x v="3"/>
    <x v="0"/>
    <n v="4"/>
    <n v="3250"/>
    <n v="13000"/>
    <n v="2500"/>
    <n v="10000"/>
    <n v="3000"/>
    <n v="0.23076923076923078"/>
  </r>
  <r>
    <x v="196"/>
    <s v="ORD-02749"/>
    <x v="0"/>
    <x v="5"/>
    <x v="38"/>
    <x v="0"/>
    <x v="0"/>
    <n v="6"/>
    <n v="4480"/>
    <n v="26880"/>
    <n v="3200"/>
    <n v="19200"/>
    <n v="7680"/>
    <n v="0.2857142857142857"/>
  </r>
  <r>
    <x v="196"/>
    <s v="ORD-02750"/>
    <x v="0"/>
    <x v="3"/>
    <x v="113"/>
    <x v="2"/>
    <x v="1"/>
    <n v="5"/>
    <n v="49780"/>
    <n v="248900"/>
    <n v="38000"/>
    <n v="190000"/>
    <n v="58900"/>
    <n v="0.23664122137404581"/>
  </r>
  <r>
    <x v="196"/>
    <s v="ORD-02751"/>
    <x v="3"/>
    <x v="2"/>
    <x v="131"/>
    <x v="6"/>
    <x v="3"/>
    <n v="8"/>
    <n v="1251"/>
    <n v="10008"/>
    <n v="900"/>
    <n v="7200"/>
    <n v="2808"/>
    <n v="0.2805755395683453"/>
  </r>
  <r>
    <x v="196"/>
    <s v="ORD-02752"/>
    <x v="3"/>
    <x v="5"/>
    <x v="38"/>
    <x v="6"/>
    <x v="3"/>
    <n v="1"/>
    <n v="1197"/>
    <n v="1197"/>
    <n v="900"/>
    <n v="900"/>
    <n v="297"/>
    <n v="0.24812030075187969"/>
  </r>
  <r>
    <x v="196"/>
    <s v="ORD-02753"/>
    <x v="1"/>
    <x v="2"/>
    <x v="124"/>
    <x v="3"/>
    <x v="0"/>
    <n v="6"/>
    <n v="3275"/>
    <n v="19650"/>
    <n v="2500"/>
    <n v="15000"/>
    <n v="4650"/>
    <n v="0.23664122137404581"/>
  </r>
  <r>
    <x v="196"/>
    <s v="ORD-02754"/>
    <x v="1"/>
    <x v="0"/>
    <x v="119"/>
    <x v="7"/>
    <x v="2"/>
    <n v="7"/>
    <n v="10010"/>
    <n v="70070"/>
    <n v="7000"/>
    <n v="49000"/>
    <n v="21070"/>
    <n v="0.30069930069930068"/>
  </r>
  <r>
    <x v="196"/>
    <s v="ORD-02755"/>
    <x v="0"/>
    <x v="5"/>
    <x v="29"/>
    <x v="5"/>
    <x v="3"/>
    <n v="1"/>
    <n v="815.99999999999989"/>
    <n v="815.99999999999989"/>
    <n v="600"/>
    <n v="600"/>
    <n v="215.99999999999989"/>
    <n v="0.26470588235294107"/>
  </r>
  <r>
    <x v="196"/>
    <s v="ORD-02756"/>
    <x v="2"/>
    <x v="3"/>
    <x v="94"/>
    <x v="1"/>
    <x v="1"/>
    <n v="6"/>
    <n v="56700"/>
    <n v="340200"/>
    <n v="45000"/>
    <n v="270000"/>
    <n v="70200"/>
    <n v="0.20634920634920634"/>
  </r>
  <r>
    <x v="197"/>
    <s v="ORD-02757"/>
    <x v="0"/>
    <x v="0"/>
    <x v="26"/>
    <x v="2"/>
    <x v="1"/>
    <n v="1"/>
    <n v="52060.000000000007"/>
    <n v="52060.000000000007"/>
    <n v="38000"/>
    <n v="38000"/>
    <n v="14060.000000000007"/>
    <n v="0.27007299270073004"/>
  </r>
  <r>
    <x v="197"/>
    <s v="ORD-02758"/>
    <x v="0"/>
    <x v="4"/>
    <x v="33"/>
    <x v="7"/>
    <x v="2"/>
    <n v="8"/>
    <n v="9240"/>
    <n v="73920"/>
    <n v="7000"/>
    <n v="56000"/>
    <n v="17920"/>
    <n v="0.24242424242424243"/>
  </r>
  <r>
    <x v="197"/>
    <s v="ORD-02759"/>
    <x v="3"/>
    <x v="5"/>
    <x v="35"/>
    <x v="0"/>
    <x v="0"/>
    <n v="9"/>
    <n v="4192"/>
    <n v="37728"/>
    <n v="3200"/>
    <n v="28800"/>
    <n v="8928"/>
    <n v="0.23664122137404581"/>
  </r>
  <r>
    <x v="197"/>
    <s v="ORD-02760"/>
    <x v="0"/>
    <x v="3"/>
    <x v="83"/>
    <x v="3"/>
    <x v="0"/>
    <n v="5"/>
    <n v="3175"/>
    <n v="15875"/>
    <n v="2500"/>
    <n v="12500"/>
    <n v="3375"/>
    <n v="0.2125984251968504"/>
  </r>
  <r>
    <x v="197"/>
    <s v="ORD-02761"/>
    <x v="0"/>
    <x v="3"/>
    <x v="125"/>
    <x v="3"/>
    <x v="0"/>
    <n v="7"/>
    <n v="3449.9999999999995"/>
    <n v="24149.999999999996"/>
    <n v="2500"/>
    <n v="17500"/>
    <n v="6649.9999999999964"/>
    <n v="0.2753623188405796"/>
  </r>
  <r>
    <x v="197"/>
    <s v="ORD-02762"/>
    <x v="1"/>
    <x v="5"/>
    <x v="44"/>
    <x v="4"/>
    <x v="2"/>
    <n v="10"/>
    <n v="10965"/>
    <n v="109650"/>
    <n v="8500"/>
    <n v="85000"/>
    <n v="24650"/>
    <n v="0.22480620155038761"/>
  </r>
  <r>
    <x v="197"/>
    <s v="ORD-02763"/>
    <x v="3"/>
    <x v="0"/>
    <x v="130"/>
    <x v="3"/>
    <x v="0"/>
    <n v="4"/>
    <n v="3175"/>
    <n v="12700"/>
    <n v="2500"/>
    <n v="10000"/>
    <n v="2700"/>
    <n v="0.2125984251968504"/>
  </r>
  <r>
    <x v="197"/>
    <s v="ORD-02764"/>
    <x v="0"/>
    <x v="2"/>
    <x v="39"/>
    <x v="6"/>
    <x v="3"/>
    <n v="6"/>
    <n v="1215"/>
    <n v="7290"/>
    <n v="900"/>
    <n v="5400"/>
    <n v="1890"/>
    <n v="0.25925925925925924"/>
  </r>
  <r>
    <x v="197"/>
    <s v="ORD-02765"/>
    <x v="3"/>
    <x v="1"/>
    <x v="110"/>
    <x v="0"/>
    <x v="0"/>
    <n v="8"/>
    <n v="4512"/>
    <n v="36096"/>
    <n v="3200"/>
    <n v="25600"/>
    <n v="10496"/>
    <n v="0.29078014184397161"/>
  </r>
  <r>
    <x v="197"/>
    <s v="ORD-02766"/>
    <x v="0"/>
    <x v="5"/>
    <x v="4"/>
    <x v="5"/>
    <x v="3"/>
    <n v="2"/>
    <n v="780"/>
    <n v="1560"/>
    <n v="600"/>
    <n v="1200"/>
    <n v="360"/>
    <n v="0.23076923076923078"/>
  </r>
  <r>
    <x v="197"/>
    <s v="ORD-02767"/>
    <x v="3"/>
    <x v="1"/>
    <x v="135"/>
    <x v="7"/>
    <x v="2"/>
    <n v="7"/>
    <n v="9450"/>
    <n v="66150"/>
    <n v="7000"/>
    <n v="49000"/>
    <n v="17150"/>
    <n v="0.25925925925925924"/>
  </r>
  <r>
    <x v="197"/>
    <s v="ORD-02768"/>
    <x v="0"/>
    <x v="5"/>
    <x v="33"/>
    <x v="3"/>
    <x v="0"/>
    <n v="2"/>
    <n v="3600"/>
    <n v="7200"/>
    <n v="2500"/>
    <n v="5000"/>
    <n v="2200"/>
    <n v="0.30555555555555558"/>
  </r>
  <r>
    <x v="197"/>
    <s v="ORD-02769"/>
    <x v="3"/>
    <x v="4"/>
    <x v="45"/>
    <x v="2"/>
    <x v="1"/>
    <n v="4"/>
    <n v="50160"/>
    <n v="200640"/>
    <n v="38000"/>
    <n v="152000"/>
    <n v="48640"/>
    <n v="0.24242424242424243"/>
  </r>
  <r>
    <x v="197"/>
    <s v="ORD-02770"/>
    <x v="1"/>
    <x v="5"/>
    <x v="127"/>
    <x v="0"/>
    <x v="0"/>
    <n v="6"/>
    <n v="4576"/>
    <n v="27456"/>
    <n v="3200"/>
    <n v="19200"/>
    <n v="8256"/>
    <n v="0.30069930069930068"/>
  </r>
  <r>
    <x v="198"/>
    <s v="ORD-02771"/>
    <x v="3"/>
    <x v="5"/>
    <x v="49"/>
    <x v="3"/>
    <x v="0"/>
    <n v="8"/>
    <n v="3025"/>
    <n v="24200"/>
    <n v="2500"/>
    <n v="20000"/>
    <n v="4200"/>
    <n v="0.17355371900826447"/>
  </r>
  <r>
    <x v="198"/>
    <s v="ORD-02772"/>
    <x v="1"/>
    <x v="0"/>
    <x v="140"/>
    <x v="6"/>
    <x v="3"/>
    <n v="7"/>
    <n v="1152"/>
    <n v="8064"/>
    <n v="900"/>
    <n v="6300"/>
    <n v="1764"/>
    <n v="0.21875"/>
  </r>
  <r>
    <x v="198"/>
    <s v="ORD-02773"/>
    <x v="2"/>
    <x v="1"/>
    <x v="10"/>
    <x v="6"/>
    <x v="3"/>
    <n v="3"/>
    <n v="1116"/>
    <n v="3348"/>
    <n v="900"/>
    <n v="2700"/>
    <n v="648"/>
    <n v="0.19354838709677419"/>
  </r>
  <r>
    <x v="198"/>
    <s v="ORD-02774"/>
    <x v="0"/>
    <x v="4"/>
    <x v="10"/>
    <x v="5"/>
    <x v="3"/>
    <n v="10"/>
    <n v="726"/>
    <n v="7260"/>
    <n v="600"/>
    <n v="6000"/>
    <n v="1260"/>
    <n v="0.17355371900826447"/>
  </r>
  <r>
    <x v="198"/>
    <s v="ORD-02775"/>
    <x v="1"/>
    <x v="2"/>
    <x v="130"/>
    <x v="2"/>
    <x v="1"/>
    <n v="8"/>
    <n v="49400"/>
    <n v="395200"/>
    <n v="38000"/>
    <n v="304000"/>
    <n v="91200"/>
    <n v="0.23076923076923078"/>
  </r>
  <r>
    <x v="198"/>
    <s v="ORD-02776"/>
    <x v="1"/>
    <x v="0"/>
    <x v="37"/>
    <x v="6"/>
    <x v="3"/>
    <n v="2"/>
    <n v="1242"/>
    <n v="2484"/>
    <n v="900"/>
    <n v="1800"/>
    <n v="684"/>
    <n v="0.27536231884057971"/>
  </r>
  <r>
    <x v="198"/>
    <s v="ORD-02777"/>
    <x v="1"/>
    <x v="4"/>
    <x v="136"/>
    <x v="6"/>
    <x v="3"/>
    <n v="2"/>
    <n v="1233"/>
    <n v="2466"/>
    <n v="900"/>
    <n v="1800"/>
    <n v="666"/>
    <n v="0.27007299270072993"/>
  </r>
  <r>
    <x v="198"/>
    <s v="ORD-02778"/>
    <x v="2"/>
    <x v="2"/>
    <x v="42"/>
    <x v="3"/>
    <x v="0"/>
    <n v="3"/>
    <n v="3525"/>
    <n v="10575"/>
    <n v="2500"/>
    <n v="7500"/>
    <n v="3075"/>
    <n v="0.29078014184397161"/>
  </r>
  <r>
    <x v="198"/>
    <s v="ORD-02779"/>
    <x v="3"/>
    <x v="2"/>
    <x v="123"/>
    <x v="1"/>
    <x v="1"/>
    <n v="2"/>
    <n v="62999.999999999993"/>
    <n v="125999.99999999999"/>
    <n v="45000"/>
    <n v="90000"/>
    <n v="35999.999999999985"/>
    <n v="0.28571428571428564"/>
  </r>
  <r>
    <x v="198"/>
    <s v="ORD-02780"/>
    <x v="2"/>
    <x v="0"/>
    <x v="20"/>
    <x v="2"/>
    <x v="1"/>
    <n v="7"/>
    <n v="49780"/>
    <n v="348460"/>
    <n v="38000"/>
    <n v="266000"/>
    <n v="82460"/>
    <n v="0.23664122137404581"/>
  </r>
  <r>
    <x v="198"/>
    <s v="ORD-02781"/>
    <x v="1"/>
    <x v="4"/>
    <x v="58"/>
    <x v="3"/>
    <x v="0"/>
    <n v="1"/>
    <n v="3350"/>
    <n v="3350"/>
    <n v="2500"/>
    <n v="2500"/>
    <n v="850"/>
    <n v="0.2537313432835821"/>
  </r>
  <r>
    <x v="198"/>
    <s v="ORD-02782"/>
    <x v="3"/>
    <x v="2"/>
    <x v="30"/>
    <x v="6"/>
    <x v="3"/>
    <n v="5"/>
    <n v="1197"/>
    <n v="5985"/>
    <n v="900"/>
    <n v="4500"/>
    <n v="1485"/>
    <n v="0.24812030075187969"/>
  </r>
  <r>
    <x v="198"/>
    <s v="ORD-02783"/>
    <x v="2"/>
    <x v="0"/>
    <x v="100"/>
    <x v="1"/>
    <x v="1"/>
    <n v="6"/>
    <n v="57600"/>
    <n v="345600"/>
    <n v="45000"/>
    <n v="270000"/>
    <n v="75600"/>
    <n v="0.21875"/>
  </r>
  <r>
    <x v="198"/>
    <s v="ORD-02784"/>
    <x v="0"/>
    <x v="1"/>
    <x v="76"/>
    <x v="6"/>
    <x v="3"/>
    <n v="4"/>
    <n v="1089"/>
    <n v="4356"/>
    <n v="900"/>
    <n v="3600"/>
    <n v="756"/>
    <n v="0.17355371900826447"/>
  </r>
  <r>
    <x v="199"/>
    <s v="ORD-02785"/>
    <x v="0"/>
    <x v="2"/>
    <x v="145"/>
    <x v="5"/>
    <x v="3"/>
    <n v="8"/>
    <n v="792"/>
    <n v="6336"/>
    <n v="600"/>
    <n v="4800"/>
    <n v="1536"/>
    <n v="0.24242424242424243"/>
  </r>
  <r>
    <x v="199"/>
    <s v="ORD-02786"/>
    <x v="0"/>
    <x v="2"/>
    <x v="34"/>
    <x v="7"/>
    <x v="2"/>
    <n v="6"/>
    <n v="8610"/>
    <n v="51660"/>
    <n v="7000"/>
    <n v="42000"/>
    <n v="9660"/>
    <n v="0.18699186991869918"/>
  </r>
  <r>
    <x v="199"/>
    <s v="ORD-02787"/>
    <x v="0"/>
    <x v="1"/>
    <x v="125"/>
    <x v="7"/>
    <x v="2"/>
    <n v="9"/>
    <n v="9870"/>
    <n v="88830"/>
    <n v="7000"/>
    <n v="63000"/>
    <n v="25830"/>
    <n v="0.29078014184397161"/>
  </r>
  <r>
    <x v="199"/>
    <s v="ORD-02788"/>
    <x v="1"/>
    <x v="3"/>
    <x v="17"/>
    <x v="7"/>
    <x v="2"/>
    <n v="1"/>
    <n v="10080"/>
    <n v="10080"/>
    <n v="7000"/>
    <n v="7000"/>
    <n v="3080"/>
    <n v="0.30555555555555558"/>
  </r>
  <r>
    <x v="199"/>
    <s v="ORD-02789"/>
    <x v="3"/>
    <x v="5"/>
    <x v="58"/>
    <x v="2"/>
    <x v="1"/>
    <n v="7"/>
    <n v="49400"/>
    <n v="345800"/>
    <n v="38000"/>
    <n v="266000"/>
    <n v="79800"/>
    <n v="0.23076923076923078"/>
  </r>
  <r>
    <x v="199"/>
    <s v="ORD-02790"/>
    <x v="2"/>
    <x v="2"/>
    <x v="72"/>
    <x v="4"/>
    <x v="2"/>
    <n v="7"/>
    <n v="12155"/>
    <n v="85085"/>
    <n v="8500"/>
    <n v="59500"/>
    <n v="25585"/>
    <n v="0.30069930069930068"/>
  </r>
  <r>
    <x v="199"/>
    <s v="ORD-02791"/>
    <x v="0"/>
    <x v="5"/>
    <x v="68"/>
    <x v="6"/>
    <x v="3"/>
    <n v="9"/>
    <n v="1143"/>
    <n v="10287"/>
    <n v="900"/>
    <n v="8100"/>
    <n v="2187"/>
    <n v="0.2125984251968504"/>
  </r>
  <r>
    <x v="199"/>
    <s v="ORD-02792"/>
    <x v="3"/>
    <x v="5"/>
    <x v="16"/>
    <x v="2"/>
    <x v="1"/>
    <n v="5"/>
    <n v="54340"/>
    <n v="271700"/>
    <n v="38000"/>
    <n v="190000"/>
    <n v="81700"/>
    <n v="0.30069930069930068"/>
  </r>
  <r>
    <x v="199"/>
    <s v="ORD-02793"/>
    <x v="2"/>
    <x v="5"/>
    <x v="50"/>
    <x v="1"/>
    <x v="1"/>
    <n v="5"/>
    <n v="57600"/>
    <n v="288000"/>
    <n v="45000"/>
    <n v="225000"/>
    <n v="63000"/>
    <n v="0.21875"/>
  </r>
  <r>
    <x v="199"/>
    <s v="ORD-02794"/>
    <x v="2"/>
    <x v="4"/>
    <x v="88"/>
    <x v="6"/>
    <x v="3"/>
    <n v="7"/>
    <n v="1260"/>
    <n v="8820"/>
    <n v="900"/>
    <n v="6300"/>
    <n v="2520"/>
    <n v="0.2857142857142857"/>
  </r>
  <r>
    <x v="199"/>
    <s v="ORD-02795"/>
    <x v="3"/>
    <x v="2"/>
    <x v="92"/>
    <x v="5"/>
    <x v="3"/>
    <n v="6"/>
    <n v="840"/>
    <n v="5040"/>
    <n v="600"/>
    <n v="3600"/>
    <n v="1440"/>
    <n v="0.2857142857142857"/>
  </r>
  <r>
    <x v="199"/>
    <s v="ORD-02796"/>
    <x v="1"/>
    <x v="4"/>
    <x v="65"/>
    <x v="1"/>
    <x v="1"/>
    <n v="10"/>
    <n v="59850"/>
    <n v="598500"/>
    <n v="45000"/>
    <n v="450000"/>
    <n v="148500"/>
    <n v="0.24812030075187969"/>
  </r>
  <r>
    <x v="199"/>
    <s v="ORD-02797"/>
    <x v="3"/>
    <x v="3"/>
    <x v="32"/>
    <x v="0"/>
    <x v="0"/>
    <n v="6"/>
    <n v="3872"/>
    <n v="23232"/>
    <n v="3200"/>
    <n v="19200"/>
    <n v="4032"/>
    <n v="0.17355371900826447"/>
  </r>
  <r>
    <x v="199"/>
    <s v="ORD-02798"/>
    <x v="2"/>
    <x v="3"/>
    <x v="61"/>
    <x v="3"/>
    <x v="0"/>
    <n v="1"/>
    <n v="3150"/>
    <n v="3150"/>
    <n v="2500"/>
    <n v="2500"/>
    <n v="650"/>
    <n v="0.20634920634920634"/>
  </r>
  <r>
    <x v="200"/>
    <s v="ORD-02799"/>
    <x v="0"/>
    <x v="5"/>
    <x v="144"/>
    <x v="1"/>
    <x v="1"/>
    <n v="10"/>
    <n v="63900"/>
    <n v="639000"/>
    <n v="45000"/>
    <n v="450000"/>
    <n v="189000"/>
    <n v="0.29577464788732394"/>
  </r>
  <r>
    <x v="200"/>
    <s v="ORD-02800"/>
    <x v="0"/>
    <x v="2"/>
    <x v="9"/>
    <x v="7"/>
    <x v="2"/>
    <n v="4"/>
    <n v="9450"/>
    <n v="37800"/>
    <n v="7000"/>
    <n v="28000"/>
    <n v="9800"/>
    <n v="0.25925925925925924"/>
  </r>
  <r>
    <x v="200"/>
    <s v="ORD-02801"/>
    <x v="2"/>
    <x v="0"/>
    <x v="52"/>
    <x v="7"/>
    <x v="2"/>
    <n v="5"/>
    <n v="9170"/>
    <n v="45850"/>
    <n v="7000"/>
    <n v="35000"/>
    <n v="10850"/>
    <n v="0.23664122137404581"/>
  </r>
  <r>
    <x v="200"/>
    <s v="ORD-02802"/>
    <x v="0"/>
    <x v="1"/>
    <x v="129"/>
    <x v="6"/>
    <x v="3"/>
    <n v="5"/>
    <n v="1287"/>
    <n v="6435"/>
    <n v="900"/>
    <n v="4500"/>
    <n v="1935"/>
    <n v="0.30069930069930068"/>
  </r>
  <r>
    <x v="200"/>
    <s v="ORD-02803"/>
    <x v="3"/>
    <x v="0"/>
    <x v="50"/>
    <x v="7"/>
    <x v="2"/>
    <n v="4"/>
    <n v="8470"/>
    <n v="33880"/>
    <n v="7000"/>
    <n v="28000"/>
    <n v="5880"/>
    <n v="0.17355371900826447"/>
  </r>
  <r>
    <x v="200"/>
    <s v="ORD-02804"/>
    <x v="1"/>
    <x v="1"/>
    <x v="58"/>
    <x v="3"/>
    <x v="0"/>
    <n v="8"/>
    <n v="3399.9999999999995"/>
    <n v="27199.999999999996"/>
    <n v="2500"/>
    <n v="20000"/>
    <n v="7199.9999999999964"/>
    <n v="0.26470588235294107"/>
  </r>
  <r>
    <x v="200"/>
    <s v="ORD-02805"/>
    <x v="3"/>
    <x v="5"/>
    <x v="71"/>
    <x v="5"/>
    <x v="3"/>
    <n v="4"/>
    <n v="810"/>
    <n v="3240"/>
    <n v="600"/>
    <n v="2400"/>
    <n v="840"/>
    <n v="0.25925925925925924"/>
  </r>
  <r>
    <x v="200"/>
    <s v="ORD-02806"/>
    <x v="1"/>
    <x v="3"/>
    <x v="32"/>
    <x v="0"/>
    <x v="0"/>
    <n v="6"/>
    <n v="4320"/>
    <n v="25920"/>
    <n v="3200"/>
    <n v="19200"/>
    <n v="6720"/>
    <n v="0.25925925925925924"/>
  </r>
  <r>
    <x v="200"/>
    <s v="ORD-02807"/>
    <x v="3"/>
    <x v="0"/>
    <x v="38"/>
    <x v="3"/>
    <x v="0"/>
    <n v="3"/>
    <n v="3300"/>
    <n v="9900"/>
    <n v="2500"/>
    <n v="7500"/>
    <n v="2400"/>
    <n v="0.24242424242424243"/>
  </r>
  <r>
    <x v="200"/>
    <s v="ORD-02808"/>
    <x v="3"/>
    <x v="3"/>
    <x v="126"/>
    <x v="1"/>
    <x v="1"/>
    <n v="6"/>
    <n v="59850"/>
    <n v="359100"/>
    <n v="45000"/>
    <n v="270000"/>
    <n v="89100"/>
    <n v="0.24812030075187969"/>
  </r>
  <r>
    <x v="200"/>
    <s v="ORD-02809"/>
    <x v="2"/>
    <x v="4"/>
    <x v="27"/>
    <x v="7"/>
    <x v="2"/>
    <n v="4"/>
    <n v="8960"/>
    <n v="35840"/>
    <n v="7000"/>
    <n v="28000"/>
    <n v="7840"/>
    <n v="0.21875"/>
  </r>
  <r>
    <x v="200"/>
    <s v="ORD-02810"/>
    <x v="1"/>
    <x v="0"/>
    <x v="96"/>
    <x v="7"/>
    <x v="2"/>
    <n v="10"/>
    <n v="9100"/>
    <n v="91000"/>
    <n v="7000"/>
    <n v="70000"/>
    <n v="21000"/>
    <n v="0.23076923076923078"/>
  </r>
  <r>
    <x v="200"/>
    <s v="ORD-02811"/>
    <x v="3"/>
    <x v="1"/>
    <x v="68"/>
    <x v="4"/>
    <x v="2"/>
    <n v="2"/>
    <n v="10710"/>
    <n v="21420"/>
    <n v="8500"/>
    <n v="17000"/>
    <n v="4420"/>
    <n v="0.20634920634920634"/>
  </r>
  <r>
    <x v="200"/>
    <s v="ORD-02812"/>
    <x v="2"/>
    <x v="0"/>
    <x v="79"/>
    <x v="0"/>
    <x v="0"/>
    <n v="6"/>
    <n v="4576"/>
    <n v="27456"/>
    <n v="3200"/>
    <n v="19200"/>
    <n v="8256"/>
    <n v="0.30069930069930068"/>
  </r>
  <r>
    <x v="201"/>
    <s v="ORD-02813"/>
    <x v="3"/>
    <x v="1"/>
    <x v="31"/>
    <x v="7"/>
    <x v="2"/>
    <n v="5"/>
    <n v="9310"/>
    <n v="46550"/>
    <n v="7000"/>
    <n v="35000"/>
    <n v="11550"/>
    <n v="0.24812030075187969"/>
  </r>
  <r>
    <x v="201"/>
    <s v="ORD-02814"/>
    <x v="1"/>
    <x v="5"/>
    <x v="100"/>
    <x v="4"/>
    <x v="2"/>
    <n v="7"/>
    <n v="11220"/>
    <n v="78540"/>
    <n v="8500"/>
    <n v="59500"/>
    <n v="19040"/>
    <n v="0.24242424242424243"/>
  </r>
  <r>
    <x v="201"/>
    <s v="ORD-02815"/>
    <x v="1"/>
    <x v="4"/>
    <x v="11"/>
    <x v="6"/>
    <x v="3"/>
    <n v="10"/>
    <n v="1116"/>
    <n v="11160"/>
    <n v="900"/>
    <n v="9000"/>
    <n v="2160"/>
    <n v="0.19354838709677419"/>
  </r>
  <r>
    <x v="201"/>
    <s v="ORD-02816"/>
    <x v="1"/>
    <x v="3"/>
    <x v="47"/>
    <x v="6"/>
    <x v="3"/>
    <n v="3"/>
    <n v="1098"/>
    <n v="3294"/>
    <n v="900"/>
    <n v="2700"/>
    <n v="594"/>
    <n v="0.18032786885245902"/>
  </r>
  <r>
    <x v="201"/>
    <s v="ORD-02817"/>
    <x v="1"/>
    <x v="1"/>
    <x v="0"/>
    <x v="0"/>
    <x v="0"/>
    <n v="7"/>
    <n v="4480"/>
    <n v="31360"/>
    <n v="3200"/>
    <n v="22400"/>
    <n v="8960"/>
    <n v="0.2857142857142857"/>
  </r>
  <r>
    <x v="201"/>
    <s v="ORD-02818"/>
    <x v="2"/>
    <x v="4"/>
    <x v="61"/>
    <x v="7"/>
    <x v="2"/>
    <n v="9"/>
    <n v="8960"/>
    <n v="80640"/>
    <n v="7000"/>
    <n v="63000"/>
    <n v="17640"/>
    <n v="0.21875"/>
  </r>
  <r>
    <x v="201"/>
    <s v="ORD-02819"/>
    <x v="2"/>
    <x v="0"/>
    <x v="46"/>
    <x v="7"/>
    <x v="2"/>
    <n v="10"/>
    <n v="10010"/>
    <n v="100100"/>
    <n v="7000"/>
    <n v="70000"/>
    <n v="30100"/>
    <n v="0.30069930069930068"/>
  </r>
  <r>
    <x v="201"/>
    <s v="ORD-02820"/>
    <x v="3"/>
    <x v="3"/>
    <x v="131"/>
    <x v="3"/>
    <x v="0"/>
    <n v="8"/>
    <n v="3300"/>
    <n v="26400"/>
    <n v="2500"/>
    <n v="20000"/>
    <n v="6400"/>
    <n v="0.24242424242424243"/>
  </r>
  <r>
    <x v="201"/>
    <s v="ORD-02821"/>
    <x v="2"/>
    <x v="4"/>
    <x v="103"/>
    <x v="6"/>
    <x v="3"/>
    <n v="5"/>
    <n v="1215"/>
    <n v="6075"/>
    <n v="900"/>
    <n v="4500"/>
    <n v="1575"/>
    <n v="0.25925925925925924"/>
  </r>
  <r>
    <x v="201"/>
    <s v="ORD-02822"/>
    <x v="1"/>
    <x v="3"/>
    <x v="0"/>
    <x v="0"/>
    <x v="0"/>
    <n v="9"/>
    <n v="4576"/>
    <n v="41184"/>
    <n v="3200"/>
    <n v="28800"/>
    <n v="12384"/>
    <n v="0.30069930069930068"/>
  </r>
  <r>
    <x v="201"/>
    <s v="ORD-02823"/>
    <x v="3"/>
    <x v="5"/>
    <x v="47"/>
    <x v="2"/>
    <x v="1"/>
    <n v="8"/>
    <n v="52439.999999999993"/>
    <n v="419519.99999999994"/>
    <n v="38000"/>
    <n v="304000"/>
    <n v="115519.99999999994"/>
    <n v="0.2753623188405796"/>
  </r>
  <r>
    <x v="201"/>
    <s v="ORD-02824"/>
    <x v="1"/>
    <x v="3"/>
    <x v="121"/>
    <x v="6"/>
    <x v="3"/>
    <n v="2"/>
    <n v="1107"/>
    <n v="2214"/>
    <n v="900"/>
    <n v="1800"/>
    <n v="414"/>
    <n v="0.18699186991869918"/>
  </r>
  <r>
    <x v="201"/>
    <s v="ORD-02825"/>
    <x v="2"/>
    <x v="5"/>
    <x v="98"/>
    <x v="2"/>
    <x v="1"/>
    <n v="1"/>
    <n v="45600"/>
    <n v="45600"/>
    <n v="38000"/>
    <n v="38000"/>
    <n v="7600"/>
    <n v="0.16666666666666666"/>
  </r>
  <r>
    <x v="201"/>
    <s v="ORD-02826"/>
    <x v="0"/>
    <x v="1"/>
    <x v="61"/>
    <x v="2"/>
    <x v="1"/>
    <n v="1"/>
    <n v="46360"/>
    <n v="46360"/>
    <n v="38000"/>
    <n v="38000"/>
    <n v="8360"/>
    <n v="0.18032786885245902"/>
  </r>
  <r>
    <x v="202"/>
    <s v="ORD-02827"/>
    <x v="1"/>
    <x v="2"/>
    <x v="101"/>
    <x v="7"/>
    <x v="2"/>
    <n v="7"/>
    <n v="9520"/>
    <n v="66640"/>
    <n v="7000"/>
    <n v="49000"/>
    <n v="17640"/>
    <n v="0.26470588235294118"/>
  </r>
  <r>
    <x v="202"/>
    <s v="ORD-02828"/>
    <x v="1"/>
    <x v="2"/>
    <x v="140"/>
    <x v="5"/>
    <x v="3"/>
    <n v="6"/>
    <n v="804"/>
    <n v="4824"/>
    <n v="600"/>
    <n v="3600"/>
    <n v="1224"/>
    <n v="0.2537313432835821"/>
  </r>
  <r>
    <x v="202"/>
    <s v="ORD-02829"/>
    <x v="0"/>
    <x v="1"/>
    <x v="79"/>
    <x v="0"/>
    <x v="0"/>
    <n v="8"/>
    <n v="4192"/>
    <n v="33536"/>
    <n v="3200"/>
    <n v="25600"/>
    <n v="7936"/>
    <n v="0.23664122137404581"/>
  </r>
  <r>
    <x v="202"/>
    <s v="ORD-02830"/>
    <x v="0"/>
    <x v="3"/>
    <x v="115"/>
    <x v="0"/>
    <x v="0"/>
    <n v="5"/>
    <n v="4384"/>
    <n v="21920"/>
    <n v="3200"/>
    <n v="16000"/>
    <n v="5920"/>
    <n v="0.27007299270072993"/>
  </r>
  <r>
    <x v="202"/>
    <s v="ORD-02831"/>
    <x v="1"/>
    <x v="5"/>
    <x v="79"/>
    <x v="5"/>
    <x v="3"/>
    <n v="8"/>
    <n v="738"/>
    <n v="5904"/>
    <n v="600"/>
    <n v="4800"/>
    <n v="1104"/>
    <n v="0.18699186991869918"/>
  </r>
  <r>
    <x v="202"/>
    <s v="ORD-02832"/>
    <x v="0"/>
    <x v="5"/>
    <x v="60"/>
    <x v="0"/>
    <x v="0"/>
    <n v="3"/>
    <n v="4288"/>
    <n v="12864"/>
    <n v="3200"/>
    <n v="9600"/>
    <n v="3264"/>
    <n v="0.2537313432835821"/>
  </r>
  <r>
    <x v="202"/>
    <s v="ORD-02833"/>
    <x v="3"/>
    <x v="2"/>
    <x v="117"/>
    <x v="0"/>
    <x v="0"/>
    <n v="3"/>
    <n v="4256"/>
    <n v="12768"/>
    <n v="3200"/>
    <n v="9600"/>
    <n v="3168"/>
    <n v="0.24812030075187969"/>
  </r>
  <r>
    <x v="202"/>
    <s v="ORD-02834"/>
    <x v="1"/>
    <x v="0"/>
    <x v="87"/>
    <x v="7"/>
    <x v="2"/>
    <n v="1"/>
    <n v="9170"/>
    <n v="9170"/>
    <n v="7000"/>
    <n v="7000"/>
    <n v="2170"/>
    <n v="0.23664122137404581"/>
  </r>
  <r>
    <x v="202"/>
    <s v="ORD-02835"/>
    <x v="1"/>
    <x v="4"/>
    <x v="9"/>
    <x v="3"/>
    <x v="0"/>
    <n v="5"/>
    <n v="3525"/>
    <n v="17625"/>
    <n v="2500"/>
    <n v="12500"/>
    <n v="5125"/>
    <n v="0.29078014184397161"/>
  </r>
  <r>
    <x v="202"/>
    <s v="ORD-02836"/>
    <x v="2"/>
    <x v="1"/>
    <x v="80"/>
    <x v="2"/>
    <x v="1"/>
    <n v="5"/>
    <n v="49400"/>
    <n v="247000"/>
    <n v="38000"/>
    <n v="190000"/>
    <n v="57000"/>
    <n v="0.23076923076923078"/>
  </r>
  <r>
    <x v="202"/>
    <s v="ORD-02837"/>
    <x v="1"/>
    <x v="4"/>
    <x v="142"/>
    <x v="2"/>
    <x v="1"/>
    <n v="6"/>
    <n v="53960"/>
    <n v="323760"/>
    <n v="38000"/>
    <n v="228000"/>
    <n v="95760"/>
    <n v="0.29577464788732394"/>
  </r>
  <r>
    <x v="202"/>
    <s v="ORD-02838"/>
    <x v="0"/>
    <x v="3"/>
    <x v="113"/>
    <x v="5"/>
    <x v="3"/>
    <n v="2"/>
    <n v="852"/>
    <n v="1704"/>
    <n v="600"/>
    <n v="1200"/>
    <n v="504"/>
    <n v="0.29577464788732394"/>
  </r>
  <r>
    <x v="202"/>
    <s v="ORD-02839"/>
    <x v="1"/>
    <x v="4"/>
    <x v="104"/>
    <x v="2"/>
    <x v="1"/>
    <n v="5"/>
    <n v="50920"/>
    <n v="254600"/>
    <n v="38000"/>
    <n v="190000"/>
    <n v="64600"/>
    <n v="0.2537313432835821"/>
  </r>
  <r>
    <x v="202"/>
    <s v="ORD-02840"/>
    <x v="0"/>
    <x v="1"/>
    <x v="37"/>
    <x v="0"/>
    <x v="0"/>
    <n v="9"/>
    <n v="4480"/>
    <n v="40320"/>
    <n v="3200"/>
    <n v="28800"/>
    <n v="11520"/>
    <n v="0.2857142857142857"/>
  </r>
  <r>
    <x v="203"/>
    <s v="ORD-02841"/>
    <x v="3"/>
    <x v="3"/>
    <x v="62"/>
    <x v="0"/>
    <x v="0"/>
    <n v="5"/>
    <n v="4224"/>
    <n v="21120"/>
    <n v="3200"/>
    <n v="16000"/>
    <n v="5120"/>
    <n v="0.24242424242424243"/>
  </r>
  <r>
    <x v="203"/>
    <s v="ORD-02842"/>
    <x v="1"/>
    <x v="2"/>
    <x v="58"/>
    <x v="2"/>
    <x v="1"/>
    <n v="10"/>
    <n v="52820.000000000007"/>
    <n v="528200.00000000012"/>
    <n v="38000"/>
    <n v="380000"/>
    <n v="148200.00000000012"/>
    <n v="0.28057553956834547"/>
  </r>
  <r>
    <x v="203"/>
    <s v="ORD-02843"/>
    <x v="0"/>
    <x v="1"/>
    <x v="42"/>
    <x v="5"/>
    <x v="3"/>
    <n v="9"/>
    <n v="827.99999999999989"/>
    <n v="7451.9999999999991"/>
    <n v="600"/>
    <n v="5400"/>
    <n v="2051.9999999999991"/>
    <n v="0.2753623188405796"/>
  </r>
  <r>
    <x v="203"/>
    <s v="ORD-02844"/>
    <x v="3"/>
    <x v="1"/>
    <x v="11"/>
    <x v="0"/>
    <x v="0"/>
    <n v="3"/>
    <n v="4192"/>
    <n v="12576"/>
    <n v="3200"/>
    <n v="9600"/>
    <n v="2976"/>
    <n v="0.23664122137404581"/>
  </r>
  <r>
    <x v="203"/>
    <s v="ORD-02845"/>
    <x v="2"/>
    <x v="2"/>
    <x v="121"/>
    <x v="2"/>
    <x v="1"/>
    <n v="3"/>
    <n v="52820.000000000007"/>
    <n v="158460.00000000003"/>
    <n v="38000"/>
    <n v="114000"/>
    <n v="44460.000000000029"/>
    <n v="0.28057553956834547"/>
  </r>
  <r>
    <x v="203"/>
    <s v="ORD-02846"/>
    <x v="0"/>
    <x v="4"/>
    <x v="128"/>
    <x v="4"/>
    <x v="2"/>
    <n v="10"/>
    <n v="10540"/>
    <n v="105400"/>
    <n v="8500"/>
    <n v="85000"/>
    <n v="20400"/>
    <n v="0.19354838709677419"/>
  </r>
  <r>
    <x v="203"/>
    <s v="ORD-02847"/>
    <x v="0"/>
    <x v="4"/>
    <x v="20"/>
    <x v="3"/>
    <x v="0"/>
    <n v="6"/>
    <n v="3175"/>
    <n v="19050"/>
    <n v="2500"/>
    <n v="15000"/>
    <n v="4050"/>
    <n v="0.2125984251968504"/>
  </r>
  <r>
    <x v="203"/>
    <s v="ORD-02848"/>
    <x v="2"/>
    <x v="2"/>
    <x v="29"/>
    <x v="5"/>
    <x v="3"/>
    <n v="9"/>
    <n v="732"/>
    <n v="6588"/>
    <n v="600"/>
    <n v="5400"/>
    <n v="1188"/>
    <n v="0.18032786885245902"/>
  </r>
  <r>
    <x v="203"/>
    <s v="ORD-02849"/>
    <x v="0"/>
    <x v="1"/>
    <x v="93"/>
    <x v="4"/>
    <x v="2"/>
    <n v="4"/>
    <n v="12240"/>
    <n v="48960"/>
    <n v="8500"/>
    <n v="34000"/>
    <n v="14960"/>
    <n v="0.30555555555555558"/>
  </r>
  <r>
    <x v="203"/>
    <s v="ORD-02850"/>
    <x v="1"/>
    <x v="3"/>
    <x v="50"/>
    <x v="1"/>
    <x v="1"/>
    <n v="10"/>
    <n v="59850"/>
    <n v="598500"/>
    <n v="45000"/>
    <n v="450000"/>
    <n v="148500"/>
    <n v="0.24812030075187969"/>
  </r>
  <r>
    <x v="203"/>
    <s v="ORD-02851"/>
    <x v="2"/>
    <x v="4"/>
    <x v="115"/>
    <x v="7"/>
    <x v="2"/>
    <n v="7"/>
    <n v="9170"/>
    <n v="64190"/>
    <n v="7000"/>
    <n v="49000"/>
    <n v="15190"/>
    <n v="0.23664122137404581"/>
  </r>
  <r>
    <x v="203"/>
    <s v="ORD-02852"/>
    <x v="0"/>
    <x v="0"/>
    <x v="102"/>
    <x v="3"/>
    <x v="0"/>
    <n v="10"/>
    <n v="3375"/>
    <n v="33750"/>
    <n v="2500"/>
    <n v="25000"/>
    <n v="8750"/>
    <n v="0.25925925925925924"/>
  </r>
  <r>
    <x v="203"/>
    <s v="ORD-02853"/>
    <x v="3"/>
    <x v="1"/>
    <x v="56"/>
    <x v="3"/>
    <x v="0"/>
    <n v="2"/>
    <n v="3200"/>
    <n v="6400"/>
    <n v="2500"/>
    <n v="5000"/>
    <n v="1400"/>
    <n v="0.21875"/>
  </r>
  <r>
    <x v="203"/>
    <s v="ORD-02854"/>
    <x v="2"/>
    <x v="2"/>
    <x v="34"/>
    <x v="4"/>
    <x v="2"/>
    <n v="8"/>
    <n v="11390"/>
    <n v="91120"/>
    <n v="8500"/>
    <n v="68000"/>
    <n v="23120"/>
    <n v="0.2537313432835821"/>
  </r>
  <r>
    <x v="204"/>
    <s v="ORD-02855"/>
    <x v="2"/>
    <x v="3"/>
    <x v="120"/>
    <x v="2"/>
    <x v="1"/>
    <n v="7"/>
    <n v="47120"/>
    <n v="329840"/>
    <n v="38000"/>
    <n v="266000"/>
    <n v="63840"/>
    <n v="0.19354838709677419"/>
  </r>
  <r>
    <x v="204"/>
    <s v="ORD-02856"/>
    <x v="3"/>
    <x v="2"/>
    <x v="9"/>
    <x v="5"/>
    <x v="3"/>
    <n v="1"/>
    <n v="768"/>
    <n v="768"/>
    <n v="600"/>
    <n v="600"/>
    <n v="168"/>
    <n v="0.21875"/>
  </r>
  <r>
    <x v="204"/>
    <s v="ORD-02857"/>
    <x v="3"/>
    <x v="2"/>
    <x v="50"/>
    <x v="7"/>
    <x v="2"/>
    <n v="3"/>
    <n v="9310"/>
    <n v="27930"/>
    <n v="7000"/>
    <n v="21000"/>
    <n v="6930"/>
    <n v="0.24812030075187969"/>
  </r>
  <r>
    <x v="204"/>
    <s v="ORD-02858"/>
    <x v="1"/>
    <x v="4"/>
    <x v="78"/>
    <x v="0"/>
    <x v="0"/>
    <n v="9"/>
    <n v="4256"/>
    <n v="38304"/>
    <n v="3200"/>
    <n v="28800"/>
    <n v="9504"/>
    <n v="0.24812030075187969"/>
  </r>
  <r>
    <x v="204"/>
    <s v="ORD-02859"/>
    <x v="0"/>
    <x v="3"/>
    <x v="87"/>
    <x v="4"/>
    <x v="2"/>
    <n v="1"/>
    <n v="12155"/>
    <n v="12155"/>
    <n v="8500"/>
    <n v="8500"/>
    <n v="3655"/>
    <n v="0.30069930069930068"/>
  </r>
  <r>
    <x v="204"/>
    <s v="ORD-02860"/>
    <x v="3"/>
    <x v="2"/>
    <x v="52"/>
    <x v="4"/>
    <x v="2"/>
    <n v="1"/>
    <n v="11390"/>
    <n v="11390"/>
    <n v="8500"/>
    <n v="8500"/>
    <n v="2890"/>
    <n v="0.2537313432835821"/>
  </r>
  <r>
    <x v="204"/>
    <s v="ORD-02861"/>
    <x v="3"/>
    <x v="2"/>
    <x v="62"/>
    <x v="1"/>
    <x v="1"/>
    <n v="5"/>
    <n v="65250"/>
    <n v="326250"/>
    <n v="45000"/>
    <n v="225000"/>
    <n v="101250"/>
    <n v="0.31034482758620691"/>
  </r>
  <r>
    <x v="204"/>
    <s v="ORD-02862"/>
    <x v="2"/>
    <x v="3"/>
    <x v="73"/>
    <x v="6"/>
    <x v="3"/>
    <n v="6"/>
    <n v="1269"/>
    <n v="7614"/>
    <n v="900"/>
    <n v="5400"/>
    <n v="2214"/>
    <n v="0.29078014184397161"/>
  </r>
  <r>
    <x v="204"/>
    <s v="ORD-02863"/>
    <x v="3"/>
    <x v="3"/>
    <x v="95"/>
    <x v="3"/>
    <x v="0"/>
    <n v="8"/>
    <n v="3525"/>
    <n v="28200"/>
    <n v="2500"/>
    <n v="20000"/>
    <n v="8200"/>
    <n v="0.29078014184397161"/>
  </r>
  <r>
    <x v="204"/>
    <s v="ORD-02864"/>
    <x v="2"/>
    <x v="4"/>
    <x v="55"/>
    <x v="5"/>
    <x v="3"/>
    <n v="8"/>
    <n v="774"/>
    <n v="6192"/>
    <n v="600"/>
    <n v="4800"/>
    <n v="1392"/>
    <n v="0.22480620155038761"/>
  </r>
  <r>
    <x v="204"/>
    <s v="ORD-02865"/>
    <x v="3"/>
    <x v="4"/>
    <x v="61"/>
    <x v="7"/>
    <x v="2"/>
    <n v="3"/>
    <n v="9450"/>
    <n v="28350"/>
    <n v="7000"/>
    <n v="21000"/>
    <n v="7350"/>
    <n v="0.25925925925925924"/>
  </r>
  <r>
    <x v="204"/>
    <s v="ORD-02866"/>
    <x v="0"/>
    <x v="3"/>
    <x v="23"/>
    <x v="7"/>
    <x v="2"/>
    <n v="7"/>
    <n v="9450"/>
    <n v="66150"/>
    <n v="7000"/>
    <n v="49000"/>
    <n v="17150"/>
    <n v="0.25925925925925924"/>
  </r>
  <r>
    <x v="204"/>
    <s v="ORD-02867"/>
    <x v="3"/>
    <x v="2"/>
    <x v="93"/>
    <x v="6"/>
    <x v="3"/>
    <n v="2"/>
    <n v="1233"/>
    <n v="2466"/>
    <n v="900"/>
    <n v="1800"/>
    <n v="666"/>
    <n v="0.27007299270072993"/>
  </r>
  <r>
    <x v="204"/>
    <s v="ORD-02868"/>
    <x v="3"/>
    <x v="5"/>
    <x v="14"/>
    <x v="3"/>
    <x v="0"/>
    <n v="4"/>
    <n v="3500"/>
    <n v="14000"/>
    <n v="2500"/>
    <n v="10000"/>
    <n v="4000"/>
    <n v="0.2857142857142857"/>
  </r>
  <r>
    <x v="205"/>
    <s v="ORD-02869"/>
    <x v="2"/>
    <x v="2"/>
    <x v="18"/>
    <x v="1"/>
    <x v="1"/>
    <n v="7"/>
    <n v="54000"/>
    <n v="378000"/>
    <n v="45000"/>
    <n v="315000"/>
    <n v="63000"/>
    <n v="0.16666666666666666"/>
  </r>
  <r>
    <x v="205"/>
    <s v="ORD-02870"/>
    <x v="2"/>
    <x v="1"/>
    <x v="36"/>
    <x v="2"/>
    <x v="1"/>
    <n v="5"/>
    <n v="47120"/>
    <n v="235600"/>
    <n v="38000"/>
    <n v="190000"/>
    <n v="45600"/>
    <n v="0.19354838709677419"/>
  </r>
  <r>
    <x v="205"/>
    <s v="ORD-02871"/>
    <x v="0"/>
    <x v="2"/>
    <x v="94"/>
    <x v="1"/>
    <x v="1"/>
    <n v="10"/>
    <n v="64800"/>
    <n v="648000"/>
    <n v="45000"/>
    <n v="450000"/>
    <n v="198000"/>
    <n v="0.30555555555555558"/>
  </r>
  <r>
    <x v="205"/>
    <s v="ORD-02872"/>
    <x v="2"/>
    <x v="3"/>
    <x v="74"/>
    <x v="6"/>
    <x v="3"/>
    <n v="3"/>
    <n v="1215"/>
    <n v="3645"/>
    <n v="900"/>
    <n v="2700"/>
    <n v="945"/>
    <n v="0.25925925925925924"/>
  </r>
  <r>
    <x v="205"/>
    <s v="ORD-02873"/>
    <x v="0"/>
    <x v="0"/>
    <x v="15"/>
    <x v="7"/>
    <x v="2"/>
    <n v="2"/>
    <n v="9030"/>
    <n v="18060"/>
    <n v="7000"/>
    <n v="14000"/>
    <n v="4060"/>
    <n v="0.22480620155038761"/>
  </r>
  <r>
    <x v="205"/>
    <s v="ORD-02874"/>
    <x v="2"/>
    <x v="5"/>
    <x v="44"/>
    <x v="6"/>
    <x v="3"/>
    <n v="2"/>
    <n v="1260"/>
    <n v="2520"/>
    <n v="900"/>
    <n v="1800"/>
    <n v="720"/>
    <n v="0.2857142857142857"/>
  </r>
  <r>
    <x v="205"/>
    <s v="ORD-02875"/>
    <x v="0"/>
    <x v="0"/>
    <x v="125"/>
    <x v="5"/>
    <x v="3"/>
    <n v="10"/>
    <n v="852"/>
    <n v="8520"/>
    <n v="600"/>
    <n v="6000"/>
    <n v="2520"/>
    <n v="0.29577464788732394"/>
  </r>
  <r>
    <x v="205"/>
    <s v="ORD-02876"/>
    <x v="3"/>
    <x v="4"/>
    <x v="31"/>
    <x v="6"/>
    <x v="3"/>
    <n v="7"/>
    <n v="1278"/>
    <n v="8946"/>
    <n v="900"/>
    <n v="6300"/>
    <n v="2646"/>
    <n v="0.29577464788732394"/>
  </r>
  <r>
    <x v="205"/>
    <s v="ORD-02877"/>
    <x v="3"/>
    <x v="4"/>
    <x v="102"/>
    <x v="4"/>
    <x v="2"/>
    <n v="1"/>
    <n v="11645"/>
    <n v="11645"/>
    <n v="8500"/>
    <n v="8500"/>
    <n v="3145"/>
    <n v="0.27007299270072993"/>
  </r>
  <r>
    <x v="205"/>
    <s v="ORD-02878"/>
    <x v="2"/>
    <x v="0"/>
    <x v="7"/>
    <x v="3"/>
    <x v="0"/>
    <n v="2"/>
    <n v="3275"/>
    <n v="6550"/>
    <n v="2500"/>
    <n v="5000"/>
    <n v="1550"/>
    <n v="0.23664122137404581"/>
  </r>
  <r>
    <x v="205"/>
    <s v="ORD-02879"/>
    <x v="3"/>
    <x v="4"/>
    <x v="126"/>
    <x v="7"/>
    <x v="2"/>
    <n v="3"/>
    <n v="9310"/>
    <n v="27930"/>
    <n v="7000"/>
    <n v="21000"/>
    <n v="6930"/>
    <n v="0.24812030075187969"/>
  </r>
  <r>
    <x v="205"/>
    <s v="ORD-02880"/>
    <x v="0"/>
    <x v="2"/>
    <x v="129"/>
    <x v="6"/>
    <x v="3"/>
    <n v="2"/>
    <n v="1170"/>
    <n v="2340"/>
    <n v="900"/>
    <n v="1800"/>
    <n v="540"/>
    <n v="0.23076923076923078"/>
  </r>
  <r>
    <x v="205"/>
    <s v="ORD-02881"/>
    <x v="3"/>
    <x v="2"/>
    <x v="114"/>
    <x v="1"/>
    <x v="1"/>
    <n v="1"/>
    <n v="62099.999999999993"/>
    <n v="62099.999999999993"/>
    <n v="45000"/>
    <n v="45000"/>
    <n v="17099.999999999993"/>
    <n v="0.2753623188405796"/>
  </r>
  <r>
    <x v="205"/>
    <s v="ORD-02882"/>
    <x v="2"/>
    <x v="4"/>
    <x v="64"/>
    <x v="5"/>
    <x v="3"/>
    <n v="10"/>
    <n v="756"/>
    <n v="7560"/>
    <n v="600"/>
    <n v="6000"/>
    <n v="1560"/>
    <n v="0.20634920634920634"/>
  </r>
  <r>
    <x v="206"/>
    <s v="ORD-02883"/>
    <x v="0"/>
    <x v="4"/>
    <x v="127"/>
    <x v="6"/>
    <x v="3"/>
    <n v="2"/>
    <n v="1305"/>
    <n v="2610"/>
    <n v="900"/>
    <n v="1800"/>
    <n v="810"/>
    <n v="0.31034482758620691"/>
  </r>
  <r>
    <x v="206"/>
    <s v="ORD-02884"/>
    <x v="2"/>
    <x v="0"/>
    <x v="70"/>
    <x v="6"/>
    <x v="3"/>
    <n v="3"/>
    <n v="1224"/>
    <n v="3672"/>
    <n v="900"/>
    <n v="2700"/>
    <n v="972"/>
    <n v="0.26470588235294118"/>
  </r>
  <r>
    <x v="206"/>
    <s v="ORD-02885"/>
    <x v="1"/>
    <x v="1"/>
    <x v="51"/>
    <x v="4"/>
    <x v="2"/>
    <n v="1"/>
    <n v="10540"/>
    <n v="10540"/>
    <n v="8500"/>
    <n v="8500"/>
    <n v="2040"/>
    <n v="0.19354838709677419"/>
  </r>
  <r>
    <x v="206"/>
    <s v="ORD-02886"/>
    <x v="2"/>
    <x v="0"/>
    <x v="3"/>
    <x v="6"/>
    <x v="3"/>
    <n v="10"/>
    <n v="1143"/>
    <n v="11430"/>
    <n v="900"/>
    <n v="9000"/>
    <n v="2430"/>
    <n v="0.2125984251968504"/>
  </r>
  <r>
    <x v="206"/>
    <s v="ORD-02887"/>
    <x v="2"/>
    <x v="1"/>
    <x v="127"/>
    <x v="4"/>
    <x v="2"/>
    <n v="10"/>
    <n v="11900"/>
    <n v="119000"/>
    <n v="8500"/>
    <n v="85000"/>
    <n v="34000"/>
    <n v="0.2857142857142857"/>
  </r>
  <r>
    <x v="206"/>
    <s v="ORD-02888"/>
    <x v="1"/>
    <x v="3"/>
    <x v="149"/>
    <x v="6"/>
    <x v="3"/>
    <n v="10"/>
    <n v="1179"/>
    <n v="11790"/>
    <n v="900"/>
    <n v="9000"/>
    <n v="2790"/>
    <n v="0.23664122137404581"/>
  </r>
  <r>
    <x v="206"/>
    <s v="ORD-02889"/>
    <x v="2"/>
    <x v="5"/>
    <x v="55"/>
    <x v="1"/>
    <x v="1"/>
    <n v="5"/>
    <n v="62099.999999999993"/>
    <n v="310499.99999999994"/>
    <n v="45000"/>
    <n v="225000"/>
    <n v="85499.999999999942"/>
    <n v="0.2753623188405796"/>
  </r>
  <r>
    <x v="206"/>
    <s v="ORD-02890"/>
    <x v="0"/>
    <x v="4"/>
    <x v="42"/>
    <x v="7"/>
    <x v="2"/>
    <n v="10"/>
    <n v="8470"/>
    <n v="84700"/>
    <n v="7000"/>
    <n v="70000"/>
    <n v="14700"/>
    <n v="0.17355371900826447"/>
  </r>
  <r>
    <x v="206"/>
    <s v="ORD-02891"/>
    <x v="2"/>
    <x v="1"/>
    <x v="71"/>
    <x v="6"/>
    <x v="3"/>
    <n v="7"/>
    <n v="1080"/>
    <n v="7560"/>
    <n v="900"/>
    <n v="6300"/>
    <n v="1260"/>
    <n v="0.16666666666666666"/>
  </r>
  <r>
    <x v="206"/>
    <s v="ORD-02892"/>
    <x v="2"/>
    <x v="0"/>
    <x v="39"/>
    <x v="0"/>
    <x v="0"/>
    <n v="6"/>
    <n v="4224"/>
    <n v="25344"/>
    <n v="3200"/>
    <n v="19200"/>
    <n v="6144"/>
    <n v="0.24242424242424243"/>
  </r>
  <r>
    <x v="206"/>
    <s v="ORD-02893"/>
    <x v="3"/>
    <x v="5"/>
    <x v="4"/>
    <x v="5"/>
    <x v="3"/>
    <n v="1"/>
    <n v="870"/>
    <n v="870"/>
    <n v="600"/>
    <n v="600"/>
    <n v="270"/>
    <n v="0.31034482758620691"/>
  </r>
  <r>
    <x v="206"/>
    <s v="ORD-02894"/>
    <x v="1"/>
    <x v="0"/>
    <x v="90"/>
    <x v="7"/>
    <x v="2"/>
    <n v="3"/>
    <n v="9730"/>
    <n v="29190"/>
    <n v="7000"/>
    <n v="21000"/>
    <n v="8190"/>
    <n v="0.2805755395683453"/>
  </r>
  <r>
    <x v="206"/>
    <s v="ORD-02895"/>
    <x v="1"/>
    <x v="4"/>
    <x v="91"/>
    <x v="2"/>
    <x v="1"/>
    <n v="10"/>
    <n v="52439.999999999993"/>
    <n v="524399.99999999988"/>
    <n v="38000"/>
    <n v="380000"/>
    <n v="144399.99999999988"/>
    <n v="0.27536231884057955"/>
  </r>
  <r>
    <x v="206"/>
    <s v="ORD-02896"/>
    <x v="1"/>
    <x v="2"/>
    <x v="107"/>
    <x v="5"/>
    <x v="3"/>
    <n v="2"/>
    <n v="822.00000000000011"/>
    <n v="1644.0000000000002"/>
    <n v="600"/>
    <n v="1200"/>
    <n v="444.00000000000023"/>
    <n v="0.27007299270073004"/>
  </r>
  <r>
    <x v="207"/>
    <s v="ORD-02897"/>
    <x v="3"/>
    <x v="5"/>
    <x v="134"/>
    <x v="6"/>
    <x v="3"/>
    <n v="2"/>
    <n v="1116"/>
    <n v="2232"/>
    <n v="900"/>
    <n v="1800"/>
    <n v="432"/>
    <n v="0.19354838709677419"/>
  </r>
  <r>
    <x v="207"/>
    <s v="ORD-02898"/>
    <x v="2"/>
    <x v="3"/>
    <x v="89"/>
    <x v="6"/>
    <x v="3"/>
    <n v="9"/>
    <n v="1242"/>
    <n v="11178"/>
    <n v="900"/>
    <n v="8100"/>
    <n v="3078"/>
    <n v="0.27536231884057971"/>
  </r>
  <r>
    <x v="207"/>
    <s v="ORD-02899"/>
    <x v="0"/>
    <x v="4"/>
    <x v="33"/>
    <x v="7"/>
    <x v="2"/>
    <n v="7"/>
    <n v="9380"/>
    <n v="65660"/>
    <n v="7000"/>
    <n v="49000"/>
    <n v="16660"/>
    <n v="0.2537313432835821"/>
  </r>
  <r>
    <x v="207"/>
    <s v="ORD-02900"/>
    <x v="3"/>
    <x v="1"/>
    <x v="44"/>
    <x v="7"/>
    <x v="2"/>
    <n v="1"/>
    <n v="8890"/>
    <n v="8890"/>
    <n v="7000"/>
    <n v="7000"/>
    <n v="1890"/>
    <n v="0.2125984251968504"/>
  </r>
  <r>
    <x v="207"/>
    <s v="ORD-02901"/>
    <x v="1"/>
    <x v="0"/>
    <x v="8"/>
    <x v="5"/>
    <x v="3"/>
    <n v="8"/>
    <n v="834.00000000000011"/>
    <n v="6672.0000000000009"/>
    <n v="600"/>
    <n v="4800"/>
    <n v="1872.0000000000009"/>
    <n v="0.28057553956834541"/>
  </r>
  <r>
    <x v="207"/>
    <s v="ORD-02902"/>
    <x v="0"/>
    <x v="2"/>
    <x v="112"/>
    <x v="2"/>
    <x v="1"/>
    <n v="2"/>
    <n v="54340"/>
    <n v="108680"/>
    <n v="38000"/>
    <n v="76000"/>
    <n v="32680"/>
    <n v="0.30069930069930068"/>
  </r>
  <r>
    <x v="207"/>
    <s v="ORD-02903"/>
    <x v="1"/>
    <x v="0"/>
    <x v="98"/>
    <x v="2"/>
    <x v="1"/>
    <n v="5"/>
    <n v="48640"/>
    <n v="243200"/>
    <n v="38000"/>
    <n v="190000"/>
    <n v="53200"/>
    <n v="0.21875"/>
  </r>
  <r>
    <x v="207"/>
    <s v="ORD-02904"/>
    <x v="3"/>
    <x v="0"/>
    <x v="47"/>
    <x v="4"/>
    <x v="2"/>
    <n v="4"/>
    <n v="11559.999999999998"/>
    <n v="46239.999999999993"/>
    <n v="8500"/>
    <n v="34000"/>
    <n v="12239.999999999993"/>
    <n v="0.26470588235294107"/>
  </r>
  <r>
    <x v="207"/>
    <s v="ORD-02905"/>
    <x v="2"/>
    <x v="4"/>
    <x v="69"/>
    <x v="1"/>
    <x v="1"/>
    <n v="9"/>
    <n v="63450"/>
    <n v="571050"/>
    <n v="45000"/>
    <n v="405000"/>
    <n v="166050"/>
    <n v="0.29078014184397161"/>
  </r>
  <r>
    <x v="207"/>
    <s v="ORD-02906"/>
    <x v="2"/>
    <x v="1"/>
    <x v="72"/>
    <x v="3"/>
    <x v="0"/>
    <n v="10"/>
    <n v="3350"/>
    <n v="33500"/>
    <n v="2500"/>
    <n v="25000"/>
    <n v="8500"/>
    <n v="0.2537313432835821"/>
  </r>
  <r>
    <x v="207"/>
    <s v="ORD-02907"/>
    <x v="2"/>
    <x v="0"/>
    <x v="7"/>
    <x v="6"/>
    <x v="3"/>
    <n v="2"/>
    <n v="1116"/>
    <n v="2232"/>
    <n v="900"/>
    <n v="1800"/>
    <n v="432"/>
    <n v="0.19354838709677419"/>
  </r>
  <r>
    <x v="207"/>
    <s v="ORD-02908"/>
    <x v="1"/>
    <x v="1"/>
    <x v="1"/>
    <x v="2"/>
    <x v="1"/>
    <n v="9"/>
    <n v="46360"/>
    <n v="417240"/>
    <n v="38000"/>
    <n v="342000"/>
    <n v="75240"/>
    <n v="0.18032786885245902"/>
  </r>
  <r>
    <x v="207"/>
    <s v="ORD-02909"/>
    <x v="1"/>
    <x v="2"/>
    <x v="3"/>
    <x v="5"/>
    <x v="3"/>
    <n v="5"/>
    <n v="774"/>
    <n v="3870"/>
    <n v="600"/>
    <n v="3000"/>
    <n v="870"/>
    <n v="0.22480620155038761"/>
  </r>
  <r>
    <x v="207"/>
    <s v="ORD-02910"/>
    <x v="3"/>
    <x v="3"/>
    <x v="53"/>
    <x v="4"/>
    <x v="2"/>
    <n v="9"/>
    <n v="10285"/>
    <n v="92565"/>
    <n v="8500"/>
    <n v="76500"/>
    <n v="16065"/>
    <n v="0.17355371900826447"/>
  </r>
  <r>
    <x v="208"/>
    <s v="ORD-02911"/>
    <x v="3"/>
    <x v="5"/>
    <x v="21"/>
    <x v="6"/>
    <x v="3"/>
    <n v="10"/>
    <n v="1080"/>
    <n v="10800"/>
    <n v="900"/>
    <n v="9000"/>
    <n v="1800"/>
    <n v="0.16666666666666666"/>
  </r>
  <r>
    <x v="208"/>
    <s v="ORD-02912"/>
    <x v="1"/>
    <x v="2"/>
    <x v="127"/>
    <x v="2"/>
    <x v="1"/>
    <n v="9"/>
    <n v="49400"/>
    <n v="444600"/>
    <n v="38000"/>
    <n v="342000"/>
    <n v="102600"/>
    <n v="0.23076923076923078"/>
  </r>
  <r>
    <x v="208"/>
    <s v="ORD-02913"/>
    <x v="3"/>
    <x v="1"/>
    <x v="66"/>
    <x v="2"/>
    <x v="1"/>
    <n v="7"/>
    <n v="48640"/>
    <n v="340480"/>
    <n v="38000"/>
    <n v="266000"/>
    <n v="74480"/>
    <n v="0.21875"/>
  </r>
  <r>
    <x v="208"/>
    <s v="ORD-02914"/>
    <x v="0"/>
    <x v="0"/>
    <x v="127"/>
    <x v="3"/>
    <x v="0"/>
    <n v="8"/>
    <n v="3500"/>
    <n v="28000"/>
    <n v="2500"/>
    <n v="20000"/>
    <n v="8000"/>
    <n v="0.2857142857142857"/>
  </r>
  <r>
    <x v="208"/>
    <s v="ORD-02915"/>
    <x v="1"/>
    <x v="3"/>
    <x v="61"/>
    <x v="1"/>
    <x v="1"/>
    <n v="1"/>
    <n v="58050"/>
    <n v="58050"/>
    <n v="45000"/>
    <n v="45000"/>
    <n v="13050"/>
    <n v="0.22480620155038761"/>
  </r>
  <r>
    <x v="208"/>
    <s v="ORD-02916"/>
    <x v="3"/>
    <x v="4"/>
    <x v="28"/>
    <x v="3"/>
    <x v="0"/>
    <n v="6"/>
    <n v="3175"/>
    <n v="19050"/>
    <n v="2500"/>
    <n v="15000"/>
    <n v="4050"/>
    <n v="0.2125984251968504"/>
  </r>
  <r>
    <x v="208"/>
    <s v="ORD-02917"/>
    <x v="3"/>
    <x v="0"/>
    <x v="116"/>
    <x v="0"/>
    <x v="0"/>
    <n v="4"/>
    <n v="4608"/>
    <n v="18432"/>
    <n v="3200"/>
    <n v="12800"/>
    <n v="5632"/>
    <n v="0.30555555555555558"/>
  </r>
  <r>
    <x v="208"/>
    <s v="ORD-02918"/>
    <x v="3"/>
    <x v="2"/>
    <x v="67"/>
    <x v="7"/>
    <x v="2"/>
    <n v="2"/>
    <n v="9520"/>
    <n v="19040"/>
    <n v="7000"/>
    <n v="14000"/>
    <n v="5040"/>
    <n v="0.26470588235294118"/>
  </r>
  <r>
    <x v="208"/>
    <s v="ORD-02919"/>
    <x v="3"/>
    <x v="1"/>
    <x v="101"/>
    <x v="7"/>
    <x v="2"/>
    <n v="6"/>
    <n v="10150"/>
    <n v="60900"/>
    <n v="7000"/>
    <n v="42000"/>
    <n v="18900"/>
    <n v="0.31034482758620691"/>
  </r>
  <r>
    <x v="208"/>
    <s v="ORD-02920"/>
    <x v="1"/>
    <x v="5"/>
    <x v="97"/>
    <x v="7"/>
    <x v="2"/>
    <n v="6"/>
    <n v="9520"/>
    <n v="57120"/>
    <n v="7000"/>
    <n v="42000"/>
    <n v="15120"/>
    <n v="0.26470588235294118"/>
  </r>
  <r>
    <x v="208"/>
    <s v="ORD-02921"/>
    <x v="0"/>
    <x v="0"/>
    <x v="60"/>
    <x v="0"/>
    <x v="0"/>
    <n v="10"/>
    <n v="4448"/>
    <n v="44480"/>
    <n v="3200"/>
    <n v="32000"/>
    <n v="12480"/>
    <n v="0.2805755395683453"/>
  </r>
  <r>
    <x v="208"/>
    <s v="ORD-02922"/>
    <x v="0"/>
    <x v="1"/>
    <x v="24"/>
    <x v="4"/>
    <x v="2"/>
    <n v="7"/>
    <n v="10795"/>
    <n v="75565"/>
    <n v="8500"/>
    <n v="59500"/>
    <n v="16065"/>
    <n v="0.2125984251968504"/>
  </r>
  <r>
    <x v="208"/>
    <s v="ORD-02923"/>
    <x v="2"/>
    <x v="4"/>
    <x v="86"/>
    <x v="7"/>
    <x v="2"/>
    <n v="3"/>
    <n v="10080"/>
    <n v="30240"/>
    <n v="7000"/>
    <n v="21000"/>
    <n v="9240"/>
    <n v="0.30555555555555558"/>
  </r>
  <r>
    <x v="208"/>
    <s v="ORD-02924"/>
    <x v="2"/>
    <x v="1"/>
    <x v="125"/>
    <x v="7"/>
    <x v="2"/>
    <n v="7"/>
    <n v="9940"/>
    <n v="69580"/>
    <n v="7000"/>
    <n v="49000"/>
    <n v="20580"/>
    <n v="0.29577464788732394"/>
  </r>
  <r>
    <x v="209"/>
    <s v="ORD-02925"/>
    <x v="1"/>
    <x v="3"/>
    <x v="54"/>
    <x v="1"/>
    <x v="1"/>
    <n v="7"/>
    <n v="55350"/>
    <n v="387450"/>
    <n v="45000"/>
    <n v="315000"/>
    <n v="72450"/>
    <n v="0.18699186991869918"/>
  </r>
  <r>
    <x v="209"/>
    <s v="ORD-02926"/>
    <x v="2"/>
    <x v="5"/>
    <x v="149"/>
    <x v="2"/>
    <x v="1"/>
    <n v="8"/>
    <n v="50540"/>
    <n v="404320"/>
    <n v="38000"/>
    <n v="304000"/>
    <n v="100320"/>
    <n v="0.24812030075187969"/>
  </r>
  <r>
    <x v="209"/>
    <s v="ORD-02927"/>
    <x v="2"/>
    <x v="5"/>
    <x v="33"/>
    <x v="4"/>
    <x v="2"/>
    <n v="8"/>
    <n v="10795"/>
    <n v="86360"/>
    <n v="8500"/>
    <n v="68000"/>
    <n v="18360"/>
    <n v="0.2125984251968504"/>
  </r>
  <r>
    <x v="209"/>
    <s v="ORD-02928"/>
    <x v="0"/>
    <x v="5"/>
    <x v="38"/>
    <x v="6"/>
    <x v="3"/>
    <n v="7"/>
    <n v="1260"/>
    <n v="8820"/>
    <n v="900"/>
    <n v="6300"/>
    <n v="2520"/>
    <n v="0.2857142857142857"/>
  </r>
  <r>
    <x v="209"/>
    <s v="ORD-02929"/>
    <x v="3"/>
    <x v="5"/>
    <x v="87"/>
    <x v="4"/>
    <x v="2"/>
    <n v="6"/>
    <n v="11730"/>
    <n v="70380"/>
    <n v="8500"/>
    <n v="51000"/>
    <n v="19380"/>
    <n v="0.27536231884057971"/>
  </r>
  <r>
    <x v="209"/>
    <s v="ORD-02930"/>
    <x v="0"/>
    <x v="5"/>
    <x v="28"/>
    <x v="4"/>
    <x v="2"/>
    <n v="7"/>
    <n v="11985"/>
    <n v="83895"/>
    <n v="8500"/>
    <n v="59500"/>
    <n v="24395"/>
    <n v="0.29078014184397161"/>
  </r>
  <r>
    <x v="209"/>
    <s v="ORD-02931"/>
    <x v="1"/>
    <x v="3"/>
    <x v="138"/>
    <x v="6"/>
    <x v="3"/>
    <n v="3"/>
    <n v="1161"/>
    <n v="3483"/>
    <n v="900"/>
    <n v="2700"/>
    <n v="783"/>
    <n v="0.22480620155038761"/>
  </r>
  <r>
    <x v="209"/>
    <s v="ORD-02932"/>
    <x v="1"/>
    <x v="4"/>
    <x v="66"/>
    <x v="2"/>
    <x v="1"/>
    <n v="3"/>
    <n v="45600"/>
    <n v="136800"/>
    <n v="38000"/>
    <n v="114000"/>
    <n v="22800"/>
    <n v="0.16666666666666666"/>
  </r>
  <r>
    <x v="209"/>
    <s v="ORD-02933"/>
    <x v="2"/>
    <x v="3"/>
    <x v="78"/>
    <x v="1"/>
    <x v="1"/>
    <n v="5"/>
    <n v="60300"/>
    <n v="301500"/>
    <n v="45000"/>
    <n v="225000"/>
    <n v="76500"/>
    <n v="0.2537313432835821"/>
  </r>
  <r>
    <x v="209"/>
    <s v="ORD-02934"/>
    <x v="2"/>
    <x v="3"/>
    <x v="123"/>
    <x v="1"/>
    <x v="1"/>
    <n v="6"/>
    <n v="62550.000000000007"/>
    <n v="375300.00000000006"/>
    <n v="45000"/>
    <n v="270000"/>
    <n v="105300.00000000006"/>
    <n v="0.28057553956834541"/>
  </r>
  <r>
    <x v="209"/>
    <s v="ORD-02935"/>
    <x v="0"/>
    <x v="2"/>
    <x v="135"/>
    <x v="6"/>
    <x v="3"/>
    <n v="2"/>
    <n v="1107"/>
    <n v="2214"/>
    <n v="900"/>
    <n v="1800"/>
    <n v="414"/>
    <n v="0.18699186991869918"/>
  </r>
  <r>
    <x v="209"/>
    <s v="ORD-02936"/>
    <x v="1"/>
    <x v="1"/>
    <x v="18"/>
    <x v="3"/>
    <x v="0"/>
    <n v="6"/>
    <n v="3000"/>
    <n v="18000"/>
    <n v="2500"/>
    <n v="15000"/>
    <n v="3000"/>
    <n v="0.16666666666666666"/>
  </r>
  <r>
    <x v="209"/>
    <s v="ORD-02937"/>
    <x v="3"/>
    <x v="4"/>
    <x v="127"/>
    <x v="0"/>
    <x v="0"/>
    <n v="7"/>
    <n v="4416"/>
    <n v="30912"/>
    <n v="3200"/>
    <n v="22400"/>
    <n v="8512"/>
    <n v="0.27536231884057971"/>
  </r>
  <r>
    <x v="209"/>
    <s v="ORD-02938"/>
    <x v="3"/>
    <x v="4"/>
    <x v="78"/>
    <x v="2"/>
    <x v="1"/>
    <n v="4"/>
    <n v="52060.000000000007"/>
    <n v="208240.00000000003"/>
    <n v="38000"/>
    <n v="152000"/>
    <n v="56240.000000000029"/>
    <n v="0.27007299270073004"/>
  </r>
  <r>
    <x v="210"/>
    <s v="ORD-02939"/>
    <x v="0"/>
    <x v="4"/>
    <x v="146"/>
    <x v="3"/>
    <x v="0"/>
    <n v="3"/>
    <n v="3050"/>
    <n v="9150"/>
    <n v="2500"/>
    <n v="7500"/>
    <n v="1650"/>
    <n v="0.18032786885245902"/>
  </r>
  <r>
    <x v="210"/>
    <s v="ORD-02940"/>
    <x v="2"/>
    <x v="1"/>
    <x v="84"/>
    <x v="2"/>
    <x v="1"/>
    <n v="1"/>
    <n v="51300"/>
    <n v="51300"/>
    <n v="38000"/>
    <n v="38000"/>
    <n v="13300"/>
    <n v="0.25925925925925924"/>
  </r>
  <r>
    <x v="210"/>
    <s v="ORD-02941"/>
    <x v="1"/>
    <x v="4"/>
    <x v="20"/>
    <x v="5"/>
    <x v="3"/>
    <n v="7"/>
    <n v="762"/>
    <n v="5334"/>
    <n v="600"/>
    <n v="4200"/>
    <n v="1134"/>
    <n v="0.2125984251968504"/>
  </r>
  <r>
    <x v="210"/>
    <s v="ORD-02942"/>
    <x v="0"/>
    <x v="0"/>
    <x v="8"/>
    <x v="2"/>
    <x v="1"/>
    <n v="5"/>
    <n v="46740"/>
    <n v="233700"/>
    <n v="38000"/>
    <n v="190000"/>
    <n v="43700"/>
    <n v="0.18699186991869918"/>
  </r>
  <r>
    <x v="210"/>
    <s v="ORD-02943"/>
    <x v="1"/>
    <x v="2"/>
    <x v="126"/>
    <x v="7"/>
    <x v="2"/>
    <n v="1"/>
    <n v="9450"/>
    <n v="9450"/>
    <n v="7000"/>
    <n v="7000"/>
    <n v="2450"/>
    <n v="0.25925925925925924"/>
  </r>
  <r>
    <x v="210"/>
    <s v="ORD-02944"/>
    <x v="0"/>
    <x v="0"/>
    <x v="73"/>
    <x v="6"/>
    <x v="3"/>
    <n v="8"/>
    <n v="1242"/>
    <n v="9936"/>
    <n v="900"/>
    <n v="7200"/>
    <n v="2736"/>
    <n v="0.27536231884057971"/>
  </r>
  <r>
    <x v="210"/>
    <s v="ORD-02945"/>
    <x v="1"/>
    <x v="3"/>
    <x v="18"/>
    <x v="0"/>
    <x v="0"/>
    <n v="8"/>
    <n v="4384"/>
    <n v="35072"/>
    <n v="3200"/>
    <n v="25600"/>
    <n v="9472"/>
    <n v="0.27007299270072993"/>
  </r>
  <r>
    <x v="210"/>
    <s v="ORD-02946"/>
    <x v="2"/>
    <x v="0"/>
    <x v="16"/>
    <x v="7"/>
    <x v="2"/>
    <n v="6"/>
    <n v="9660"/>
    <n v="57960"/>
    <n v="7000"/>
    <n v="42000"/>
    <n v="15960"/>
    <n v="0.27536231884057971"/>
  </r>
  <r>
    <x v="210"/>
    <s v="ORD-02947"/>
    <x v="2"/>
    <x v="3"/>
    <x v="120"/>
    <x v="7"/>
    <x v="2"/>
    <n v="4"/>
    <n v="9520"/>
    <n v="38080"/>
    <n v="7000"/>
    <n v="28000"/>
    <n v="10080"/>
    <n v="0.26470588235294118"/>
  </r>
  <r>
    <x v="210"/>
    <s v="ORD-02948"/>
    <x v="3"/>
    <x v="5"/>
    <x v="133"/>
    <x v="3"/>
    <x v="0"/>
    <n v="2"/>
    <n v="3500"/>
    <n v="7000"/>
    <n v="2500"/>
    <n v="5000"/>
    <n v="2000"/>
    <n v="0.2857142857142857"/>
  </r>
  <r>
    <x v="210"/>
    <s v="ORD-02949"/>
    <x v="2"/>
    <x v="3"/>
    <x v="121"/>
    <x v="0"/>
    <x v="0"/>
    <n v="9"/>
    <n v="4384"/>
    <n v="39456"/>
    <n v="3200"/>
    <n v="28800"/>
    <n v="10656"/>
    <n v="0.27007299270072993"/>
  </r>
  <r>
    <x v="210"/>
    <s v="ORD-02950"/>
    <x v="1"/>
    <x v="1"/>
    <x v="85"/>
    <x v="4"/>
    <x v="2"/>
    <n v="4"/>
    <n v="10285"/>
    <n v="41140"/>
    <n v="8500"/>
    <n v="34000"/>
    <n v="7140"/>
    <n v="0.17355371900826447"/>
  </r>
  <r>
    <x v="210"/>
    <s v="ORD-02951"/>
    <x v="0"/>
    <x v="2"/>
    <x v="52"/>
    <x v="2"/>
    <x v="1"/>
    <n v="7"/>
    <n v="45600"/>
    <n v="319200"/>
    <n v="38000"/>
    <n v="266000"/>
    <n v="53200"/>
    <n v="0.16666666666666666"/>
  </r>
  <r>
    <x v="210"/>
    <s v="ORD-02952"/>
    <x v="3"/>
    <x v="3"/>
    <x v="78"/>
    <x v="2"/>
    <x v="1"/>
    <n v="7"/>
    <n v="50540"/>
    <n v="353780"/>
    <n v="38000"/>
    <n v="266000"/>
    <n v="87780"/>
    <n v="0.24812030075187969"/>
  </r>
  <r>
    <x v="211"/>
    <s v="ORD-02953"/>
    <x v="0"/>
    <x v="2"/>
    <x v="31"/>
    <x v="4"/>
    <x v="2"/>
    <n v="4"/>
    <n v="10285"/>
    <n v="41140"/>
    <n v="8500"/>
    <n v="34000"/>
    <n v="7140"/>
    <n v="0.17355371900826447"/>
  </r>
  <r>
    <x v="211"/>
    <s v="ORD-02954"/>
    <x v="2"/>
    <x v="2"/>
    <x v="135"/>
    <x v="3"/>
    <x v="0"/>
    <n v="3"/>
    <n v="3625"/>
    <n v="10875"/>
    <n v="2500"/>
    <n v="7500"/>
    <n v="3375"/>
    <n v="0.31034482758620691"/>
  </r>
  <r>
    <x v="211"/>
    <s v="ORD-02955"/>
    <x v="1"/>
    <x v="4"/>
    <x v="37"/>
    <x v="3"/>
    <x v="0"/>
    <n v="4"/>
    <n v="3175"/>
    <n v="12700"/>
    <n v="2500"/>
    <n v="10000"/>
    <n v="2700"/>
    <n v="0.2125984251968504"/>
  </r>
  <r>
    <x v="211"/>
    <s v="ORD-02956"/>
    <x v="2"/>
    <x v="3"/>
    <x v="30"/>
    <x v="1"/>
    <x v="1"/>
    <n v="8"/>
    <n v="60750.000000000007"/>
    <n v="486000.00000000006"/>
    <n v="45000"/>
    <n v="360000"/>
    <n v="126000.00000000006"/>
    <n v="0.25925925925925936"/>
  </r>
  <r>
    <x v="211"/>
    <s v="ORD-02957"/>
    <x v="3"/>
    <x v="3"/>
    <x v="15"/>
    <x v="5"/>
    <x v="3"/>
    <n v="1"/>
    <n v="804"/>
    <n v="804"/>
    <n v="600"/>
    <n v="600"/>
    <n v="204"/>
    <n v="0.2537313432835821"/>
  </r>
  <r>
    <x v="211"/>
    <s v="ORD-02958"/>
    <x v="3"/>
    <x v="2"/>
    <x v="45"/>
    <x v="1"/>
    <x v="1"/>
    <n v="10"/>
    <n v="64800"/>
    <n v="648000"/>
    <n v="45000"/>
    <n v="450000"/>
    <n v="198000"/>
    <n v="0.30555555555555558"/>
  </r>
  <r>
    <x v="211"/>
    <s v="ORD-02959"/>
    <x v="3"/>
    <x v="3"/>
    <x v="106"/>
    <x v="2"/>
    <x v="1"/>
    <n v="10"/>
    <n v="50920"/>
    <n v="509200"/>
    <n v="38000"/>
    <n v="380000"/>
    <n v="129200"/>
    <n v="0.2537313432835821"/>
  </r>
  <r>
    <x v="211"/>
    <s v="ORD-02960"/>
    <x v="1"/>
    <x v="0"/>
    <x v="59"/>
    <x v="2"/>
    <x v="1"/>
    <n v="1"/>
    <n v="53580"/>
    <n v="53580"/>
    <n v="38000"/>
    <n v="38000"/>
    <n v="15580"/>
    <n v="0.29078014184397161"/>
  </r>
  <r>
    <x v="211"/>
    <s v="ORD-02961"/>
    <x v="0"/>
    <x v="3"/>
    <x v="89"/>
    <x v="3"/>
    <x v="0"/>
    <n v="7"/>
    <n v="3275"/>
    <n v="22925"/>
    <n v="2500"/>
    <n v="17500"/>
    <n v="5425"/>
    <n v="0.23664122137404581"/>
  </r>
  <r>
    <x v="211"/>
    <s v="ORD-02962"/>
    <x v="3"/>
    <x v="4"/>
    <x v="131"/>
    <x v="7"/>
    <x v="2"/>
    <n v="5"/>
    <n v="8540"/>
    <n v="42700"/>
    <n v="7000"/>
    <n v="35000"/>
    <n v="7700"/>
    <n v="0.18032786885245902"/>
  </r>
  <r>
    <x v="211"/>
    <s v="ORD-02963"/>
    <x v="3"/>
    <x v="4"/>
    <x v="88"/>
    <x v="7"/>
    <x v="2"/>
    <n v="9"/>
    <n v="10010"/>
    <n v="90090"/>
    <n v="7000"/>
    <n v="63000"/>
    <n v="27090"/>
    <n v="0.30069930069930068"/>
  </r>
  <r>
    <x v="211"/>
    <s v="ORD-02964"/>
    <x v="3"/>
    <x v="0"/>
    <x v="126"/>
    <x v="0"/>
    <x v="0"/>
    <n v="7"/>
    <n v="4256"/>
    <n v="29792"/>
    <n v="3200"/>
    <n v="22400"/>
    <n v="7392"/>
    <n v="0.24812030075187969"/>
  </r>
  <r>
    <x v="211"/>
    <s v="ORD-02965"/>
    <x v="3"/>
    <x v="5"/>
    <x v="37"/>
    <x v="4"/>
    <x v="2"/>
    <n v="2"/>
    <n v="10710"/>
    <n v="21420"/>
    <n v="8500"/>
    <n v="17000"/>
    <n v="4420"/>
    <n v="0.20634920634920634"/>
  </r>
  <r>
    <x v="211"/>
    <s v="ORD-02966"/>
    <x v="3"/>
    <x v="0"/>
    <x v="119"/>
    <x v="6"/>
    <x v="3"/>
    <n v="8"/>
    <n v="1089"/>
    <n v="8712"/>
    <n v="900"/>
    <n v="7200"/>
    <n v="1512"/>
    <n v="0.17355371900826447"/>
  </r>
  <r>
    <x v="212"/>
    <s v="ORD-02967"/>
    <x v="2"/>
    <x v="3"/>
    <x v="44"/>
    <x v="3"/>
    <x v="0"/>
    <n v="8"/>
    <n v="3449.9999999999995"/>
    <n v="27599.999999999996"/>
    <n v="2500"/>
    <n v="20000"/>
    <n v="7599.9999999999964"/>
    <n v="0.2753623188405796"/>
  </r>
  <r>
    <x v="212"/>
    <s v="ORD-02968"/>
    <x v="0"/>
    <x v="1"/>
    <x v="121"/>
    <x v="7"/>
    <x v="2"/>
    <n v="5"/>
    <n v="9940"/>
    <n v="49700"/>
    <n v="7000"/>
    <n v="35000"/>
    <n v="14700"/>
    <n v="0.29577464788732394"/>
  </r>
  <r>
    <x v="212"/>
    <s v="ORD-02969"/>
    <x v="3"/>
    <x v="5"/>
    <x v="102"/>
    <x v="1"/>
    <x v="1"/>
    <n v="10"/>
    <n v="61199.999999999993"/>
    <n v="611999.99999999988"/>
    <n v="45000"/>
    <n v="450000"/>
    <n v="161999.99999999988"/>
    <n v="0.26470588235294101"/>
  </r>
  <r>
    <x v="212"/>
    <s v="ORD-02970"/>
    <x v="2"/>
    <x v="0"/>
    <x v="57"/>
    <x v="1"/>
    <x v="1"/>
    <n v="1"/>
    <n v="60300"/>
    <n v="60300"/>
    <n v="45000"/>
    <n v="45000"/>
    <n v="15300"/>
    <n v="0.2537313432835821"/>
  </r>
  <r>
    <x v="212"/>
    <s v="ORD-02971"/>
    <x v="2"/>
    <x v="3"/>
    <x v="16"/>
    <x v="3"/>
    <x v="0"/>
    <n v="10"/>
    <n v="3350"/>
    <n v="33500"/>
    <n v="2500"/>
    <n v="25000"/>
    <n v="8500"/>
    <n v="0.2537313432835821"/>
  </r>
  <r>
    <x v="212"/>
    <s v="ORD-02972"/>
    <x v="3"/>
    <x v="5"/>
    <x v="50"/>
    <x v="5"/>
    <x v="3"/>
    <n v="10"/>
    <n v="834.00000000000011"/>
    <n v="8340.0000000000018"/>
    <n v="600"/>
    <n v="6000"/>
    <n v="2340.0000000000018"/>
    <n v="0.28057553956834547"/>
  </r>
  <r>
    <x v="212"/>
    <s v="ORD-02973"/>
    <x v="3"/>
    <x v="0"/>
    <x v="20"/>
    <x v="4"/>
    <x v="2"/>
    <n v="10"/>
    <n v="11220"/>
    <n v="112200"/>
    <n v="8500"/>
    <n v="85000"/>
    <n v="27200"/>
    <n v="0.24242424242424243"/>
  </r>
  <r>
    <x v="212"/>
    <s v="ORD-02974"/>
    <x v="0"/>
    <x v="5"/>
    <x v="52"/>
    <x v="2"/>
    <x v="1"/>
    <n v="1"/>
    <n v="49020"/>
    <n v="49020"/>
    <n v="38000"/>
    <n v="38000"/>
    <n v="11020"/>
    <n v="0.22480620155038761"/>
  </r>
  <r>
    <x v="212"/>
    <s v="ORD-02975"/>
    <x v="1"/>
    <x v="0"/>
    <x v="124"/>
    <x v="1"/>
    <x v="1"/>
    <n v="2"/>
    <n v="63900"/>
    <n v="127800"/>
    <n v="45000"/>
    <n v="90000"/>
    <n v="37800"/>
    <n v="0.29577464788732394"/>
  </r>
  <r>
    <x v="212"/>
    <s v="ORD-02976"/>
    <x v="1"/>
    <x v="1"/>
    <x v="122"/>
    <x v="0"/>
    <x v="0"/>
    <n v="9"/>
    <n v="3872"/>
    <n v="34848"/>
    <n v="3200"/>
    <n v="28800"/>
    <n v="6048"/>
    <n v="0.17355371900826447"/>
  </r>
  <r>
    <x v="212"/>
    <s v="ORD-02977"/>
    <x v="0"/>
    <x v="4"/>
    <x v="42"/>
    <x v="1"/>
    <x v="1"/>
    <n v="10"/>
    <n v="56700"/>
    <n v="567000"/>
    <n v="45000"/>
    <n v="450000"/>
    <n v="117000"/>
    <n v="0.20634920634920634"/>
  </r>
  <r>
    <x v="212"/>
    <s v="ORD-02978"/>
    <x v="1"/>
    <x v="2"/>
    <x v="7"/>
    <x v="4"/>
    <x v="2"/>
    <n v="8"/>
    <n v="11135"/>
    <n v="89080"/>
    <n v="8500"/>
    <n v="68000"/>
    <n v="21080"/>
    <n v="0.23664122137404581"/>
  </r>
  <r>
    <x v="212"/>
    <s v="ORD-02979"/>
    <x v="1"/>
    <x v="5"/>
    <x v="10"/>
    <x v="6"/>
    <x v="3"/>
    <n v="3"/>
    <n v="1278"/>
    <n v="3834"/>
    <n v="900"/>
    <n v="2700"/>
    <n v="1134"/>
    <n v="0.29577464788732394"/>
  </r>
  <r>
    <x v="212"/>
    <s v="ORD-02980"/>
    <x v="1"/>
    <x v="1"/>
    <x v="71"/>
    <x v="6"/>
    <x v="3"/>
    <n v="6"/>
    <n v="1107"/>
    <n v="6642"/>
    <n v="900"/>
    <n v="5400"/>
    <n v="1242"/>
    <n v="0.18699186991869918"/>
  </r>
  <r>
    <x v="213"/>
    <s v="ORD-02981"/>
    <x v="0"/>
    <x v="2"/>
    <x v="130"/>
    <x v="4"/>
    <x v="2"/>
    <n v="10"/>
    <n v="10795"/>
    <n v="107950"/>
    <n v="8500"/>
    <n v="85000"/>
    <n v="22950"/>
    <n v="0.2125984251968504"/>
  </r>
  <r>
    <x v="213"/>
    <s v="ORD-02982"/>
    <x v="0"/>
    <x v="2"/>
    <x v="57"/>
    <x v="1"/>
    <x v="1"/>
    <n v="9"/>
    <n v="57150"/>
    <n v="514350"/>
    <n v="45000"/>
    <n v="405000"/>
    <n v="109350"/>
    <n v="0.2125984251968504"/>
  </r>
  <r>
    <x v="213"/>
    <s v="ORD-02983"/>
    <x v="3"/>
    <x v="3"/>
    <x v="98"/>
    <x v="3"/>
    <x v="0"/>
    <n v="2"/>
    <n v="3425.0000000000005"/>
    <n v="6850.0000000000009"/>
    <n v="2500"/>
    <n v="5000"/>
    <n v="1850.0000000000009"/>
    <n v="0.27007299270073004"/>
  </r>
  <r>
    <x v="213"/>
    <s v="ORD-02984"/>
    <x v="2"/>
    <x v="4"/>
    <x v="59"/>
    <x v="5"/>
    <x v="3"/>
    <n v="6"/>
    <n v="827.99999999999989"/>
    <n v="4967.9999999999991"/>
    <n v="600"/>
    <n v="3600"/>
    <n v="1367.9999999999991"/>
    <n v="0.2753623188405796"/>
  </r>
  <r>
    <x v="213"/>
    <s v="ORD-02985"/>
    <x v="1"/>
    <x v="2"/>
    <x v="141"/>
    <x v="0"/>
    <x v="0"/>
    <n v="8"/>
    <n v="4064"/>
    <n v="32512"/>
    <n v="3200"/>
    <n v="25600"/>
    <n v="6912"/>
    <n v="0.2125984251968504"/>
  </r>
  <r>
    <x v="213"/>
    <s v="ORD-02986"/>
    <x v="2"/>
    <x v="4"/>
    <x v="55"/>
    <x v="3"/>
    <x v="0"/>
    <n v="1"/>
    <n v="3500"/>
    <n v="3500"/>
    <n v="2500"/>
    <n v="2500"/>
    <n v="1000"/>
    <n v="0.2857142857142857"/>
  </r>
  <r>
    <x v="213"/>
    <s v="ORD-02987"/>
    <x v="1"/>
    <x v="2"/>
    <x v="100"/>
    <x v="6"/>
    <x v="3"/>
    <n v="9"/>
    <n v="1161"/>
    <n v="10449"/>
    <n v="900"/>
    <n v="8100"/>
    <n v="2349"/>
    <n v="0.22480620155038761"/>
  </r>
  <r>
    <x v="213"/>
    <s v="ORD-02988"/>
    <x v="3"/>
    <x v="5"/>
    <x v="19"/>
    <x v="5"/>
    <x v="3"/>
    <n v="4"/>
    <n v="762"/>
    <n v="3048"/>
    <n v="600"/>
    <n v="2400"/>
    <n v="648"/>
    <n v="0.2125984251968504"/>
  </r>
  <r>
    <x v="213"/>
    <s v="ORD-02989"/>
    <x v="3"/>
    <x v="4"/>
    <x v="86"/>
    <x v="1"/>
    <x v="1"/>
    <n v="1"/>
    <n v="60300"/>
    <n v="60300"/>
    <n v="45000"/>
    <n v="45000"/>
    <n v="15300"/>
    <n v="0.2537313432835821"/>
  </r>
  <r>
    <x v="213"/>
    <s v="ORD-02990"/>
    <x v="1"/>
    <x v="5"/>
    <x v="142"/>
    <x v="5"/>
    <x v="3"/>
    <n v="4"/>
    <n v="822.00000000000011"/>
    <n v="3288.0000000000005"/>
    <n v="600"/>
    <n v="2400"/>
    <n v="888.00000000000045"/>
    <n v="0.27007299270073004"/>
  </r>
  <r>
    <x v="213"/>
    <s v="ORD-02991"/>
    <x v="1"/>
    <x v="3"/>
    <x v="66"/>
    <x v="2"/>
    <x v="1"/>
    <n v="7"/>
    <n v="50540"/>
    <n v="353780"/>
    <n v="38000"/>
    <n v="266000"/>
    <n v="87780"/>
    <n v="0.24812030075187969"/>
  </r>
  <r>
    <x v="213"/>
    <s v="ORD-02992"/>
    <x v="2"/>
    <x v="2"/>
    <x v="88"/>
    <x v="5"/>
    <x v="3"/>
    <n v="9"/>
    <n v="846"/>
    <n v="7614"/>
    <n v="600"/>
    <n v="5400"/>
    <n v="2214"/>
    <n v="0.29078014184397161"/>
  </r>
  <r>
    <x v="213"/>
    <s v="ORD-02993"/>
    <x v="0"/>
    <x v="1"/>
    <x v="51"/>
    <x v="2"/>
    <x v="1"/>
    <n v="3"/>
    <n v="46360"/>
    <n v="139080"/>
    <n v="38000"/>
    <n v="114000"/>
    <n v="25080"/>
    <n v="0.18032786885245902"/>
  </r>
  <r>
    <x v="213"/>
    <s v="ORD-02994"/>
    <x v="0"/>
    <x v="1"/>
    <x v="50"/>
    <x v="7"/>
    <x v="2"/>
    <n v="1"/>
    <n v="10080"/>
    <n v="10080"/>
    <n v="7000"/>
    <n v="7000"/>
    <n v="3080"/>
    <n v="0.30555555555555558"/>
  </r>
  <r>
    <x v="214"/>
    <s v="ORD-02995"/>
    <x v="2"/>
    <x v="5"/>
    <x v="47"/>
    <x v="2"/>
    <x v="1"/>
    <n v="7"/>
    <n v="48640"/>
    <n v="340480"/>
    <n v="38000"/>
    <n v="266000"/>
    <n v="74480"/>
    <n v="0.21875"/>
  </r>
  <r>
    <x v="214"/>
    <s v="ORD-02996"/>
    <x v="0"/>
    <x v="1"/>
    <x v="55"/>
    <x v="3"/>
    <x v="0"/>
    <n v="4"/>
    <n v="3625"/>
    <n v="14500"/>
    <n v="2500"/>
    <n v="10000"/>
    <n v="4500"/>
    <n v="0.31034482758620691"/>
  </r>
  <r>
    <x v="214"/>
    <s v="ORD-02997"/>
    <x v="3"/>
    <x v="1"/>
    <x v="75"/>
    <x v="3"/>
    <x v="0"/>
    <n v="6"/>
    <n v="3325"/>
    <n v="19950"/>
    <n v="2500"/>
    <n v="15000"/>
    <n v="4950"/>
    <n v="0.24812030075187969"/>
  </r>
  <r>
    <x v="214"/>
    <s v="ORD-02998"/>
    <x v="0"/>
    <x v="4"/>
    <x v="102"/>
    <x v="7"/>
    <x v="2"/>
    <n v="4"/>
    <n v="8610"/>
    <n v="34440"/>
    <n v="7000"/>
    <n v="28000"/>
    <n v="6440"/>
    <n v="0.18699186991869918"/>
  </r>
  <r>
    <x v="214"/>
    <s v="ORD-02999"/>
    <x v="3"/>
    <x v="0"/>
    <x v="22"/>
    <x v="2"/>
    <x v="1"/>
    <n v="4"/>
    <n v="53580"/>
    <n v="214320"/>
    <n v="38000"/>
    <n v="152000"/>
    <n v="62320"/>
    <n v="0.29078014184397161"/>
  </r>
  <r>
    <x v="214"/>
    <s v="ORD-03000"/>
    <x v="2"/>
    <x v="0"/>
    <x v="83"/>
    <x v="5"/>
    <x v="3"/>
    <n v="9"/>
    <n v="762"/>
    <n v="6858"/>
    <n v="600"/>
    <n v="5400"/>
    <n v="1458"/>
    <n v="0.2125984251968504"/>
  </r>
  <r>
    <x v="214"/>
    <s v="ORD-03001"/>
    <x v="1"/>
    <x v="1"/>
    <x v="99"/>
    <x v="5"/>
    <x v="3"/>
    <n v="10"/>
    <n v="762"/>
    <n v="7620"/>
    <n v="600"/>
    <n v="6000"/>
    <n v="1620"/>
    <n v="0.2125984251968504"/>
  </r>
  <r>
    <x v="214"/>
    <s v="ORD-03002"/>
    <x v="3"/>
    <x v="2"/>
    <x v="6"/>
    <x v="2"/>
    <x v="1"/>
    <n v="2"/>
    <n v="53580"/>
    <n v="107160"/>
    <n v="38000"/>
    <n v="76000"/>
    <n v="31160"/>
    <n v="0.29078014184397161"/>
  </r>
  <r>
    <x v="214"/>
    <s v="ORD-03003"/>
    <x v="2"/>
    <x v="1"/>
    <x v="27"/>
    <x v="5"/>
    <x v="3"/>
    <n v="1"/>
    <n v="762"/>
    <n v="762"/>
    <n v="600"/>
    <n v="600"/>
    <n v="162"/>
    <n v="0.2125984251968504"/>
  </r>
  <r>
    <x v="214"/>
    <s v="ORD-03004"/>
    <x v="0"/>
    <x v="3"/>
    <x v="113"/>
    <x v="3"/>
    <x v="0"/>
    <n v="3"/>
    <n v="3525"/>
    <n v="10575"/>
    <n v="2500"/>
    <n v="7500"/>
    <n v="3075"/>
    <n v="0.29078014184397161"/>
  </r>
  <r>
    <x v="214"/>
    <s v="ORD-03005"/>
    <x v="3"/>
    <x v="1"/>
    <x v="128"/>
    <x v="6"/>
    <x v="3"/>
    <n v="10"/>
    <n v="1116"/>
    <n v="11160"/>
    <n v="900"/>
    <n v="9000"/>
    <n v="2160"/>
    <n v="0.19354838709677419"/>
  </r>
  <r>
    <x v="214"/>
    <s v="ORD-03006"/>
    <x v="0"/>
    <x v="5"/>
    <x v="62"/>
    <x v="7"/>
    <x v="2"/>
    <n v="2"/>
    <n v="10150"/>
    <n v="20300"/>
    <n v="7000"/>
    <n v="14000"/>
    <n v="6300"/>
    <n v="0.31034482758620691"/>
  </r>
  <r>
    <x v="214"/>
    <s v="ORD-03007"/>
    <x v="2"/>
    <x v="4"/>
    <x v="93"/>
    <x v="2"/>
    <x v="1"/>
    <n v="10"/>
    <n v="53960"/>
    <n v="539600"/>
    <n v="38000"/>
    <n v="380000"/>
    <n v="159600"/>
    <n v="0.29577464788732394"/>
  </r>
  <r>
    <x v="214"/>
    <s v="ORD-03008"/>
    <x v="1"/>
    <x v="0"/>
    <x v="90"/>
    <x v="1"/>
    <x v="1"/>
    <n v="9"/>
    <n v="58950"/>
    <n v="530550"/>
    <n v="45000"/>
    <n v="405000"/>
    <n v="125550"/>
    <n v="0.23664122137404581"/>
  </r>
  <r>
    <x v="215"/>
    <s v="ORD-03009"/>
    <x v="2"/>
    <x v="1"/>
    <x v="84"/>
    <x v="6"/>
    <x v="3"/>
    <n v="2"/>
    <n v="1188"/>
    <n v="2376"/>
    <n v="900"/>
    <n v="1800"/>
    <n v="576"/>
    <n v="0.24242424242424243"/>
  </r>
  <r>
    <x v="215"/>
    <s v="ORD-03010"/>
    <x v="2"/>
    <x v="0"/>
    <x v="99"/>
    <x v="4"/>
    <x v="2"/>
    <n v="1"/>
    <n v="11475"/>
    <n v="11475"/>
    <n v="8500"/>
    <n v="8500"/>
    <n v="2975"/>
    <n v="0.25925925925925924"/>
  </r>
  <r>
    <x v="215"/>
    <s v="ORD-03011"/>
    <x v="1"/>
    <x v="3"/>
    <x v="12"/>
    <x v="7"/>
    <x v="2"/>
    <n v="2"/>
    <n v="8890"/>
    <n v="17780"/>
    <n v="7000"/>
    <n v="14000"/>
    <n v="3780"/>
    <n v="0.2125984251968504"/>
  </r>
  <r>
    <x v="215"/>
    <s v="ORD-03012"/>
    <x v="2"/>
    <x v="0"/>
    <x v="46"/>
    <x v="6"/>
    <x v="3"/>
    <n v="3"/>
    <n v="1134"/>
    <n v="3402"/>
    <n v="900"/>
    <n v="2700"/>
    <n v="702"/>
    <n v="0.20634920634920634"/>
  </r>
  <r>
    <x v="215"/>
    <s v="ORD-03013"/>
    <x v="3"/>
    <x v="3"/>
    <x v="47"/>
    <x v="6"/>
    <x v="3"/>
    <n v="5"/>
    <n v="1152"/>
    <n v="5760"/>
    <n v="900"/>
    <n v="4500"/>
    <n v="1260"/>
    <n v="0.21875"/>
  </r>
  <r>
    <x v="215"/>
    <s v="ORD-03014"/>
    <x v="2"/>
    <x v="3"/>
    <x v="24"/>
    <x v="5"/>
    <x v="3"/>
    <n v="1"/>
    <n v="720"/>
    <n v="720"/>
    <n v="600"/>
    <n v="600"/>
    <n v="120"/>
    <n v="0.16666666666666666"/>
  </r>
  <r>
    <x v="215"/>
    <s v="ORD-03015"/>
    <x v="2"/>
    <x v="2"/>
    <x v="24"/>
    <x v="2"/>
    <x v="1"/>
    <n v="5"/>
    <n v="45980"/>
    <n v="229900"/>
    <n v="38000"/>
    <n v="190000"/>
    <n v="39900"/>
    <n v="0.17355371900826447"/>
  </r>
  <r>
    <x v="215"/>
    <s v="ORD-03016"/>
    <x v="2"/>
    <x v="4"/>
    <x v="36"/>
    <x v="7"/>
    <x v="2"/>
    <n v="8"/>
    <n v="8610"/>
    <n v="68880"/>
    <n v="7000"/>
    <n v="56000"/>
    <n v="12880"/>
    <n v="0.18699186991869918"/>
  </r>
  <r>
    <x v="215"/>
    <s v="ORD-03017"/>
    <x v="1"/>
    <x v="4"/>
    <x v="54"/>
    <x v="1"/>
    <x v="1"/>
    <n v="7"/>
    <n v="60750.000000000007"/>
    <n v="425250.00000000006"/>
    <n v="45000"/>
    <n v="315000"/>
    <n v="110250.00000000006"/>
    <n v="0.25925925925925936"/>
  </r>
  <r>
    <x v="215"/>
    <s v="ORD-03018"/>
    <x v="0"/>
    <x v="1"/>
    <x v="56"/>
    <x v="2"/>
    <x v="1"/>
    <n v="7"/>
    <n v="50160"/>
    <n v="351120"/>
    <n v="38000"/>
    <n v="266000"/>
    <n v="85120"/>
    <n v="0.24242424242424243"/>
  </r>
  <r>
    <x v="215"/>
    <s v="ORD-03019"/>
    <x v="0"/>
    <x v="5"/>
    <x v="59"/>
    <x v="4"/>
    <x v="2"/>
    <n v="5"/>
    <n v="10285"/>
    <n v="51425"/>
    <n v="8500"/>
    <n v="42500"/>
    <n v="8925"/>
    <n v="0.17355371900826447"/>
  </r>
  <r>
    <x v="215"/>
    <s v="ORD-03020"/>
    <x v="2"/>
    <x v="0"/>
    <x v="62"/>
    <x v="4"/>
    <x v="2"/>
    <n v="10"/>
    <n v="11050"/>
    <n v="110500"/>
    <n v="8500"/>
    <n v="85000"/>
    <n v="25500"/>
    <n v="0.23076923076923078"/>
  </r>
  <r>
    <x v="215"/>
    <s v="ORD-03021"/>
    <x v="1"/>
    <x v="3"/>
    <x v="86"/>
    <x v="5"/>
    <x v="3"/>
    <n v="7"/>
    <n v="792"/>
    <n v="5544"/>
    <n v="600"/>
    <n v="4200"/>
    <n v="1344"/>
    <n v="0.24242424242424243"/>
  </r>
  <r>
    <x v="215"/>
    <s v="ORD-03022"/>
    <x v="0"/>
    <x v="1"/>
    <x v="118"/>
    <x v="2"/>
    <x v="1"/>
    <n v="5"/>
    <n v="54340"/>
    <n v="271700"/>
    <n v="38000"/>
    <n v="190000"/>
    <n v="81700"/>
    <n v="0.30069930069930068"/>
  </r>
  <r>
    <x v="216"/>
    <s v="ORD-03023"/>
    <x v="3"/>
    <x v="3"/>
    <x v="59"/>
    <x v="5"/>
    <x v="3"/>
    <n v="7"/>
    <n v="750"/>
    <n v="5250"/>
    <n v="600"/>
    <n v="4200"/>
    <n v="1050"/>
    <n v="0.2"/>
  </r>
  <r>
    <x v="216"/>
    <s v="ORD-03024"/>
    <x v="0"/>
    <x v="2"/>
    <x v="149"/>
    <x v="2"/>
    <x v="1"/>
    <n v="2"/>
    <n v="47120"/>
    <n v="94240"/>
    <n v="38000"/>
    <n v="76000"/>
    <n v="18240"/>
    <n v="0.19354838709677419"/>
  </r>
  <r>
    <x v="216"/>
    <s v="ORD-03025"/>
    <x v="1"/>
    <x v="2"/>
    <x v="131"/>
    <x v="6"/>
    <x v="3"/>
    <n v="9"/>
    <n v="1116"/>
    <n v="10044"/>
    <n v="900"/>
    <n v="8100"/>
    <n v="1944"/>
    <n v="0.19354838709677419"/>
  </r>
  <r>
    <x v="216"/>
    <s v="ORD-03026"/>
    <x v="3"/>
    <x v="0"/>
    <x v="44"/>
    <x v="5"/>
    <x v="3"/>
    <n v="5"/>
    <n v="756"/>
    <n v="3780"/>
    <n v="600"/>
    <n v="3000"/>
    <n v="780"/>
    <n v="0.20634920634920634"/>
  </r>
  <r>
    <x v="216"/>
    <s v="ORD-03027"/>
    <x v="1"/>
    <x v="4"/>
    <x v="115"/>
    <x v="5"/>
    <x v="3"/>
    <n v="6"/>
    <n v="815.99999999999989"/>
    <n v="4895.9999999999991"/>
    <n v="600"/>
    <n v="3600"/>
    <n v="1295.9999999999991"/>
    <n v="0.26470588235294101"/>
  </r>
  <r>
    <x v="216"/>
    <s v="ORD-03028"/>
    <x v="1"/>
    <x v="4"/>
    <x v="77"/>
    <x v="6"/>
    <x v="3"/>
    <n v="6"/>
    <n v="1269"/>
    <n v="7614"/>
    <n v="900"/>
    <n v="5400"/>
    <n v="2214"/>
    <n v="0.29078014184397161"/>
  </r>
  <r>
    <x v="216"/>
    <s v="ORD-03029"/>
    <x v="3"/>
    <x v="1"/>
    <x v="103"/>
    <x v="2"/>
    <x v="1"/>
    <n v="6"/>
    <n v="51679.999999999993"/>
    <n v="310079.99999999994"/>
    <n v="38000"/>
    <n v="228000"/>
    <n v="82079.999999999942"/>
    <n v="0.26470588235294101"/>
  </r>
  <r>
    <x v="216"/>
    <s v="ORD-03030"/>
    <x v="0"/>
    <x v="2"/>
    <x v="1"/>
    <x v="1"/>
    <x v="1"/>
    <n v="3"/>
    <n v="64800"/>
    <n v="194400"/>
    <n v="45000"/>
    <n v="135000"/>
    <n v="59400"/>
    <n v="0.30555555555555558"/>
  </r>
  <r>
    <x v="216"/>
    <s v="ORD-03031"/>
    <x v="1"/>
    <x v="4"/>
    <x v="101"/>
    <x v="5"/>
    <x v="3"/>
    <n v="3"/>
    <n v="756"/>
    <n v="2268"/>
    <n v="600"/>
    <n v="1800"/>
    <n v="468"/>
    <n v="0.20634920634920634"/>
  </r>
  <r>
    <x v="216"/>
    <s v="ORD-03032"/>
    <x v="3"/>
    <x v="2"/>
    <x v="58"/>
    <x v="0"/>
    <x v="0"/>
    <n v="4"/>
    <n v="4256"/>
    <n v="17024"/>
    <n v="3200"/>
    <n v="12800"/>
    <n v="4224"/>
    <n v="0.24812030075187969"/>
  </r>
  <r>
    <x v="216"/>
    <s v="ORD-03033"/>
    <x v="1"/>
    <x v="4"/>
    <x v="94"/>
    <x v="1"/>
    <x v="1"/>
    <n v="6"/>
    <n v="63900"/>
    <n v="383400"/>
    <n v="45000"/>
    <n v="270000"/>
    <n v="113400"/>
    <n v="0.29577464788732394"/>
  </r>
  <r>
    <x v="216"/>
    <s v="ORD-03034"/>
    <x v="0"/>
    <x v="3"/>
    <x v="145"/>
    <x v="7"/>
    <x v="2"/>
    <n v="7"/>
    <n v="8960"/>
    <n v="62720"/>
    <n v="7000"/>
    <n v="49000"/>
    <n v="13720"/>
    <n v="0.21875"/>
  </r>
  <r>
    <x v="216"/>
    <s v="ORD-03035"/>
    <x v="3"/>
    <x v="3"/>
    <x v="99"/>
    <x v="7"/>
    <x v="2"/>
    <n v="8"/>
    <n v="8750"/>
    <n v="70000"/>
    <n v="7000"/>
    <n v="56000"/>
    <n v="14000"/>
    <n v="0.2"/>
  </r>
  <r>
    <x v="216"/>
    <s v="ORD-03036"/>
    <x v="1"/>
    <x v="3"/>
    <x v="112"/>
    <x v="2"/>
    <x v="1"/>
    <n v="3"/>
    <n v="49020"/>
    <n v="147060"/>
    <n v="38000"/>
    <n v="114000"/>
    <n v="33060"/>
    <n v="0.22480620155038761"/>
  </r>
  <r>
    <x v="217"/>
    <s v="ORD-03037"/>
    <x v="1"/>
    <x v="3"/>
    <x v="126"/>
    <x v="0"/>
    <x v="0"/>
    <n v="8"/>
    <n v="4192"/>
    <n v="33536"/>
    <n v="3200"/>
    <n v="25600"/>
    <n v="7936"/>
    <n v="0.23664122137404581"/>
  </r>
  <r>
    <x v="217"/>
    <s v="ORD-03038"/>
    <x v="2"/>
    <x v="5"/>
    <x v="1"/>
    <x v="3"/>
    <x v="0"/>
    <n v="6"/>
    <n v="3150"/>
    <n v="18900"/>
    <n v="2500"/>
    <n v="15000"/>
    <n v="3900"/>
    <n v="0.20634920634920634"/>
  </r>
  <r>
    <x v="217"/>
    <s v="ORD-03039"/>
    <x v="3"/>
    <x v="0"/>
    <x v="17"/>
    <x v="2"/>
    <x v="1"/>
    <n v="6"/>
    <n v="46360"/>
    <n v="278160"/>
    <n v="38000"/>
    <n v="228000"/>
    <n v="50160"/>
    <n v="0.18032786885245902"/>
  </r>
  <r>
    <x v="217"/>
    <s v="ORD-03040"/>
    <x v="1"/>
    <x v="5"/>
    <x v="114"/>
    <x v="3"/>
    <x v="0"/>
    <n v="10"/>
    <n v="3475.0000000000005"/>
    <n v="34750.000000000007"/>
    <n v="2500"/>
    <n v="25000"/>
    <n v="9750.0000000000073"/>
    <n v="0.28057553956834547"/>
  </r>
  <r>
    <x v="217"/>
    <s v="ORD-03041"/>
    <x v="3"/>
    <x v="5"/>
    <x v="68"/>
    <x v="4"/>
    <x v="2"/>
    <n v="10"/>
    <n v="11390"/>
    <n v="113900"/>
    <n v="8500"/>
    <n v="85000"/>
    <n v="28900"/>
    <n v="0.2537313432835821"/>
  </r>
  <r>
    <x v="217"/>
    <s v="ORD-03042"/>
    <x v="3"/>
    <x v="2"/>
    <x v="73"/>
    <x v="6"/>
    <x v="3"/>
    <n v="9"/>
    <n v="1269"/>
    <n v="11421"/>
    <n v="900"/>
    <n v="8100"/>
    <n v="3321"/>
    <n v="0.29078014184397161"/>
  </r>
  <r>
    <x v="217"/>
    <s v="ORD-03043"/>
    <x v="2"/>
    <x v="0"/>
    <x v="21"/>
    <x v="7"/>
    <x v="2"/>
    <n v="7"/>
    <n v="8540"/>
    <n v="59780"/>
    <n v="7000"/>
    <n v="49000"/>
    <n v="10780"/>
    <n v="0.18032786885245902"/>
  </r>
  <r>
    <x v="217"/>
    <s v="ORD-03044"/>
    <x v="2"/>
    <x v="0"/>
    <x v="125"/>
    <x v="2"/>
    <x v="1"/>
    <n v="8"/>
    <n v="45980"/>
    <n v="367840"/>
    <n v="38000"/>
    <n v="304000"/>
    <n v="63840"/>
    <n v="0.17355371900826447"/>
  </r>
  <r>
    <x v="217"/>
    <s v="ORD-03045"/>
    <x v="0"/>
    <x v="4"/>
    <x v="83"/>
    <x v="3"/>
    <x v="0"/>
    <n v="9"/>
    <n v="3150"/>
    <n v="28350"/>
    <n v="2500"/>
    <n v="22500"/>
    <n v="5850"/>
    <n v="0.20634920634920634"/>
  </r>
  <r>
    <x v="217"/>
    <s v="ORD-03046"/>
    <x v="1"/>
    <x v="1"/>
    <x v="33"/>
    <x v="7"/>
    <x v="2"/>
    <n v="4"/>
    <n v="8680"/>
    <n v="34720"/>
    <n v="7000"/>
    <n v="28000"/>
    <n v="6720"/>
    <n v="0.19354838709677419"/>
  </r>
  <r>
    <x v="217"/>
    <s v="ORD-03047"/>
    <x v="3"/>
    <x v="5"/>
    <x v="25"/>
    <x v="1"/>
    <x v="1"/>
    <n v="10"/>
    <n v="57600"/>
    <n v="576000"/>
    <n v="45000"/>
    <n v="450000"/>
    <n v="126000"/>
    <n v="0.21875"/>
  </r>
  <r>
    <x v="217"/>
    <s v="ORD-03048"/>
    <x v="2"/>
    <x v="0"/>
    <x v="90"/>
    <x v="3"/>
    <x v="0"/>
    <n v="8"/>
    <n v="3399.9999999999995"/>
    <n v="27199.999999999996"/>
    <n v="2500"/>
    <n v="20000"/>
    <n v="7199.9999999999964"/>
    <n v="0.26470588235294107"/>
  </r>
  <r>
    <x v="217"/>
    <s v="ORD-03049"/>
    <x v="1"/>
    <x v="3"/>
    <x v="68"/>
    <x v="0"/>
    <x v="0"/>
    <n v="2"/>
    <n v="4160"/>
    <n v="8320"/>
    <n v="3200"/>
    <n v="6400"/>
    <n v="1920"/>
    <n v="0.23076923076923078"/>
  </r>
  <r>
    <x v="217"/>
    <s v="ORD-03050"/>
    <x v="1"/>
    <x v="1"/>
    <x v="141"/>
    <x v="5"/>
    <x v="3"/>
    <n v="2"/>
    <n v="786"/>
    <n v="1572"/>
    <n v="600"/>
    <n v="1200"/>
    <n v="372"/>
    <n v="0.23664122137404581"/>
  </r>
  <r>
    <x v="218"/>
    <s v="ORD-03051"/>
    <x v="1"/>
    <x v="0"/>
    <x v="136"/>
    <x v="1"/>
    <x v="1"/>
    <n v="1"/>
    <n v="59400"/>
    <n v="59400"/>
    <n v="45000"/>
    <n v="45000"/>
    <n v="14400"/>
    <n v="0.24242424242424243"/>
  </r>
  <r>
    <x v="218"/>
    <s v="ORD-03052"/>
    <x v="1"/>
    <x v="5"/>
    <x v="115"/>
    <x v="1"/>
    <x v="1"/>
    <n v="6"/>
    <n v="64800"/>
    <n v="388800"/>
    <n v="45000"/>
    <n v="270000"/>
    <n v="118800"/>
    <n v="0.30555555555555558"/>
  </r>
  <r>
    <x v="218"/>
    <s v="ORD-03053"/>
    <x v="3"/>
    <x v="0"/>
    <x v="115"/>
    <x v="6"/>
    <x v="3"/>
    <n v="8"/>
    <n v="1080"/>
    <n v="8640"/>
    <n v="900"/>
    <n v="7200"/>
    <n v="1440"/>
    <n v="0.16666666666666666"/>
  </r>
  <r>
    <x v="218"/>
    <s v="ORD-03054"/>
    <x v="0"/>
    <x v="3"/>
    <x v="103"/>
    <x v="4"/>
    <x v="2"/>
    <n v="8"/>
    <n v="10965"/>
    <n v="87720"/>
    <n v="8500"/>
    <n v="68000"/>
    <n v="19720"/>
    <n v="0.22480620155038761"/>
  </r>
  <r>
    <x v="218"/>
    <s v="ORD-03055"/>
    <x v="0"/>
    <x v="1"/>
    <x v="18"/>
    <x v="0"/>
    <x v="0"/>
    <n v="5"/>
    <n v="3936"/>
    <n v="19680"/>
    <n v="3200"/>
    <n v="16000"/>
    <n v="3680"/>
    <n v="0.18699186991869918"/>
  </r>
  <r>
    <x v="218"/>
    <s v="ORD-03056"/>
    <x v="2"/>
    <x v="3"/>
    <x v="21"/>
    <x v="7"/>
    <x v="2"/>
    <n v="5"/>
    <n v="9310"/>
    <n v="46550"/>
    <n v="7000"/>
    <n v="35000"/>
    <n v="11550"/>
    <n v="0.24812030075187969"/>
  </r>
  <r>
    <x v="218"/>
    <s v="ORD-03057"/>
    <x v="3"/>
    <x v="1"/>
    <x v="85"/>
    <x v="5"/>
    <x v="3"/>
    <n v="7"/>
    <n v="750"/>
    <n v="5250"/>
    <n v="600"/>
    <n v="4200"/>
    <n v="1050"/>
    <n v="0.2"/>
  </r>
  <r>
    <x v="218"/>
    <s v="ORD-03058"/>
    <x v="1"/>
    <x v="4"/>
    <x v="149"/>
    <x v="6"/>
    <x v="3"/>
    <n v="4"/>
    <n v="1161"/>
    <n v="4644"/>
    <n v="900"/>
    <n v="3600"/>
    <n v="1044"/>
    <n v="0.22480620155038761"/>
  </r>
  <r>
    <x v="218"/>
    <s v="ORD-03059"/>
    <x v="2"/>
    <x v="1"/>
    <x v="8"/>
    <x v="3"/>
    <x v="0"/>
    <n v="4"/>
    <n v="3449.9999999999995"/>
    <n v="13799.999999999998"/>
    <n v="2500"/>
    <n v="10000"/>
    <n v="3799.9999999999982"/>
    <n v="0.2753623188405796"/>
  </r>
  <r>
    <x v="218"/>
    <s v="ORD-03060"/>
    <x v="3"/>
    <x v="2"/>
    <x v="44"/>
    <x v="1"/>
    <x v="1"/>
    <n v="6"/>
    <n v="59400"/>
    <n v="356400"/>
    <n v="45000"/>
    <n v="270000"/>
    <n v="86400"/>
    <n v="0.24242424242424243"/>
  </r>
  <r>
    <x v="218"/>
    <s v="ORD-03061"/>
    <x v="3"/>
    <x v="4"/>
    <x v="101"/>
    <x v="0"/>
    <x v="0"/>
    <n v="10"/>
    <n v="3968"/>
    <n v="39680"/>
    <n v="3200"/>
    <n v="32000"/>
    <n v="7680"/>
    <n v="0.19354838709677419"/>
  </r>
  <r>
    <x v="218"/>
    <s v="ORD-03062"/>
    <x v="2"/>
    <x v="1"/>
    <x v="116"/>
    <x v="4"/>
    <x v="2"/>
    <n v="7"/>
    <n v="11559.999999999998"/>
    <n v="80919.999999999985"/>
    <n v="8500"/>
    <n v="59500"/>
    <n v="21419.999999999985"/>
    <n v="0.26470588235294107"/>
  </r>
  <r>
    <x v="218"/>
    <s v="ORD-03063"/>
    <x v="2"/>
    <x v="2"/>
    <x v="140"/>
    <x v="6"/>
    <x v="3"/>
    <n v="6"/>
    <n v="1233"/>
    <n v="7398"/>
    <n v="900"/>
    <n v="5400"/>
    <n v="1998"/>
    <n v="0.27007299270072993"/>
  </r>
  <r>
    <x v="218"/>
    <s v="ORD-03064"/>
    <x v="1"/>
    <x v="3"/>
    <x v="60"/>
    <x v="7"/>
    <x v="2"/>
    <n v="2"/>
    <n v="8470"/>
    <n v="16940"/>
    <n v="7000"/>
    <n v="14000"/>
    <n v="2940"/>
    <n v="0.17355371900826447"/>
  </r>
  <r>
    <x v="219"/>
    <s v="ORD-03065"/>
    <x v="3"/>
    <x v="5"/>
    <x v="24"/>
    <x v="2"/>
    <x v="1"/>
    <n v="9"/>
    <n v="52060.000000000007"/>
    <n v="468540.00000000006"/>
    <n v="38000"/>
    <n v="342000"/>
    <n v="126540.00000000006"/>
    <n v="0.27007299270073004"/>
  </r>
  <r>
    <x v="219"/>
    <s v="ORD-03066"/>
    <x v="1"/>
    <x v="5"/>
    <x v="27"/>
    <x v="7"/>
    <x v="2"/>
    <n v="2"/>
    <n v="9730"/>
    <n v="19460"/>
    <n v="7000"/>
    <n v="14000"/>
    <n v="5460"/>
    <n v="0.2805755395683453"/>
  </r>
  <r>
    <x v="219"/>
    <s v="ORD-03067"/>
    <x v="2"/>
    <x v="3"/>
    <x v="141"/>
    <x v="3"/>
    <x v="0"/>
    <n v="3"/>
    <n v="3350"/>
    <n v="10050"/>
    <n v="2500"/>
    <n v="7500"/>
    <n v="2550"/>
    <n v="0.2537313432835821"/>
  </r>
  <r>
    <x v="219"/>
    <s v="ORD-03068"/>
    <x v="3"/>
    <x v="4"/>
    <x v="97"/>
    <x v="5"/>
    <x v="3"/>
    <n v="4"/>
    <n v="827.99999999999989"/>
    <n v="3311.9999999999995"/>
    <n v="600"/>
    <n v="2400"/>
    <n v="911.99999999999955"/>
    <n v="0.2753623188405796"/>
  </r>
  <r>
    <x v="219"/>
    <s v="ORD-03069"/>
    <x v="3"/>
    <x v="5"/>
    <x v="132"/>
    <x v="5"/>
    <x v="3"/>
    <n v="6"/>
    <n v="840"/>
    <n v="5040"/>
    <n v="600"/>
    <n v="3600"/>
    <n v="1440"/>
    <n v="0.2857142857142857"/>
  </r>
  <r>
    <x v="219"/>
    <s v="ORD-03070"/>
    <x v="3"/>
    <x v="4"/>
    <x v="110"/>
    <x v="0"/>
    <x v="0"/>
    <n v="7"/>
    <n v="4448"/>
    <n v="31136"/>
    <n v="3200"/>
    <n v="22400"/>
    <n v="8736"/>
    <n v="0.2805755395683453"/>
  </r>
  <r>
    <x v="219"/>
    <s v="ORD-03071"/>
    <x v="2"/>
    <x v="1"/>
    <x v="92"/>
    <x v="2"/>
    <x v="1"/>
    <n v="7"/>
    <n v="52060.000000000007"/>
    <n v="364420.00000000006"/>
    <n v="38000"/>
    <n v="266000"/>
    <n v="98420.000000000058"/>
    <n v="0.27007299270073004"/>
  </r>
  <r>
    <x v="219"/>
    <s v="ORD-03072"/>
    <x v="2"/>
    <x v="1"/>
    <x v="49"/>
    <x v="3"/>
    <x v="0"/>
    <n v="6"/>
    <n v="3125"/>
    <n v="18750"/>
    <n v="2500"/>
    <n v="15000"/>
    <n v="3750"/>
    <n v="0.2"/>
  </r>
  <r>
    <x v="219"/>
    <s v="ORD-03073"/>
    <x v="2"/>
    <x v="5"/>
    <x v="18"/>
    <x v="7"/>
    <x v="2"/>
    <n v="10"/>
    <n v="9170"/>
    <n v="91700"/>
    <n v="7000"/>
    <n v="70000"/>
    <n v="21700"/>
    <n v="0.23664122137404581"/>
  </r>
  <r>
    <x v="219"/>
    <s v="ORD-03074"/>
    <x v="1"/>
    <x v="1"/>
    <x v="131"/>
    <x v="2"/>
    <x v="1"/>
    <n v="2"/>
    <n v="46360"/>
    <n v="92720"/>
    <n v="38000"/>
    <n v="76000"/>
    <n v="16720"/>
    <n v="0.18032786885245902"/>
  </r>
  <r>
    <x v="219"/>
    <s v="ORD-03075"/>
    <x v="3"/>
    <x v="2"/>
    <x v="71"/>
    <x v="0"/>
    <x v="0"/>
    <n v="10"/>
    <n v="3904"/>
    <n v="39040"/>
    <n v="3200"/>
    <n v="32000"/>
    <n v="7040"/>
    <n v="0.18032786885245902"/>
  </r>
  <r>
    <x v="219"/>
    <s v="ORD-03076"/>
    <x v="0"/>
    <x v="1"/>
    <x v="147"/>
    <x v="7"/>
    <x v="2"/>
    <n v="2"/>
    <n v="9940"/>
    <n v="19880"/>
    <n v="7000"/>
    <n v="14000"/>
    <n v="5880"/>
    <n v="0.29577464788732394"/>
  </r>
  <r>
    <x v="219"/>
    <s v="ORD-03077"/>
    <x v="3"/>
    <x v="1"/>
    <x v="37"/>
    <x v="1"/>
    <x v="1"/>
    <n v="5"/>
    <n v="54000"/>
    <n v="270000"/>
    <n v="45000"/>
    <n v="225000"/>
    <n v="45000"/>
    <n v="0.16666666666666666"/>
  </r>
  <r>
    <x v="219"/>
    <s v="ORD-03078"/>
    <x v="2"/>
    <x v="0"/>
    <x v="53"/>
    <x v="6"/>
    <x v="3"/>
    <n v="6"/>
    <n v="1233"/>
    <n v="7398"/>
    <n v="900"/>
    <n v="5400"/>
    <n v="1998"/>
    <n v="0.27007299270072993"/>
  </r>
  <r>
    <x v="220"/>
    <s v="ORD-03079"/>
    <x v="0"/>
    <x v="4"/>
    <x v="11"/>
    <x v="5"/>
    <x v="3"/>
    <n v="7"/>
    <n v="756"/>
    <n v="5292"/>
    <n v="600"/>
    <n v="4200"/>
    <n v="1092"/>
    <n v="0.20634920634920634"/>
  </r>
  <r>
    <x v="220"/>
    <s v="ORD-03080"/>
    <x v="2"/>
    <x v="4"/>
    <x v="122"/>
    <x v="1"/>
    <x v="1"/>
    <n v="7"/>
    <n v="65250"/>
    <n v="456750"/>
    <n v="45000"/>
    <n v="315000"/>
    <n v="141750"/>
    <n v="0.31034482758620691"/>
  </r>
  <r>
    <x v="220"/>
    <s v="ORD-03081"/>
    <x v="1"/>
    <x v="0"/>
    <x v="112"/>
    <x v="5"/>
    <x v="3"/>
    <n v="9"/>
    <n v="768"/>
    <n v="6912"/>
    <n v="600"/>
    <n v="5400"/>
    <n v="1512"/>
    <n v="0.21875"/>
  </r>
  <r>
    <x v="220"/>
    <s v="ORD-03082"/>
    <x v="2"/>
    <x v="4"/>
    <x v="102"/>
    <x v="0"/>
    <x v="0"/>
    <n v="9"/>
    <n v="4640"/>
    <n v="41760"/>
    <n v="3200"/>
    <n v="28800"/>
    <n v="12960"/>
    <n v="0.31034482758620691"/>
  </r>
  <r>
    <x v="220"/>
    <s v="ORD-03083"/>
    <x v="0"/>
    <x v="4"/>
    <x v="105"/>
    <x v="4"/>
    <x v="2"/>
    <n v="5"/>
    <n v="10540"/>
    <n v="52700"/>
    <n v="8500"/>
    <n v="42500"/>
    <n v="10200"/>
    <n v="0.19354838709677419"/>
  </r>
  <r>
    <x v="220"/>
    <s v="ORD-03084"/>
    <x v="3"/>
    <x v="4"/>
    <x v="18"/>
    <x v="3"/>
    <x v="0"/>
    <n v="6"/>
    <n v="3250"/>
    <n v="19500"/>
    <n v="2500"/>
    <n v="15000"/>
    <n v="4500"/>
    <n v="0.23076923076923078"/>
  </r>
  <r>
    <x v="220"/>
    <s v="ORD-03085"/>
    <x v="2"/>
    <x v="4"/>
    <x v="129"/>
    <x v="1"/>
    <x v="1"/>
    <n v="4"/>
    <n v="55350"/>
    <n v="221400"/>
    <n v="45000"/>
    <n v="180000"/>
    <n v="41400"/>
    <n v="0.18699186991869918"/>
  </r>
  <r>
    <x v="220"/>
    <s v="ORD-03086"/>
    <x v="3"/>
    <x v="4"/>
    <x v="47"/>
    <x v="1"/>
    <x v="1"/>
    <n v="5"/>
    <n v="59400"/>
    <n v="297000"/>
    <n v="45000"/>
    <n v="225000"/>
    <n v="72000"/>
    <n v="0.24242424242424243"/>
  </r>
  <r>
    <x v="220"/>
    <s v="ORD-03087"/>
    <x v="3"/>
    <x v="3"/>
    <x v="105"/>
    <x v="2"/>
    <x v="1"/>
    <n v="4"/>
    <n v="50540"/>
    <n v="202160"/>
    <n v="38000"/>
    <n v="152000"/>
    <n v="50160"/>
    <n v="0.24812030075187969"/>
  </r>
  <r>
    <x v="220"/>
    <s v="ORD-03088"/>
    <x v="1"/>
    <x v="0"/>
    <x v="35"/>
    <x v="4"/>
    <x v="2"/>
    <n v="7"/>
    <n v="11900"/>
    <n v="83300"/>
    <n v="8500"/>
    <n v="59500"/>
    <n v="23800"/>
    <n v="0.2857142857142857"/>
  </r>
  <r>
    <x v="220"/>
    <s v="ORD-03089"/>
    <x v="1"/>
    <x v="3"/>
    <x v="126"/>
    <x v="0"/>
    <x v="0"/>
    <n v="7"/>
    <n v="4352"/>
    <n v="30464"/>
    <n v="3200"/>
    <n v="22400"/>
    <n v="8064"/>
    <n v="0.26470588235294118"/>
  </r>
  <r>
    <x v="220"/>
    <s v="ORD-03090"/>
    <x v="0"/>
    <x v="2"/>
    <x v="0"/>
    <x v="0"/>
    <x v="0"/>
    <n v="2"/>
    <n v="3936"/>
    <n v="7872"/>
    <n v="3200"/>
    <n v="6400"/>
    <n v="1472"/>
    <n v="0.18699186991869918"/>
  </r>
  <r>
    <x v="220"/>
    <s v="ORD-03091"/>
    <x v="2"/>
    <x v="0"/>
    <x v="149"/>
    <x v="2"/>
    <x v="1"/>
    <n v="10"/>
    <n v="55100"/>
    <n v="551000"/>
    <n v="38000"/>
    <n v="380000"/>
    <n v="171000"/>
    <n v="0.31034482758620691"/>
  </r>
  <r>
    <x v="220"/>
    <s v="ORD-03092"/>
    <x v="0"/>
    <x v="4"/>
    <x v="22"/>
    <x v="2"/>
    <x v="1"/>
    <n v="4"/>
    <n v="47120"/>
    <n v="188480"/>
    <n v="38000"/>
    <n v="152000"/>
    <n v="36480"/>
    <n v="0.19354838709677419"/>
  </r>
  <r>
    <x v="221"/>
    <s v="ORD-03093"/>
    <x v="2"/>
    <x v="1"/>
    <x v="52"/>
    <x v="3"/>
    <x v="0"/>
    <n v="5"/>
    <n v="3125"/>
    <n v="15625"/>
    <n v="2500"/>
    <n v="12500"/>
    <n v="3125"/>
    <n v="0.2"/>
  </r>
  <r>
    <x v="221"/>
    <s v="ORD-03094"/>
    <x v="1"/>
    <x v="5"/>
    <x v="16"/>
    <x v="0"/>
    <x v="0"/>
    <n v="7"/>
    <n v="4000"/>
    <n v="28000"/>
    <n v="3200"/>
    <n v="22400"/>
    <n v="5600"/>
    <n v="0.2"/>
  </r>
  <r>
    <x v="221"/>
    <s v="ORD-03095"/>
    <x v="1"/>
    <x v="5"/>
    <x v="134"/>
    <x v="1"/>
    <x v="1"/>
    <n v="7"/>
    <n v="58050"/>
    <n v="406350"/>
    <n v="45000"/>
    <n v="315000"/>
    <n v="91350"/>
    <n v="0.22480620155038761"/>
  </r>
  <r>
    <x v="221"/>
    <s v="ORD-03096"/>
    <x v="0"/>
    <x v="1"/>
    <x v="49"/>
    <x v="1"/>
    <x v="1"/>
    <n v="10"/>
    <n v="58950"/>
    <n v="589500"/>
    <n v="45000"/>
    <n v="450000"/>
    <n v="139500"/>
    <n v="0.23664122137404581"/>
  </r>
  <r>
    <x v="221"/>
    <s v="ORD-03097"/>
    <x v="3"/>
    <x v="2"/>
    <x v="75"/>
    <x v="4"/>
    <x v="2"/>
    <n v="9"/>
    <n v="10965"/>
    <n v="98685"/>
    <n v="8500"/>
    <n v="76500"/>
    <n v="22185"/>
    <n v="0.22480620155038761"/>
  </r>
  <r>
    <x v="221"/>
    <s v="ORD-03098"/>
    <x v="2"/>
    <x v="2"/>
    <x v="145"/>
    <x v="5"/>
    <x v="3"/>
    <n v="8"/>
    <n v="792"/>
    <n v="6336"/>
    <n v="600"/>
    <n v="4800"/>
    <n v="1536"/>
    <n v="0.24242424242424243"/>
  </r>
  <r>
    <x v="221"/>
    <s v="ORD-03099"/>
    <x v="3"/>
    <x v="0"/>
    <x v="132"/>
    <x v="7"/>
    <x v="2"/>
    <n v="5"/>
    <n v="9030"/>
    <n v="45150"/>
    <n v="7000"/>
    <n v="35000"/>
    <n v="10150"/>
    <n v="0.22480620155038761"/>
  </r>
  <r>
    <x v="221"/>
    <s v="ORD-03100"/>
    <x v="1"/>
    <x v="2"/>
    <x v="83"/>
    <x v="4"/>
    <x v="2"/>
    <n v="5"/>
    <n v="12070"/>
    <n v="60350"/>
    <n v="8500"/>
    <n v="42500"/>
    <n v="17850"/>
    <n v="0.29577464788732394"/>
  </r>
  <r>
    <x v="221"/>
    <s v="ORD-03101"/>
    <x v="3"/>
    <x v="1"/>
    <x v="100"/>
    <x v="3"/>
    <x v="0"/>
    <n v="9"/>
    <n v="3550"/>
    <n v="31950"/>
    <n v="2500"/>
    <n v="22500"/>
    <n v="9450"/>
    <n v="0.29577464788732394"/>
  </r>
  <r>
    <x v="221"/>
    <s v="ORD-03102"/>
    <x v="2"/>
    <x v="5"/>
    <x v="70"/>
    <x v="5"/>
    <x v="3"/>
    <n v="1"/>
    <n v="762"/>
    <n v="762"/>
    <n v="600"/>
    <n v="600"/>
    <n v="162"/>
    <n v="0.2125984251968504"/>
  </r>
  <r>
    <x v="221"/>
    <s v="ORD-03103"/>
    <x v="0"/>
    <x v="0"/>
    <x v="98"/>
    <x v="5"/>
    <x v="3"/>
    <n v="7"/>
    <n v="864"/>
    <n v="6048"/>
    <n v="600"/>
    <n v="4200"/>
    <n v="1848"/>
    <n v="0.30555555555555558"/>
  </r>
  <r>
    <x v="221"/>
    <s v="ORD-03104"/>
    <x v="3"/>
    <x v="2"/>
    <x v="28"/>
    <x v="3"/>
    <x v="0"/>
    <n v="3"/>
    <n v="3300"/>
    <n v="9900"/>
    <n v="2500"/>
    <n v="7500"/>
    <n v="2400"/>
    <n v="0.24242424242424243"/>
  </r>
  <r>
    <x v="221"/>
    <s v="ORD-03105"/>
    <x v="0"/>
    <x v="1"/>
    <x v="144"/>
    <x v="7"/>
    <x v="2"/>
    <n v="5"/>
    <n v="9380"/>
    <n v="46900"/>
    <n v="7000"/>
    <n v="35000"/>
    <n v="11900"/>
    <n v="0.2537313432835821"/>
  </r>
  <r>
    <x v="221"/>
    <s v="ORD-03106"/>
    <x v="3"/>
    <x v="0"/>
    <x v="87"/>
    <x v="0"/>
    <x v="0"/>
    <n v="3"/>
    <n v="4256"/>
    <n v="12768"/>
    <n v="3200"/>
    <n v="9600"/>
    <n v="3168"/>
    <n v="0.24812030075187969"/>
  </r>
  <r>
    <x v="222"/>
    <s v="ORD-03107"/>
    <x v="2"/>
    <x v="4"/>
    <x v="101"/>
    <x v="0"/>
    <x v="0"/>
    <n v="9"/>
    <n v="4096"/>
    <n v="36864"/>
    <n v="3200"/>
    <n v="28800"/>
    <n v="8064"/>
    <n v="0.21875"/>
  </r>
  <r>
    <x v="222"/>
    <s v="ORD-03108"/>
    <x v="1"/>
    <x v="3"/>
    <x v="102"/>
    <x v="4"/>
    <x v="2"/>
    <n v="8"/>
    <n v="10285"/>
    <n v="82280"/>
    <n v="8500"/>
    <n v="68000"/>
    <n v="14280"/>
    <n v="0.17355371900826447"/>
  </r>
  <r>
    <x v="222"/>
    <s v="ORD-03109"/>
    <x v="1"/>
    <x v="0"/>
    <x v="139"/>
    <x v="6"/>
    <x v="3"/>
    <n v="3"/>
    <n v="1242"/>
    <n v="3726"/>
    <n v="900"/>
    <n v="2700"/>
    <n v="1026"/>
    <n v="0.27536231884057971"/>
  </r>
  <r>
    <x v="222"/>
    <s v="ORD-03110"/>
    <x v="1"/>
    <x v="2"/>
    <x v="85"/>
    <x v="4"/>
    <x v="2"/>
    <n v="2"/>
    <n v="11730"/>
    <n v="23460"/>
    <n v="8500"/>
    <n v="17000"/>
    <n v="6460"/>
    <n v="0.27536231884057971"/>
  </r>
  <r>
    <x v="222"/>
    <s v="ORD-03111"/>
    <x v="2"/>
    <x v="0"/>
    <x v="52"/>
    <x v="5"/>
    <x v="3"/>
    <n v="6"/>
    <n v="780"/>
    <n v="4680"/>
    <n v="600"/>
    <n v="3600"/>
    <n v="1080"/>
    <n v="0.23076923076923078"/>
  </r>
  <r>
    <x v="222"/>
    <s v="ORD-03112"/>
    <x v="2"/>
    <x v="4"/>
    <x v="48"/>
    <x v="6"/>
    <x v="3"/>
    <n v="9"/>
    <n v="1260"/>
    <n v="11340"/>
    <n v="900"/>
    <n v="8100"/>
    <n v="3240"/>
    <n v="0.2857142857142857"/>
  </r>
  <r>
    <x v="222"/>
    <s v="ORD-03113"/>
    <x v="1"/>
    <x v="4"/>
    <x v="136"/>
    <x v="1"/>
    <x v="1"/>
    <n v="4"/>
    <n v="54900"/>
    <n v="219600"/>
    <n v="45000"/>
    <n v="180000"/>
    <n v="39600"/>
    <n v="0.18032786885245902"/>
  </r>
  <r>
    <x v="222"/>
    <s v="ORD-03114"/>
    <x v="1"/>
    <x v="1"/>
    <x v="127"/>
    <x v="0"/>
    <x v="0"/>
    <n v="9"/>
    <n v="3840"/>
    <n v="34560"/>
    <n v="3200"/>
    <n v="28800"/>
    <n v="5760"/>
    <n v="0.16666666666666666"/>
  </r>
  <r>
    <x v="222"/>
    <s v="ORD-03115"/>
    <x v="1"/>
    <x v="1"/>
    <x v="97"/>
    <x v="3"/>
    <x v="0"/>
    <n v="8"/>
    <n v="3375"/>
    <n v="27000"/>
    <n v="2500"/>
    <n v="20000"/>
    <n v="7000"/>
    <n v="0.25925925925925924"/>
  </r>
  <r>
    <x v="222"/>
    <s v="ORD-03116"/>
    <x v="3"/>
    <x v="1"/>
    <x v="81"/>
    <x v="1"/>
    <x v="1"/>
    <n v="9"/>
    <n v="62999.999999999993"/>
    <n v="566999.99999999988"/>
    <n v="45000"/>
    <n v="405000"/>
    <n v="161999.99999999988"/>
    <n v="0.28571428571428559"/>
  </r>
  <r>
    <x v="222"/>
    <s v="ORD-03117"/>
    <x v="3"/>
    <x v="0"/>
    <x v="89"/>
    <x v="4"/>
    <x v="2"/>
    <n v="6"/>
    <n v="10625"/>
    <n v="63750"/>
    <n v="8500"/>
    <n v="51000"/>
    <n v="12750"/>
    <n v="0.2"/>
  </r>
  <r>
    <x v="222"/>
    <s v="ORD-03118"/>
    <x v="1"/>
    <x v="1"/>
    <x v="97"/>
    <x v="7"/>
    <x v="2"/>
    <n v="2"/>
    <n v="9030"/>
    <n v="18060"/>
    <n v="7000"/>
    <n v="14000"/>
    <n v="4060"/>
    <n v="0.22480620155038761"/>
  </r>
  <r>
    <x v="222"/>
    <s v="ORD-03119"/>
    <x v="3"/>
    <x v="2"/>
    <x v="12"/>
    <x v="2"/>
    <x v="1"/>
    <n v="4"/>
    <n v="45980"/>
    <n v="183920"/>
    <n v="38000"/>
    <n v="152000"/>
    <n v="31920"/>
    <n v="0.17355371900826447"/>
  </r>
  <r>
    <x v="222"/>
    <s v="ORD-03120"/>
    <x v="0"/>
    <x v="5"/>
    <x v="15"/>
    <x v="5"/>
    <x v="3"/>
    <n v="3"/>
    <n v="858"/>
    <n v="2574"/>
    <n v="600"/>
    <n v="1800"/>
    <n v="774"/>
    <n v="0.30069930069930068"/>
  </r>
  <r>
    <x v="223"/>
    <s v="ORD-03121"/>
    <x v="1"/>
    <x v="1"/>
    <x v="52"/>
    <x v="2"/>
    <x v="1"/>
    <n v="3"/>
    <n v="53200"/>
    <n v="159600"/>
    <n v="38000"/>
    <n v="114000"/>
    <n v="45600"/>
    <n v="0.2857142857142857"/>
  </r>
  <r>
    <x v="223"/>
    <s v="ORD-03122"/>
    <x v="3"/>
    <x v="4"/>
    <x v="121"/>
    <x v="1"/>
    <x v="1"/>
    <n v="2"/>
    <n v="62550.000000000007"/>
    <n v="125100.00000000001"/>
    <n v="45000"/>
    <n v="90000"/>
    <n v="35100.000000000015"/>
    <n v="0.28057553956834541"/>
  </r>
  <r>
    <x v="223"/>
    <s v="ORD-03123"/>
    <x v="0"/>
    <x v="2"/>
    <x v="1"/>
    <x v="5"/>
    <x v="3"/>
    <n v="1"/>
    <n v="870"/>
    <n v="870"/>
    <n v="600"/>
    <n v="600"/>
    <n v="270"/>
    <n v="0.31034482758620691"/>
  </r>
  <r>
    <x v="223"/>
    <s v="ORD-03124"/>
    <x v="0"/>
    <x v="2"/>
    <x v="132"/>
    <x v="6"/>
    <x v="3"/>
    <n v="4"/>
    <n v="1080"/>
    <n v="4320"/>
    <n v="900"/>
    <n v="3600"/>
    <n v="720"/>
    <n v="0.16666666666666666"/>
  </r>
  <r>
    <x v="223"/>
    <s v="ORD-03125"/>
    <x v="2"/>
    <x v="4"/>
    <x v="65"/>
    <x v="5"/>
    <x v="3"/>
    <n v="9"/>
    <n v="864"/>
    <n v="7776"/>
    <n v="600"/>
    <n v="5400"/>
    <n v="2376"/>
    <n v="0.30555555555555558"/>
  </r>
  <r>
    <x v="223"/>
    <s v="ORD-03126"/>
    <x v="1"/>
    <x v="0"/>
    <x v="1"/>
    <x v="5"/>
    <x v="3"/>
    <n v="8"/>
    <n v="726"/>
    <n v="5808"/>
    <n v="600"/>
    <n v="4800"/>
    <n v="1008"/>
    <n v="0.17355371900826447"/>
  </r>
  <r>
    <x v="223"/>
    <s v="ORD-03127"/>
    <x v="1"/>
    <x v="0"/>
    <x v="13"/>
    <x v="1"/>
    <x v="1"/>
    <n v="5"/>
    <n v="55350"/>
    <n v="276750"/>
    <n v="45000"/>
    <n v="225000"/>
    <n v="51750"/>
    <n v="0.18699186991869918"/>
  </r>
  <r>
    <x v="223"/>
    <s v="ORD-03128"/>
    <x v="0"/>
    <x v="2"/>
    <x v="82"/>
    <x v="0"/>
    <x v="0"/>
    <n v="2"/>
    <n v="4576"/>
    <n v="9152"/>
    <n v="3200"/>
    <n v="6400"/>
    <n v="2752"/>
    <n v="0.30069930069930068"/>
  </r>
  <r>
    <x v="223"/>
    <s v="ORD-03129"/>
    <x v="1"/>
    <x v="0"/>
    <x v="11"/>
    <x v="5"/>
    <x v="3"/>
    <n v="8"/>
    <n v="726"/>
    <n v="5808"/>
    <n v="600"/>
    <n v="4800"/>
    <n v="1008"/>
    <n v="0.17355371900826447"/>
  </r>
  <r>
    <x v="223"/>
    <s v="ORD-03130"/>
    <x v="2"/>
    <x v="2"/>
    <x v="55"/>
    <x v="1"/>
    <x v="1"/>
    <n v="10"/>
    <n v="62099.999999999993"/>
    <n v="620999.99999999988"/>
    <n v="45000"/>
    <n v="450000"/>
    <n v="170999.99999999988"/>
    <n v="0.2753623188405796"/>
  </r>
  <r>
    <x v="223"/>
    <s v="ORD-03131"/>
    <x v="3"/>
    <x v="4"/>
    <x v="123"/>
    <x v="4"/>
    <x v="2"/>
    <n v="2"/>
    <n v="11305"/>
    <n v="22610"/>
    <n v="8500"/>
    <n v="17000"/>
    <n v="5610"/>
    <n v="0.24812030075187969"/>
  </r>
  <r>
    <x v="223"/>
    <s v="ORD-03132"/>
    <x v="1"/>
    <x v="5"/>
    <x v="54"/>
    <x v="7"/>
    <x v="2"/>
    <n v="3"/>
    <n v="9380"/>
    <n v="28140"/>
    <n v="7000"/>
    <n v="21000"/>
    <n v="7140"/>
    <n v="0.2537313432835821"/>
  </r>
  <r>
    <x v="223"/>
    <s v="ORD-03133"/>
    <x v="1"/>
    <x v="4"/>
    <x v="31"/>
    <x v="2"/>
    <x v="1"/>
    <n v="6"/>
    <n v="53960"/>
    <n v="323760"/>
    <n v="38000"/>
    <n v="228000"/>
    <n v="95760"/>
    <n v="0.29577464788732394"/>
  </r>
  <r>
    <x v="223"/>
    <s v="ORD-03134"/>
    <x v="2"/>
    <x v="5"/>
    <x v="127"/>
    <x v="0"/>
    <x v="0"/>
    <n v="7"/>
    <n v="3968"/>
    <n v="27776"/>
    <n v="3200"/>
    <n v="22400"/>
    <n v="5376"/>
    <n v="0.19354838709677419"/>
  </r>
  <r>
    <x v="224"/>
    <s v="ORD-03135"/>
    <x v="3"/>
    <x v="0"/>
    <x v="40"/>
    <x v="6"/>
    <x v="3"/>
    <n v="5"/>
    <n v="1161"/>
    <n v="5805"/>
    <n v="900"/>
    <n v="4500"/>
    <n v="1305"/>
    <n v="0.22480620155038761"/>
  </r>
  <r>
    <x v="224"/>
    <s v="ORD-03136"/>
    <x v="3"/>
    <x v="0"/>
    <x v="143"/>
    <x v="1"/>
    <x v="1"/>
    <n v="4"/>
    <n v="58500"/>
    <n v="234000"/>
    <n v="45000"/>
    <n v="180000"/>
    <n v="54000"/>
    <n v="0.23076923076923078"/>
  </r>
  <r>
    <x v="224"/>
    <s v="ORD-03137"/>
    <x v="0"/>
    <x v="0"/>
    <x v="44"/>
    <x v="5"/>
    <x v="3"/>
    <n v="2"/>
    <n v="732"/>
    <n v="1464"/>
    <n v="600"/>
    <n v="1200"/>
    <n v="264"/>
    <n v="0.18032786885245902"/>
  </r>
  <r>
    <x v="224"/>
    <s v="ORD-03138"/>
    <x v="0"/>
    <x v="1"/>
    <x v="65"/>
    <x v="2"/>
    <x v="1"/>
    <n v="10"/>
    <n v="50920"/>
    <n v="509200"/>
    <n v="38000"/>
    <n v="380000"/>
    <n v="129200"/>
    <n v="0.2537313432835821"/>
  </r>
  <r>
    <x v="224"/>
    <s v="ORD-03139"/>
    <x v="3"/>
    <x v="1"/>
    <x v="109"/>
    <x v="1"/>
    <x v="1"/>
    <n v="6"/>
    <n v="63900"/>
    <n v="383400"/>
    <n v="45000"/>
    <n v="270000"/>
    <n v="113400"/>
    <n v="0.29577464788732394"/>
  </r>
  <r>
    <x v="224"/>
    <s v="ORD-03140"/>
    <x v="0"/>
    <x v="2"/>
    <x v="91"/>
    <x v="3"/>
    <x v="0"/>
    <n v="9"/>
    <n v="3449.9999999999995"/>
    <n v="31049.999999999996"/>
    <n v="2500"/>
    <n v="22500"/>
    <n v="8549.9999999999964"/>
    <n v="0.2753623188405796"/>
  </r>
  <r>
    <x v="224"/>
    <s v="ORD-03141"/>
    <x v="3"/>
    <x v="2"/>
    <x v="41"/>
    <x v="7"/>
    <x v="2"/>
    <n v="7"/>
    <n v="9170"/>
    <n v="64190"/>
    <n v="7000"/>
    <n v="49000"/>
    <n v="15190"/>
    <n v="0.23664122137404581"/>
  </r>
  <r>
    <x v="224"/>
    <s v="ORD-03142"/>
    <x v="3"/>
    <x v="0"/>
    <x v="76"/>
    <x v="7"/>
    <x v="2"/>
    <n v="5"/>
    <n v="9940"/>
    <n v="49700"/>
    <n v="7000"/>
    <n v="35000"/>
    <n v="14700"/>
    <n v="0.29577464788732394"/>
  </r>
  <r>
    <x v="224"/>
    <s v="ORD-03143"/>
    <x v="0"/>
    <x v="0"/>
    <x v="33"/>
    <x v="6"/>
    <x v="3"/>
    <n v="7"/>
    <n v="1161"/>
    <n v="8127"/>
    <n v="900"/>
    <n v="6300"/>
    <n v="1827"/>
    <n v="0.22480620155038761"/>
  </r>
  <r>
    <x v="224"/>
    <s v="ORD-03144"/>
    <x v="1"/>
    <x v="4"/>
    <x v="118"/>
    <x v="2"/>
    <x v="1"/>
    <n v="10"/>
    <n v="47120"/>
    <n v="471200"/>
    <n v="38000"/>
    <n v="380000"/>
    <n v="91200"/>
    <n v="0.19354838709677419"/>
  </r>
  <r>
    <x v="224"/>
    <s v="ORD-03145"/>
    <x v="1"/>
    <x v="0"/>
    <x v="149"/>
    <x v="2"/>
    <x v="1"/>
    <n v="5"/>
    <n v="53580"/>
    <n v="267900"/>
    <n v="38000"/>
    <n v="190000"/>
    <n v="77900"/>
    <n v="0.29078014184397161"/>
  </r>
  <r>
    <x v="224"/>
    <s v="ORD-03146"/>
    <x v="1"/>
    <x v="1"/>
    <x v="139"/>
    <x v="6"/>
    <x v="3"/>
    <n v="3"/>
    <n v="1224"/>
    <n v="3672"/>
    <n v="900"/>
    <n v="2700"/>
    <n v="972"/>
    <n v="0.26470588235294118"/>
  </r>
  <r>
    <x v="224"/>
    <s v="ORD-03147"/>
    <x v="1"/>
    <x v="2"/>
    <x v="21"/>
    <x v="3"/>
    <x v="0"/>
    <n v="3"/>
    <n v="3175"/>
    <n v="9525"/>
    <n v="2500"/>
    <n v="7500"/>
    <n v="2025"/>
    <n v="0.2125984251968504"/>
  </r>
  <r>
    <x v="224"/>
    <s v="ORD-03148"/>
    <x v="0"/>
    <x v="2"/>
    <x v="87"/>
    <x v="7"/>
    <x v="2"/>
    <n v="8"/>
    <n v="8400"/>
    <n v="67200"/>
    <n v="7000"/>
    <n v="56000"/>
    <n v="11200"/>
    <n v="0.16666666666666666"/>
  </r>
  <r>
    <x v="225"/>
    <s v="ORD-03149"/>
    <x v="0"/>
    <x v="2"/>
    <x v="53"/>
    <x v="6"/>
    <x v="3"/>
    <n v="3"/>
    <n v="1098"/>
    <n v="3294"/>
    <n v="900"/>
    <n v="2700"/>
    <n v="594"/>
    <n v="0.18032786885245902"/>
  </r>
  <r>
    <x v="225"/>
    <s v="ORD-03150"/>
    <x v="3"/>
    <x v="5"/>
    <x v="127"/>
    <x v="6"/>
    <x v="3"/>
    <n v="5"/>
    <n v="1107"/>
    <n v="5535"/>
    <n v="900"/>
    <n v="4500"/>
    <n v="1035"/>
    <n v="0.18699186991869918"/>
  </r>
  <r>
    <x v="225"/>
    <s v="ORD-03151"/>
    <x v="1"/>
    <x v="4"/>
    <x v="116"/>
    <x v="6"/>
    <x v="3"/>
    <n v="3"/>
    <n v="1305"/>
    <n v="3915"/>
    <n v="900"/>
    <n v="2700"/>
    <n v="1215"/>
    <n v="0.31034482758620691"/>
  </r>
  <r>
    <x v="225"/>
    <s v="ORD-03152"/>
    <x v="2"/>
    <x v="2"/>
    <x v="140"/>
    <x v="3"/>
    <x v="0"/>
    <n v="10"/>
    <n v="3475.0000000000005"/>
    <n v="34750.000000000007"/>
    <n v="2500"/>
    <n v="25000"/>
    <n v="9750.0000000000073"/>
    <n v="0.28057553956834547"/>
  </r>
  <r>
    <x v="225"/>
    <s v="ORD-03153"/>
    <x v="3"/>
    <x v="4"/>
    <x v="34"/>
    <x v="0"/>
    <x v="0"/>
    <n v="5"/>
    <n v="4352"/>
    <n v="21760"/>
    <n v="3200"/>
    <n v="16000"/>
    <n v="5760"/>
    <n v="0.26470588235294118"/>
  </r>
  <r>
    <x v="225"/>
    <s v="ORD-03154"/>
    <x v="0"/>
    <x v="0"/>
    <x v="99"/>
    <x v="4"/>
    <x v="2"/>
    <n v="8"/>
    <n v="11985"/>
    <n v="95880"/>
    <n v="8500"/>
    <n v="68000"/>
    <n v="27880"/>
    <n v="0.29078014184397161"/>
  </r>
  <r>
    <x v="225"/>
    <s v="ORD-03155"/>
    <x v="3"/>
    <x v="3"/>
    <x v="23"/>
    <x v="1"/>
    <x v="1"/>
    <n v="6"/>
    <n v="55800"/>
    <n v="334800"/>
    <n v="45000"/>
    <n v="270000"/>
    <n v="64800"/>
    <n v="0.19354838709677419"/>
  </r>
  <r>
    <x v="225"/>
    <s v="ORD-03156"/>
    <x v="2"/>
    <x v="1"/>
    <x v="135"/>
    <x v="6"/>
    <x v="3"/>
    <n v="3"/>
    <n v="1242"/>
    <n v="3726"/>
    <n v="900"/>
    <n v="2700"/>
    <n v="1026"/>
    <n v="0.27536231884057971"/>
  </r>
  <r>
    <x v="225"/>
    <s v="ORD-03157"/>
    <x v="3"/>
    <x v="1"/>
    <x v="29"/>
    <x v="2"/>
    <x v="1"/>
    <n v="5"/>
    <n v="49780"/>
    <n v="248900"/>
    <n v="38000"/>
    <n v="190000"/>
    <n v="58900"/>
    <n v="0.23664122137404581"/>
  </r>
  <r>
    <x v="225"/>
    <s v="ORD-03158"/>
    <x v="0"/>
    <x v="3"/>
    <x v="38"/>
    <x v="6"/>
    <x v="3"/>
    <n v="6"/>
    <n v="1152"/>
    <n v="6912"/>
    <n v="900"/>
    <n v="5400"/>
    <n v="1512"/>
    <n v="0.21875"/>
  </r>
  <r>
    <x v="225"/>
    <s v="ORD-03159"/>
    <x v="2"/>
    <x v="2"/>
    <x v="131"/>
    <x v="3"/>
    <x v="0"/>
    <n v="8"/>
    <n v="3600"/>
    <n v="28800"/>
    <n v="2500"/>
    <n v="20000"/>
    <n v="8800"/>
    <n v="0.30555555555555558"/>
  </r>
  <r>
    <x v="225"/>
    <s v="ORD-03160"/>
    <x v="2"/>
    <x v="5"/>
    <x v="46"/>
    <x v="2"/>
    <x v="1"/>
    <n v="9"/>
    <n v="50920"/>
    <n v="458280"/>
    <n v="38000"/>
    <n v="342000"/>
    <n v="116280"/>
    <n v="0.2537313432835821"/>
  </r>
  <r>
    <x v="225"/>
    <s v="ORD-03161"/>
    <x v="1"/>
    <x v="4"/>
    <x v="41"/>
    <x v="7"/>
    <x v="2"/>
    <n v="7"/>
    <n v="8890"/>
    <n v="62230"/>
    <n v="7000"/>
    <n v="49000"/>
    <n v="13230"/>
    <n v="0.2125984251968504"/>
  </r>
  <r>
    <x v="225"/>
    <s v="ORD-03162"/>
    <x v="2"/>
    <x v="5"/>
    <x v="54"/>
    <x v="3"/>
    <x v="0"/>
    <n v="8"/>
    <n v="3250"/>
    <n v="26000"/>
    <n v="2500"/>
    <n v="20000"/>
    <n v="6000"/>
    <n v="0.23076923076923078"/>
  </r>
  <r>
    <x v="226"/>
    <s v="ORD-03163"/>
    <x v="0"/>
    <x v="0"/>
    <x v="75"/>
    <x v="4"/>
    <x v="2"/>
    <n v="3"/>
    <n v="11050"/>
    <n v="33150"/>
    <n v="8500"/>
    <n v="25500"/>
    <n v="7650"/>
    <n v="0.23076923076923078"/>
  </r>
  <r>
    <x v="226"/>
    <s v="ORD-03164"/>
    <x v="3"/>
    <x v="1"/>
    <x v="83"/>
    <x v="0"/>
    <x v="0"/>
    <n v="5"/>
    <n v="4640"/>
    <n v="23200"/>
    <n v="3200"/>
    <n v="16000"/>
    <n v="7200"/>
    <n v="0.31034482758620691"/>
  </r>
  <r>
    <x v="226"/>
    <s v="ORD-03165"/>
    <x v="1"/>
    <x v="5"/>
    <x v="104"/>
    <x v="3"/>
    <x v="0"/>
    <n v="4"/>
    <n v="3050"/>
    <n v="12200"/>
    <n v="2500"/>
    <n v="10000"/>
    <n v="2200"/>
    <n v="0.18032786885245902"/>
  </r>
  <r>
    <x v="226"/>
    <s v="ORD-03166"/>
    <x v="0"/>
    <x v="3"/>
    <x v="14"/>
    <x v="2"/>
    <x v="1"/>
    <n v="5"/>
    <n v="53580"/>
    <n v="267900"/>
    <n v="38000"/>
    <n v="190000"/>
    <n v="77900"/>
    <n v="0.29078014184397161"/>
  </r>
  <r>
    <x v="226"/>
    <s v="ORD-03167"/>
    <x v="3"/>
    <x v="3"/>
    <x v="88"/>
    <x v="6"/>
    <x v="3"/>
    <n v="9"/>
    <n v="1224"/>
    <n v="11016"/>
    <n v="900"/>
    <n v="8100"/>
    <n v="2916"/>
    <n v="0.26470588235294118"/>
  </r>
  <r>
    <x v="226"/>
    <s v="ORD-03168"/>
    <x v="3"/>
    <x v="1"/>
    <x v="57"/>
    <x v="4"/>
    <x v="2"/>
    <n v="6"/>
    <n v="10200"/>
    <n v="61200"/>
    <n v="8500"/>
    <n v="51000"/>
    <n v="10200"/>
    <n v="0.16666666666666666"/>
  </r>
  <r>
    <x v="226"/>
    <s v="ORD-03169"/>
    <x v="3"/>
    <x v="1"/>
    <x v="103"/>
    <x v="3"/>
    <x v="0"/>
    <n v="1"/>
    <n v="3275"/>
    <n v="3275"/>
    <n v="2500"/>
    <n v="2500"/>
    <n v="775"/>
    <n v="0.23664122137404581"/>
  </r>
  <r>
    <x v="226"/>
    <s v="ORD-03170"/>
    <x v="1"/>
    <x v="5"/>
    <x v="113"/>
    <x v="1"/>
    <x v="1"/>
    <n v="2"/>
    <n v="58500"/>
    <n v="117000"/>
    <n v="45000"/>
    <n v="90000"/>
    <n v="27000"/>
    <n v="0.23076923076923078"/>
  </r>
  <r>
    <x v="226"/>
    <s v="ORD-03171"/>
    <x v="1"/>
    <x v="2"/>
    <x v="134"/>
    <x v="5"/>
    <x v="3"/>
    <n v="2"/>
    <n v="810"/>
    <n v="1620"/>
    <n v="600"/>
    <n v="1200"/>
    <n v="420"/>
    <n v="0.25925925925925924"/>
  </r>
  <r>
    <x v="226"/>
    <s v="ORD-03172"/>
    <x v="2"/>
    <x v="5"/>
    <x v="96"/>
    <x v="4"/>
    <x v="2"/>
    <n v="9"/>
    <n v="10625"/>
    <n v="95625"/>
    <n v="8500"/>
    <n v="76500"/>
    <n v="19125"/>
    <n v="0.2"/>
  </r>
  <r>
    <x v="226"/>
    <s v="ORD-03173"/>
    <x v="1"/>
    <x v="5"/>
    <x v="3"/>
    <x v="5"/>
    <x v="3"/>
    <n v="6"/>
    <n v="846"/>
    <n v="5076"/>
    <n v="600"/>
    <n v="3600"/>
    <n v="1476"/>
    <n v="0.29078014184397161"/>
  </r>
  <r>
    <x v="226"/>
    <s v="ORD-03174"/>
    <x v="1"/>
    <x v="5"/>
    <x v="146"/>
    <x v="4"/>
    <x v="2"/>
    <n v="1"/>
    <n v="10285"/>
    <n v="10285"/>
    <n v="8500"/>
    <n v="8500"/>
    <n v="1785"/>
    <n v="0.17355371900826447"/>
  </r>
  <r>
    <x v="226"/>
    <s v="ORD-03175"/>
    <x v="2"/>
    <x v="5"/>
    <x v="92"/>
    <x v="5"/>
    <x v="3"/>
    <n v="2"/>
    <n v="804"/>
    <n v="1608"/>
    <n v="600"/>
    <n v="1200"/>
    <n v="408"/>
    <n v="0.2537313432835821"/>
  </r>
  <r>
    <x v="226"/>
    <s v="ORD-03176"/>
    <x v="1"/>
    <x v="2"/>
    <x v="132"/>
    <x v="0"/>
    <x v="0"/>
    <n v="1"/>
    <n v="4032"/>
    <n v="4032"/>
    <n v="3200"/>
    <n v="3200"/>
    <n v="832"/>
    <n v="0.20634920634920634"/>
  </r>
  <r>
    <x v="227"/>
    <s v="ORD-03177"/>
    <x v="3"/>
    <x v="5"/>
    <x v="132"/>
    <x v="1"/>
    <x v="1"/>
    <n v="5"/>
    <n v="65250"/>
    <n v="326250"/>
    <n v="45000"/>
    <n v="225000"/>
    <n v="101250"/>
    <n v="0.31034482758620691"/>
  </r>
  <r>
    <x v="227"/>
    <s v="ORD-03178"/>
    <x v="0"/>
    <x v="0"/>
    <x v="71"/>
    <x v="6"/>
    <x v="3"/>
    <n v="2"/>
    <n v="1098"/>
    <n v="2196"/>
    <n v="900"/>
    <n v="1800"/>
    <n v="396"/>
    <n v="0.18032786885245902"/>
  </r>
  <r>
    <x v="227"/>
    <s v="ORD-03179"/>
    <x v="3"/>
    <x v="5"/>
    <x v="132"/>
    <x v="3"/>
    <x v="0"/>
    <n v="10"/>
    <n v="3550"/>
    <n v="35500"/>
    <n v="2500"/>
    <n v="25000"/>
    <n v="10500"/>
    <n v="0.29577464788732394"/>
  </r>
  <r>
    <x v="227"/>
    <s v="ORD-03180"/>
    <x v="1"/>
    <x v="3"/>
    <x v="111"/>
    <x v="0"/>
    <x v="0"/>
    <n v="3"/>
    <n v="4064"/>
    <n v="12192"/>
    <n v="3200"/>
    <n v="9600"/>
    <n v="2592"/>
    <n v="0.2125984251968504"/>
  </r>
  <r>
    <x v="227"/>
    <s v="ORD-03181"/>
    <x v="0"/>
    <x v="1"/>
    <x v="123"/>
    <x v="2"/>
    <x v="1"/>
    <n v="5"/>
    <n v="45600"/>
    <n v="228000"/>
    <n v="38000"/>
    <n v="190000"/>
    <n v="38000"/>
    <n v="0.16666666666666666"/>
  </r>
  <r>
    <x v="227"/>
    <s v="ORD-03182"/>
    <x v="0"/>
    <x v="1"/>
    <x v="140"/>
    <x v="1"/>
    <x v="1"/>
    <n v="7"/>
    <n v="54000"/>
    <n v="378000"/>
    <n v="45000"/>
    <n v="315000"/>
    <n v="63000"/>
    <n v="0.16666666666666666"/>
  </r>
  <r>
    <x v="227"/>
    <s v="ORD-03183"/>
    <x v="0"/>
    <x v="5"/>
    <x v="31"/>
    <x v="7"/>
    <x v="2"/>
    <n v="9"/>
    <n v="8540"/>
    <n v="76860"/>
    <n v="7000"/>
    <n v="63000"/>
    <n v="13860"/>
    <n v="0.18032786885245902"/>
  </r>
  <r>
    <x v="227"/>
    <s v="ORD-03184"/>
    <x v="1"/>
    <x v="4"/>
    <x v="101"/>
    <x v="1"/>
    <x v="1"/>
    <n v="1"/>
    <n v="56250"/>
    <n v="56250"/>
    <n v="45000"/>
    <n v="45000"/>
    <n v="11250"/>
    <n v="0.2"/>
  </r>
  <r>
    <x v="227"/>
    <s v="ORD-03185"/>
    <x v="3"/>
    <x v="1"/>
    <x v="0"/>
    <x v="4"/>
    <x v="2"/>
    <n v="3"/>
    <n v="11135"/>
    <n v="33405"/>
    <n v="8500"/>
    <n v="25500"/>
    <n v="7905"/>
    <n v="0.23664122137404581"/>
  </r>
  <r>
    <x v="227"/>
    <s v="ORD-03186"/>
    <x v="1"/>
    <x v="4"/>
    <x v="123"/>
    <x v="2"/>
    <x v="1"/>
    <n v="1"/>
    <n v="53200"/>
    <n v="53200"/>
    <n v="38000"/>
    <n v="38000"/>
    <n v="15200"/>
    <n v="0.2857142857142857"/>
  </r>
  <r>
    <x v="227"/>
    <s v="ORD-03187"/>
    <x v="0"/>
    <x v="2"/>
    <x v="106"/>
    <x v="7"/>
    <x v="2"/>
    <n v="9"/>
    <n v="9450"/>
    <n v="85050"/>
    <n v="7000"/>
    <n v="63000"/>
    <n v="22050"/>
    <n v="0.25925925925925924"/>
  </r>
  <r>
    <x v="227"/>
    <s v="ORD-03188"/>
    <x v="3"/>
    <x v="0"/>
    <x v="23"/>
    <x v="7"/>
    <x v="2"/>
    <n v="4"/>
    <n v="8610"/>
    <n v="34440"/>
    <n v="7000"/>
    <n v="28000"/>
    <n v="6440"/>
    <n v="0.18699186991869918"/>
  </r>
  <r>
    <x v="227"/>
    <s v="ORD-03189"/>
    <x v="0"/>
    <x v="5"/>
    <x v="90"/>
    <x v="5"/>
    <x v="3"/>
    <n v="9"/>
    <n v="827.99999999999989"/>
    <n v="7451.9999999999991"/>
    <n v="600"/>
    <n v="5400"/>
    <n v="2051.9999999999991"/>
    <n v="0.2753623188405796"/>
  </r>
  <r>
    <x v="227"/>
    <s v="ORD-03190"/>
    <x v="0"/>
    <x v="0"/>
    <x v="33"/>
    <x v="1"/>
    <x v="1"/>
    <n v="4"/>
    <n v="63450"/>
    <n v="253800"/>
    <n v="45000"/>
    <n v="180000"/>
    <n v="73800"/>
    <n v="0.29078014184397161"/>
  </r>
  <r>
    <x v="228"/>
    <s v="ORD-03191"/>
    <x v="0"/>
    <x v="2"/>
    <x v="81"/>
    <x v="3"/>
    <x v="0"/>
    <n v="5"/>
    <n v="3175"/>
    <n v="15875"/>
    <n v="2500"/>
    <n v="12500"/>
    <n v="3375"/>
    <n v="0.2125984251968504"/>
  </r>
  <r>
    <x v="228"/>
    <s v="ORD-03192"/>
    <x v="2"/>
    <x v="5"/>
    <x v="77"/>
    <x v="1"/>
    <x v="1"/>
    <n v="2"/>
    <n v="63900"/>
    <n v="127800"/>
    <n v="45000"/>
    <n v="90000"/>
    <n v="37800"/>
    <n v="0.29577464788732394"/>
  </r>
  <r>
    <x v="228"/>
    <s v="ORD-03193"/>
    <x v="1"/>
    <x v="5"/>
    <x v="119"/>
    <x v="2"/>
    <x v="1"/>
    <n v="2"/>
    <n v="46740"/>
    <n v="93480"/>
    <n v="38000"/>
    <n v="76000"/>
    <n v="17480"/>
    <n v="0.18699186991869918"/>
  </r>
  <r>
    <x v="228"/>
    <s v="ORD-03194"/>
    <x v="2"/>
    <x v="0"/>
    <x v="20"/>
    <x v="4"/>
    <x v="2"/>
    <n v="6"/>
    <n v="10880"/>
    <n v="65280"/>
    <n v="8500"/>
    <n v="51000"/>
    <n v="14280"/>
    <n v="0.21875"/>
  </r>
  <r>
    <x v="228"/>
    <s v="ORD-03195"/>
    <x v="2"/>
    <x v="4"/>
    <x v="22"/>
    <x v="3"/>
    <x v="0"/>
    <n v="7"/>
    <n v="3625"/>
    <n v="25375"/>
    <n v="2500"/>
    <n v="17500"/>
    <n v="7875"/>
    <n v="0.31034482758620691"/>
  </r>
  <r>
    <x v="228"/>
    <s v="ORD-03196"/>
    <x v="1"/>
    <x v="1"/>
    <x v="149"/>
    <x v="7"/>
    <x v="2"/>
    <n v="5"/>
    <n v="8680"/>
    <n v="43400"/>
    <n v="7000"/>
    <n v="35000"/>
    <n v="8400"/>
    <n v="0.19354838709677419"/>
  </r>
  <r>
    <x v="228"/>
    <s v="ORD-03197"/>
    <x v="2"/>
    <x v="2"/>
    <x v="67"/>
    <x v="7"/>
    <x v="2"/>
    <n v="4"/>
    <n v="8540"/>
    <n v="34160"/>
    <n v="7000"/>
    <n v="28000"/>
    <n v="6160"/>
    <n v="0.18032786885245902"/>
  </r>
  <r>
    <x v="228"/>
    <s v="ORD-03198"/>
    <x v="3"/>
    <x v="5"/>
    <x v="42"/>
    <x v="5"/>
    <x v="3"/>
    <n v="1"/>
    <n v="756"/>
    <n v="756"/>
    <n v="600"/>
    <n v="600"/>
    <n v="156"/>
    <n v="0.20634920634920634"/>
  </r>
  <r>
    <x v="228"/>
    <s v="ORD-03199"/>
    <x v="3"/>
    <x v="1"/>
    <x v="50"/>
    <x v="6"/>
    <x v="3"/>
    <n v="10"/>
    <n v="1296"/>
    <n v="12960"/>
    <n v="900"/>
    <n v="9000"/>
    <n v="3960"/>
    <n v="0.30555555555555558"/>
  </r>
  <r>
    <x v="228"/>
    <s v="ORD-03200"/>
    <x v="1"/>
    <x v="5"/>
    <x v="8"/>
    <x v="7"/>
    <x v="2"/>
    <n v="1"/>
    <n v="9800"/>
    <n v="9800"/>
    <n v="7000"/>
    <n v="7000"/>
    <n v="2800"/>
    <n v="0.2857142857142857"/>
  </r>
  <r>
    <x v="228"/>
    <s v="ORD-03201"/>
    <x v="3"/>
    <x v="3"/>
    <x v="27"/>
    <x v="3"/>
    <x v="0"/>
    <n v="9"/>
    <n v="3525"/>
    <n v="31725"/>
    <n v="2500"/>
    <n v="22500"/>
    <n v="9225"/>
    <n v="0.29078014184397161"/>
  </r>
  <r>
    <x v="228"/>
    <s v="ORD-03202"/>
    <x v="2"/>
    <x v="0"/>
    <x v="32"/>
    <x v="3"/>
    <x v="0"/>
    <n v="9"/>
    <n v="3300"/>
    <n v="29700"/>
    <n v="2500"/>
    <n v="22500"/>
    <n v="7200"/>
    <n v="0.24242424242424243"/>
  </r>
  <r>
    <x v="228"/>
    <s v="ORD-03203"/>
    <x v="1"/>
    <x v="2"/>
    <x v="79"/>
    <x v="1"/>
    <x v="1"/>
    <n v="7"/>
    <n v="62099.999999999993"/>
    <n v="434699.99999999994"/>
    <n v="45000"/>
    <n v="315000"/>
    <n v="119699.99999999994"/>
    <n v="0.2753623188405796"/>
  </r>
  <r>
    <x v="228"/>
    <s v="ORD-03204"/>
    <x v="3"/>
    <x v="3"/>
    <x v="52"/>
    <x v="1"/>
    <x v="1"/>
    <n v="4"/>
    <n v="62099.999999999993"/>
    <n v="248399.99999999997"/>
    <n v="45000"/>
    <n v="180000"/>
    <n v="68399.999999999971"/>
    <n v="0.2753623188405796"/>
  </r>
  <r>
    <x v="229"/>
    <s v="ORD-03205"/>
    <x v="1"/>
    <x v="3"/>
    <x v="25"/>
    <x v="2"/>
    <x v="1"/>
    <n v="3"/>
    <n v="54340"/>
    <n v="163020"/>
    <n v="38000"/>
    <n v="114000"/>
    <n v="49020"/>
    <n v="0.30069930069930068"/>
  </r>
  <r>
    <x v="229"/>
    <s v="ORD-03206"/>
    <x v="0"/>
    <x v="0"/>
    <x v="67"/>
    <x v="0"/>
    <x v="0"/>
    <n v="5"/>
    <n v="4256"/>
    <n v="21280"/>
    <n v="3200"/>
    <n v="16000"/>
    <n v="5280"/>
    <n v="0.24812030075187969"/>
  </r>
  <r>
    <x v="229"/>
    <s v="ORD-03207"/>
    <x v="3"/>
    <x v="5"/>
    <x v="58"/>
    <x v="7"/>
    <x v="2"/>
    <n v="9"/>
    <n v="9590"/>
    <n v="86310"/>
    <n v="7000"/>
    <n v="63000"/>
    <n v="23310"/>
    <n v="0.27007299270072993"/>
  </r>
  <r>
    <x v="229"/>
    <s v="ORD-03208"/>
    <x v="2"/>
    <x v="1"/>
    <x v="149"/>
    <x v="5"/>
    <x v="3"/>
    <n v="10"/>
    <n v="810"/>
    <n v="8100"/>
    <n v="600"/>
    <n v="6000"/>
    <n v="2100"/>
    <n v="0.25925925925925924"/>
  </r>
  <r>
    <x v="229"/>
    <s v="ORD-03209"/>
    <x v="2"/>
    <x v="3"/>
    <x v="107"/>
    <x v="5"/>
    <x v="3"/>
    <n v="6"/>
    <n v="834.00000000000011"/>
    <n v="5004.0000000000009"/>
    <n v="600"/>
    <n v="3600"/>
    <n v="1404.0000000000009"/>
    <n v="0.28057553956834547"/>
  </r>
  <r>
    <x v="229"/>
    <s v="ORD-03210"/>
    <x v="1"/>
    <x v="1"/>
    <x v="56"/>
    <x v="0"/>
    <x v="0"/>
    <n v="10"/>
    <n v="4032"/>
    <n v="40320"/>
    <n v="3200"/>
    <n v="32000"/>
    <n v="8320"/>
    <n v="0.20634920634920634"/>
  </r>
  <r>
    <x v="229"/>
    <s v="ORD-03211"/>
    <x v="3"/>
    <x v="4"/>
    <x v="45"/>
    <x v="0"/>
    <x v="0"/>
    <n v="3"/>
    <n v="3968"/>
    <n v="11904"/>
    <n v="3200"/>
    <n v="9600"/>
    <n v="2304"/>
    <n v="0.19354838709677419"/>
  </r>
  <r>
    <x v="229"/>
    <s v="ORD-03212"/>
    <x v="1"/>
    <x v="0"/>
    <x v="77"/>
    <x v="3"/>
    <x v="0"/>
    <n v="7"/>
    <n v="3350"/>
    <n v="23450"/>
    <n v="2500"/>
    <n v="17500"/>
    <n v="5950"/>
    <n v="0.2537313432835821"/>
  </r>
  <r>
    <x v="229"/>
    <s v="ORD-03213"/>
    <x v="1"/>
    <x v="2"/>
    <x v="131"/>
    <x v="7"/>
    <x v="2"/>
    <n v="3"/>
    <n v="9450"/>
    <n v="28350"/>
    <n v="7000"/>
    <n v="21000"/>
    <n v="7350"/>
    <n v="0.25925925925925924"/>
  </r>
  <r>
    <x v="229"/>
    <s v="ORD-03214"/>
    <x v="2"/>
    <x v="2"/>
    <x v="61"/>
    <x v="0"/>
    <x v="0"/>
    <n v="1"/>
    <n v="4448"/>
    <n v="4448"/>
    <n v="3200"/>
    <n v="3200"/>
    <n v="1248"/>
    <n v="0.2805755395683453"/>
  </r>
  <r>
    <x v="229"/>
    <s v="ORD-03215"/>
    <x v="1"/>
    <x v="2"/>
    <x v="8"/>
    <x v="7"/>
    <x v="2"/>
    <n v="10"/>
    <n v="8400"/>
    <n v="84000"/>
    <n v="7000"/>
    <n v="70000"/>
    <n v="14000"/>
    <n v="0.16666666666666666"/>
  </r>
  <r>
    <x v="229"/>
    <s v="ORD-03216"/>
    <x v="3"/>
    <x v="2"/>
    <x v="22"/>
    <x v="1"/>
    <x v="1"/>
    <n v="10"/>
    <n v="59400"/>
    <n v="594000"/>
    <n v="45000"/>
    <n v="450000"/>
    <n v="144000"/>
    <n v="0.24242424242424243"/>
  </r>
  <r>
    <x v="229"/>
    <s v="ORD-03217"/>
    <x v="2"/>
    <x v="0"/>
    <x v="106"/>
    <x v="1"/>
    <x v="1"/>
    <n v="9"/>
    <n v="55800"/>
    <n v="502200"/>
    <n v="45000"/>
    <n v="405000"/>
    <n v="97200"/>
    <n v="0.19354838709677419"/>
  </r>
  <r>
    <x v="229"/>
    <s v="ORD-03218"/>
    <x v="0"/>
    <x v="1"/>
    <x v="0"/>
    <x v="0"/>
    <x v="0"/>
    <n v="5"/>
    <n v="4384"/>
    <n v="21920"/>
    <n v="3200"/>
    <n v="16000"/>
    <n v="5920"/>
    <n v="0.27007299270072993"/>
  </r>
  <r>
    <x v="230"/>
    <s v="ORD-03219"/>
    <x v="3"/>
    <x v="0"/>
    <x v="105"/>
    <x v="7"/>
    <x v="2"/>
    <n v="9"/>
    <n v="9660"/>
    <n v="86940"/>
    <n v="7000"/>
    <n v="63000"/>
    <n v="23940"/>
    <n v="0.27536231884057971"/>
  </r>
  <r>
    <x v="230"/>
    <s v="ORD-03220"/>
    <x v="0"/>
    <x v="4"/>
    <x v="56"/>
    <x v="0"/>
    <x v="0"/>
    <n v="8"/>
    <n v="4160"/>
    <n v="33280"/>
    <n v="3200"/>
    <n v="25600"/>
    <n v="7680"/>
    <n v="0.23076923076923078"/>
  </r>
  <r>
    <x v="230"/>
    <s v="ORD-03221"/>
    <x v="3"/>
    <x v="2"/>
    <x v="142"/>
    <x v="5"/>
    <x v="3"/>
    <n v="9"/>
    <n v="815.99999999999989"/>
    <n v="7343.9999999999991"/>
    <n v="600"/>
    <n v="5400"/>
    <n v="1943.9999999999991"/>
    <n v="0.26470588235294107"/>
  </r>
  <r>
    <x v="230"/>
    <s v="ORD-03222"/>
    <x v="2"/>
    <x v="4"/>
    <x v="142"/>
    <x v="6"/>
    <x v="3"/>
    <n v="9"/>
    <n v="1170"/>
    <n v="10530"/>
    <n v="900"/>
    <n v="8100"/>
    <n v="2430"/>
    <n v="0.23076923076923078"/>
  </r>
  <r>
    <x v="230"/>
    <s v="ORD-03223"/>
    <x v="1"/>
    <x v="4"/>
    <x v="34"/>
    <x v="5"/>
    <x v="3"/>
    <n v="1"/>
    <n v="827.99999999999989"/>
    <n v="827.99999999999989"/>
    <n v="600"/>
    <n v="600"/>
    <n v="227.99999999999989"/>
    <n v="0.2753623188405796"/>
  </r>
  <r>
    <x v="230"/>
    <s v="ORD-03224"/>
    <x v="1"/>
    <x v="2"/>
    <x v="121"/>
    <x v="7"/>
    <x v="2"/>
    <n v="8"/>
    <n v="9730"/>
    <n v="77840"/>
    <n v="7000"/>
    <n v="56000"/>
    <n v="21840"/>
    <n v="0.2805755395683453"/>
  </r>
  <r>
    <x v="230"/>
    <s v="ORD-03225"/>
    <x v="0"/>
    <x v="1"/>
    <x v="47"/>
    <x v="5"/>
    <x v="3"/>
    <n v="3"/>
    <n v="827.99999999999989"/>
    <n v="2483.9999999999995"/>
    <n v="600"/>
    <n v="1800"/>
    <n v="683.99999999999955"/>
    <n v="0.2753623188405796"/>
  </r>
  <r>
    <x v="230"/>
    <s v="ORD-03226"/>
    <x v="0"/>
    <x v="2"/>
    <x v="115"/>
    <x v="0"/>
    <x v="0"/>
    <n v="7"/>
    <n v="4192"/>
    <n v="29344"/>
    <n v="3200"/>
    <n v="22400"/>
    <n v="6944"/>
    <n v="0.23664122137404581"/>
  </r>
  <r>
    <x v="230"/>
    <s v="ORD-03227"/>
    <x v="0"/>
    <x v="4"/>
    <x v="128"/>
    <x v="0"/>
    <x v="0"/>
    <n v="3"/>
    <n v="3872"/>
    <n v="11616"/>
    <n v="3200"/>
    <n v="9600"/>
    <n v="2016"/>
    <n v="0.17355371900826447"/>
  </r>
  <r>
    <x v="230"/>
    <s v="ORD-03228"/>
    <x v="0"/>
    <x v="5"/>
    <x v="9"/>
    <x v="6"/>
    <x v="3"/>
    <n v="10"/>
    <n v="1215"/>
    <n v="12150"/>
    <n v="900"/>
    <n v="9000"/>
    <n v="3150"/>
    <n v="0.25925925925925924"/>
  </r>
  <r>
    <x v="230"/>
    <s v="ORD-03229"/>
    <x v="0"/>
    <x v="1"/>
    <x v="45"/>
    <x v="1"/>
    <x v="1"/>
    <n v="7"/>
    <n v="58050"/>
    <n v="406350"/>
    <n v="45000"/>
    <n v="315000"/>
    <n v="91350"/>
    <n v="0.22480620155038761"/>
  </r>
  <r>
    <x v="230"/>
    <s v="ORD-03230"/>
    <x v="3"/>
    <x v="2"/>
    <x v="3"/>
    <x v="2"/>
    <x v="1"/>
    <n v="1"/>
    <n v="53960"/>
    <n v="53960"/>
    <n v="38000"/>
    <n v="38000"/>
    <n v="15960"/>
    <n v="0.29577464788732394"/>
  </r>
  <r>
    <x v="230"/>
    <s v="ORD-03231"/>
    <x v="1"/>
    <x v="0"/>
    <x v="13"/>
    <x v="6"/>
    <x v="3"/>
    <n v="4"/>
    <n v="1206"/>
    <n v="4824"/>
    <n v="900"/>
    <n v="3600"/>
    <n v="1224"/>
    <n v="0.2537313432835821"/>
  </r>
  <r>
    <x v="230"/>
    <s v="ORD-03232"/>
    <x v="0"/>
    <x v="2"/>
    <x v="122"/>
    <x v="0"/>
    <x v="0"/>
    <n v="8"/>
    <n v="4160"/>
    <n v="33280"/>
    <n v="3200"/>
    <n v="25600"/>
    <n v="7680"/>
    <n v="0.23076923076923078"/>
  </r>
  <r>
    <x v="231"/>
    <s v="ORD-03233"/>
    <x v="2"/>
    <x v="0"/>
    <x v="54"/>
    <x v="6"/>
    <x v="3"/>
    <n v="4"/>
    <n v="1287"/>
    <n v="5148"/>
    <n v="900"/>
    <n v="3600"/>
    <n v="1548"/>
    <n v="0.30069930069930068"/>
  </r>
  <r>
    <x v="231"/>
    <s v="ORD-03234"/>
    <x v="0"/>
    <x v="5"/>
    <x v="72"/>
    <x v="2"/>
    <x v="1"/>
    <n v="7"/>
    <n v="50160"/>
    <n v="351120"/>
    <n v="38000"/>
    <n v="266000"/>
    <n v="85120"/>
    <n v="0.24242424242424243"/>
  </r>
  <r>
    <x v="231"/>
    <s v="ORD-03235"/>
    <x v="2"/>
    <x v="4"/>
    <x v="36"/>
    <x v="5"/>
    <x v="3"/>
    <n v="6"/>
    <n v="834.00000000000011"/>
    <n v="5004.0000000000009"/>
    <n v="600"/>
    <n v="3600"/>
    <n v="1404.0000000000009"/>
    <n v="0.28057553956834547"/>
  </r>
  <r>
    <x v="231"/>
    <s v="ORD-03236"/>
    <x v="3"/>
    <x v="3"/>
    <x v="138"/>
    <x v="3"/>
    <x v="0"/>
    <n v="7"/>
    <n v="3025"/>
    <n v="21175"/>
    <n v="2500"/>
    <n v="17500"/>
    <n v="3675"/>
    <n v="0.17355371900826447"/>
  </r>
  <r>
    <x v="231"/>
    <s v="ORD-03237"/>
    <x v="3"/>
    <x v="2"/>
    <x v="116"/>
    <x v="3"/>
    <x v="0"/>
    <n v="9"/>
    <n v="3375"/>
    <n v="30375"/>
    <n v="2500"/>
    <n v="22500"/>
    <n v="7875"/>
    <n v="0.25925925925925924"/>
  </r>
  <r>
    <x v="231"/>
    <s v="ORD-03238"/>
    <x v="3"/>
    <x v="5"/>
    <x v="81"/>
    <x v="7"/>
    <x v="2"/>
    <n v="3"/>
    <n v="9940"/>
    <n v="29820"/>
    <n v="7000"/>
    <n v="21000"/>
    <n v="8820"/>
    <n v="0.29577464788732394"/>
  </r>
  <r>
    <x v="231"/>
    <s v="ORD-03239"/>
    <x v="3"/>
    <x v="4"/>
    <x v="61"/>
    <x v="1"/>
    <x v="1"/>
    <n v="4"/>
    <n v="55800"/>
    <n v="223200"/>
    <n v="45000"/>
    <n v="180000"/>
    <n v="43200"/>
    <n v="0.19354838709677419"/>
  </r>
  <r>
    <x v="231"/>
    <s v="ORD-03240"/>
    <x v="3"/>
    <x v="1"/>
    <x v="19"/>
    <x v="3"/>
    <x v="0"/>
    <n v="8"/>
    <n v="3500"/>
    <n v="28000"/>
    <n v="2500"/>
    <n v="20000"/>
    <n v="8000"/>
    <n v="0.2857142857142857"/>
  </r>
  <r>
    <x v="231"/>
    <s v="ORD-03241"/>
    <x v="2"/>
    <x v="3"/>
    <x v="142"/>
    <x v="2"/>
    <x v="1"/>
    <n v="2"/>
    <n v="52820.000000000007"/>
    <n v="105640.00000000001"/>
    <n v="38000"/>
    <n v="76000"/>
    <n v="29640.000000000015"/>
    <n v="0.28057553956834541"/>
  </r>
  <r>
    <x v="231"/>
    <s v="ORD-03242"/>
    <x v="2"/>
    <x v="0"/>
    <x v="64"/>
    <x v="7"/>
    <x v="2"/>
    <n v="4"/>
    <n v="9030"/>
    <n v="36120"/>
    <n v="7000"/>
    <n v="28000"/>
    <n v="8120"/>
    <n v="0.22480620155038761"/>
  </r>
  <r>
    <x v="231"/>
    <s v="ORD-03243"/>
    <x v="1"/>
    <x v="1"/>
    <x v="79"/>
    <x v="6"/>
    <x v="3"/>
    <n v="3"/>
    <n v="1188"/>
    <n v="3564"/>
    <n v="900"/>
    <n v="2700"/>
    <n v="864"/>
    <n v="0.24242424242424243"/>
  </r>
  <r>
    <x v="231"/>
    <s v="ORD-03244"/>
    <x v="2"/>
    <x v="5"/>
    <x v="16"/>
    <x v="6"/>
    <x v="3"/>
    <n v="4"/>
    <n v="1170"/>
    <n v="4680"/>
    <n v="900"/>
    <n v="3600"/>
    <n v="1080"/>
    <n v="0.23076923076923078"/>
  </r>
  <r>
    <x v="231"/>
    <s v="ORD-03245"/>
    <x v="0"/>
    <x v="5"/>
    <x v="46"/>
    <x v="5"/>
    <x v="3"/>
    <n v="7"/>
    <n v="822.00000000000011"/>
    <n v="5754.0000000000009"/>
    <n v="600"/>
    <n v="4200"/>
    <n v="1554.0000000000009"/>
    <n v="0.27007299270073004"/>
  </r>
  <r>
    <x v="231"/>
    <s v="ORD-03246"/>
    <x v="2"/>
    <x v="4"/>
    <x v="138"/>
    <x v="1"/>
    <x v="1"/>
    <n v="1"/>
    <n v="65250"/>
    <n v="65250"/>
    <n v="45000"/>
    <n v="45000"/>
    <n v="20250"/>
    <n v="0.31034482758620691"/>
  </r>
  <r>
    <x v="232"/>
    <s v="ORD-03247"/>
    <x v="2"/>
    <x v="5"/>
    <x v="93"/>
    <x v="5"/>
    <x v="3"/>
    <n v="6"/>
    <n v="798"/>
    <n v="4788"/>
    <n v="600"/>
    <n v="3600"/>
    <n v="1188"/>
    <n v="0.24812030075187969"/>
  </r>
  <r>
    <x v="232"/>
    <s v="ORD-03248"/>
    <x v="1"/>
    <x v="0"/>
    <x v="31"/>
    <x v="4"/>
    <x v="2"/>
    <n v="10"/>
    <n v="10625"/>
    <n v="106250"/>
    <n v="8500"/>
    <n v="85000"/>
    <n v="21250"/>
    <n v="0.2"/>
  </r>
  <r>
    <x v="232"/>
    <s v="ORD-03249"/>
    <x v="2"/>
    <x v="3"/>
    <x v="124"/>
    <x v="6"/>
    <x v="3"/>
    <n v="1"/>
    <n v="1107"/>
    <n v="1107"/>
    <n v="900"/>
    <n v="900"/>
    <n v="207"/>
    <n v="0.18699186991869918"/>
  </r>
  <r>
    <x v="232"/>
    <s v="ORD-03250"/>
    <x v="1"/>
    <x v="3"/>
    <x v="6"/>
    <x v="0"/>
    <x v="0"/>
    <n v="8"/>
    <n v="3840"/>
    <n v="30720"/>
    <n v="3200"/>
    <n v="25600"/>
    <n v="5120"/>
    <n v="0.16666666666666666"/>
  </r>
  <r>
    <x v="232"/>
    <s v="ORD-03251"/>
    <x v="1"/>
    <x v="1"/>
    <x v="29"/>
    <x v="4"/>
    <x v="2"/>
    <n v="5"/>
    <n v="10710"/>
    <n v="53550"/>
    <n v="8500"/>
    <n v="42500"/>
    <n v="11050"/>
    <n v="0.20634920634920634"/>
  </r>
  <r>
    <x v="232"/>
    <s v="ORD-03252"/>
    <x v="2"/>
    <x v="0"/>
    <x v="34"/>
    <x v="6"/>
    <x v="3"/>
    <n v="3"/>
    <n v="1089"/>
    <n v="3267"/>
    <n v="900"/>
    <n v="2700"/>
    <n v="567"/>
    <n v="0.17355371900826447"/>
  </r>
  <r>
    <x v="232"/>
    <s v="ORD-03253"/>
    <x v="3"/>
    <x v="4"/>
    <x v="33"/>
    <x v="4"/>
    <x v="2"/>
    <n v="2"/>
    <n v="11220"/>
    <n v="22440"/>
    <n v="8500"/>
    <n v="17000"/>
    <n v="5440"/>
    <n v="0.24242424242424243"/>
  </r>
  <r>
    <x v="232"/>
    <s v="ORD-03254"/>
    <x v="2"/>
    <x v="1"/>
    <x v="145"/>
    <x v="6"/>
    <x v="3"/>
    <n v="5"/>
    <n v="1107"/>
    <n v="5535"/>
    <n v="900"/>
    <n v="4500"/>
    <n v="1035"/>
    <n v="0.18699186991869918"/>
  </r>
  <r>
    <x v="232"/>
    <s v="ORD-03255"/>
    <x v="0"/>
    <x v="5"/>
    <x v="31"/>
    <x v="3"/>
    <x v="0"/>
    <n v="3"/>
    <n v="3300"/>
    <n v="9900"/>
    <n v="2500"/>
    <n v="7500"/>
    <n v="2400"/>
    <n v="0.24242424242424243"/>
  </r>
  <r>
    <x v="232"/>
    <s v="ORD-03256"/>
    <x v="1"/>
    <x v="3"/>
    <x v="114"/>
    <x v="6"/>
    <x v="3"/>
    <n v="5"/>
    <n v="1305"/>
    <n v="6525"/>
    <n v="900"/>
    <n v="4500"/>
    <n v="2025"/>
    <n v="0.31034482758620691"/>
  </r>
  <r>
    <x v="232"/>
    <s v="ORD-03257"/>
    <x v="0"/>
    <x v="5"/>
    <x v="134"/>
    <x v="4"/>
    <x v="2"/>
    <n v="9"/>
    <n v="11900"/>
    <n v="107100"/>
    <n v="8500"/>
    <n v="76500"/>
    <n v="30600"/>
    <n v="0.2857142857142857"/>
  </r>
  <r>
    <x v="232"/>
    <s v="ORD-03258"/>
    <x v="3"/>
    <x v="2"/>
    <x v="67"/>
    <x v="3"/>
    <x v="0"/>
    <n v="10"/>
    <n v="3025"/>
    <n v="30250"/>
    <n v="2500"/>
    <n v="25000"/>
    <n v="5250"/>
    <n v="0.17355371900826447"/>
  </r>
  <r>
    <x v="232"/>
    <s v="ORD-03259"/>
    <x v="1"/>
    <x v="1"/>
    <x v="125"/>
    <x v="3"/>
    <x v="0"/>
    <n v="7"/>
    <n v="3575"/>
    <n v="25025"/>
    <n v="2500"/>
    <n v="17500"/>
    <n v="7525"/>
    <n v="0.30069930069930068"/>
  </r>
  <r>
    <x v="232"/>
    <s v="ORD-03260"/>
    <x v="1"/>
    <x v="4"/>
    <x v="89"/>
    <x v="1"/>
    <x v="1"/>
    <n v="5"/>
    <n v="60300"/>
    <n v="301500"/>
    <n v="45000"/>
    <n v="225000"/>
    <n v="76500"/>
    <n v="0.2537313432835821"/>
  </r>
  <r>
    <x v="233"/>
    <s v="ORD-03261"/>
    <x v="2"/>
    <x v="5"/>
    <x v="55"/>
    <x v="1"/>
    <x v="1"/>
    <n v="3"/>
    <n v="65250"/>
    <n v="195750"/>
    <n v="45000"/>
    <n v="135000"/>
    <n v="60750"/>
    <n v="0.31034482758620691"/>
  </r>
  <r>
    <x v="233"/>
    <s v="ORD-03262"/>
    <x v="2"/>
    <x v="5"/>
    <x v="67"/>
    <x v="5"/>
    <x v="3"/>
    <n v="2"/>
    <n v="810"/>
    <n v="1620"/>
    <n v="600"/>
    <n v="1200"/>
    <n v="420"/>
    <n v="0.25925925925925924"/>
  </r>
  <r>
    <x v="233"/>
    <s v="ORD-03263"/>
    <x v="3"/>
    <x v="0"/>
    <x v="64"/>
    <x v="5"/>
    <x v="3"/>
    <n v="7"/>
    <n v="834.00000000000011"/>
    <n v="5838.0000000000009"/>
    <n v="600"/>
    <n v="4200"/>
    <n v="1638.0000000000009"/>
    <n v="0.28057553956834541"/>
  </r>
  <r>
    <x v="233"/>
    <s v="ORD-03264"/>
    <x v="3"/>
    <x v="1"/>
    <x v="129"/>
    <x v="3"/>
    <x v="0"/>
    <n v="6"/>
    <n v="3325"/>
    <n v="19950"/>
    <n v="2500"/>
    <n v="15000"/>
    <n v="4950"/>
    <n v="0.24812030075187969"/>
  </r>
  <r>
    <x v="233"/>
    <s v="ORD-03265"/>
    <x v="3"/>
    <x v="4"/>
    <x v="26"/>
    <x v="7"/>
    <x v="2"/>
    <n v="2"/>
    <n v="8540"/>
    <n v="17080"/>
    <n v="7000"/>
    <n v="14000"/>
    <n v="3080"/>
    <n v="0.18032786885245902"/>
  </r>
  <r>
    <x v="233"/>
    <s v="ORD-03266"/>
    <x v="2"/>
    <x v="0"/>
    <x v="20"/>
    <x v="2"/>
    <x v="1"/>
    <n v="10"/>
    <n v="45980"/>
    <n v="459800"/>
    <n v="38000"/>
    <n v="380000"/>
    <n v="79800"/>
    <n v="0.17355371900826447"/>
  </r>
  <r>
    <x v="233"/>
    <s v="ORD-03267"/>
    <x v="1"/>
    <x v="0"/>
    <x v="22"/>
    <x v="0"/>
    <x v="0"/>
    <n v="6"/>
    <n v="4416"/>
    <n v="26496"/>
    <n v="3200"/>
    <n v="19200"/>
    <n v="7296"/>
    <n v="0.27536231884057971"/>
  </r>
  <r>
    <x v="233"/>
    <s v="ORD-03268"/>
    <x v="3"/>
    <x v="4"/>
    <x v="29"/>
    <x v="2"/>
    <x v="1"/>
    <n v="9"/>
    <n v="46360"/>
    <n v="417240"/>
    <n v="38000"/>
    <n v="342000"/>
    <n v="75240"/>
    <n v="0.18032786885245902"/>
  </r>
  <r>
    <x v="233"/>
    <s v="ORD-03269"/>
    <x v="3"/>
    <x v="4"/>
    <x v="16"/>
    <x v="1"/>
    <x v="1"/>
    <n v="7"/>
    <n v="64800"/>
    <n v="453600"/>
    <n v="45000"/>
    <n v="315000"/>
    <n v="138600"/>
    <n v="0.30555555555555558"/>
  </r>
  <r>
    <x v="233"/>
    <s v="ORD-03270"/>
    <x v="3"/>
    <x v="3"/>
    <x v="85"/>
    <x v="0"/>
    <x v="0"/>
    <n v="1"/>
    <n v="4640"/>
    <n v="4640"/>
    <n v="3200"/>
    <n v="3200"/>
    <n v="1440"/>
    <n v="0.31034482758620691"/>
  </r>
  <r>
    <x v="233"/>
    <s v="ORD-03271"/>
    <x v="3"/>
    <x v="4"/>
    <x v="61"/>
    <x v="1"/>
    <x v="1"/>
    <n v="1"/>
    <n v="60300"/>
    <n v="60300"/>
    <n v="45000"/>
    <n v="45000"/>
    <n v="15300"/>
    <n v="0.2537313432835821"/>
  </r>
  <r>
    <x v="233"/>
    <s v="ORD-03272"/>
    <x v="3"/>
    <x v="3"/>
    <x v="17"/>
    <x v="2"/>
    <x v="1"/>
    <n v="10"/>
    <n v="52060.000000000007"/>
    <n v="520600.00000000006"/>
    <n v="38000"/>
    <n v="380000"/>
    <n v="140600.00000000006"/>
    <n v="0.27007299270072999"/>
  </r>
  <r>
    <x v="233"/>
    <s v="ORD-03273"/>
    <x v="0"/>
    <x v="1"/>
    <x v="132"/>
    <x v="7"/>
    <x v="2"/>
    <n v="5"/>
    <n v="8610"/>
    <n v="43050"/>
    <n v="7000"/>
    <n v="35000"/>
    <n v="8050"/>
    <n v="0.18699186991869918"/>
  </r>
  <r>
    <x v="233"/>
    <s v="ORD-03274"/>
    <x v="0"/>
    <x v="2"/>
    <x v="15"/>
    <x v="7"/>
    <x v="2"/>
    <n v="1"/>
    <n v="9940"/>
    <n v="9940"/>
    <n v="7000"/>
    <n v="7000"/>
    <n v="2940"/>
    <n v="0.29577464788732394"/>
  </r>
  <r>
    <x v="234"/>
    <s v="ORD-03275"/>
    <x v="3"/>
    <x v="2"/>
    <x v="139"/>
    <x v="3"/>
    <x v="0"/>
    <n v="4"/>
    <n v="3449.9999999999995"/>
    <n v="13799.999999999998"/>
    <n v="2500"/>
    <n v="10000"/>
    <n v="3799.9999999999982"/>
    <n v="0.2753623188405796"/>
  </r>
  <r>
    <x v="234"/>
    <s v="ORD-03276"/>
    <x v="1"/>
    <x v="4"/>
    <x v="58"/>
    <x v="5"/>
    <x v="3"/>
    <n v="6"/>
    <n v="726"/>
    <n v="4356"/>
    <n v="600"/>
    <n v="3600"/>
    <n v="756"/>
    <n v="0.17355371900826447"/>
  </r>
  <r>
    <x v="234"/>
    <s v="ORD-03277"/>
    <x v="3"/>
    <x v="5"/>
    <x v="96"/>
    <x v="7"/>
    <x v="2"/>
    <n v="3"/>
    <n v="8890"/>
    <n v="26670"/>
    <n v="7000"/>
    <n v="21000"/>
    <n v="5670"/>
    <n v="0.2125984251968504"/>
  </r>
  <r>
    <x v="234"/>
    <s v="ORD-03278"/>
    <x v="3"/>
    <x v="5"/>
    <x v="101"/>
    <x v="3"/>
    <x v="0"/>
    <n v="7"/>
    <n v="3449.9999999999995"/>
    <n v="24149.999999999996"/>
    <n v="2500"/>
    <n v="17500"/>
    <n v="6649.9999999999964"/>
    <n v="0.2753623188405796"/>
  </r>
  <r>
    <x v="234"/>
    <s v="ORD-03279"/>
    <x v="0"/>
    <x v="0"/>
    <x v="139"/>
    <x v="5"/>
    <x v="3"/>
    <n v="6"/>
    <n v="822.00000000000011"/>
    <n v="4932.0000000000009"/>
    <n v="600"/>
    <n v="3600"/>
    <n v="1332.0000000000009"/>
    <n v="0.27007299270073004"/>
  </r>
  <r>
    <x v="234"/>
    <s v="ORD-03280"/>
    <x v="1"/>
    <x v="1"/>
    <x v="64"/>
    <x v="5"/>
    <x v="3"/>
    <n v="7"/>
    <n v="834.00000000000011"/>
    <n v="5838.0000000000009"/>
    <n v="600"/>
    <n v="4200"/>
    <n v="1638.0000000000009"/>
    <n v="0.28057553956834541"/>
  </r>
  <r>
    <x v="234"/>
    <s v="ORD-03281"/>
    <x v="0"/>
    <x v="0"/>
    <x v="133"/>
    <x v="3"/>
    <x v="0"/>
    <n v="10"/>
    <n v="3500"/>
    <n v="35000"/>
    <n v="2500"/>
    <n v="25000"/>
    <n v="10000"/>
    <n v="0.2857142857142857"/>
  </r>
  <r>
    <x v="234"/>
    <s v="ORD-03282"/>
    <x v="0"/>
    <x v="4"/>
    <x v="96"/>
    <x v="0"/>
    <x v="0"/>
    <n v="6"/>
    <n v="4544"/>
    <n v="27264"/>
    <n v="3200"/>
    <n v="19200"/>
    <n v="8064"/>
    <n v="0.29577464788732394"/>
  </r>
  <r>
    <x v="234"/>
    <s v="ORD-03283"/>
    <x v="3"/>
    <x v="2"/>
    <x v="43"/>
    <x v="2"/>
    <x v="1"/>
    <n v="5"/>
    <n v="49400"/>
    <n v="247000"/>
    <n v="38000"/>
    <n v="190000"/>
    <n v="57000"/>
    <n v="0.23076923076923078"/>
  </r>
  <r>
    <x v="234"/>
    <s v="ORD-03284"/>
    <x v="3"/>
    <x v="0"/>
    <x v="125"/>
    <x v="1"/>
    <x v="1"/>
    <n v="7"/>
    <n v="58500"/>
    <n v="409500"/>
    <n v="45000"/>
    <n v="315000"/>
    <n v="94500"/>
    <n v="0.23076923076923078"/>
  </r>
  <r>
    <x v="234"/>
    <s v="ORD-03285"/>
    <x v="2"/>
    <x v="4"/>
    <x v="97"/>
    <x v="4"/>
    <x v="2"/>
    <n v="10"/>
    <n v="11985"/>
    <n v="119850"/>
    <n v="8500"/>
    <n v="85000"/>
    <n v="34850"/>
    <n v="0.29078014184397161"/>
  </r>
  <r>
    <x v="234"/>
    <s v="ORD-03286"/>
    <x v="3"/>
    <x v="2"/>
    <x v="81"/>
    <x v="4"/>
    <x v="2"/>
    <n v="5"/>
    <n v="11985"/>
    <n v="59925"/>
    <n v="8500"/>
    <n v="42500"/>
    <n v="17425"/>
    <n v="0.29078014184397161"/>
  </r>
  <r>
    <x v="234"/>
    <s v="ORD-03287"/>
    <x v="1"/>
    <x v="5"/>
    <x v="27"/>
    <x v="7"/>
    <x v="2"/>
    <n v="2"/>
    <n v="9030"/>
    <n v="18060"/>
    <n v="7000"/>
    <n v="14000"/>
    <n v="4060"/>
    <n v="0.22480620155038761"/>
  </r>
  <r>
    <x v="234"/>
    <s v="ORD-03288"/>
    <x v="0"/>
    <x v="5"/>
    <x v="136"/>
    <x v="1"/>
    <x v="1"/>
    <n v="10"/>
    <n v="55350"/>
    <n v="553500"/>
    <n v="45000"/>
    <n v="450000"/>
    <n v="103500"/>
    <n v="0.18699186991869918"/>
  </r>
  <r>
    <x v="235"/>
    <s v="ORD-03289"/>
    <x v="0"/>
    <x v="1"/>
    <x v="60"/>
    <x v="4"/>
    <x v="2"/>
    <n v="9"/>
    <n v="11985"/>
    <n v="107865"/>
    <n v="8500"/>
    <n v="76500"/>
    <n v="31365"/>
    <n v="0.29078014184397161"/>
  </r>
  <r>
    <x v="235"/>
    <s v="ORD-03290"/>
    <x v="2"/>
    <x v="0"/>
    <x v="72"/>
    <x v="1"/>
    <x v="1"/>
    <n v="1"/>
    <n v="62550.000000000007"/>
    <n v="62550.000000000007"/>
    <n v="45000"/>
    <n v="45000"/>
    <n v="17550.000000000007"/>
    <n v="0.28057553956834541"/>
  </r>
  <r>
    <x v="235"/>
    <s v="ORD-03291"/>
    <x v="3"/>
    <x v="3"/>
    <x v="77"/>
    <x v="7"/>
    <x v="2"/>
    <n v="8"/>
    <n v="8540"/>
    <n v="68320"/>
    <n v="7000"/>
    <n v="56000"/>
    <n v="12320"/>
    <n v="0.18032786885245902"/>
  </r>
  <r>
    <x v="235"/>
    <s v="ORD-03292"/>
    <x v="3"/>
    <x v="0"/>
    <x v="140"/>
    <x v="3"/>
    <x v="0"/>
    <n v="3"/>
    <n v="3375"/>
    <n v="10125"/>
    <n v="2500"/>
    <n v="7500"/>
    <n v="2625"/>
    <n v="0.25925925925925924"/>
  </r>
  <r>
    <x v="235"/>
    <s v="ORD-03293"/>
    <x v="1"/>
    <x v="4"/>
    <x v="43"/>
    <x v="3"/>
    <x v="0"/>
    <n v="8"/>
    <n v="3550"/>
    <n v="28400"/>
    <n v="2500"/>
    <n v="20000"/>
    <n v="8400"/>
    <n v="0.29577464788732394"/>
  </r>
  <r>
    <x v="235"/>
    <s v="ORD-03294"/>
    <x v="0"/>
    <x v="3"/>
    <x v="121"/>
    <x v="2"/>
    <x v="1"/>
    <n v="9"/>
    <n v="54340"/>
    <n v="489060"/>
    <n v="38000"/>
    <n v="342000"/>
    <n v="147060"/>
    <n v="0.30069930069930068"/>
  </r>
  <r>
    <x v="235"/>
    <s v="ORD-03295"/>
    <x v="1"/>
    <x v="5"/>
    <x v="106"/>
    <x v="0"/>
    <x v="0"/>
    <n v="8"/>
    <n v="4352"/>
    <n v="34816"/>
    <n v="3200"/>
    <n v="25600"/>
    <n v="9216"/>
    <n v="0.26470588235294118"/>
  </r>
  <r>
    <x v="235"/>
    <s v="ORD-03296"/>
    <x v="2"/>
    <x v="4"/>
    <x v="90"/>
    <x v="1"/>
    <x v="1"/>
    <n v="3"/>
    <n v="56250"/>
    <n v="168750"/>
    <n v="45000"/>
    <n v="135000"/>
    <n v="33750"/>
    <n v="0.2"/>
  </r>
  <r>
    <x v="235"/>
    <s v="ORD-03297"/>
    <x v="3"/>
    <x v="5"/>
    <x v="16"/>
    <x v="2"/>
    <x v="1"/>
    <n v="4"/>
    <n v="55100"/>
    <n v="220400"/>
    <n v="38000"/>
    <n v="152000"/>
    <n v="68400"/>
    <n v="0.31034482758620691"/>
  </r>
  <r>
    <x v="235"/>
    <s v="ORD-03298"/>
    <x v="0"/>
    <x v="0"/>
    <x v="10"/>
    <x v="0"/>
    <x v="0"/>
    <n v="4"/>
    <n v="4000"/>
    <n v="16000"/>
    <n v="3200"/>
    <n v="12800"/>
    <n v="3200"/>
    <n v="0.2"/>
  </r>
  <r>
    <x v="235"/>
    <s v="ORD-03299"/>
    <x v="0"/>
    <x v="1"/>
    <x v="116"/>
    <x v="7"/>
    <x v="2"/>
    <n v="6"/>
    <n v="9310"/>
    <n v="55860"/>
    <n v="7000"/>
    <n v="42000"/>
    <n v="13860"/>
    <n v="0.24812030075187969"/>
  </r>
  <r>
    <x v="235"/>
    <s v="ORD-03300"/>
    <x v="0"/>
    <x v="4"/>
    <x v="25"/>
    <x v="7"/>
    <x v="2"/>
    <n v="1"/>
    <n v="8960"/>
    <n v="8960"/>
    <n v="7000"/>
    <n v="7000"/>
    <n v="1960"/>
    <n v="0.21875"/>
  </r>
  <r>
    <x v="235"/>
    <s v="ORD-03301"/>
    <x v="0"/>
    <x v="0"/>
    <x v="129"/>
    <x v="4"/>
    <x v="2"/>
    <n v="10"/>
    <n v="12070"/>
    <n v="120700"/>
    <n v="8500"/>
    <n v="85000"/>
    <n v="35700"/>
    <n v="0.29577464788732394"/>
  </r>
  <r>
    <x v="235"/>
    <s v="ORD-03302"/>
    <x v="0"/>
    <x v="5"/>
    <x v="148"/>
    <x v="5"/>
    <x v="3"/>
    <n v="4"/>
    <n v="798"/>
    <n v="3192"/>
    <n v="600"/>
    <n v="2400"/>
    <n v="792"/>
    <n v="0.24812030075187969"/>
  </r>
  <r>
    <x v="236"/>
    <s v="ORD-03303"/>
    <x v="3"/>
    <x v="4"/>
    <x v="14"/>
    <x v="0"/>
    <x v="0"/>
    <n v="6"/>
    <n v="4512"/>
    <n v="27072"/>
    <n v="3200"/>
    <n v="19200"/>
    <n v="7872"/>
    <n v="0.29078014184397161"/>
  </r>
  <r>
    <x v="236"/>
    <s v="ORD-03304"/>
    <x v="1"/>
    <x v="4"/>
    <x v="87"/>
    <x v="7"/>
    <x v="2"/>
    <n v="6"/>
    <n v="8890"/>
    <n v="53340"/>
    <n v="7000"/>
    <n v="42000"/>
    <n v="11340"/>
    <n v="0.2125984251968504"/>
  </r>
  <r>
    <x v="236"/>
    <s v="ORD-03305"/>
    <x v="2"/>
    <x v="4"/>
    <x v="69"/>
    <x v="5"/>
    <x v="3"/>
    <n v="9"/>
    <n v="827.99999999999989"/>
    <n v="7451.9999999999991"/>
    <n v="600"/>
    <n v="5400"/>
    <n v="2051.9999999999991"/>
    <n v="0.2753623188405796"/>
  </r>
  <r>
    <x v="236"/>
    <s v="ORD-03306"/>
    <x v="1"/>
    <x v="4"/>
    <x v="41"/>
    <x v="6"/>
    <x v="3"/>
    <n v="10"/>
    <n v="1251"/>
    <n v="12510"/>
    <n v="900"/>
    <n v="9000"/>
    <n v="3510"/>
    <n v="0.2805755395683453"/>
  </r>
  <r>
    <x v="236"/>
    <s v="ORD-03307"/>
    <x v="0"/>
    <x v="2"/>
    <x v="78"/>
    <x v="5"/>
    <x v="3"/>
    <n v="5"/>
    <n v="810"/>
    <n v="4050"/>
    <n v="600"/>
    <n v="3000"/>
    <n v="1050"/>
    <n v="0.25925925925925924"/>
  </r>
  <r>
    <x v="236"/>
    <s v="ORD-03308"/>
    <x v="3"/>
    <x v="5"/>
    <x v="3"/>
    <x v="6"/>
    <x v="3"/>
    <n v="1"/>
    <n v="1260"/>
    <n v="1260"/>
    <n v="900"/>
    <n v="900"/>
    <n v="360"/>
    <n v="0.2857142857142857"/>
  </r>
  <r>
    <x v="236"/>
    <s v="ORD-03309"/>
    <x v="3"/>
    <x v="4"/>
    <x v="134"/>
    <x v="7"/>
    <x v="2"/>
    <n v="3"/>
    <n v="10010"/>
    <n v="30030"/>
    <n v="7000"/>
    <n v="21000"/>
    <n v="9030"/>
    <n v="0.30069930069930068"/>
  </r>
  <r>
    <x v="236"/>
    <s v="ORD-03310"/>
    <x v="3"/>
    <x v="3"/>
    <x v="35"/>
    <x v="3"/>
    <x v="0"/>
    <n v="1"/>
    <n v="3125"/>
    <n v="3125"/>
    <n v="2500"/>
    <n v="2500"/>
    <n v="625"/>
    <n v="0.2"/>
  </r>
  <r>
    <x v="236"/>
    <s v="ORD-03311"/>
    <x v="0"/>
    <x v="2"/>
    <x v="141"/>
    <x v="6"/>
    <x v="3"/>
    <n v="2"/>
    <n v="1233"/>
    <n v="2466"/>
    <n v="900"/>
    <n v="1800"/>
    <n v="666"/>
    <n v="0.27007299270072993"/>
  </r>
  <r>
    <x v="236"/>
    <s v="ORD-03312"/>
    <x v="0"/>
    <x v="3"/>
    <x v="142"/>
    <x v="2"/>
    <x v="1"/>
    <n v="1"/>
    <n v="51300"/>
    <n v="51300"/>
    <n v="38000"/>
    <n v="38000"/>
    <n v="13300"/>
    <n v="0.25925925925925924"/>
  </r>
  <r>
    <x v="236"/>
    <s v="ORD-03313"/>
    <x v="2"/>
    <x v="4"/>
    <x v="20"/>
    <x v="4"/>
    <x v="2"/>
    <n v="2"/>
    <n v="10625"/>
    <n v="21250"/>
    <n v="8500"/>
    <n v="17000"/>
    <n v="4250"/>
    <n v="0.2"/>
  </r>
  <r>
    <x v="236"/>
    <s v="ORD-03314"/>
    <x v="2"/>
    <x v="2"/>
    <x v="132"/>
    <x v="5"/>
    <x v="3"/>
    <n v="3"/>
    <n v="768"/>
    <n v="2304"/>
    <n v="600"/>
    <n v="1800"/>
    <n v="504"/>
    <n v="0.21875"/>
  </r>
  <r>
    <x v="236"/>
    <s v="ORD-03315"/>
    <x v="0"/>
    <x v="1"/>
    <x v="136"/>
    <x v="2"/>
    <x v="1"/>
    <n v="10"/>
    <n v="53580"/>
    <n v="535800"/>
    <n v="38000"/>
    <n v="380000"/>
    <n v="155800"/>
    <n v="0.29078014184397161"/>
  </r>
  <r>
    <x v="236"/>
    <s v="ORD-03316"/>
    <x v="0"/>
    <x v="3"/>
    <x v="10"/>
    <x v="6"/>
    <x v="3"/>
    <n v="10"/>
    <n v="1215"/>
    <n v="12150"/>
    <n v="900"/>
    <n v="9000"/>
    <n v="3150"/>
    <n v="0.25925925925925924"/>
  </r>
  <r>
    <x v="237"/>
    <s v="ORD-03317"/>
    <x v="3"/>
    <x v="0"/>
    <x v="55"/>
    <x v="7"/>
    <x v="2"/>
    <n v="2"/>
    <n v="9310"/>
    <n v="18620"/>
    <n v="7000"/>
    <n v="14000"/>
    <n v="4620"/>
    <n v="0.24812030075187969"/>
  </r>
  <r>
    <x v="237"/>
    <s v="ORD-03318"/>
    <x v="3"/>
    <x v="2"/>
    <x v="147"/>
    <x v="7"/>
    <x v="2"/>
    <n v="6"/>
    <n v="8610"/>
    <n v="51660"/>
    <n v="7000"/>
    <n v="42000"/>
    <n v="9660"/>
    <n v="0.18699186991869918"/>
  </r>
  <r>
    <x v="237"/>
    <s v="ORD-03319"/>
    <x v="0"/>
    <x v="1"/>
    <x v="119"/>
    <x v="0"/>
    <x v="0"/>
    <n v="1"/>
    <n v="4096"/>
    <n v="4096"/>
    <n v="3200"/>
    <n v="3200"/>
    <n v="896"/>
    <n v="0.21875"/>
  </r>
  <r>
    <x v="237"/>
    <s v="ORD-03320"/>
    <x v="0"/>
    <x v="1"/>
    <x v="146"/>
    <x v="5"/>
    <x v="3"/>
    <n v="5"/>
    <n v="780"/>
    <n v="3900"/>
    <n v="600"/>
    <n v="3000"/>
    <n v="900"/>
    <n v="0.23076923076923078"/>
  </r>
  <r>
    <x v="237"/>
    <s v="ORD-03321"/>
    <x v="2"/>
    <x v="5"/>
    <x v="53"/>
    <x v="1"/>
    <x v="1"/>
    <n v="10"/>
    <n v="58050"/>
    <n v="580500"/>
    <n v="45000"/>
    <n v="450000"/>
    <n v="130500"/>
    <n v="0.22480620155038761"/>
  </r>
  <r>
    <x v="237"/>
    <s v="ORD-03322"/>
    <x v="2"/>
    <x v="0"/>
    <x v="68"/>
    <x v="0"/>
    <x v="0"/>
    <n v="3"/>
    <n v="4608"/>
    <n v="13824"/>
    <n v="3200"/>
    <n v="9600"/>
    <n v="4224"/>
    <n v="0.30555555555555558"/>
  </r>
  <r>
    <x v="237"/>
    <s v="ORD-03323"/>
    <x v="2"/>
    <x v="2"/>
    <x v="34"/>
    <x v="6"/>
    <x v="3"/>
    <n v="5"/>
    <n v="1260"/>
    <n v="6300"/>
    <n v="900"/>
    <n v="4500"/>
    <n v="1800"/>
    <n v="0.2857142857142857"/>
  </r>
  <r>
    <x v="237"/>
    <s v="ORD-03324"/>
    <x v="0"/>
    <x v="2"/>
    <x v="107"/>
    <x v="2"/>
    <x v="1"/>
    <n v="7"/>
    <n v="51300"/>
    <n v="359100"/>
    <n v="38000"/>
    <n v="266000"/>
    <n v="93100"/>
    <n v="0.25925925925925924"/>
  </r>
  <r>
    <x v="237"/>
    <s v="ORD-03325"/>
    <x v="1"/>
    <x v="4"/>
    <x v="104"/>
    <x v="1"/>
    <x v="1"/>
    <n v="8"/>
    <n v="58500"/>
    <n v="468000"/>
    <n v="45000"/>
    <n v="360000"/>
    <n v="108000"/>
    <n v="0.23076923076923078"/>
  </r>
  <r>
    <x v="237"/>
    <s v="ORD-03326"/>
    <x v="1"/>
    <x v="4"/>
    <x v="93"/>
    <x v="6"/>
    <x v="3"/>
    <n v="8"/>
    <n v="1116"/>
    <n v="8928"/>
    <n v="900"/>
    <n v="7200"/>
    <n v="1728"/>
    <n v="0.19354838709677419"/>
  </r>
  <r>
    <x v="237"/>
    <s v="ORD-03327"/>
    <x v="2"/>
    <x v="4"/>
    <x v="148"/>
    <x v="4"/>
    <x v="2"/>
    <n v="5"/>
    <n v="11220"/>
    <n v="56100"/>
    <n v="8500"/>
    <n v="42500"/>
    <n v="13600"/>
    <n v="0.24242424242424243"/>
  </r>
  <r>
    <x v="237"/>
    <s v="ORD-03328"/>
    <x v="3"/>
    <x v="3"/>
    <x v="95"/>
    <x v="5"/>
    <x v="3"/>
    <n v="8"/>
    <n v="786"/>
    <n v="6288"/>
    <n v="600"/>
    <n v="4800"/>
    <n v="1488"/>
    <n v="0.23664122137404581"/>
  </r>
  <r>
    <x v="237"/>
    <s v="ORD-03329"/>
    <x v="1"/>
    <x v="3"/>
    <x v="116"/>
    <x v="7"/>
    <x v="2"/>
    <n v="5"/>
    <n v="8680"/>
    <n v="43400"/>
    <n v="7000"/>
    <n v="35000"/>
    <n v="8400"/>
    <n v="0.19354838709677419"/>
  </r>
  <r>
    <x v="237"/>
    <s v="ORD-03330"/>
    <x v="1"/>
    <x v="4"/>
    <x v="116"/>
    <x v="1"/>
    <x v="1"/>
    <n v="3"/>
    <n v="62099.999999999993"/>
    <n v="186299.99999999997"/>
    <n v="45000"/>
    <n v="135000"/>
    <n v="51299.999999999971"/>
    <n v="0.2753623188405796"/>
  </r>
  <r>
    <x v="238"/>
    <s v="ORD-03331"/>
    <x v="2"/>
    <x v="0"/>
    <x v="61"/>
    <x v="4"/>
    <x v="2"/>
    <n v="8"/>
    <n v="10880"/>
    <n v="87040"/>
    <n v="8500"/>
    <n v="68000"/>
    <n v="19040"/>
    <n v="0.21875"/>
  </r>
  <r>
    <x v="238"/>
    <s v="ORD-03332"/>
    <x v="1"/>
    <x v="3"/>
    <x v="147"/>
    <x v="1"/>
    <x v="1"/>
    <n v="6"/>
    <n v="55350"/>
    <n v="332100"/>
    <n v="45000"/>
    <n v="270000"/>
    <n v="62100"/>
    <n v="0.18699186991869918"/>
  </r>
  <r>
    <x v="238"/>
    <s v="ORD-03333"/>
    <x v="2"/>
    <x v="5"/>
    <x v="134"/>
    <x v="5"/>
    <x v="3"/>
    <n v="9"/>
    <n v="870"/>
    <n v="7830"/>
    <n v="600"/>
    <n v="5400"/>
    <n v="2430"/>
    <n v="0.31034482758620691"/>
  </r>
  <r>
    <x v="238"/>
    <s v="ORD-03334"/>
    <x v="1"/>
    <x v="1"/>
    <x v="119"/>
    <x v="0"/>
    <x v="0"/>
    <n v="2"/>
    <n v="4256"/>
    <n v="8512"/>
    <n v="3200"/>
    <n v="6400"/>
    <n v="2112"/>
    <n v="0.24812030075187969"/>
  </r>
  <r>
    <x v="238"/>
    <s v="ORD-03335"/>
    <x v="3"/>
    <x v="0"/>
    <x v="70"/>
    <x v="4"/>
    <x v="2"/>
    <n v="9"/>
    <n v="11220"/>
    <n v="100980"/>
    <n v="8500"/>
    <n v="76500"/>
    <n v="24480"/>
    <n v="0.24242424242424243"/>
  </r>
  <r>
    <x v="238"/>
    <s v="ORD-03336"/>
    <x v="0"/>
    <x v="1"/>
    <x v="93"/>
    <x v="1"/>
    <x v="1"/>
    <n v="6"/>
    <n v="61650.000000000007"/>
    <n v="369900.00000000006"/>
    <n v="45000"/>
    <n v="270000"/>
    <n v="99900.000000000058"/>
    <n v="0.27007299270073004"/>
  </r>
  <r>
    <x v="238"/>
    <s v="ORD-03337"/>
    <x v="0"/>
    <x v="5"/>
    <x v="9"/>
    <x v="2"/>
    <x v="1"/>
    <n v="3"/>
    <n v="53200"/>
    <n v="159600"/>
    <n v="38000"/>
    <n v="114000"/>
    <n v="45600"/>
    <n v="0.2857142857142857"/>
  </r>
  <r>
    <x v="238"/>
    <s v="ORD-03338"/>
    <x v="3"/>
    <x v="5"/>
    <x v="134"/>
    <x v="3"/>
    <x v="0"/>
    <n v="10"/>
    <n v="3100"/>
    <n v="31000"/>
    <n v="2500"/>
    <n v="25000"/>
    <n v="6000"/>
    <n v="0.19354838709677419"/>
  </r>
  <r>
    <x v="238"/>
    <s v="ORD-03339"/>
    <x v="3"/>
    <x v="0"/>
    <x v="102"/>
    <x v="1"/>
    <x v="1"/>
    <n v="9"/>
    <n v="54450"/>
    <n v="490050"/>
    <n v="45000"/>
    <n v="405000"/>
    <n v="85050"/>
    <n v="0.17355371900826447"/>
  </r>
  <r>
    <x v="238"/>
    <s v="ORD-03340"/>
    <x v="3"/>
    <x v="0"/>
    <x v="55"/>
    <x v="1"/>
    <x v="1"/>
    <n v="6"/>
    <n v="54900"/>
    <n v="329400"/>
    <n v="45000"/>
    <n v="270000"/>
    <n v="59400"/>
    <n v="0.18032786885245902"/>
  </r>
  <r>
    <x v="238"/>
    <s v="ORD-03341"/>
    <x v="0"/>
    <x v="2"/>
    <x v="139"/>
    <x v="5"/>
    <x v="3"/>
    <n v="2"/>
    <n v="756"/>
    <n v="1512"/>
    <n v="600"/>
    <n v="1200"/>
    <n v="312"/>
    <n v="0.20634920634920634"/>
  </r>
  <r>
    <x v="238"/>
    <s v="ORD-03342"/>
    <x v="0"/>
    <x v="5"/>
    <x v="30"/>
    <x v="4"/>
    <x v="2"/>
    <n v="5"/>
    <n v="11390"/>
    <n v="56950"/>
    <n v="8500"/>
    <n v="42500"/>
    <n v="14450"/>
    <n v="0.2537313432835821"/>
  </r>
  <r>
    <x v="238"/>
    <s v="ORD-03343"/>
    <x v="2"/>
    <x v="2"/>
    <x v="39"/>
    <x v="1"/>
    <x v="1"/>
    <n v="3"/>
    <n v="54450"/>
    <n v="163350"/>
    <n v="45000"/>
    <n v="135000"/>
    <n v="28350"/>
    <n v="0.17355371900826447"/>
  </r>
  <r>
    <x v="238"/>
    <s v="ORD-03344"/>
    <x v="3"/>
    <x v="2"/>
    <x v="94"/>
    <x v="4"/>
    <x v="2"/>
    <n v="5"/>
    <n v="12240"/>
    <n v="61200"/>
    <n v="8500"/>
    <n v="42500"/>
    <n v="18700"/>
    <n v="0.30555555555555558"/>
  </r>
  <r>
    <x v="239"/>
    <s v="ORD-03345"/>
    <x v="0"/>
    <x v="1"/>
    <x v="26"/>
    <x v="4"/>
    <x v="2"/>
    <n v="9"/>
    <n v="11220"/>
    <n v="100980"/>
    <n v="8500"/>
    <n v="76500"/>
    <n v="24480"/>
    <n v="0.24242424242424243"/>
  </r>
  <r>
    <x v="239"/>
    <s v="ORD-03346"/>
    <x v="0"/>
    <x v="1"/>
    <x v="143"/>
    <x v="7"/>
    <x v="2"/>
    <n v="10"/>
    <n v="9590"/>
    <n v="95900"/>
    <n v="7000"/>
    <n v="70000"/>
    <n v="25900"/>
    <n v="0.27007299270072993"/>
  </r>
  <r>
    <x v="239"/>
    <s v="ORD-03347"/>
    <x v="2"/>
    <x v="1"/>
    <x v="132"/>
    <x v="0"/>
    <x v="0"/>
    <n v="3"/>
    <n v="4352"/>
    <n v="13056"/>
    <n v="3200"/>
    <n v="9600"/>
    <n v="3456"/>
    <n v="0.26470588235294118"/>
  </r>
  <r>
    <x v="239"/>
    <s v="ORD-03348"/>
    <x v="2"/>
    <x v="5"/>
    <x v="143"/>
    <x v="0"/>
    <x v="0"/>
    <n v="10"/>
    <n v="4128"/>
    <n v="41280"/>
    <n v="3200"/>
    <n v="32000"/>
    <n v="9280"/>
    <n v="0.22480620155038761"/>
  </r>
  <r>
    <x v="239"/>
    <s v="ORD-03349"/>
    <x v="3"/>
    <x v="3"/>
    <x v="29"/>
    <x v="6"/>
    <x v="3"/>
    <n v="2"/>
    <n v="1251"/>
    <n v="2502"/>
    <n v="900"/>
    <n v="1800"/>
    <n v="702"/>
    <n v="0.2805755395683453"/>
  </r>
  <r>
    <x v="239"/>
    <s v="ORD-03350"/>
    <x v="0"/>
    <x v="5"/>
    <x v="117"/>
    <x v="6"/>
    <x v="3"/>
    <n v="10"/>
    <n v="1080"/>
    <n v="10800"/>
    <n v="900"/>
    <n v="9000"/>
    <n v="1800"/>
    <n v="0.16666666666666666"/>
  </r>
  <r>
    <x v="239"/>
    <s v="ORD-03351"/>
    <x v="3"/>
    <x v="0"/>
    <x v="63"/>
    <x v="4"/>
    <x v="2"/>
    <n v="10"/>
    <n v="10540"/>
    <n v="105400"/>
    <n v="8500"/>
    <n v="85000"/>
    <n v="20400"/>
    <n v="0.19354838709677419"/>
  </r>
  <r>
    <x v="239"/>
    <s v="ORD-03352"/>
    <x v="0"/>
    <x v="0"/>
    <x v="24"/>
    <x v="2"/>
    <x v="1"/>
    <n v="4"/>
    <n v="50540"/>
    <n v="202160"/>
    <n v="38000"/>
    <n v="152000"/>
    <n v="50160"/>
    <n v="0.24812030075187969"/>
  </r>
  <r>
    <x v="239"/>
    <s v="ORD-03353"/>
    <x v="2"/>
    <x v="1"/>
    <x v="55"/>
    <x v="3"/>
    <x v="0"/>
    <n v="6"/>
    <n v="3350"/>
    <n v="20100"/>
    <n v="2500"/>
    <n v="15000"/>
    <n v="5100"/>
    <n v="0.2537313432835821"/>
  </r>
  <r>
    <x v="239"/>
    <s v="ORD-03354"/>
    <x v="2"/>
    <x v="3"/>
    <x v="75"/>
    <x v="1"/>
    <x v="1"/>
    <n v="1"/>
    <n v="54900"/>
    <n v="54900"/>
    <n v="45000"/>
    <n v="45000"/>
    <n v="9900"/>
    <n v="0.18032786885245902"/>
  </r>
  <r>
    <x v="239"/>
    <s v="ORD-03355"/>
    <x v="1"/>
    <x v="4"/>
    <x v="98"/>
    <x v="7"/>
    <x v="2"/>
    <n v="4"/>
    <n v="10010"/>
    <n v="40040"/>
    <n v="7000"/>
    <n v="28000"/>
    <n v="12040"/>
    <n v="0.30069930069930068"/>
  </r>
  <r>
    <x v="239"/>
    <s v="ORD-03356"/>
    <x v="1"/>
    <x v="0"/>
    <x v="93"/>
    <x v="0"/>
    <x v="0"/>
    <n v="2"/>
    <n v="4384"/>
    <n v="8768"/>
    <n v="3200"/>
    <n v="6400"/>
    <n v="2368"/>
    <n v="0.27007299270072993"/>
  </r>
  <r>
    <x v="239"/>
    <s v="ORD-03357"/>
    <x v="3"/>
    <x v="2"/>
    <x v="129"/>
    <x v="6"/>
    <x v="3"/>
    <n v="5"/>
    <n v="1161"/>
    <n v="5805"/>
    <n v="900"/>
    <n v="4500"/>
    <n v="1305"/>
    <n v="0.22480620155038761"/>
  </r>
  <r>
    <x v="239"/>
    <s v="ORD-03358"/>
    <x v="1"/>
    <x v="4"/>
    <x v="50"/>
    <x v="6"/>
    <x v="3"/>
    <n v="2"/>
    <n v="1260"/>
    <n v="2520"/>
    <n v="900"/>
    <n v="1800"/>
    <n v="720"/>
    <n v="0.2857142857142857"/>
  </r>
  <r>
    <x v="240"/>
    <s v="ORD-03359"/>
    <x v="0"/>
    <x v="5"/>
    <x v="78"/>
    <x v="6"/>
    <x v="3"/>
    <n v="8"/>
    <n v="1278"/>
    <n v="10224"/>
    <n v="900"/>
    <n v="7200"/>
    <n v="3024"/>
    <n v="0.29577464788732394"/>
  </r>
  <r>
    <x v="240"/>
    <s v="ORD-03360"/>
    <x v="0"/>
    <x v="3"/>
    <x v="55"/>
    <x v="7"/>
    <x v="2"/>
    <n v="9"/>
    <n v="10010"/>
    <n v="90090"/>
    <n v="7000"/>
    <n v="63000"/>
    <n v="27090"/>
    <n v="0.30069930069930068"/>
  </r>
  <r>
    <x v="240"/>
    <s v="ORD-03361"/>
    <x v="1"/>
    <x v="4"/>
    <x v="72"/>
    <x v="0"/>
    <x v="0"/>
    <n v="7"/>
    <n v="4608"/>
    <n v="32256"/>
    <n v="3200"/>
    <n v="22400"/>
    <n v="9856"/>
    <n v="0.30555555555555558"/>
  </r>
  <r>
    <x v="240"/>
    <s v="ORD-03362"/>
    <x v="2"/>
    <x v="2"/>
    <x v="44"/>
    <x v="0"/>
    <x v="0"/>
    <n v="9"/>
    <n v="4640"/>
    <n v="41760"/>
    <n v="3200"/>
    <n v="28800"/>
    <n v="12960"/>
    <n v="0.31034482758620691"/>
  </r>
  <r>
    <x v="240"/>
    <s v="ORD-03363"/>
    <x v="0"/>
    <x v="1"/>
    <x v="65"/>
    <x v="3"/>
    <x v="0"/>
    <n v="6"/>
    <n v="3100"/>
    <n v="18600"/>
    <n v="2500"/>
    <n v="15000"/>
    <n v="3600"/>
    <n v="0.19354838709677419"/>
  </r>
  <r>
    <x v="240"/>
    <s v="ORD-03364"/>
    <x v="0"/>
    <x v="1"/>
    <x v="52"/>
    <x v="5"/>
    <x v="3"/>
    <n v="2"/>
    <n v="870"/>
    <n v="1740"/>
    <n v="600"/>
    <n v="1200"/>
    <n v="540"/>
    <n v="0.31034482758620691"/>
  </r>
  <r>
    <x v="240"/>
    <s v="ORD-03365"/>
    <x v="0"/>
    <x v="2"/>
    <x v="64"/>
    <x v="5"/>
    <x v="3"/>
    <n v="2"/>
    <n v="750"/>
    <n v="1500"/>
    <n v="600"/>
    <n v="1200"/>
    <n v="300"/>
    <n v="0.2"/>
  </r>
  <r>
    <x v="240"/>
    <s v="ORD-03366"/>
    <x v="1"/>
    <x v="5"/>
    <x v="37"/>
    <x v="0"/>
    <x v="0"/>
    <n v="6"/>
    <n v="4608"/>
    <n v="27648"/>
    <n v="3200"/>
    <n v="19200"/>
    <n v="8448"/>
    <n v="0.30555555555555558"/>
  </r>
  <r>
    <x v="240"/>
    <s v="ORD-03367"/>
    <x v="3"/>
    <x v="5"/>
    <x v="134"/>
    <x v="7"/>
    <x v="2"/>
    <n v="9"/>
    <n v="9310"/>
    <n v="83790"/>
    <n v="7000"/>
    <n v="63000"/>
    <n v="20790"/>
    <n v="0.24812030075187969"/>
  </r>
  <r>
    <x v="240"/>
    <s v="ORD-03368"/>
    <x v="3"/>
    <x v="3"/>
    <x v="126"/>
    <x v="7"/>
    <x v="2"/>
    <n v="6"/>
    <n v="9870"/>
    <n v="59220"/>
    <n v="7000"/>
    <n v="42000"/>
    <n v="17220"/>
    <n v="0.29078014184397161"/>
  </r>
  <r>
    <x v="240"/>
    <s v="ORD-03369"/>
    <x v="2"/>
    <x v="1"/>
    <x v="9"/>
    <x v="3"/>
    <x v="0"/>
    <n v="4"/>
    <n v="3125"/>
    <n v="12500"/>
    <n v="2500"/>
    <n v="10000"/>
    <n v="2500"/>
    <n v="0.2"/>
  </r>
  <r>
    <x v="240"/>
    <s v="ORD-03370"/>
    <x v="3"/>
    <x v="2"/>
    <x v="85"/>
    <x v="4"/>
    <x v="2"/>
    <n v="3"/>
    <n v="10965"/>
    <n v="32895"/>
    <n v="8500"/>
    <n v="25500"/>
    <n v="7395"/>
    <n v="0.22480620155038761"/>
  </r>
  <r>
    <x v="240"/>
    <s v="ORD-03371"/>
    <x v="1"/>
    <x v="0"/>
    <x v="13"/>
    <x v="5"/>
    <x v="3"/>
    <n v="9"/>
    <n v="840"/>
    <n v="7560"/>
    <n v="600"/>
    <n v="5400"/>
    <n v="2160"/>
    <n v="0.2857142857142857"/>
  </r>
  <r>
    <x v="240"/>
    <s v="ORD-03372"/>
    <x v="2"/>
    <x v="5"/>
    <x v="83"/>
    <x v="7"/>
    <x v="2"/>
    <n v="1"/>
    <n v="10010"/>
    <n v="10010"/>
    <n v="7000"/>
    <n v="7000"/>
    <n v="3010"/>
    <n v="0.30069930069930068"/>
  </r>
  <r>
    <x v="241"/>
    <s v="ORD-03373"/>
    <x v="1"/>
    <x v="3"/>
    <x v="145"/>
    <x v="1"/>
    <x v="1"/>
    <n v="6"/>
    <n v="59400"/>
    <n v="356400"/>
    <n v="45000"/>
    <n v="270000"/>
    <n v="86400"/>
    <n v="0.24242424242424243"/>
  </r>
  <r>
    <x v="241"/>
    <s v="ORD-03374"/>
    <x v="3"/>
    <x v="5"/>
    <x v="93"/>
    <x v="2"/>
    <x v="1"/>
    <n v="9"/>
    <n v="46740"/>
    <n v="420660"/>
    <n v="38000"/>
    <n v="342000"/>
    <n v="78660"/>
    <n v="0.18699186991869918"/>
  </r>
  <r>
    <x v="241"/>
    <s v="ORD-03375"/>
    <x v="2"/>
    <x v="0"/>
    <x v="103"/>
    <x v="4"/>
    <x v="2"/>
    <n v="2"/>
    <n v="10625"/>
    <n v="21250"/>
    <n v="8500"/>
    <n v="17000"/>
    <n v="4250"/>
    <n v="0.2"/>
  </r>
  <r>
    <x v="241"/>
    <s v="ORD-03376"/>
    <x v="1"/>
    <x v="2"/>
    <x v="5"/>
    <x v="4"/>
    <x v="2"/>
    <n v="7"/>
    <n v="11135"/>
    <n v="77945"/>
    <n v="8500"/>
    <n v="59500"/>
    <n v="18445"/>
    <n v="0.23664122137404581"/>
  </r>
  <r>
    <x v="241"/>
    <s v="ORD-03377"/>
    <x v="1"/>
    <x v="3"/>
    <x v="40"/>
    <x v="4"/>
    <x v="2"/>
    <n v="1"/>
    <n v="10540"/>
    <n v="10540"/>
    <n v="8500"/>
    <n v="8500"/>
    <n v="2040"/>
    <n v="0.19354838709677419"/>
  </r>
  <r>
    <x v="241"/>
    <s v="ORD-03378"/>
    <x v="3"/>
    <x v="5"/>
    <x v="119"/>
    <x v="1"/>
    <x v="1"/>
    <n v="3"/>
    <n v="58050"/>
    <n v="174150"/>
    <n v="45000"/>
    <n v="135000"/>
    <n v="39150"/>
    <n v="0.22480620155038761"/>
  </r>
  <r>
    <x v="241"/>
    <s v="ORD-03379"/>
    <x v="3"/>
    <x v="4"/>
    <x v="9"/>
    <x v="5"/>
    <x v="3"/>
    <n v="9"/>
    <n v="750"/>
    <n v="6750"/>
    <n v="600"/>
    <n v="5400"/>
    <n v="1350"/>
    <n v="0.2"/>
  </r>
  <r>
    <x v="241"/>
    <s v="ORD-03380"/>
    <x v="2"/>
    <x v="5"/>
    <x v="7"/>
    <x v="1"/>
    <x v="1"/>
    <n v="4"/>
    <n v="55350"/>
    <n v="221400"/>
    <n v="45000"/>
    <n v="180000"/>
    <n v="41400"/>
    <n v="0.18699186991869918"/>
  </r>
  <r>
    <x v="241"/>
    <s v="ORD-03381"/>
    <x v="3"/>
    <x v="3"/>
    <x v="133"/>
    <x v="2"/>
    <x v="1"/>
    <n v="7"/>
    <n v="45600"/>
    <n v="319200"/>
    <n v="38000"/>
    <n v="266000"/>
    <n v="53200"/>
    <n v="0.16666666666666666"/>
  </r>
  <r>
    <x v="241"/>
    <s v="ORD-03382"/>
    <x v="0"/>
    <x v="2"/>
    <x v="78"/>
    <x v="3"/>
    <x v="0"/>
    <n v="5"/>
    <n v="3625"/>
    <n v="18125"/>
    <n v="2500"/>
    <n v="12500"/>
    <n v="5625"/>
    <n v="0.31034482758620691"/>
  </r>
  <r>
    <x v="241"/>
    <s v="ORD-03383"/>
    <x v="3"/>
    <x v="2"/>
    <x v="78"/>
    <x v="3"/>
    <x v="0"/>
    <n v="4"/>
    <n v="3250"/>
    <n v="13000"/>
    <n v="2500"/>
    <n v="10000"/>
    <n v="3000"/>
    <n v="0.23076923076923078"/>
  </r>
  <r>
    <x v="241"/>
    <s v="ORD-03384"/>
    <x v="1"/>
    <x v="0"/>
    <x v="91"/>
    <x v="1"/>
    <x v="1"/>
    <n v="7"/>
    <n v="60750.000000000007"/>
    <n v="425250.00000000006"/>
    <n v="45000"/>
    <n v="315000"/>
    <n v="110250.00000000006"/>
    <n v="0.25925925925925936"/>
  </r>
  <r>
    <x v="241"/>
    <s v="ORD-03385"/>
    <x v="1"/>
    <x v="2"/>
    <x v="135"/>
    <x v="7"/>
    <x v="2"/>
    <n v="2"/>
    <n v="8400"/>
    <n v="16800"/>
    <n v="7000"/>
    <n v="14000"/>
    <n v="2800"/>
    <n v="0.16666666666666666"/>
  </r>
  <r>
    <x v="241"/>
    <s v="ORD-03386"/>
    <x v="0"/>
    <x v="0"/>
    <x v="3"/>
    <x v="4"/>
    <x v="2"/>
    <n v="3"/>
    <n v="10625"/>
    <n v="31875"/>
    <n v="8500"/>
    <n v="25500"/>
    <n v="6375"/>
    <n v="0.2"/>
  </r>
  <r>
    <x v="242"/>
    <s v="ORD-03387"/>
    <x v="1"/>
    <x v="4"/>
    <x v="129"/>
    <x v="3"/>
    <x v="0"/>
    <n v="1"/>
    <n v="3399.9999999999995"/>
    <n v="3399.9999999999995"/>
    <n v="2500"/>
    <n v="2500"/>
    <n v="899.99999999999955"/>
    <n v="0.26470588235294107"/>
  </r>
  <r>
    <x v="242"/>
    <s v="ORD-03388"/>
    <x v="2"/>
    <x v="3"/>
    <x v="47"/>
    <x v="0"/>
    <x v="0"/>
    <n v="5"/>
    <n v="4640"/>
    <n v="23200"/>
    <n v="3200"/>
    <n v="16000"/>
    <n v="7200"/>
    <n v="0.31034482758620691"/>
  </r>
  <r>
    <x v="242"/>
    <s v="ORD-03389"/>
    <x v="0"/>
    <x v="3"/>
    <x v="114"/>
    <x v="1"/>
    <x v="1"/>
    <n v="9"/>
    <n v="57600"/>
    <n v="518400"/>
    <n v="45000"/>
    <n v="405000"/>
    <n v="113400"/>
    <n v="0.21875"/>
  </r>
  <r>
    <x v="242"/>
    <s v="ORD-03390"/>
    <x v="0"/>
    <x v="1"/>
    <x v="49"/>
    <x v="0"/>
    <x v="0"/>
    <n v="7"/>
    <n v="3968"/>
    <n v="27776"/>
    <n v="3200"/>
    <n v="22400"/>
    <n v="5376"/>
    <n v="0.19354838709677419"/>
  </r>
  <r>
    <x v="242"/>
    <s v="ORD-03391"/>
    <x v="2"/>
    <x v="3"/>
    <x v="39"/>
    <x v="7"/>
    <x v="2"/>
    <n v="8"/>
    <n v="8680"/>
    <n v="69440"/>
    <n v="7000"/>
    <n v="56000"/>
    <n v="13440"/>
    <n v="0.19354838709677419"/>
  </r>
  <r>
    <x v="242"/>
    <s v="ORD-03392"/>
    <x v="3"/>
    <x v="1"/>
    <x v="2"/>
    <x v="1"/>
    <x v="1"/>
    <n v="3"/>
    <n v="63900"/>
    <n v="191700"/>
    <n v="45000"/>
    <n v="135000"/>
    <n v="56700"/>
    <n v="0.29577464788732394"/>
  </r>
  <r>
    <x v="242"/>
    <s v="ORD-03393"/>
    <x v="1"/>
    <x v="0"/>
    <x v="57"/>
    <x v="1"/>
    <x v="1"/>
    <n v="5"/>
    <n v="59850"/>
    <n v="299250"/>
    <n v="45000"/>
    <n v="225000"/>
    <n v="74250"/>
    <n v="0.24812030075187969"/>
  </r>
  <r>
    <x v="242"/>
    <s v="ORD-03394"/>
    <x v="3"/>
    <x v="0"/>
    <x v="46"/>
    <x v="4"/>
    <x v="2"/>
    <n v="3"/>
    <n v="11475"/>
    <n v="34425"/>
    <n v="8500"/>
    <n v="25500"/>
    <n v="8925"/>
    <n v="0.25925925925925924"/>
  </r>
  <r>
    <x v="242"/>
    <s v="ORD-03395"/>
    <x v="1"/>
    <x v="5"/>
    <x v="114"/>
    <x v="0"/>
    <x v="0"/>
    <n v="3"/>
    <n v="4224"/>
    <n v="12672"/>
    <n v="3200"/>
    <n v="9600"/>
    <n v="3072"/>
    <n v="0.24242424242424243"/>
  </r>
  <r>
    <x v="242"/>
    <s v="ORD-03396"/>
    <x v="0"/>
    <x v="1"/>
    <x v="128"/>
    <x v="6"/>
    <x v="3"/>
    <n v="8"/>
    <n v="1107"/>
    <n v="8856"/>
    <n v="900"/>
    <n v="7200"/>
    <n v="1656"/>
    <n v="0.18699186991869918"/>
  </r>
  <r>
    <x v="242"/>
    <s v="ORD-03397"/>
    <x v="1"/>
    <x v="3"/>
    <x v="6"/>
    <x v="6"/>
    <x v="3"/>
    <n v="3"/>
    <n v="1215"/>
    <n v="3645"/>
    <n v="900"/>
    <n v="2700"/>
    <n v="945"/>
    <n v="0.25925925925925924"/>
  </r>
  <r>
    <x v="242"/>
    <s v="ORD-03398"/>
    <x v="1"/>
    <x v="2"/>
    <x v="120"/>
    <x v="6"/>
    <x v="3"/>
    <n v="1"/>
    <n v="1179"/>
    <n v="1179"/>
    <n v="900"/>
    <n v="900"/>
    <n v="279"/>
    <n v="0.23664122137404581"/>
  </r>
  <r>
    <x v="242"/>
    <s v="ORD-03399"/>
    <x v="2"/>
    <x v="3"/>
    <x v="22"/>
    <x v="1"/>
    <x v="1"/>
    <n v="7"/>
    <n v="56250"/>
    <n v="393750"/>
    <n v="45000"/>
    <n v="315000"/>
    <n v="78750"/>
    <n v="0.2"/>
  </r>
  <r>
    <x v="242"/>
    <s v="ORD-03400"/>
    <x v="2"/>
    <x v="2"/>
    <x v="121"/>
    <x v="6"/>
    <x v="3"/>
    <n v="4"/>
    <n v="1305"/>
    <n v="5220"/>
    <n v="900"/>
    <n v="3600"/>
    <n v="1620"/>
    <n v="0.31034482758620691"/>
  </r>
  <r>
    <x v="243"/>
    <s v="ORD-03401"/>
    <x v="2"/>
    <x v="3"/>
    <x v="69"/>
    <x v="7"/>
    <x v="2"/>
    <n v="5"/>
    <n v="8470"/>
    <n v="42350"/>
    <n v="7000"/>
    <n v="35000"/>
    <n v="7350"/>
    <n v="0.17355371900826447"/>
  </r>
  <r>
    <x v="243"/>
    <s v="ORD-03402"/>
    <x v="1"/>
    <x v="4"/>
    <x v="28"/>
    <x v="2"/>
    <x v="1"/>
    <n v="4"/>
    <n v="50540"/>
    <n v="202160"/>
    <n v="38000"/>
    <n v="152000"/>
    <n v="50160"/>
    <n v="0.24812030075187969"/>
  </r>
  <r>
    <x v="243"/>
    <s v="ORD-03403"/>
    <x v="2"/>
    <x v="2"/>
    <x v="43"/>
    <x v="7"/>
    <x v="2"/>
    <n v="7"/>
    <n v="8960"/>
    <n v="62720"/>
    <n v="7000"/>
    <n v="49000"/>
    <n v="13720"/>
    <n v="0.21875"/>
  </r>
  <r>
    <x v="243"/>
    <s v="ORD-03404"/>
    <x v="2"/>
    <x v="1"/>
    <x v="44"/>
    <x v="0"/>
    <x v="0"/>
    <n v="2"/>
    <n v="4064"/>
    <n v="8128"/>
    <n v="3200"/>
    <n v="6400"/>
    <n v="1728"/>
    <n v="0.2125984251968504"/>
  </r>
  <r>
    <x v="243"/>
    <s v="ORD-03405"/>
    <x v="0"/>
    <x v="0"/>
    <x v="87"/>
    <x v="0"/>
    <x v="0"/>
    <n v="9"/>
    <n v="4192"/>
    <n v="37728"/>
    <n v="3200"/>
    <n v="28800"/>
    <n v="8928"/>
    <n v="0.23664122137404581"/>
  </r>
  <r>
    <x v="243"/>
    <s v="ORD-03406"/>
    <x v="2"/>
    <x v="2"/>
    <x v="93"/>
    <x v="0"/>
    <x v="0"/>
    <n v="7"/>
    <n v="4128"/>
    <n v="28896"/>
    <n v="3200"/>
    <n v="22400"/>
    <n v="6496"/>
    <n v="0.22480620155038761"/>
  </r>
  <r>
    <x v="243"/>
    <s v="ORD-03407"/>
    <x v="1"/>
    <x v="5"/>
    <x v="73"/>
    <x v="1"/>
    <x v="1"/>
    <n v="1"/>
    <n v="54000"/>
    <n v="54000"/>
    <n v="45000"/>
    <n v="45000"/>
    <n v="9000"/>
    <n v="0.16666666666666666"/>
  </r>
  <r>
    <x v="243"/>
    <s v="ORD-03408"/>
    <x v="0"/>
    <x v="3"/>
    <x v="68"/>
    <x v="2"/>
    <x v="1"/>
    <n v="3"/>
    <n v="46360"/>
    <n v="139080"/>
    <n v="38000"/>
    <n v="114000"/>
    <n v="25080"/>
    <n v="0.18032786885245902"/>
  </r>
  <r>
    <x v="243"/>
    <s v="ORD-03409"/>
    <x v="2"/>
    <x v="0"/>
    <x v="63"/>
    <x v="6"/>
    <x v="3"/>
    <n v="5"/>
    <n v="1170"/>
    <n v="5850"/>
    <n v="900"/>
    <n v="4500"/>
    <n v="1350"/>
    <n v="0.23076923076923078"/>
  </r>
  <r>
    <x v="243"/>
    <s v="ORD-03410"/>
    <x v="2"/>
    <x v="0"/>
    <x v="98"/>
    <x v="5"/>
    <x v="3"/>
    <n v="1"/>
    <n v="792"/>
    <n v="792"/>
    <n v="600"/>
    <n v="600"/>
    <n v="192"/>
    <n v="0.24242424242424243"/>
  </r>
  <r>
    <x v="243"/>
    <s v="ORD-03411"/>
    <x v="0"/>
    <x v="0"/>
    <x v="42"/>
    <x v="2"/>
    <x v="1"/>
    <n v="6"/>
    <n v="48640"/>
    <n v="291840"/>
    <n v="38000"/>
    <n v="228000"/>
    <n v="63840"/>
    <n v="0.21875"/>
  </r>
  <r>
    <x v="243"/>
    <s v="ORD-03412"/>
    <x v="0"/>
    <x v="0"/>
    <x v="86"/>
    <x v="6"/>
    <x v="3"/>
    <n v="4"/>
    <n v="1134"/>
    <n v="4536"/>
    <n v="900"/>
    <n v="3600"/>
    <n v="936"/>
    <n v="0.20634920634920634"/>
  </r>
  <r>
    <x v="243"/>
    <s v="ORD-03413"/>
    <x v="2"/>
    <x v="5"/>
    <x v="149"/>
    <x v="4"/>
    <x v="2"/>
    <n v="5"/>
    <n v="10710"/>
    <n v="53550"/>
    <n v="8500"/>
    <n v="42500"/>
    <n v="11050"/>
    <n v="0.20634920634920634"/>
  </r>
  <r>
    <x v="243"/>
    <s v="ORD-03414"/>
    <x v="1"/>
    <x v="0"/>
    <x v="85"/>
    <x v="3"/>
    <x v="0"/>
    <n v="3"/>
    <n v="3025"/>
    <n v="9075"/>
    <n v="2500"/>
    <n v="7500"/>
    <n v="1575"/>
    <n v="0.17355371900826447"/>
  </r>
  <r>
    <x v="244"/>
    <s v="ORD-03415"/>
    <x v="1"/>
    <x v="1"/>
    <x v="139"/>
    <x v="6"/>
    <x v="3"/>
    <n v="7"/>
    <n v="1179"/>
    <n v="8253"/>
    <n v="900"/>
    <n v="6300"/>
    <n v="1953"/>
    <n v="0.23664122137404581"/>
  </r>
  <r>
    <x v="244"/>
    <s v="ORD-03416"/>
    <x v="0"/>
    <x v="0"/>
    <x v="67"/>
    <x v="1"/>
    <x v="1"/>
    <n v="4"/>
    <n v="59850"/>
    <n v="239400"/>
    <n v="45000"/>
    <n v="180000"/>
    <n v="59400"/>
    <n v="0.24812030075187969"/>
  </r>
  <r>
    <x v="244"/>
    <s v="ORD-03417"/>
    <x v="0"/>
    <x v="0"/>
    <x v="55"/>
    <x v="1"/>
    <x v="1"/>
    <n v="9"/>
    <n v="54900"/>
    <n v="494100"/>
    <n v="45000"/>
    <n v="405000"/>
    <n v="89100"/>
    <n v="0.18032786885245902"/>
  </r>
  <r>
    <x v="244"/>
    <s v="ORD-03418"/>
    <x v="0"/>
    <x v="4"/>
    <x v="85"/>
    <x v="5"/>
    <x v="3"/>
    <n v="2"/>
    <n v="792"/>
    <n v="1584"/>
    <n v="600"/>
    <n v="1200"/>
    <n v="384"/>
    <n v="0.24242424242424243"/>
  </r>
  <r>
    <x v="244"/>
    <s v="ORD-03419"/>
    <x v="0"/>
    <x v="5"/>
    <x v="119"/>
    <x v="5"/>
    <x v="3"/>
    <n v="1"/>
    <n v="846"/>
    <n v="846"/>
    <n v="600"/>
    <n v="600"/>
    <n v="246"/>
    <n v="0.29078014184397161"/>
  </r>
  <r>
    <x v="244"/>
    <s v="ORD-03420"/>
    <x v="0"/>
    <x v="3"/>
    <x v="139"/>
    <x v="2"/>
    <x v="1"/>
    <n v="1"/>
    <n v="50540"/>
    <n v="50540"/>
    <n v="38000"/>
    <n v="38000"/>
    <n v="12540"/>
    <n v="0.24812030075187969"/>
  </r>
  <r>
    <x v="244"/>
    <s v="ORD-03421"/>
    <x v="3"/>
    <x v="2"/>
    <x v="88"/>
    <x v="7"/>
    <x v="2"/>
    <n v="2"/>
    <n v="9310"/>
    <n v="18620"/>
    <n v="7000"/>
    <n v="14000"/>
    <n v="4620"/>
    <n v="0.24812030075187969"/>
  </r>
  <r>
    <x v="244"/>
    <s v="ORD-03422"/>
    <x v="2"/>
    <x v="3"/>
    <x v="22"/>
    <x v="2"/>
    <x v="1"/>
    <n v="2"/>
    <n v="53960"/>
    <n v="107920"/>
    <n v="38000"/>
    <n v="76000"/>
    <n v="31920"/>
    <n v="0.29577464788732394"/>
  </r>
  <r>
    <x v="244"/>
    <s v="ORD-03423"/>
    <x v="0"/>
    <x v="1"/>
    <x v="64"/>
    <x v="1"/>
    <x v="1"/>
    <n v="8"/>
    <n v="62099.999999999993"/>
    <n v="496799.99999999994"/>
    <n v="45000"/>
    <n v="360000"/>
    <n v="136799.99999999994"/>
    <n v="0.2753623188405796"/>
  </r>
  <r>
    <x v="244"/>
    <s v="ORD-03424"/>
    <x v="0"/>
    <x v="4"/>
    <x v="122"/>
    <x v="4"/>
    <x v="2"/>
    <n v="7"/>
    <n v="12325"/>
    <n v="86275"/>
    <n v="8500"/>
    <n v="59500"/>
    <n v="26775"/>
    <n v="0.31034482758620691"/>
  </r>
  <r>
    <x v="244"/>
    <s v="ORD-03425"/>
    <x v="2"/>
    <x v="4"/>
    <x v="22"/>
    <x v="3"/>
    <x v="0"/>
    <n v="8"/>
    <n v="3600"/>
    <n v="28800"/>
    <n v="2500"/>
    <n v="20000"/>
    <n v="8800"/>
    <n v="0.30555555555555558"/>
  </r>
  <r>
    <x v="244"/>
    <s v="ORD-03426"/>
    <x v="2"/>
    <x v="4"/>
    <x v="46"/>
    <x v="6"/>
    <x v="3"/>
    <n v="2"/>
    <n v="1233"/>
    <n v="2466"/>
    <n v="900"/>
    <n v="1800"/>
    <n v="666"/>
    <n v="0.27007299270072993"/>
  </r>
  <r>
    <x v="244"/>
    <s v="ORD-03427"/>
    <x v="2"/>
    <x v="1"/>
    <x v="91"/>
    <x v="5"/>
    <x v="3"/>
    <n v="1"/>
    <n v="792"/>
    <n v="792"/>
    <n v="600"/>
    <n v="600"/>
    <n v="192"/>
    <n v="0.24242424242424243"/>
  </r>
  <r>
    <x v="244"/>
    <s v="ORD-03428"/>
    <x v="1"/>
    <x v="5"/>
    <x v="46"/>
    <x v="7"/>
    <x v="2"/>
    <n v="1"/>
    <n v="9240"/>
    <n v="9240"/>
    <n v="7000"/>
    <n v="7000"/>
    <n v="2240"/>
    <n v="0.24242424242424243"/>
  </r>
  <r>
    <x v="245"/>
    <s v="ORD-03429"/>
    <x v="1"/>
    <x v="0"/>
    <x v="102"/>
    <x v="4"/>
    <x v="2"/>
    <n v="4"/>
    <n v="11900"/>
    <n v="47600"/>
    <n v="8500"/>
    <n v="34000"/>
    <n v="13600"/>
    <n v="0.2857142857142857"/>
  </r>
  <r>
    <x v="245"/>
    <s v="ORD-03430"/>
    <x v="0"/>
    <x v="1"/>
    <x v="67"/>
    <x v="1"/>
    <x v="1"/>
    <n v="8"/>
    <n v="57150"/>
    <n v="457200"/>
    <n v="45000"/>
    <n v="360000"/>
    <n v="97200"/>
    <n v="0.2125984251968504"/>
  </r>
  <r>
    <x v="245"/>
    <s v="ORD-03431"/>
    <x v="3"/>
    <x v="3"/>
    <x v="4"/>
    <x v="0"/>
    <x v="0"/>
    <n v="3"/>
    <n v="4640"/>
    <n v="13920"/>
    <n v="3200"/>
    <n v="9600"/>
    <n v="4320"/>
    <n v="0.31034482758620691"/>
  </r>
  <r>
    <x v="245"/>
    <s v="ORD-03432"/>
    <x v="0"/>
    <x v="3"/>
    <x v="89"/>
    <x v="0"/>
    <x v="0"/>
    <n v="1"/>
    <n v="4128"/>
    <n v="4128"/>
    <n v="3200"/>
    <n v="3200"/>
    <n v="928"/>
    <n v="0.22480620155038761"/>
  </r>
  <r>
    <x v="245"/>
    <s v="ORD-03433"/>
    <x v="2"/>
    <x v="4"/>
    <x v="95"/>
    <x v="6"/>
    <x v="3"/>
    <n v="1"/>
    <n v="1116"/>
    <n v="1116"/>
    <n v="900"/>
    <n v="900"/>
    <n v="216"/>
    <n v="0.19354838709677419"/>
  </r>
  <r>
    <x v="245"/>
    <s v="ORD-03434"/>
    <x v="0"/>
    <x v="3"/>
    <x v="6"/>
    <x v="4"/>
    <x v="2"/>
    <n v="4"/>
    <n v="11475"/>
    <n v="45900"/>
    <n v="8500"/>
    <n v="34000"/>
    <n v="11900"/>
    <n v="0.25925925925925924"/>
  </r>
  <r>
    <x v="245"/>
    <s v="ORD-03435"/>
    <x v="2"/>
    <x v="3"/>
    <x v="89"/>
    <x v="3"/>
    <x v="0"/>
    <n v="3"/>
    <n v="3025"/>
    <n v="9075"/>
    <n v="2500"/>
    <n v="7500"/>
    <n v="1575"/>
    <n v="0.17355371900826447"/>
  </r>
  <r>
    <x v="245"/>
    <s v="ORD-03436"/>
    <x v="3"/>
    <x v="3"/>
    <x v="128"/>
    <x v="0"/>
    <x v="0"/>
    <n v="5"/>
    <n v="4096"/>
    <n v="20480"/>
    <n v="3200"/>
    <n v="16000"/>
    <n v="4480"/>
    <n v="0.21875"/>
  </r>
  <r>
    <x v="245"/>
    <s v="ORD-03437"/>
    <x v="2"/>
    <x v="2"/>
    <x v="30"/>
    <x v="2"/>
    <x v="1"/>
    <n v="10"/>
    <n v="53200"/>
    <n v="532000"/>
    <n v="38000"/>
    <n v="380000"/>
    <n v="152000"/>
    <n v="0.2857142857142857"/>
  </r>
  <r>
    <x v="245"/>
    <s v="ORD-03438"/>
    <x v="1"/>
    <x v="0"/>
    <x v="61"/>
    <x v="6"/>
    <x v="3"/>
    <n v="2"/>
    <n v="1206"/>
    <n v="2412"/>
    <n v="900"/>
    <n v="1800"/>
    <n v="612"/>
    <n v="0.2537313432835821"/>
  </r>
  <r>
    <x v="245"/>
    <s v="ORD-03439"/>
    <x v="2"/>
    <x v="4"/>
    <x v="9"/>
    <x v="5"/>
    <x v="3"/>
    <n v="8"/>
    <n v="726"/>
    <n v="5808"/>
    <n v="600"/>
    <n v="4800"/>
    <n v="1008"/>
    <n v="0.17355371900826447"/>
  </r>
  <r>
    <x v="245"/>
    <s v="ORD-03440"/>
    <x v="3"/>
    <x v="5"/>
    <x v="51"/>
    <x v="4"/>
    <x v="2"/>
    <n v="9"/>
    <n v="10795"/>
    <n v="97155"/>
    <n v="8500"/>
    <n v="76500"/>
    <n v="20655"/>
    <n v="0.2125984251968504"/>
  </r>
  <r>
    <x v="245"/>
    <s v="ORD-03441"/>
    <x v="0"/>
    <x v="1"/>
    <x v="5"/>
    <x v="7"/>
    <x v="2"/>
    <n v="7"/>
    <n v="10150"/>
    <n v="71050"/>
    <n v="7000"/>
    <n v="49000"/>
    <n v="22050"/>
    <n v="0.31034482758620691"/>
  </r>
  <r>
    <x v="245"/>
    <s v="ORD-03442"/>
    <x v="2"/>
    <x v="5"/>
    <x v="45"/>
    <x v="2"/>
    <x v="1"/>
    <n v="10"/>
    <n v="50920"/>
    <n v="509200"/>
    <n v="38000"/>
    <n v="380000"/>
    <n v="129200"/>
    <n v="0.2537313432835821"/>
  </r>
  <r>
    <x v="246"/>
    <s v="ORD-03443"/>
    <x v="3"/>
    <x v="0"/>
    <x v="17"/>
    <x v="3"/>
    <x v="0"/>
    <n v="7"/>
    <n v="3275"/>
    <n v="22925"/>
    <n v="2500"/>
    <n v="17500"/>
    <n v="5425"/>
    <n v="0.23664122137404581"/>
  </r>
  <r>
    <x v="246"/>
    <s v="ORD-03444"/>
    <x v="3"/>
    <x v="4"/>
    <x v="119"/>
    <x v="4"/>
    <x v="2"/>
    <n v="9"/>
    <n v="10965"/>
    <n v="98685"/>
    <n v="8500"/>
    <n v="76500"/>
    <n v="22185"/>
    <n v="0.22480620155038761"/>
  </r>
  <r>
    <x v="246"/>
    <s v="ORD-03445"/>
    <x v="3"/>
    <x v="1"/>
    <x v="100"/>
    <x v="6"/>
    <x v="3"/>
    <n v="10"/>
    <n v="1269"/>
    <n v="12690"/>
    <n v="900"/>
    <n v="9000"/>
    <n v="3690"/>
    <n v="0.29078014184397161"/>
  </r>
  <r>
    <x v="246"/>
    <s v="ORD-03446"/>
    <x v="3"/>
    <x v="3"/>
    <x v="23"/>
    <x v="5"/>
    <x v="3"/>
    <n v="3"/>
    <n v="827.99999999999989"/>
    <n v="2483.9999999999995"/>
    <n v="600"/>
    <n v="1800"/>
    <n v="683.99999999999955"/>
    <n v="0.2753623188405796"/>
  </r>
  <r>
    <x v="246"/>
    <s v="ORD-03447"/>
    <x v="2"/>
    <x v="5"/>
    <x v="135"/>
    <x v="6"/>
    <x v="3"/>
    <n v="6"/>
    <n v="1107"/>
    <n v="6642"/>
    <n v="900"/>
    <n v="5400"/>
    <n v="1242"/>
    <n v="0.18699186991869918"/>
  </r>
  <r>
    <x v="246"/>
    <s v="ORD-03448"/>
    <x v="3"/>
    <x v="1"/>
    <x v="91"/>
    <x v="7"/>
    <x v="2"/>
    <n v="3"/>
    <n v="9030"/>
    <n v="27090"/>
    <n v="7000"/>
    <n v="21000"/>
    <n v="6090"/>
    <n v="0.22480620155038761"/>
  </r>
  <r>
    <x v="246"/>
    <s v="ORD-03449"/>
    <x v="0"/>
    <x v="5"/>
    <x v="122"/>
    <x v="6"/>
    <x v="3"/>
    <n v="4"/>
    <n v="1269"/>
    <n v="5076"/>
    <n v="900"/>
    <n v="3600"/>
    <n v="1476"/>
    <n v="0.29078014184397161"/>
  </r>
  <r>
    <x v="246"/>
    <s v="ORD-03450"/>
    <x v="1"/>
    <x v="2"/>
    <x v="123"/>
    <x v="3"/>
    <x v="0"/>
    <n v="6"/>
    <n v="3350"/>
    <n v="20100"/>
    <n v="2500"/>
    <n v="15000"/>
    <n v="5100"/>
    <n v="0.2537313432835821"/>
  </r>
  <r>
    <x v="246"/>
    <s v="ORD-03451"/>
    <x v="2"/>
    <x v="1"/>
    <x v="70"/>
    <x v="6"/>
    <x v="3"/>
    <n v="7"/>
    <n v="1188"/>
    <n v="8316"/>
    <n v="900"/>
    <n v="6300"/>
    <n v="2016"/>
    <n v="0.24242424242424243"/>
  </r>
  <r>
    <x v="246"/>
    <s v="ORD-03452"/>
    <x v="1"/>
    <x v="0"/>
    <x v="118"/>
    <x v="1"/>
    <x v="1"/>
    <n v="6"/>
    <n v="55350"/>
    <n v="332100"/>
    <n v="45000"/>
    <n v="270000"/>
    <n v="62100"/>
    <n v="0.18699186991869918"/>
  </r>
  <r>
    <x v="246"/>
    <s v="ORD-03453"/>
    <x v="2"/>
    <x v="5"/>
    <x v="141"/>
    <x v="2"/>
    <x v="1"/>
    <n v="7"/>
    <n v="54340"/>
    <n v="380380"/>
    <n v="38000"/>
    <n v="266000"/>
    <n v="114380"/>
    <n v="0.30069930069930068"/>
  </r>
  <r>
    <x v="246"/>
    <s v="ORD-03454"/>
    <x v="0"/>
    <x v="4"/>
    <x v="102"/>
    <x v="7"/>
    <x v="2"/>
    <n v="6"/>
    <n v="8610"/>
    <n v="51660"/>
    <n v="7000"/>
    <n v="42000"/>
    <n v="9660"/>
    <n v="0.18699186991869918"/>
  </r>
  <r>
    <x v="246"/>
    <s v="ORD-03455"/>
    <x v="1"/>
    <x v="1"/>
    <x v="55"/>
    <x v="4"/>
    <x v="2"/>
    <n v="1"/>
    <n v="10710"/>
    <n v="10710"/>
    <n v="8500"/>
    <n v="8500"/>
    <n v="2210"/>
    <n v="0.20634920634920634"/>
  </r>
  <r>
    <x v="246"/>
    <s v="ORD-03456"/>
    <x v="2"/>
    <x v="3"/>
    <x v="10"/>
    <x v="5"/>
    <x v="3"/>
    <n v="7"/>
    <n v="768"/>
    <n v="5376"/>
    <n v="600"/>
    <n v="4200"/>
    <n v="1176"/>
    <n v="0.21875"/>
  </r>
  <r>
    <x v="247"/>
    <s v="ORD-03457"/>
    <x v="3"/>
    <x v="4"/>
    <x v="114"/>
    <x v="5"/>
    <x v="3"/>
    <n v="1"/>
    <n v="780"/>
    <n v="780"/>
    <n v="600"/>
    <n v="600"/>
    <n v="180"/>
    <n v="0.23076923076923078"/>
  </r>
  <r>
    <x v="247"/>
    <s v="ORD-03458"/>
    <x v="3"/>
    <x v="2"/>
    <x v="119"/>
    <x v="0"/>
    <x v="0"/>
    <n v="10"/>
    <n v="4480"/>
    <n v="44800"/>
    <n v="3200"/>
    <n v="32000"/>
    <n v="12800"/>
    <n v="0.2857142857142857"/>
  </r>
  <r>
    <x v="247"/>
    <s v="ORD-03459"/>
    <x v="3"/>
    <x v="2"/>
    <x v="105"/>
    <x v="6"/>
    <x v="3"/>
    <n v="8"/>
    <n v="1206"/>
    <n v="9648"/>
    <n v="900"/>
    <n v="7200"/>
    <n v="2448"/>
    <n v="0.2537313432835821"/>
  </r>
  <r>
    <x v="247"/>
    <s v="ORD-03460"/>
    <x v="0"/>
    <x v="3"/>
    <x v="43"/>
    <x v="2"/>
    <x v="1"/>
    <n v="5"/>
    <n v="49780"/>
    <n v="248900"/>
    <n v="38000"/>
    <n v="190000"/>
    <n v="58900"/>
    <n v="0.23664122137404581"/>
  </r>
  <r>
    <x v="247"/>
    <s v="ORD-03461"/>
    <x v="2"/>
    <x v="5"/>
    <x v="3"/>
    <x v="3"/>
    <x v="0"/>
    <n v="6"/>
    <n v="3500"/>
    <n v="21000"/>
    <n v="2500"/>
    <n v="15000"/>
    <n v="6000"/>
    <n v="0.2857142857142857"/>
  </r>
  <r>
    <x v="247"/>
    <s v="ORD-03462"/>
    <x v="3"/>
    <x v="5"/>
    <x v="4"/>
    <x v="6"/>
    <x v="3"/>
    <n v="9"/>
    <n v="1278"/>
    <n v="11502"/>
    <n v="900"/>
    <n v="8100"/>
    <n v="3402"/>
    <n v="0.29577464788732394"/>
  </r>
  <r>
    <x v="247"/>
    <s v="ORD-03463"/>
    <x v="3"/>
    <x v="0"/>
    <x v="0"/>
    <x v="3"/>
    <x v="0"/>
    <n v="6"/>
    <n v="3025"/>
    <n v="18150"/>
    <n v="2500"/>
    <n v="15000"/>
    <n v="3150"/>
    <n v="0.17355371900826447"/>
  </r>
  <r>
    <x v="247"/>
    <s v="ORD-03464"/>
    <x v="0"/>
    <x v="1"/>
    <x v="126"/>
    <x v="3"/>
    <x v="0"/>
    <n v="10"/>
    <n v="3475.0000000000005"/>
    <n v="34750.000000000007"/>
    <n v="2500"/>
    <n v="25000"/>
    <n v="9750.0000000000073"/>
    <n v="0.28057553956834547"/>
  </r>
  <r>
    <x v="247"/>
    <s v="ORD-03465"/>
    <x v="1"/>
    <x v="5"/>
    <x v="12"/>
    <x v="2"/>
    <x v="1"/>
    <n v="9"/>
    <n v="54340"/>
    <n v="489060"/>
    <n v="38000"/>
    <n v="342000"/>
    <n v="147060"/>
    <n v="0.30069930069930068"/>
  </r>
  <r>
    <x v="247"/>
    <s v="ORD-03466"/>
    <x v="3"/>
    <x v="0"/>
    <x v="17"/>
    <x v="0"/>
    <x v="0"/>
    <n v="10"/>
    <n v="4320"/>
    <n v="43200"/>
    <n v="3200"/>
    <n v="32000"/>
    <n v="11200"/>
    <n v="0.25925925925925924"/>
  </r>
  <r>
    <x v="247"/>
    <s v="ORD-03467"/>
    <x v="2"/>
    <x v="3"/>
    <x v="27"/>
    <x v="4"/>
    <x v="2"/>
    <n v="8"/>
    <n v="10625"/>
    <n v="85000"/>
    <n v="8500"/>
    <n v="68000"/>
    <n v="17000"/>
    <n v="0.2"/>
  </r>
  <r>
    <x v="247"/>
    <s v="ORD-03468"/>
    <x v="0"/>
    <x v="5"/>
    <x v="74"/>
    <x v="1"/>
    <x v="1"/>
    <n v="10"/>
    <n v="57600"/>
    <n v="576000"/>
    <n v="45000"/>
    <n v="450000"/>
    <n v="126000"/>
    <n v="0.21875"/>
  </r>
  <r>
    <x v="247"/>
    <s v="ORD-03469"/>
    <x v="2"/>
    <x v="4"/>
    <x v="13"/>
    <x v="7"/>
    <x v="2"/>
    <n v="3"/>
    <n v="9240"/>
    <n v="27720"/>
    <n v="7000"/>
    <n v="21000"/>
    <n v="6720"/>
    <n v="0.24242424242424243"/>
  </r>
  <r>
    <x v="247"/>
    <s v="ORD-03470"/>
    <x v="3"/>
    <x v="3"/>
    <x v="45"/>
    <x v="4"/>
    <x v="2"/>
    <n v="3"/>
    <n v="11985"/>
    <n v="35955"/>
    <n v="8500"/>
    <n v="25500"/>
    <n v="10455"/>
    <n v="0.29078014184397161"/>
  </r>
  <r>
    <x v="248"/>
    <s v="ORD-03471"/>
    <x v="2"/>
    <x v="5"/>
    <x v="90"/>
    <x v="3"/>
    <x v="0"/>
    <n v="1"/>
    <n v="3000"/>
    <n v="3000"/>
    <n v="2500"/>
    <n v="2500"/>
    <n v="500"/>
    <n v="0.16666666666666666"/>
  </r>
  <r>
    <x v="248"/>
    <s v="ORD-03472"/>
    <x v="1"/>
    <x v="5"/>
    <x v="79"/>
    <x v="7"/>
    <x v="2"/>
    <n v="4"/>
    <n v="9590"/>
    <n v="38360"/>
    <n v="7000"/>
    <n v="28000"/>
    <n v="10360"/>
    <n v="0.27007299270072993"/>
  </r>
  <r>
    <x v="248"/>
    <s v="ORD-03473"/>
    <x v="3"/>
    <x v="3"/>
    <x v="1"/>
    <x v="1"/>
    <x v="1"/>
    <n v="4"/>
    <n v="60750.000000000007"/>
    <n v="243000.00000000003"/>
    <n v="45000"/>
    <n v="180000"/>
    <n v="63000.000000000029"/>
    <n v="0.25925925925925936"/>
  </r>
  <r>
    <x v="248"/>
    <s v="ORD-03474"/>
    <x v="3"/>
    <x v="2"/>
    <x v="77"/>
    <x v="2"/>
    <x v="1"/>
    <n v="6"/>
    <n v="53200"/>
    <n v="319200"/>
    <n v="38000"/>
    <n v="228000"/>
    <n v="91200"/>
    <n v="0.2857142857142857"/>
  </r>
  <r>
    <x v="248"/>
    <s v="ORD-03475"/>
    <x v="2"/>
    <x v="0"/>
    <x v="58"/>
    <x v="5"/>
    <x v="3"/>
    <n v="6"/>
    <n v="780"/>
    <n v="4680"/>
    <n v="600"/>
    <n v="3600"/>
    <n v="1080"/>
    <n v="0.23076923076923078"/>
  </r>
  <r>
    <x v="248"/>
    <s v="ORD-03476"/>
    <x v="2"/>
    <x v="3"/>
    <x v="83"/>
    <x v="2"/>
    <x v="1"/>
    <n v="6"/>
    <n v="47500"/>
    <n v="285000"/>
    <n v="38000"/>
    <n v="228000"/>
    <n v="57000"/>
    <n v="0.2"/>
  </r>
  <r>
    <x v="248"/>
    <s v="ORD-03477"/>
    <x v="0"/>
    <x v="5"/>
    <x v="44"/>
    <x v="3"/>
    <x v="0"/>
    <n v="10"/>
    <n v="3125"/>
    <n v="31250"/>
    <n v="2500"/>
    <n v="25000"/>
    <n v="6250"/>
    <n v="0.2"/>
  </r>
  <r>
    <x v="248"/>
    <s v="ORD-03478"/>
    <x v="2"/>
    <x v="3"/>
    <x v="52"/>
    <x v="2"/>
    <x v="1"/>
    <n v="2"/>
    <n v="48260"/>
    <n v="96520"/>
    <n v="38000"/>
    <n v="76000"/>
    <n v="20520"/>
    <n v="0.2125984251968504"/>
  </r>
  <r>
    <x v="248"/>
    <s v="ORD-03479"/>
    <x v="3"/>
    <x v="4"/>
    <x v="72"/>
    <x v="3"/>
    <x v="0"/>
    <n v="2"/>
    <n v="3550"/>
    <n v="7100"/>
    <n v="2500"/>
    <n v="5000"/>
    <n v="2100"/>
    <n v="0.29577464788732394"/>
  </r>
  <r>
    <x v="248"/>
    <s v="ORD-03480"/>
    <x v="2"/>
    <x v="1"/>
    <x v="10"/>
    <x v="0"/>
    <x v="0"/>
    <n v="3"/>
    <n v="4288"/>
    <n v="12864"/>
    <n v="3200"/>
    <n v="9600"/>
    <n v="3264"/>
    <n v="0.2537313432835821"/>
  </r>
  <r>
    <x v="248"/>
    <s v="ORD-03481"/>
    <x v="1"/>
    <x v="5"/>
    <x v="129"/>
    <x v="4"/>
    <x v="2"/>
    <n v="6"/>
    <n v="10880"/>
    <n v="65280"/>
    <n v="8500"/>
    <n v="51000"/>
    <n v="14280"/>
    <n v="0.21875"/>
  </r>
  <r>
    <x v="248"/>
    <s v="ORD-03482"/>
    <x v="3"/>
    <x v="2"/>
    <x v="41"/>
    <x v="4"/>
    <x v="2"/>
    <n v="9"/>
    <n v="11815.000000000002"/>
    <n v="106335.00000000001"/>
    <n v="8500"/>
    <n v="76500"/>
    <n v="29835.000000000015"/>
    <n v="0.28057553956834541"/>
  </r>
  <r>
    <x v="248"/>
    <s v="ORD-03483"/>
    <x v="2"/>
    <x v="0"/>
    <x v="117"/>
    <x v="4"/>
    <x v="2"/>
    <n v="1"/>
    <n v="10625"/>
    <n v="10625"/>
    <n v="8500"/>
    <n v="8500"/>
    <n v="2125"/>
    <n v="0.2"/>
  </r>
  <r>
    <x v="248"/>
    <s v="ORD-03484"/>
    <x v="0"/>
    <x v="2"/>
    <x v="8"/>
    <x v="3"/>
    <x v="0"/>
    <n v="7"/>
    <n v="3399.9999999999995"/>
    <n v="23799.999999999996"/>
    <n v="2500"/>
    <n v="17500"/>
    <n v="6299.9999999999964"/>
    <n v="0.26470588235294107"/>
  </r>
  <r>
    <x v="249"/>
    <s v="ORD-03485"/>
    <x v="0"/>
    <x v="4"/>
    <x v="127"/>
    <x v="6"/>
    <x v="3"/>
    <n v="9"/>
    <n v="1188"/>
    <n v="10692"/>
    <n v="900"/>
    <n v="8100"/>
    <n v="2592"/>
    <n v="0.24242424242424243"/>
  </r>
  <r>
    <x v="249"/>
    <s v="ORD-03486"/>
    <x v="2"/>
    <x v="0"/>
    <x v="23"/>
    <x v="2"/>
    <x v="1"/>
    <n v="1"/>
    <n v="53580"/>
    <n v="53580"/>
    <n v="38000"/>
    <n v="38000"/>
    <n v="15580"/>
    <n v="0.29078014184397161"/>
  </r>
  <r>
    <x v="249"/>
    <s v="ORD-03487"/>
    <x v="0"/>
    <x v="5"/>
    <x v="3"/>
    <x v="7"/>
    <x v="2"/>
    <n v="1"/>
    <n v="10080"/>
    <n v="10080"/>
    <n v="7000"/>
    <n v="7000"/>
    <n v="3080"/>
    <n v="0.30555555555555558"/>
  </r>
  <r>
    <x v="249"/>
    <s v="ORD-03488"/>
    <x v="0"/>
    <x v="0"/>
    <x v="15"/>
    <x v="1"/>
    <x v="1"/>
    <n v="3"/>
    <n v="62550.000000000007"/>
    <n v="187650.00000000003"/>
    <n v="45000"/>
    <n v="135000"/>
    <n v="52650.000000000029"/>
    <n v="0.28057553956834541"/>
  </r>
  <r>
    <x v="249"/>
    <s v="ORD-03489"/>
    <x v="3"/>
    <x v="1"/>
    <x v="59"/>
    <x v="4"/>
    <x v="2"/>
    <n v="5"/>
    <n v="10370"/>
    <n v="51850"/>
    <n v="8500"/>
    <n v="42500"/>
    <n v="9350"/>
    <n v="0.18032786885245902"/>
  </r>
  <r>
    <x v="249"/>
    <s v="ORD-03490"/>
    <x v="3"/>
    <x v="5"/>
    <x v="52"/>
    <x v="4"/>
    <x v="2"/>
    <n v="4"/>
    <n v="11815.000000000002"/>
    <n v="47260.000000000007"/>
    <n v="8500"/>
    <n v="34000"/>
    <n v="13260.000000000007"/>
    <n v="0.28057553956834541"/>
  </r>
  <r>
    <x v="249"/>
    <s v="ORD-03491"/>
    <x v="2"/>
    <x v="5"/>
    <x v="48"/>
    <x v="7"/>
    <x v="2"/>
    <n v="1"/>
    <n v="9380"/>
    <n v="9380"/>
    <n v="7000"/>
    <n v="7000"/>
    <n v="2380"/>
    <n v="0.2537313432835821"/>
  </r>
  <r>
    <x v="249"/>
    <s v="ORD-03492"/>
    <x v="0"/>
    <x v="1"/>
    <x v="121"/>
    <x v="0"/>
    <x v="0"/>
    <n v="3"/>
    <n v="4288"/>
    <n v="12864"/>
    <n v="3200"/>
    <n v="9600"/>
    <n v="3264"/>
    <n v="0.2537313432835821"/>
  </r>
  <r>
    <x v="249"/>
    <s v="ORD-03493"/>
    <x v="1"/>
    <x v="1"/>
    <x v="123"/>
    <x v="7"/>
    <x v="2"/>
    <n v="5"/>
    <n v="8890"/>
    <n v="44450"/>
    <n v="7000"/>
    <n v="35000"/>
    <n v="9450"/>
    <n v="0.2125984251968504"/>
  </r>
  <r>
    <x v="249"/>
    <s v="ORD-03494"/>
    <x v="0"/>
    <x v="3"/>
    <x v="15"/>
    <x v="1"/>
    <x v="1"/>
    <n v="3"/>
    <n v="60750.000000000007"/>
    <n v="182250.00000000003"/>
    <n v="45000"/>
    <n v="135000"/>
    <n v="47250.000000000029"/>
    <n v="0.25925925925925936"/>
  </r>
  <r>
    <x v="249"/>
    <s v="ORD-03495"/>
    <x v="3"/>
    <x v="1"/>
    <x v="111"/>
    <x v="2"/>
    <x v="1"/>
    <n v="5"/>
    <n v="50540"/>
    <n v="252700"/>
    <n v="38000"/>
    <n v="190000"/>
    <n v="62700"/>
    <n v="0.24812030075187969"/>
  </r>
  <r>
    <x v="249"/>
    <s v="ORD-03496"/>
    <x v="0"/>
    <x v="0"/>
    <x v="66"/>
    <x v="3"/>
    <x v="0"/>
    <n v="6"/>
    <n v="3150"/>
    <n v="18900"/>
    <n v="2500"/>
    <n v="15000"/>
    <n v="3900"/>
    <n v="0.20634920634920634"/>
  </r>
  <r>
    <x v="249"/>
    <s v="ORD-03497"/>
    <x v="2"/>
    <x v="5"/>
    <x v="109"/>
    <x v="3"/>
    <x v="0"/>
    <n v="6"/>
    <n v="3525"/>
    <n v="21150"/>
    <n v="2500"/>
    <n v="15000"/>
    <n v="6150"/>
    <n v="0.29078014184397161"/>
  </r>
  <r>
    <x v="249"/>
    <s v="ORD-03498"/>
    <x v="1"/>
    <x v="3"/>
    <x v="27"/>
    <x v="6"/>
    <x v="3"/>
    <n v="4"/>
    <n v="1179"/>
    <n v="4716"/>
    <n v="900"/>
    <n v="3600"/>
    <n v="1116"/>
    <n v="0.23664122137404581"/>
  </r>
  <r>
    <x v="250"/>
    <s v="ORD-03499"/>
    <x v="3"/>
    <x v="4"/>
    <x v="51"/>
    <x v="5"/>
    <x v="3"/>
    <n v="7"/>
    <n v="846"/>
    <n v="5922"/>
    <n v="600"/>
    <n v="4200"/>
    <n v="1722"/>
    <n v="0.29078014184397161"/>
  </r>
  <r>
    <x v="250"/>
    <s v="ORD-03500"/>
    <x v="1"/>
    <x v="0"/>
    <x v="81"/>
    <x v="6"/>
    <x v="3"/>
    <n v="7"/>
    <n v="1287"/>
    <n v="9009"/>
    <n v="900"/>
    <n v="6300"/>
    <n v="2709"/>
    <n v="0.30069930069930068"/>
  </r>
  <r>
    <x v="250"/>
    <s v="ORD-03501"/>
    <x v="2"/>
    <x v="2"/>
    <x v="115"/>
    <x v="7"/>
    <x v="2"/>
    <n v="4"/>
    <n v="9940"/>
    <n v="39760"/>
    <n v="7000"/>
    <n v="28000"/>
    <n v="11760"/>
    <n v="0.29577464788732394"/>
  </r>
  <r>
    <x v="250"/>
    <s v="ORD-03502"/>
    <x v="0"/>
    <x v="1"/>
    <x v="85"/>
    <x v="1"/>
    <x v="1"/>
    <n v="1"/>
    <n v="63900"/>
    <n v="63900"/>
    <n v="45000"/>
    <n v="45000"/>
    <n v="18900"/>
    <n v="0.29577464788732394"/>
  </r>
  <r>
    <x v="250"/>
    <s v="ORD-03503"/>
    <x v="1"/>
    <x v="0"/>
    <x v="48"/>
    <x v="4"/>
    <x v="2"/>
    <n v="5"/>
    <n v="11220"/>
    <n v="56100"/>
    <n v="8500"/>
    <n v="42500"/>
    <n v="13600"/>
    <n v="0.24242424242424243"/>
  </r>
  <r>
    <x v="250"/>
    <s v="ORD-03504"/>
    <x v="3"/>
    <x v="2"/>
    <x v="47"/>
    <x v="3"/>
    <x v="0"/>
    <n v="3"/>
    <n v="3625"/>
    <n v="10875"/>
    <n v="2500"/>
    <n v="7500"/>
    <n v="3375"/>
    <n v="0.31034482758620691"/>
  </r>
  <r>
    <x v="250"/>
    <s v="ORD-03505"/>
    <x v="3"/>
    <x v="3"/>
    <x v="47"/>
    <x v="0"/>
    <x v="0"/>
    <n v="5"/>
    <n v="4160"/>
    <n v="20800"/>
    <n v="3200"/>
    <n v="16000"/>
    <n v="4800"/>
    <n v="0.23076923076923078"/>
  </r>
  <r>
    <x v="250"/>
    <s v="ORD-03506"/>
    <x v="3"/>
    <x v="0"/>
    <x v="14"/>
    <x v="2"/>
    <x v="1"/>
    <n v="7"/>
    <n v="47120"/>
    <n v="329840"/>
    <n v="38000"/>
    <n v="266000"/>
    <n v="63840"/>
    <n v="0.19354838709677419"/>
  </r>
  <r>
    <x v="250"/>
    <s v="ORD-03507"/>
    <x v="2"/>
    <x v="4"/>
    <x v="97"/>
    <x v="0"/>
    <x v="0"/>
    <n v="5"/>
    <n v="4288"/>
    <n v="21440"/>
    <n v="3200"/>
    <n v="16000"/>
    <n v="5440"/>
    <n v="0.2537313432835821"/>
  </r>
  <r>
    <x v="250"/>
    <s v="ORD-03508"/>
    <x v="3"/>
    <x v="5"/>
    <x v="122"/>
    <x v="0"/>
    <x v="0"/>
    <n v="7"/>
    <n v="4512"/>
    <n v="31584"/>
    <n v="3200"/>
    <n v="22400"/>
    <n v="9184"/>
    <n v="0.29078014184397161"/>
  </r>
  <r>
    <x v="250"/>
    <s v="ORD-03509"/>
    <x v="0"/>
    <x v="5"/>
    <x v="104"/>
    <x v="2"/>
    <x v="1"/>
    <n v="4"/>
    <n v="51679.999999999993"/>
    <n v="206719.99999999997"/>
    <n v="38000"/>
    <n v="152000"/>
    <n v="54719.999999999971"/>
    <n v="0.26470588235294107"/>
  </r>
  <r>
    <x v="250"/>
    <s v="ORD-03510"/>
    <x v="1"/>
    <x v="0"/>
    <x v="11"/>
    <x v="5"/>
    <x v="3"/>
    <n v="4"/>
    <n v="864"/>
    <n v="3456"/>
    <n v="600"/>
    <n v="2400"/>
    <n v="1056"/>
    <n v="0.30555555555555558"/>
  </r>
  <r>
    <x v="250"/>
    <s v="ORD-03511"/>
    <x v="3"/>
    <x v="2"/>
    <x v="21"/>
    <x v="2"/>
    <x v="1"/>
    <n v="9"/>
    <n v="48640"/>
    <n v="437760"/>
    <n v="38000"/>
    <n v="342000"/>
    <n v="95760"/>
    <n v="0.21875"/>
  </r>
  <r>
    <x v="250"/>
    <s v="ORD-03512"/>
    <x v="2"/>
    <x v="4"/>
    <x v="24"/>
    <x v="6"/>
    <x v="3"/>
    <n v="10"/>
    <n v="1098"/>
    <n v="10980"/>
    <n v="900"/>
    <n v="9000"/>
    <n v="1980"/>
    <n v="0.18032786885245902"/>
  </r>
  <r>
    <x v="251"/>
    <s v="ORD-03513"/>
    <x v="2"/>
    <x v="1"/>
    <x v="68"/>
    <x v="6"/>
    <x v="3"/>
    <n v="3"/>
    <n v="1116"/>
    <n v="3348"/>
    <n v="900"/>
    <n v="2700"/>
    <n v="648"/>
    <n v="0.19354838709677419"/>
  </r>
  <r>
    <x v="251"/>
    <s v="ORD-03514"/>
    <x v="3"/>
    <x v="3"/>
    <x v="132"/>
    <x v="6"/>
    <x v="3"/>
    <n v="8"/>
    <n v="1287"/>
    <n v="10296"/>
    <n v="900"/>
    <n v="7200"/>
    <n v="3096"/>
    <n v="0.30069930069930068"/>
  </r>
  <r>
    <x v="251"/>
    <s v="ORD-03515"/>
    <x v="0"/>
    <x v="2"/>
    <x v="58"/>
    <x v="7"/>
    <x v="2"/>
    <n v="10"/>
    <n v="9870"/>
    <n v="98700"/>
    <n v="7000"/>
    <n v="70000"/>
    <n v="28700"/>
    <n v="0.29078014184397161"/>
  </r>
  <r>
    <x v="251"/>
    <s v="ORD-03516"/>
    <x v="1"/>
    <x v="5"/>
    <x v="125"/>
    <x v="4"/>
    <x v="2"/>
    <n v="5"/>
    <n v="11305"/>
    <n v="56525"/>
    <n v="8500"/>
    <n v="42500"/>
    <n v="14025"/>
    <n v="0.24812030075187969"/>
  </r>
  <r>
    <x v="251"/>
    <s v="ORD-03517"/>
    <x v="2"/>
    <x v="5"/>
    <x v="65"/>
    <x v="6"/>
    <x v="3"/>
    <n v="10"/>
    <n v="1296"/>
    <n v="12960"/>
    <n v="900"/>
    <n v="9000"/>
    <n v="3960"/>
    <n v="0.30555555555555558"/>
  </r>
  <r>
    <x v="251"/>
    <s v="ORD-03518"/>
    <x v="1"/>
    <x v="3"/>
    <x v="111"/>
    <x v="7"/>
    <x v="2"/>
    <n v="2"/>
    <n v="8960"/>
    <n v="17920"/>
    <n v="7000"/>
    <n v="14000"/>
    <n v="3920"/>
    <n v="0.21875"/>
  </r>
  <r>
    <x v="251"/>
    <s v="ORD-03519"/>
    <x v="2"/>
    <x v="4"/>
    <x v="11"/>
    <x v="7"/>
    <x v="2"/>
    <n v="7"/>
    <n v="10080"/>
    <n v="70560"/>
    <n v="7000"/>
    <n v="49000"/>
    <n v="21560"/>
    <n v="0.30555555555555558"/>
  </r>
  <r>
    <x v="251"/>
    <s v="ORD-03520"/>
    <x v="3"/>
    <x v="4"/>
    <x v="3"/>
    <x v="6"/>
    <x v="3"/>
    <n v="2"/>
    <n v="1134"/>
    <n v="2268"/>
    <n v="900"/>
    <n v="1800"/>
    <n v="468"/>
    <n v="0.20634920634920634"/>
  </r>
  <r>
    <x v="251"/>
    <s v="ORD-03521"/>
    <x v="0"/>
    <x v="2"/>
    <x v="26"/>
    <x v="7"/>
    <x v="2"/>
    <n v="10"/>
    <n v="8890"/>
    <n v="88900"/>
    <n v="7000"/>
    <n v="70000"/>
    <n v="18900"/>
    <n v="0.2125984251968504"/>
  </r>
  <r>
    <x v="251"/>
    <s v="ORD-03522"/>
    <x v="3"/>
    <x v="0"/>
    <x v="33"/>
    <x v="7"/>
    <x v="2"/>
    <n v="10"/>
    <n v="8890"/>
    <n v="88900"/>
    <n v="7000"/>
    <n v="70000"/>
    <n v="18900"/>
    <n v="0.2125984251968504"/>
  </r>
  <r>
    <x v="251"/>
    <s v="ORD-03523"/>
    <x v="1"/>
    <x v="3"/>
    <x v="126"/>
    <x v="5"/>
    <x v="3"/>
    <n v="4"/>
    <n v="774"/>
    <n v="3096"/>
    <n v="600"/>
    <n v="2400"/>
    <n v="696"/>
    <n v="0.22480620155038761"/>
  </r>
  <r>
    <x v="251"/>
    <s v="ORD-03524"/>
    <x v="3"/>
    <x v="3"/>
    <x v="123"/>
    <x v="2"/>
    <x v="1"/>
    <n v="5"/>
    <n v="49020"/>
    <n v="245100"/>
    <n v="38000"/>
    <n v="190000"/>
    <n v="55100"/>
    <n v="0.22480620155038761"/>
  </r>
  <r>
    <x v="251"/>
    <s v="ORD-03525"/>
    <x v="3"/>
    <x v="4"/>
    <x v="105"/>
    <x v="4"/>
    <x v="2"/>
    <n v="9"/>
    <n v="12325"/>
    <n v="110925"/>
    <n v="8500"/>
    <n v="76500"/>
    <n v="34425"/>
    <n v="0.31034482758620691"/>
  </r>
  <r>
    <x v="251"/>
    <s v="ORD-03526"/>
    <x v="1"/>
    <x v="4"/>
    <x v="133"/>
    <x v="4"/>
    <x v="2"/>
    <n v="7"/>
    <n v="11220"/>
    <n v="78540"/>
    <n v="8500"/>
    <n v="59500"/>
    <n v="19040"/>
    <n v="0.24242424242424243"/>
  </r>
  <r>
    <x v="252"/>
    <s v="ORD-03527"/>
    <x v="2"/>
    <x v="4"/>
    <x v="66"/>
    <x v="0"/>
    <x v="0"/>
    <n v="6"/>
    <n v="3968"/>
    <n v="23808"/>
    <n v="3200"/>
    <n v="19200"/>
    <n v="4608"/>
    <n v="0.19354838709677419"/>
  </r>
  <r>
    <x v="252"/>
    <s v="ORD-03528"/>
    <x v="3"/>
    <x v="3"/>
    <x v="41"/>
    <x v="1"/>
    <x v="1"/>
    <n v="6"/>
    <n v="57600"/>
    <n v="345600"/>
    <n v="45000"/>
    <n v="270000"/>
    <n v="75600"/>
    <n v="0.21875"/>
  </r>
  <r>
    <x v="252"/>
    <s v="ORD-03529"/>
    <x v="2"/>
    <x v="0"/>
    <x v="147"/>
    <x v="2"/>
    <x v="1"/>
    <n v="10"/>
    <n v="47880"/>
    <n v="478800"/>
    <n v="38000"/>
    <n v="380000"/>
    <n v="98800"/>
    <n v="0.20634920634920634"/>
  </r>
  <r>
    <x v="252"/>
    <s v="ORD-03530"/>
    <x v="1"/>
    <x v="5"/>
    <x v="3"/>
    <x v="5"/>
    <x v="3"/>
    <n v="8"/>
    <n v="756"/>
    <n v="6048"/>
    <n v="600"/>
    <n v="4800"/>
    <n v="1248"/>
    <n v="0.20634920634920634"/>
  </r>
  <r>
    <x v="252"/>
    <s v="ORD-03531"/>
    <x v="1"/>
    <x v="1"/>
    <x v="63"/>
    <x v="6"/>
    <x v="3"/>
    <n v="2"/>
    <n v="1134"/>
    <n v="2268"/>
    <n v="900"/>
    <n v="1800"/>
    <n v="468"/>
    <n v="0.20634920634920634"/>
  </r>
  <r>
    <x v="252"/>
    <s v="ORD-03532"/>
    <x v="0"/>
    <x v="5"/>
    <x v="82"/>
    <x v="2"/>
    <x v="1"/>
    <n v="3"/>
    <n v="52060.000000000007"/>
    <n v="156180.00000000003"/>
    <n v="38000"/>
    <n v="114000"/>
    <n v="42180.000000000029"/>
    <n v="0.27007299270073004"/>
  </r>
  <r>
    <x v="252"/>
    <s v="ORD-03533"/>
    <x v="1"/>
    <x v="1"/>
    <x v="105"/>
    <x v="4"/>
    <x v="2"/>
    <n v="10"/>
    <n v="10880"/>
    <n v="108800"/>
    <n v="8500"/>
    <n v="85000"/>
    <n v="23800"/>
    <n v="0.21875"/>
  </r>
  <r>
    <x v="252"/>
    <s v="ORD-03534"/>
    <x v="3"/>
    <x v="2"/>
    <x v="4"/>
    <x v="6"/>
    <x v="3"/>
    <n v="2"/>
    <n v="1233"/>
    <n v="2466"/>
    <n v="900"/>
    <n v="1800"/>
    <n v="666"/>
    <n v="0.27007299270072993"/>
  </r>
  <r>
    <x v="252"/>
    <s v="ORD-03535"/>
    <x v="3"/>
    <x v="3"/>
    <x v="102"/>
    <x v="7"/>
    <x v="2"/>
    <n v="7"/>
    <n v="9170"/>
    <n v="64190"/>
    <n v="7000"/>
    <n v="49000"/>
    <n v="15190"/>
    <n v="0.23664122137404581"/>
  </r>
  <r>
    <x v="252"/>
    <s v="ORD-03536"/>
    <x v="3"/>
    <x v="1"/>
    <x v="79"/>
    <x v="5"/>
    <x v="3"/>
    <n v="4"/>
    <n v="780"/>
    <n v="3120"/>
    <n v="600"/>
    <n v="2400"/>
    <n v="720"/>
    <n v="0.23076923076923078"/>
  </r>
  <r>
    <x v="252"/>
    <s v="ORD-03537"/>
    <x v="1"/>
    <x v="1"/>
    <x v="31"/>
    <x v="0"/>
    <x v="0"/>
    <n v="8"/>
    <n v="4288"/>
    <n v="34304"/>
    <n v="3200"/>
    <n v="25600"/>
    <n v="8704"/>
    <n v="0.2537313432835821"/>
  </r>
  <r>
    <x v="252"/>
    <s v="ORD-03538"/>
    <x v="0"/>
    <x v="2"/>
    <x v="80"/>
    <x v="6"/>
    <x v="3"/>
    <n v="10"/>
    <n v="1278"/>
    <n v="12780"/>
    <n v="900"/>
    <n v="9000"/>
    <n v="3780"/>
    <n v="0.29577464788732394"/>
  </r>
  <r>
    <x v="252"/>
    <s v="ORD-03539"/>
    <x v="2"/>
    <x v="1"/>
    <x v="86"/>
    <x v="2"/>
    <x v="1"/>
    <n v="1"/>
    <n v="48260"/>
    <n v="48260"/>
    <n v="38000"/>
    <n v="38000"/>
    <n v="10260"/>
    <n v="0.2125984251968504"/>
  </r>
  <r>
    <x v="252"/>
    <s v="ORD-03540"/>
    <x v="2"/>
    <x v="2"/>
    <x v="28"/>
    <x v="1"/>
    <x v="1"/>
    <n v="1"/>
    <n v="57150"/>
    <n v="57150"/>
    <n v="45000"/>
    <n v="45000"/>
    <n v="12150"/>
    <n v="0.2125984251968504"/>
  </r>
  <r>
    <x v="253"/>
    <s v="ORD-03541"/>
    <x v="2"/>
    <x v="1"/>
    <x v="55"/>
    <x v="7"/>
    <x v="2"/>
    <n v="1"/>
    <n v="10150"/>
    <n v="10150"/>
    <n v="7000"/>
    <n v="7000"/>
    <n v="3150"/>
    <n v="0.31034482758620691"/>
  </r>
  <r>
    <x v="253"/>
    <s v="ORD-03542"/>
    <x v="2"/>
    <x v="0"/>
    <x v="89"/>
    <x v="2"/>
    <x v="1"/>
    <n v="10"/>
    <n v="47120"/>
    <n v="471200"/>
    <n v="38000"/>
    <n v="380000"/>
    <n v="91200"/>
    <n v="0.19354838709677419"/>
  </r>
  <r>
    <x v="253"/>
    <s v="ORD-03543"/>
    <x v="3"/>
    <x v="2"/>
    <x v="74"/>
    <x v="1"/>
    <x v="1"/>
    <n v="6"/>
    <n v="64800"/>
    <n v="388800"/>
    <n v="45000"/>
    <n v="270000"/>
    <n v="118800"/>
    <n v="0.30555555555555558"/>
  </r>
  <r>
    <x v="253"/>
    <s v="ORD-03544"/>
    <x v="1"/>
    <x v="4"/>
    <x v="113"/>
    <x v="0"/>
    <x v="0"/>
    <n v="1"/>
    <n v="4192"/>
    <n v="4192"/>
    <n v="3200"/>
    <n v="3200"/>
    <n v="992"/>
    <n v="0.23664122137404581"/>
  </r>
  <r>
    <x v="253"/>
    <s v="ORD-03545"/>
    <x v="1"/>
    <x v="0"/>
    <x v="24"/>
    <x v="4"/>
    <x v="2"/>
    <n v="9"/>
    <n v="11135"/>
    <n v="100215"/>
    <n v="8500"/>
    <n v="76500"/>
    <n v="23715"/>
    <n v="0.23664122137404581"/>
  </r>
  <r>
    <x v="253"/>
    <s v="ORD-03546"/>
    <x v="1"/>
    <x v="2"/>
    <x v="2"/>
    <x v="5"/>
    <x v="3"/>
    <n v="4"/>
    <n v="870"/>
    <n v="3480"/>
    <n v="600"/>
    <n v="2400"/>
    <n v="1080"/>
    <n v="0.31034482758620691"/>
  </r>
  <r>
    <x v="253"/>
    <s v="ORD-03547"/>
    <x v="2"/>
    <x v="3"/>
    <x v="14"/>
    <x v="3"/>
    <x v="0"/>
    <n v="10"/>
    <n v="3175"/>
    <n v="31750"/>
    <n v="2500"/>
    <n v="25000"/>
    <n v="6750"/>
    <n v="0.2125984251968504"/>
  </r>
  <r>
    <x v="253"/>
    <s v="ORD-03548"/>
    <x v="3"/>
    <x v="0"/>
    <x v="13"/>
    <x v="2"/>
    <x v="1"/>
    <n v="1"/>
    <n v="46360"/>
    <n v="46360"/>
    <n v="38000"/>
    <n v="38000"/>
    <n v="8360"/>
    <n v="0.18032786885245902"/>
  </r>
  <r>
    <x v="253"/>
    <s v="ORD-03549"/>
    <x v="0"/>
    <x v="1"/>
    <x v="69"/>
    <x v="5"/>
    <x v="3"/>
    <n v="7"/>
    <n v="732"/>
    <n v="5124"/>
    <n v="600"/>
    <n v="4200"/>
    <n v="924"/>
    <n v="0.18032786885245902"/>
  </r>
  <r>
    <x v="253"/>
    <s v="ORD-03550"/>
    <x v="2"/>
    <x v="2"/>
    <x v="74"/>
    <x v="5"/>
    <x v="3"/>
    <n v="7"/>
    <n v="756"/>
    <n v="5292"/>
    <n v="600"/>
    <n v="4200"/>
    <n v="1092"/>
    <n v="0.20634920634920634"/>
  </r>
  <r>
    <x v="253"/>
    <s v="ORD-03551"/>
    <x v="0"/>
    <x v="2"/>
    <x v="3"/>
    <x v="5"/>
    <x v="3"/>
    <n v="1"/>
    <n v="810"/>
    <n v="810"/>
    <n v="600"/>
    <n v="600"/>
    <n v="210"/>
    <n v="0.25925925925925924"/>
  </r>
  <r>
    <x v="253"/>
    <s v="ORD-03552"/>
    <x v="1"/>
    <x v="5"/>
    <x v="100"/>
    <x v="5"/>
    <x v="3"/>
    <n v="9"/>
    <n v="804"/>
    <n v="7236"/>
    <n v="600"/>
    <n v="5400"/>
    <n v="1836"/>
    <n v="0.2537313432835821"/>
  </r>
  <r>
    <x v="253"/>
    <s v="ORD-03553"/>
    <x v="2"/>
    <x v="4"/>
    <x v="37"/>
    <x v="5"/>
    <x v="3"/>
    <n v="8"/>
    <n v="774"/>
    <n v="6192"/>
    <n v="600"/>
    <n v="4800"/>
    <n v="1392"/>
    <n v="0.22480620155038761"/>
  </r>
  <r>
    <x v="253"/>
    <s v="ORD-03554"/>
    <x v="2"/>
    <x v="5"/>
    <x v="56"/>
    <x v="3"/>
    <x v="0"/>
    <n v="6"/>
    <n v="3550"/>
    <n v="21300"/>
    <n v="2500"/>
    <n v="15000"/>
    <n v="6300"/>
    <n v="0.29577464788732394"/>
  </r>
  <r>
    <x v="254"/>
    <s v="ORD-03555"/>
    <x v="0"/>
    <x v="1"/>
    <x v="26"/>
    <x v="2"/>
    <x v="1"/>
    <n v="2"/>
    <n v="47500"/>
    <n v="95000"/>
    <n v="38000"/>
    <n v="76000"/>
    <n v="19000"/>
    <n v="0.2"/>
  </r>
  <r>
    <x v="254"/>
    <s v="ORD-03556"/>
    <x v="2"/>
    <x v="3"/>
    <x v="100"/>
    <x v="5"/>
    <x v="3"/>
    <n v="4"/>
    <n v="762"/>
    <n v="3048"/>
    <n v="600"/>
    <n v="2400"/>
    <n v="648"/>
    <n v="0.2125984251968504"/>
  </r>
  <r>
    <x v="254"/>
    <s v="ORD-03557"/>
    <x v="0"/>
    <x v="3"/>
    <x v="93"/>
    <x v="1"/>
    <x v="1"/>
    <n v="10"/>
    <n v="54450"/>
    <n v="544500"/>
    <n v="45000"/>
    <n v="450000"/>
    <n v="94500"/>
    <n v="0.17355371900826447"/>
  </r>
  <r>
    <x v="254"/>
    <s v="ORD-03558"/>
    <x v="3"/>
    <x v="4"/>
    <x v="88"/>
    <x v="1"/>
    <x v="1"/>
    <n v="2"/>
    <n v="65250"/>
    <n v="130500"/>
    <n v="45000"/>
    <n v="90000"/>
    <n v="40500"/>
    <n v="0.31034482758620691"/>
  </r>
  <r>
    <x v="254"/>
    <s v="ORD-03559"/>
    <x v="1"/>
    <x v="1"/>
    <x v="46"/>
    <x v="1"/>
    <x v="1"/>
    <n v="6"/>
    <n v="55350"/>
    <n v="332100"/>
    <n v="45000"/>
    <n v="270000"/>
    <n v="62100"/>
    <n v="0.18699186991869918"/>
  </r>
  <r>
    <x v="254"/>
    <s v="ORD-03560"/>
    <x v="0"/>
    <x v="3"/>
    <x v="129"/>
    <x v="2"/>
    <x v="1"/>
    <n v="3"/>
    <n v="53960"/>
    <n v="161880"/>
    <n v="38000"/>
    <n v="114000"/>
    <n v="47880"/>
    <n v="0.29577464788732394"/>
  </r>
  <r>
    <x v="254"/>
    <s v="ORD-03561"/>
    <x v="2"/>
    <x v="3"/>
    <x v="140"/>
    <x v="3"/>
    <x v="0"/>
    <n v="3"/>
    <n v="3550"/>
    <n v="10650"/>
    <n v="2500"/>
    <n v="7500"/>
    <n v="3150"/>
    <n v="0.29577464788732394"/>
  </r>
  <r>
    <x v="254"/>
    <s v="ORD-03562"/>
    <x v="1"/>
    <x v="5"/>
    <x v="129"/>
    <x v="2"/>
    <x v="1"/>
    <n v="5"/>
    <n v="52820.000000000007"/>
    <n v="264100.00000000006"/>
    <n v="38000"/>
    <n v="190000"/>
    <n v="74100.000000000058"/>
    <n v="0.28057553956834547"/>
  </r>
  <r>
    <x v="254"/>
    <s v="ORD-03563"/>
    <x v="3"/>
    <x v="1"/>
    <x v="7"/>
    <x v="7"/>
    <x v="2"/>
    <n v="1"/>
    <n v="9310"/>
    <n v="9310"/>
    <n v="7000"/>
    <n v="7000"/>
    <n v="2310"/>
    <n v="0.24812030075187969"/>
  </r>
  <r>
    <x v="254"/>
    <s v="ORD-03564"/>
    <x v="3"/>
    <x v="3"/>
    <x v="97"/>
    <x v="0"/>
    <x v="0"/>
    <n v="1"/>
    <n v="4544"/>
    <n v="4544"/>
    <n v="3200"/>
    <n v="3200"/>
    <n v="1344"/>
    <n v="0.29577464788732394"/>
  </r>
  <r>
    <x v="254"/>
    <s v="ORD-03565"/>
    <x v="0"/>
    <x v="4"/>
    <x v="77"/>
    <x v="3"/>
    <x v="0"/>
    <n v="3"/>
    <n v="3525"/>
    <n v="10575"/>
    <n v="2500"/>
    <n v="7500"/>
    <n v="3075"/>
    <n v="0.29078014184397161"/>
  </r>
  <r>
    <x v="254"/>
    <s v="ORD-03566"/>
    <x v="0"/>
    <x v="4"/>
    <x v="35"/>
    <x v="5"/>
    <x v="3"/>
    <n v="2"/>
    <n v="780"/>
    <n v="1560"/>
    <n v="600"/>
    <n v="1200"/>
    <n v="360"/>
    <n v="0.23076923076923078"/>
  </r>
  <r>
    <x v="254"/>
    <s v="ORD-03567"/>
    <x v="0"/>
    <x v="3"/>
    <x v="109"/>
    <x v="6"/>
    <x v="3"/>
    <n v="8"/>
    <n v="1260"/>
    <n v="10080"/>
    <n v="900"/>
    <n v="7200"/>
    <n v="2880"/>
    <n v="0.2857142857142857"/>
  </r>
  <r>
    <x v="254"/>
    <s v="ORD-03568"/>
    <x v="3"/>
    <x v="5"/>
    <x v="21"/>
    <x v="3"/>
    <x v="0"/>
    <n v="5"/>
    <n v="3525"/>
    <n v="17625"/>
    <n v="2500"/>
    <n v="12500"/>
    <n v="5125"/>
    <n v="0.29078014184397161"/>
  </r>
  <r>
    <x v="255"/>
    <s v="ORD-03569"/>
    <x v="3"/>
    <x v="4"/>
    <x v="40"/>
    <x v="0"/>
    <x v="0"/>
    <n v="1"/>
    <n v="4032"/>
    <n v="4032"/>
    <n v="3200"/>
    <n v="3200"/>
    <n v="832"/>
    <n v="0.20634920634920634"/>
  </r>
  <r>
    <x v="255"/>
    <s v="ORD-03570"/>
    <x v="2"/>
    <x v="4"/>
    <x v="86"/>
    <x v="0"/>
    <x v="0"/>
    <n v="1"/>
    <n v="3968"/>
    <n v="3968"/>
    <n v="3200"/>
    <n v="3200"/>
    <n v="768"/>
    <n v="0.19354838709677419"/>
  </r>
  <r>
    <x v="255"/>
    <s v="ORD-03571"/>
    <x v="3"/>
    <x v="3"/>
    <x v="105"/>
    <x v="1"/>
    <x v="1"/>
    <n v="1"/>
    <n v="55800"/>
    <n v="55800"/>
    <n v="45000"/>
    <n v="45000"/>
    <n v="10800"/>
    <n v="0.19354838709677419"/>
  </r>
  <r>
    <x v="255"/>
    <s v="ORD-03572"/>
    <x v="2"/>
    <x v="2"/>
    <x v="21"/>
    <x v="0"/>
    <x v="0"/>
    <n v="1"/>
    <n v="3872"/>
    <n v="3872"/>
    <n v="3200"/>
    <n v="3200"/>
    <n v="672"/>
    <n v="0.17355371900826447"/>
  </r>
  <r>
    <x v="255"/>
    <s v="ORD-03573"/>
    <x v="0"/>
    <x v="5"/>
    <x v="91"/>
    <x v="6"/>
    <x v="3"/>
    <n v="8"/>
    <n v="1125"/>
    <n v="9000"/>
    <n v="900"/>
    <n v="7200"/>
    <n v="1800"/>
    <n v="0.2"/>
  </r>
  <r>
    <x v="255"/>
    <s v="ORD-03574"/>
    <x v="0"/>
    <x v="3"/>
    <x v="106"/>
    <x v="0"/>
    <x v="0"/>
    <n v="10"/>
    <n v="4608"/>
    <n v="46080"/>
    <n v="3200"/>
    <n v="32000"/>
    <n v="14080"/>
    <n v="0.30555555555555558"/>
  </r>
  <r>
    <x v="255"/>
    <s v="ORD-03575"/>
    <x v="2"/>
    <x v="0"/>
    <x v="73"/>
    <x v="0"/>
    <x v="0"/>
    <n v="1"/>
    <n v="4352"/>
    <n v="4352"/>
    <n v="3200"/>
    <n v="3200"/>
    <n v="1152"/>
    <n v="0.26470588235294118"/>
  </r>
  <r>
    <x v="255"/>
    <s v="ORD-03576"/>
    <x v="2"/>
    <x v="3"/>
    <x v="13"/>
    <x v="0"/>
    <x v="0"/>
    <n v="3"/>
    <n v="4608"/>
    <n v="13824"/>
    <n v="3200"/>
    <n v="9600"/>
    <n v="4224"/>
    <n v="0.30555555555555558"/>
  </r>
  <r>
    <x v="255"/>
    <s v="ORD-03577"/>
    <x v="2"/>
    <x v="3"/>
    <x v="140"/>
    <x v="4"/>
    <x v="2"/>
    <n v="3"/>
    <n v="10880"/>
    <n v="32640"/>
    <n v="8500"/>
    <n v="25500"/>
    <n v="7140"/>
    <n v="0.21875"/>
  </r>
  <r>
    <x v="255"/>
    <s v="ORD-03578"/>
    <x v="2"/>
    <x v="1"/>
    <x v="83"/>
    <x v="0"/>
    <x v="0"/>
    <n v="4"/>
    <n v="4192"/>
    <n v="16768"/>
    <n v="3200"/>
    <n v="12800"/>
    <n v="3968"/>
    <n v="0.23664122137404581"/>
  </r>
  <r>
    <x v="255"/>
    <s v="ORD-03579"/>
    <x v="2"/>
    <x v="3"/>
    <x v="80"/>
    <x v="3"/>
    <x v="0"/>
    <n v="1"/>
    <n v="3000"/>
    <n v="3000"/>
    <n v="2500"/>
    <n v="2500"/>
    <n v="500"/>
    <n v="0.16666666666666666"/>
  </r>
  <r>
    <x v="255"/>
    <s v="ORD-03580"/>
    <x v="0"/>
    <x v="5"/>
    <x v="28"/>
    <x v="1"/>
    <x v="1"/>
    <n v="4"/>
    <n v="55350"/>
    <n v="221400"/>
    <n v="45000"/>
    <n v="180000"/>
    <n v="41400"/>
    <n v="0.18699186991869918"/>
  </r>
  <r>
    <x v="255"/>
    <s v="ORD-03581"/>
    <x v="2"/>
    <x v="3"/>
    <x v="108"/>
    <x v="4"/>
    <x v="2"/>
    <n v="10"/>
    <n v="11305"/>
    <n v="113050"/>
    <n v="8500"/>
    <n v="85000"/>
    <n v="28050"/>
    <n v="0.24812030075187969"/>
  </r>
  <r>
    <x v="255"/>
    <s v="ORD-03582"/>
    <x v="3"/>
    <x v="2"/>
    <x v="96"/>
    <x v="3"/>
    <x v="0"/>
    <n v="5"/>
    <n v="3575"/>
    <n v="17875"/>
    <n v="2500"/>
    <n v="12500"/>
    <n v="5375"/>
    <n v="0.30069930069930068"/>
  </r>
  <r>
    <x v="256"/>
    <s v="ORD-03583"/>
    <x v="3"/>
    <x v="5"/>
    <x v="63"/>
    <x v="6"/>
    <x v="3"/>
    <n v="3"/>
    <n v="1179"/>
    <n v="3537"/>
    <n v="900"/>
    <n v="2700"/>
    <n v="837"/>
    <n v="0.23664122137404581"/>
  </r>
  <r>
    <x v="256"/>
    <s v="ORD-03584"/>
    <x v="2"/>
    <x v="3"/>
    <x v="14"/>
    <x v="2"/>
    <x v="1"/>
    <n v="9"/>
    <n v="47880"/>
    <n v="430920"/>
    <n v="38000"/>
    <n v="342000"/>
    <n v="88920"/>
    <n v="0.20634920634920634"/>
  </r>
  <r>
    <x v="256"/>
    <s v="ORD-03585"/>
    <x v="0"/>
    <x v="0"/>
    <x v="119"/>
    <x v="6"/>
    <x v="3"/>
    <n v="2"/>
    <n v="1161"/>
    <n v="2322"/>
    <n v="900"/>
    <n v="1800"/>
    <n v="522"/>
    <n v="0.22480620155038761"/>
  </r>
  <r>
    <x v="256"/>
    <s v="ORD-03586"/>
    <x v="2"/>
    <x v="3"/>
    <x v="30"/>
    <x v="5"/>
    <x v="3"/>
    <n v="10"/>
    <n v="822.00000000000011"/>
    <n v="8220.0000000000018"/>
    <n v="600"/>
    <n v="6000"/>
    <n v="2220.0000000000018"/>
    <n v="0.2700729927007301"/>
  </r>
  <r>
    <x v="256"/>
    <s v="ORD-03587"/>
    <x v="3"/>
    <x v="1"/>
    <x v="24"/>
    <x v="6"/>
    <x v="3"/>
    <n v="2"/>
    <n v="1269"/>
    <n v="2538"/>
    <n v="900"/>
    <n v="1800"/>
    <n v="738"/>
    <n v="0.29078014184397161"/>
  </r>
  <r>
    <x v="256"/>
    <s v="ORD-03588"/>
    <x v="3"/>
    <x v="5"/>
    <x v="45"/>
    <x v="1"/>
    <x v="1"/>
    <n v="10"/>
    <n v="54000"/>
    <n v="540000"/>
    <n v="45000"/>
    <n v="450000"/>
    <n v="90000"/>
    <n v="0.16666666666666666"/>
  </r>
  <r>
    <x v="256"/>
    <s v="ORD-03589"/>
    <x v="3"/>
    <x v="1"/>
    <x v="144"/>
    <x v="3"/>
    <x v="0"/>
    <n v="5"/>
    <n v="3325"/>
    <n v="16625"/>
    <n v="2500"/>
    <n v="12500"/>
    <n v="4125"/>
    <n v="0.24812030075187969"/>
  </r>
  <r>
    <x v="256"/>
    <s v="ORD-03590"/>
    <x v="2"/>
    <x v="4"/>
    <x v="116"/>
    <x v="6"/>
    <x v="3"/>
    <n v="8"/>
    <n v="1089"/>
    <n v="8712"/>
    <n v="900"/>
    <n v="7200"/>
    <n v="1512"/>
    <n v="0.17355371900826447"/>
  </r>
  <r>
    <x v="256"/>
    <s v="ORD-03591"/>
    <x v="1"/>
    <x v="4"/>
    <x v="35"/>
    <x v="7"/>
    <x v="2"/>
    <n v="9"/>
    <n v="8540"/>
    <n v="76860"/>
    <n v="7000"/>
    <n v="63000"/>
    <n v="13860"/>
    <n v="0.18032786885245902"/>
  </r>
  <r>
    <x v="256"/>
    <s v="ORD-03592"/>
    <x v="1"/>
    <x v="1"/>
    <x v="92"/>
    <x v="1"/>
    <x v="1"/>
    <n v="6"/>
    <n v="54000"/>
    <n v="324000"/>
    <n v="45000"/>
    <n v="270000"/>
    <n v="54000"/>
    <n v="0.16666666666666666"/>
  </r>
  <r>
    <x v="256"/>
    <s v="ORD-03593"/>
    <x v="0"/>
    <x v="2"/>
    <x v="52"/>
    <x v="5"/>
    <x v="3"/>
    <n v="10"/>
    <n v="762"/>
    <n v="7620"/>
    <n v="600"/>
    <n v="6000"/>
    <n v="1620"/>
    <n v="0.2125984251968504"/>
  </r>
  <r>
    <x v="256"/>
    <s v="ORD-03594"/>
    <x v="2"/>
    <x v="1"/>
    <x v="111"/>
    <x v="0"/>
    <x v="0"/>
    <n v="7"/>
    <n v="4064"/>
    <n v="28448"/>
    <n v="3200"/>
    <n v="22400"/>
    <n v="6048"/>
    <n v="0.2125984251968504"/>
  </r>
  <r>
    <x v="256"/>
    <s v="ORD-03595"/>
    <x v="1"/>
    <x v="4"/>
    <x v="53"/>
    <x v="7"/>
    <x v="2"/>
    <n v="10"/>
    <n v="8610"/>
    <n v="86100"/>
    <n v="7000"/>
    <n v="70000"/>
    <n v="16100"/>
    <n v="0.18699186991869918"/>
  </r>
  <r>
    <x v="256"/>
    <s v="ORD-03596"/>
    <x v="1"/>
    <x v="5"/>
    <x v="107"/>
    <x v="3"/>
    <x v="0"/>
    <n v="2"/>
    <n v="3625"/>
    <n v="7250"/>
    <n v="2500"/>
    <n v="5000"/>
    <n v="2250"/>
    <n v="0.31034482758620691"/>
  </r>
  <r>
    <x v="257"/>
    <s v="ORD-03597"/>
    <x v="0"/>
    <x v="0"/>
    <x v="98"/>
    <x v="4"/>
    <x v="2"/>
    <n v="6"/>
    <n v="10455"/>
    <n v="62730"/>
    <n v="8500"/>
    <n v="51000"/>
    <n v="11730"/>
    <n v="0.18699186991869918"/>
  </r>
  <r>
    <x v="257"/>
    <s v="ORD-03598"/>
    <x v="3"/>
    <x v="5"/>
    <x v="43"/>
    <x v="1"/>
    <x v="1"/>
    <n v="7"/>
    <n v="57600"/>
    <n v="403200"/>
    <n v="45000"/>
    <n v="315000"/>
    <n v="88200"/>
    <n v="0.21875"/>
  </r>
  <r>
    <x v="257"/>
    <s v="ORD-03599"/>
    <x v="3"/>
    <x v="4"/>
    <x v="25"/>
    <x v="1"/>
    <x v="1"/>
    <n v="9"/>
    <n v="61199.999999999993"/>
    <n v="550799.99999999988"/>
    <n v="45000"/>
    <n v="405000"/>
    <n v="145799.99999999988"/>
    <n v="0.26470588235294101"/>
  </r>
  <r>
    <x v="257"/>
    <s v="ORD-03600"/>
    <x v="3"/>
    <x v="0"/>
    <x v="102"/>
    <x v="7"/>
    <x v="2"/>
    <n v="7"/>
    <n v="9450"/>
    <n v="66150"/>
    <n v="7000"/>
    <n v="49000"/>
    <n v="17150"/>
    <n v="0.25925925925925924"/>
  </r>
  <r>
    <x v="257"/>
    <s v="ORD-03601"/>
    <x v="2"/>
    <x v="2"/>
    <x v="5"/>
    <x v="6"/>
    <x v="3"/>
    <n v="7"/>
    <n v="1251"/>
    <n v="8757"/>
    <n v="900"/>
    <n v="6300"/>
    <n v="2457"/>
    <n v="0.2805755395683453"/>
  </r>
  <r>
    <x v="257"/>
    <s v="ORD-03602"/>
    <x v="2"/>
    <x v="1"/>
    <x v="122"/>
    <x v="2"/>
    <x v="1"/>
    <n v="8"/>
    <n v="54720"/>
    <n v="437760"/>
    <n v="38000"/>
    <n v="304000"/>
    <n v="133760"/>
    <n v="0.30555555555555558"/>
  </r>
  <r>
    <x v="257"/>
    <s v="ORD-03603"/>
    <x v="0"/>
    <x v="1"/>
    <x v="83"/>
    <x v="0"/>
    <x v="0"/>
    <n v="3"/>
    <n v="3904"/>
    <n v="11712"/>
    <n v="3200"/>
    <n v="9600"/>
    <n v="2112"/>
    <n v="0.18032786885245902"/>
  </r>
  <r>
    <x v="257"/>
    <s v="ORD-03604"/>
    <x v="3"/>
    <x v="2"/>
    <x v="33"/>
    <x v="1"/>
    <x v="1"/>
    <n v="10"/>
    <n v="57150"/>
    <n v="571500"/>
    <n v="45000"/>
    <n v="450000"/>
    <n v="121500"/>
    <n v="0.2125984251968504"/>
  </r>
  <r>
    <x v="257"/>
    <s v="ORD-03605"/>
    <x v="0"/>
    <x v="3"/>
    <x v="29"/>
    <x v="6"/>
    <x v="3"/>
    <n v="4"/>
    <n v="1143"/>
    <n v="4572"/>
    <n v="900"/>
    <n v="3600"/>
    <n v="972"/>
    <n v="0.2125984251968504"/>
  </r>
  <r>
    <x v="257"/>
    <s v="ORD-03606"/>
    <x v="3"/>
    <x v="0"/>
    <x v="19"/>
    <x v="7"/>
    <x v="2"/>
    <n v="4"/>
    <n v="8820"/>
    <n v="35280"/>
    <n v="7000"/>
    <n v="28000"/>
    <n v="7280"/>
    <n v="0.20634920634920634"/>
  </r>
  <r>
    <x v="257"/>
    <s v="ORD-03607"/>
    <x v="2"/>
    <x v="4"/>
    <x v="91"/>
    <x v="1"/>
    <x v="1"/>
    <n v="7"/>
    <n v="62999.999999999993"/>
    <n v="440999.99999999994"/>
    <n v="45000"/>
    <n v="315000"/>
    <n v="125999.99999999994"/>
    <n v="0.28571428571428564"/>
  </r>
  <r>
    <x v="257"/>
    <s v="ORD-03608"/>
    <x v="0"/>
    <x v="5"/>
    <x v="40"/>
    <x v="7"/>
    <x v="2"/>
    <n v="6"/>
    <n v="9310"/>
    <n v="55860"/>
    <n v="7000"/>
    <n v="42000"/>
    <n v="13860"/>
    <n v="0.24812030075187969"/>
  </r>
  <r>
    <x v="257"/>
    <s v="ORD-03609"/>
    <x v="1"/>
    <x v="0"/>
    <x v="148"/>
    <x v="7"/>
    <x v="2"/>
    <n v="9"/>
    <n v="8470"/>
    <n v="76230"/>
    <n v="7000"/>
    <n v="63000"/>
    <n v="13230"/>
    <n v="0.17355371900826447"/>
  </r>
  <r>
    <x v="257"/>
    <s v="ORD-03610"/>
    <x v="1"/>
    <x v="2"/>
    <x v="144"/>
    <x v="4"/>
    <x v="2"/>
    <n v="7"/>
    <n v="11900"/>
    <n v="83300"/>
    <n v="8500"/>
    <n v="59500"/>
    <n v="23800"/>
    <n v="0.2857142857142857"/>
  </r>
  <r>
    <x v="258"/>
    <s v="ORD-03611"/>
    <x v="3"/>
    <x v="0"/>
    <x v="53"/>
    <x v="2"/>
    <x v="1"/>
    <n v="10"/>
    <n v="47880"/>
    <n v="478800"/>
    <n v="38000"/>
    <n v="380000"/>
    <n v="98800"/>
    <n v="0.20634920634920634"/>
  </r>
  <r>
    <x v="258"/>
    <s v="ORD-03612"/>
    <x v="0"/>
    <x v="2"/>
    <x v="138"/>
    <x v="5"/>
    <x v="3"/>
    <n v="7"/>
    <n v="827.99999999999989"/>
    <n v="5795.9999999999991"/>
    <n v="600"/>
    <n v="4200"/>
    <n v="1595.9999999999991"/>
    <n v="0.2753623188405796"/>
  </r>
  <r>
    <x v="258"/>
    <s v="ORD-03613"/>
    <x v="2"/>
    <x v="3"/>
    <x v="146"/>
    <x v="5"/>
    <x v="3"/>
    <n v="5"/>
    <n v="827.99999999999989"/>
    <n v="4139.9999999999991"/>
    <n v="600"/>
    <n v="3000"/>
    <n v="1139.9999999999991"/>
    <n v="0.27536231884057955"/>
  </r>
  <r>
    <x v="258"/>
    <s v="ORD-03614"/>
    <x v="0"/>
    <x v="4"/>
    <x v="4"/>
    <x v="4"/>
    <x v="2"/>
    <n v="7"/>
    <n v="11050"/>
    <n v="77350"/>
    <n v="8500"/>
    <n v="59500"/>
    <n v="17850"/>
    <n v="0.23076923076923078"/>
  </r>
  <r>
    <x v="258"/>
    <s v="ORD-03615"/>
    <x v="3"/>
    <x v="0"/>
    <x v="54"/>
    <x v="1"/>
    <x v="1"/>
    <n v="4"/>
    <n v="60750.000000000007"/>
    <n v="243000.00000000003"/>
    <n v="45000"/>
    <n v="180000"/>
    <n v="63000.000000000029"/>
    <n v="0.25925925925925936"/>
  </r>
  <r>
    <x v="258"/>
    <s v="ORD-03616"/>
    <x v="2"/>
    <x v="4"/>
    <x v="11"/>
    <x v="2"/>
    <x v="1"/>
    <n v="3"/>
    <n v="49400"/>
    <n v="148200"/>
    <n v="38000"/>
    <n v="114000"/>
    <n v="34200"/>
    <n v="0.23076923076923078"/>
  </r>
  <r>
    <x v="258"/>
    <s v="ORD-03617"/>
    <x v="2"/>
    <x v="1"/>
    <x v="89"/>
    <x v="2"/>
    <x v="1"/>
    <n v="1"/>
    <n v="46360"/>
    <n v="46360"/>
    <n v="38000"/>
    <n v="38000"/>
    <n v="8360"/>
    <n v="0.18032786885245902"/>
  </r>
  <r>
    <x v="258"/>
    <s v="ORD-03618"/>
    <x v="0"/>
    <x v="1"/>
    <x v="91"/>
    <x v="4"/>
    <x v="2"/>
    <n v="4"/>
    <n v="11475"/>
    <n v="45900"/>
    <n v="8500"/>
    <n v="34000"/>
    <n v="11900"/>
    <n v="0.25925925925925924"/>
  </r>
  <r>
    <x v="258"/>
    <s v="ORD-03619"/>
    <x v="3"/>
    <x v="0"/>
    <x v="56"/>
    <x v="3"/>
    <x v="0"/>
    <n v="10"/>
    <n v="3449.9999999999995"/>
    <n v="34499.999999999993"/>
    <n v="2500"/>
    <n v="25000"/>
    <n v="9499.9999999999927"/>
    <n v="0.27536231884057955"/>
  </r>
  <r>
    <x v="258"/>
    <s v="ORD-03620"/>
    <x v="2"/>
    <x v="5"/>
    <x v="76"/>
    <x v="3"/>
    <x v="0"/>
    <n v="9"/>
    <n v="3550"/>
    <n v="31950"/>
    <n v="2500"/>
    <n v="22500"/>
    <n v="9450"/>
    <n v="0.29577464788732394"/>
  </r>
  <r>
    <x v="258"/>
    <s v="ORD-03621"/>
    <x v="1"/>
    <x v="1"/>
    <x v="131"/>
    <x v="1"/>
    <x v="1"/>
    <n v="7"/>
    <n v="58050"/>
    <n v="406350"/>
    <n v="45000"/>
    <n v="315000"/>
    <n v="91350"/>
    <n v="0.22480620155038761"/>
  </r>
  <r>
    <x v="258"/>
    <s v="ORD-03622"/>
    <x v="3"/>
    <x v="0"/>
    <x v="89"/>
    <x v="2"/>
    <x v="1"/>
    <n v="1"/>
    <n v="47500"/>
    <n v="47500"/>
    <n v="38000"/>
    <n v="38000"/>
    <n v="9500"/>
    <n v="0.2"/>
  </r>
  <r>
    <x v="258"/>
    <s v="ORD-03623"/>
    <x v="0"/>
    <x v="0"/>
    <x v="34"/>
    <x v="2"/>
    <x v="1"/>
    <n v="7"/>
    <n v="45980"/>
    <n v="321860"/>
    <n v="38000"/>
    <n v="266000"/>
    <n v="55860"/>
    <n v="0.17355371900826447"/>
  </r>
  <r>
    <x v="258"/>
    <s v="ORD-03624"/>
    <x v="1"/>
    <x v="4"/>
    <x v="139"/>
    <x v="6"/>
    <x v="3"/>
    <n v="3"/>
    <n v="1251"/>
    <n v="3753"/>
    <n v="900"/>
    <n v="2700"/>
    <n v="1053"/>
    <n v="0.2805755395683453"/>
  </r>
  <r>
    <x v="259"/>
    <s v="ORD-03625"/>
    <x v="3"/>
    <x v="3"/>
    <x v="134"/>
    <x v="3"/>
    <x v="0"/>
    <n v="1"/>
    <n v="3125"/>
    <n v="3125"/>
    <n v="2500"/>
    <n v="2500"/>
    <n v="625"/>
    <n v="0.2"/>
  </r>
  <r>
    <x v="259"/>
    <s v="ORD-03626"/>
    <x v="0"/>
    <x v="0"/>
    <x v="23"/>
    <x v="4"/>
    <x v="2"/>
    <n v="10"/>
    <n v="11559.999999999998"/>
    <n v="115599.99999999999"/>
    <n v="8500"/>
    <n v="85000"/>
    <n v="30599.999999999985"/>
    <n v="0.26470588235294107"/>
  </r>
  <r>
    <x v="259"/>
    <s v="ORD-03627"/>
    <x v="0"/>
    <x v="3"/>
    <x v="81"/>
    <x v="1"/>
    <x v="1"/>
    <n v="1"/>
    <n v="62099.999999999993"/>
    <n v="62099.999999999993"/>
    <n v="45000"/>
    <n v="45000"/>
    <n v="17099.999999999993"/>
    <n v="0.2753623188405796"/>
  </r>
  <r>
    <x v="259"/>
    <s v="ORD-03628"/>
    <x v="3"/>
    <x v="3"/>
    <x v="24"/>
    <x v="7"/>
    <x v="2"/>
    <n v="10"/>
    <n v="9800"/>
    <n v="98000"/>
    <n v="7000"/>
    <n v="70000"/>
    <n v="28000"/>
    <n v="0.2857142857142857"/>
  </r>
  <r>
    <x v="259"/>
    <s v="ORD-03629"/>
    <x v="2"/>
    <x v="3"/>
    <x v="30"/>
    <x v="3"/>
    <x v="0"/>
    <n v="6"/>
    <n v="3300"/>
    <n v="19800"/>
    <n v="2500"/>
    <n v="15000"/>
    <n v="4800"/>
    <n v="0.24242424242424243"/>
  </r>
  <r>
    <x v="259"/>
    <s v="ORD-03630"/>
    <x v="0"/>
    <x v="0"/>
    <x v="96"/>
    <x v="7"/>
    <x v="2"/>
    <n v="10"/>
    <n v="9170"/>
    <n v="91700"/>
    <n v="7000"/>
    <n v="70000"/>
    <n v="21700"/>
    <n v="0.23664122137404581"/>
  </r>
  <r>
    <x v="259"/>
    <s v="ORD-03631"/>
    <x v="3"/>
    <x v="3"/>
    <x v="34"/>
    <x v="1"/>
    <x v="1"/>
    <n v="2"/>
    <n v="57600"/>
    <n v="115200"/>
    <n v="45000"/>
    <n v="90000"/>
    <n v="25200"/>
    <n v="0.21875"/>
  </r>
  <r>
    <x v="259"/>
    <s v="ORD-03632"/>
    <x v="0"/>
    <x v="3"/>
    <x v="32"/>
    <x v="2"/>
    <x v="1"/>
    <n v="6"/>
    <n v="50160"/>
    <n v="300960"/>
    <n v="38000"/>
    <n v="228000"/>
    <n v="72960"/>
    <n v="0.24242424242424243"/>
  </r>
  <r>
    <x v="259"/>
    <s v="ORD-03633"/>
    <x v="1"/>
    <x v="1"/>
    <x v="147"/>
    <x v="4"/>
    <x v="2"/>
    <n v="9"/>
    <n v="11900"/>
    <n v="107100"/>
    <n v="8500"/>
    <n v="76500"/>
    <n v="30600"/>
    <n v="0.2857142857142857"/>
  </r>
  <r>
    <x v="259"/>
    <s v="ORD-03634"/>
    <x v="3"/>
    <x v="2"/>
    <x v="91"/>
    <x v="1"/>
    <x v="1"/>
    <n v="10"/>
    <n v="62099.999999999993"/>
    <n v="620999.99999999988"/>
    <n v="45000"/>
    <n v="450000"/>
    <n v="170999.99999999988"/>
    <n v="0.2753623188405796"/>
  </r>
  <r>
    <x v="259"/>
    <s v="ORD-03635"/>
    <x v="3"/>
    <x v="5"/>
    <x v="15"/>
    <x v="7"/>
    <x v="2"/>
    <n v="10"/>
    <n v="10150"/>
    <n v="101500"/>
    <n v="7000"/>
    <n v="70000"/>
    <n v="31500"/>
    <n v="0.31034482758620691"/>
  </r>
  <r>
    <x v="259"/>
    <s v="ORD-03636"/>
    <x v="0"/>
    <x v="2"/>
    <x v="67"/>
    <x v="1"/>
    <x v="1"/>
    <n v="1"/>
    <n v="56700"/>
    <n v="56700"/>
    <n v="45000"/>
    <n v="45000"/>
    <n v="11700"/>
    <n v="0.20634920634920634"/>
  </r>
  <r>
    <x v="259"/>
    <s v="ORD-03637"/>
    <x v="3"/>
    <x v="0"/>
    <x v="68"/>
    <x v="2"/>
    <x v="1"/>
    <n v="6"/>
    <n v="55100"/>
    <n v="330600"/>
    <n v="38000"/>
    <n v="228000"/>
    <n v="102600"/>
    <n v="0.31034482758620691"/>
  </r>
  <r>
    <x v="259"/>
    <s v="ORD-03638"/>
    <x v="0"/>
    <x v="4"/>
    <x v="89"/>
    <x v="7"/>
    <x v="2"/>
    <n v="3"/>
    <n v="9800"/>
    <n v="29400"/>
    <n v="7000"/>
    <n v="21000"/>
    <n v="8400"/>
    <n v="0.2857142857142857"/>
  </r>
  <r>
    <x v="260"/>
    <s v="ORD-03639"/>
    <x v="2"/>
    <x v="3"/>
    <x v="84"/>
    <x v="2"/>
    <x v="1"/>
    <n v="1"/>
    <n v="49780"/>
    <n v="49780"/>
    <n v="38000"/>
    <n v="38000"/>
    <n v="11780"/>
    <n v="0.23664122137404581"/>
  </r>
  <r>
    <x v="260"/>
    <s v="ORD-03640"/>
    <x v="1"/>
    <x v="0"/>
    <x v="67"/>
    <x v="4"/>
    <x v="2"/>
    <n v="10"/>
    <n v="11050"/>
    <n v="110500"/>
    <n v="8500"/>
    <n v="85000"/>
    <n v="25500"/>
    <n v="0.23076923076923078"/>
  </r>
  <r>
    <x v="260"/>
    <s v="ORD-03641"/>
    <x v="0"/>
    <x v="0"/>
    <x v="112"/>
    <x v="7"/>
    <x v="2"/>
    <n v="1"/>
    <n v="9100"/>
    <n v="9100"/>
    <n v="7000"/>
    <n v="7000"/>
    <n v="2100"/>
    <n v="0.23076923076923078"/>
  </r>
  <r>
    <x v="260"/>
    <s v="ORD-03642"/>
    <x v="1"/>
    <x v="4"/>
    <x v="39"/>
    <x v="7"/>
    <x v="2"/>
    <n v="5"/>
    <n v="10080"/>
    <n v="50400"/>
    <n v="7000"/>
    <n v="35000"/>
    <n v="15400"/>
    <n v="0.30555555555555558"/>
  </r>
  <r>
    <x v="260"/>
    <s v="ORD-03643"/>
    <x v="0"/>
    <x v="5"/>
    <x v="36"/>
    <x v="1"/>
    <x v="1"/>
    <n v="10"/>
    <n v="59850"/>
    <n v="598500"/>
    <n v="45000"/>
    <n v="450000"/>
    <n v="148500"/>
    <n v="0.24812030075187969"/>
  </r>
  <r>
    <x v="260"/>
    <s v="ORD-03644"/>
    <x v="1"/>
    <x v="0"/>
    <x v="35"/>
    <x v="7"/>
    <x v="2"/>
    <n v="9"/>
    <n v="9800"/>
    <n v="88200"/>
    <n v="7000"/>
    <n v="63000"/>
    <n v="25200"/>
    <n v="0.2857142857142857"/>
  </r>
  <r>
    <x v="260"/>
    <s v="ORD-03645"/>
    <x v="3"/>
    <x v="0"/>
    <x v="68"/>
    <x v="6"/>
    <x v="3"/>
    <n v="10"/>
    <n v="1089"/>
    <n v="10890"/>
    <n v="900"/>
    <n v="9000"/>
    <n v="1890"/>
    <n v="0.17355371900826447"/>
  </r>
  <r>
    <x v="260"/>
    <s v="ORD-03646"/>
    <x v="1"/>
    <x v="0"/>
    <x v="88"/>
    <x v="2"/>
    <x v="1"/>
    <n v="10"/>
    <n v="49400"/>
    <n v="494000"/>
    <n v="38000"/>
    <n v="380000"/>
    <n v="114000"/>
    <n v="0.23076923076923078"/>
  </r>
  <r>
    <x v="260"/>
    <s v="ORD-03647"/>
    <x v="1"/>
    <x v="3"/>
    <x v="87"/>
    <x v="4"/>
    <x v="2"/>
    <n v="1"/>
    <n v="11815.000000000002"/>
    <n v="11815.000000000002"/>
    <n v="8500"/>
    <n v="8500"/>
    <n v="3315.0000000000018"/>
    <n v="0.28057553956834541"/>
  </r>
  <r>
    <x v="260"/>
    <s v="ORD-03648"/>
    <x v="2"/>
    <x v="2"/>
    <x v="62"/>
    <x v="0"/>
    <x v="0"/>
    <n v="8"/>
    <n v="4192"/>
    <n v="33536"/>
    <n v="3200"/>
    <n v="25600"/>
    <n v="7936"/>
    <n v="0.23664122137404581"/>
  </r>
  <r>
    <x v="260"/>
    <s v="ORD-03649"/>
    <x v="0"/>
    <x v="2"/>
    <x v="94"/>
    <x v="4"/>
    <x v="2"/>
    <n v="6"/>
    <n v="11220"/>
    <n v="67320"/>
    <n v="8500"/>
    <n v="51000"/>
    <n v="16320"/>
    <n v="0.24242424242424243"/>
  </r>
  <r>
    <x v="260"/>
    <s v="ORD-03650"/>
    <x v="0"/>
    <x v="5"/>
    <x v="81"/>
    <x v="0"/>
    <x v="0"/>
    <n v="3"/>
    <n v="4192"/>
    <n v="12576"/>
    <n v="3200"/>
    <n v="9600"/>
    <n v="2976"/>
    <n v="0.23664122137404581"/>
  </r>
  <r>
    <x v="260"/>
    <s v="ORD-03651"/>
    <x v="0"/>
    <x v="1"/>
    <x v="48"/>
    <x v="5"/>
    <x v="3"/>
    <n v="2"/>
    <n v="846"/>
    <n v="1692"/>
    <n v="600"/>
    <n v="1200"/>
    <n v="492"/>
    <n v="0.29078014184397161"/>
  </r>
  <r>
    <x v="260"/>
    <s v="ORD-03652"/>
    <x v="3"/>
    <x v="3"/>
    <x v="67"/>
    <x v="5"/>
    <x v="3"/>
    <n v="5"/>
    <n v="732"/>
    <n v="3660"/>
    <n v="600"/>
    <n v="3000"/>
    <n v="660"/>
    <n v="0.18032786885245902"/>
  </r>
  <r>
    <x v="261"/>
    <s v="ORD-03653"/>
    <x v="0"/>
    <x v="1"/>
    <x v="0"/>
    <x v="7"/>
    <x v="2"/>
    <n v="3"/>
    <n v="9030"/>
    <n v="27090"/>
    <n v="7000"/>
    <n v="21000"/>
    <n v="6090"/>
    <n v="0.22480620155038761"/>
  </r>
  <r>
    <x v="261"/>
    <s v="ORD-03654"/>
    <x v="3"/>
    <x v="2"/>
    <x v="95"/>
    <x v="3"/>
    <x v="0"/>
    <n v="2"/>
    <n v="3000"/>
    <n v="6000"/>
    <n v="2500"/>
    <n v="5000"/>
    <n v="1000"/>
    <n v="0.16666666666666666"/>
  </r>
  <r>
    <x v="261"/>
    <s v="ORD-03655"/>
    <x v="0"/>
    <x v="3"/>
    <x v="90"/>
    <x v="0"/>
    <x v="0"/>
    <n v="4"/>
    <n v="4320"/>
    <n v="17280"/>
    <n v="3200"/>
    <n v="12800"/>
    <n v="4480"/>
    <n v="0.25925925925925924"/>
  </r>
  <r>
    <x v="261"/>
    <s v="ORD-03656"/>
    <x v="3"/>
    <x v="4"/>
    <x v="147"/>
    <x v="0"/>
    <x v="0"/>
    <n v="5"/>
    <n v="3904"/>
    <n v="19520"/>
    <n v="3200"/>
    <n v="16000"/>
    <n v="3520"/>
    <n v="0.18032786885245902"/>
  </r>
  <r>
    <x v="261"/>
    <s v="ORD-03657"/>
    <x v="0"/>
    <x v="4"/>
    <x v="45"/>
    <x v="2"/>
    <x v="1"/>
    <n v="8"/>
    <n v="55100"/>
    <n v="440800"/>
    <n v="38000"/>
    <n v="304000"/>
    <n v="136800"/>
    <n v="0.31034482758620691"/>
  </r>
  <r>
    <x v="261"/>
    <s v="ORD-03658"/>
    <x v="2"/>
    <x v="0"/>
    <x v="130"/>
    <x v="5"/>
    <x v="3"/>
    <n v="9"/>
    <n v="720"/>
    <n v="6480"/>
    <n v="600"/>
    <n v="5400"/>
    <n v="1080"/>
    <n v="0.16666666666666666"/>
  </r>
  <r>
    <x v="261"/>
    <s v="ORD-03659"/>
    <x v="2"/>
    <x v="3"/>
    <x v="17"/>
    <x v="0"/>
    <x v="0"/>
    <n v="2"/>
    <n v="4224"/>
    <n v="8448"/>
    <n v="3200"/>
    <n v="6400"/>
    <n v="2048"/>
    <n v="0.24242424242424243"/>
  </r>
  <r>
    <x v="261"/>
    <s v="ORD-03660"/>
    <x v="2"/>
    <x v="5"/>
    <x v="85"/>
    <x v="0"/>
    <x v="0"/>
    <n v="4"/>
    <n v="3872"/>
    <n v="15488"/>
    <n v="3200"/>
    <n v="12800"/>
    <n v="2688"/>
    <n v="0.17355371900826447"/>
  </r>
  <r>
    <x v="261"/>
    <s v="ORD-03661"/>
    <x v="3"/>
    <x v="4"/>
    <x v="54"/>
    <x v="3"/>
    <x v="0"/>
    <n v="9"/>
    <n v="3025"/>
    <n v="27225"/>
    <n v="2500"/>
    <n v="22500"/>
    <n v="4725"/>
    <n v="0.17355371900826447"/>
  </r>
  <r>
    <x v="261"/>
    <s v="ORD-03662"/>
    <x v="0"/>
    <x v="1"/>
    <x v="116"/>
    <x v="6"/>
    <x v="3"/>
    <n v="2"/>
    <n v="1278"/>
    <n v="2556"/>
    <n v="900"/>
    <n v="1800"/>
    <n v="756"/>
    <n v="0.29577464788732394"/>
  </r>
  <r>
    <x v="261"/>
    <s v="ORD-03663"/>
    <x v="1"/>
    <x v="1"/>
    <x v="145"/>
    <x v="1"/>
    <x v="1"/>
    <n v="6"/>
    <n v="64350"/>
    <n v="386100"/>
    <n v="45000"/>
    <n v="270000"/>
    <n v="116100"/>
    <n v="0.30069930069930068"/>
  </r>
  <r>
    <x v="261"/>
    <s v="ORD-03664"/>
    <x v="2"/>
    <x v="4"/>
    <x v="23"/>
    <x v="0"/>
    <x v="0"/>
    <n v="4"/>
    <n v="4448"/>
    <n v="17792"/>
    <n v="3200"/>
    <n v="12800"/>
    <n v="4992"/>
    <n v="0.2805755395683453"/>
  </r>
  <r>
    <x v="261"/>
    <s v="ORD-03665"/>
    <x v="0"/>
    <x v="5"/>
    <x v="121"/>
    <x v="3"/>
    <x v="0"/>
    <n v="10"/>
    <n v="3275"/>
    <n v="32750"/>
    <n v="2500"/>
    <n v="25000"/>
    <n v="7750"/>
    <n v="0.23664122137404581"/>
  </r>
  <r>
    <x v="261"/>
    <s v="ORD-03666"/>
    <x v="2"/>
    <x v="2"/>
    <x v="48"/>
    <x v="2"/>
    <x v="1"/>
    <n v="1"/>
    <n v="51679.999999999993"/>
    <n v="51679.999999999993"/>
    <n v="38000"/>
    <n v="38000"/>
    <n v="13679.999999999993"/>
    <n v="0.26470588235294107"/>
  </r>
  <r>
    <x v="262"/>
    <s v="ORD-03667"/>
    <x v="0"/>
    <x v="1"/>
    <x v="23"/>
    <x v="5"/>
    <x v="3"/>
    <n v="1"/>
    <n v="792"/>
    <n v="792"/>
    <n v="600"/>
    <n v="600"/>
    <n v="192"/>
    <n v="0.24242424242424243"/>
  </r>
  <r>
    <x v="262"/>
    <s v="ORD-03668"/>
    <x v="1"/>
    <x v="4"/>
    <x v="90"/>
    <x v="0"/>
    <x v="0"/>
    <n v="5"/>
    <n v="4288"/>
    <n v="21440"/>
    <n v="3200"/>
    <n v="16000"/>
    <n v="5440"/>
    <n v="0.2537313432835821"/>
  </r>
  <r>
    <x v="262"/>
    <s v="ORD-03669"/>
    <x v="3"/>
    <x v="5"/>
    <x v="145"/>
    <x v="7"/>
    <x v="2"/>
    <n v="6"/>
    <n v="9310"/>
    <n v="55860"/>
    <n v="7000"/>
    <n v="42000"/>
    <n v="13860"/>
    <n v="0.24812030075187969"/>
  </r>
  <r>
    <x v="262"/>
    <s v="ORD-03670"/>
    <x v="2"/>
    <x v="5"/>
    <x v="61"/>
    <x v="1"/>
    <x v="1"/>
    <n v="9"/>
    <n v="59400"/>
    <n v="534600"/>
    <n v="45000"/>
    <n v="405000"/>
    <n v="129600"/>
    <n v="0.24242424242424243"/>
  </r>
  <r>
    <x v="262"/>
    <s v="ORD-03671"/>
    <x v="3"/>
    <x v="5"/>
    <x v="76"/>
    <x v="1"/>
    <x v="1"/>
    <n v="9"/>
    <n v="58500"/>
    <n v="526500"/>
    <n v="45000"/>
    <n v="405000"/>
    <n v="121500"/>
    <n v="0.23076923076923078"/>
  </r>
  <r>
    <x v="262"/>
    <s v="ORD-03672"/>
    <x v="0"/>
    <x v="5"/>
    <x v="43"/>
    <x v="4"/>
    <x v="2"/>
    <n v="1"/>
    <n v="11559.999999999998"/>
    <n v="11559.999999999998"/>
    <n v="8500"/>
    <n v="8500"/>
    <n v="3059.9999999999982"/>
    <n v="0.26470588235294107"/>
  </r>
  <r>
    <x v="262"/>
    <s v="ORD-03673"/>
    <x v="2"/>
    <x v="0"/>
    <x v="116"/>
    <x v="3"/>
    <x v="0"/>
    <n v="7"/>
    <n v="3575"/>
    <n v="25025"/>
    <n v="2500"/>
    <n v="17500"/>
    <n v="7525"/>
    <n v="0.30069930069930068"/>
  </r>
  <r>
    <x v="262"/>
    <s v="ORD-03674"/>
    <x v="2"/>
    <x v="4"/>
    <x v="117"/>
    <x v="7"/>
    <x v="2"/>
    <n v="8"/>
    <n v="8820"/>
    <n v="70560"/>
    <n v="7000"/>
    <n v="56000"/>
    <n v="14560"/>
    <n v="0.20634920634920634"/>
  </r>
  <r>
    <x v="262"/>
    <s v="ORD-03675"/>
    <x v="1"/>
    <x v="5"/>
    <x v="61"/>
    <x v="4"/>
    <x v="2"/>
    <n v="1"/>
    <n v="11220"/>
    <n v="11220"/>
    <n v="8500"/>
    <n v="8500"/>
    <n v="2720"/>
    <n v="0.24242424242424243"/>
  </r>
  <r>
    <x v="262"/>
    <s v="ORD-03676"/>
    <x v="3"/>
    <x v="2"/>
    <x v="118"/>
    <x v="5"/>
    <x v="3"/>
    <n v="2"/>
    <n v="726"/>
    <n v="1452"/>
    <n v="600"/>
    <n v="1200"/>
    <n v="252"/>
    <n v="0.17355371900826447"/>
  </r>
  <r>
    <x v="262"/>
    <s v="ORD-03677"/>
    <x v="2"/>
    <x v="1"/>
    <x v="89"/>
    <x v="2"/>
    <x v="1"/>
    <n v="7"/>
    <n v="50540"/>
    <n v="353780"/>
    <n v="38000"/>
    <n v="266000"/>
    <n v="87780"/>
    <n v="0.24812030075187969"/>
  </r>
  <r>
    <x v="262"/>
    <s v="ORD-03678"/>
    <x v="1"/>
    <x v="1"/>
    <x v="62"/>
    <x v="3"/>
    <x v="0"/>
    <n v="5"/>
    <n v="3300"/>
    <n v="16500"/>
    <n v="2500"/>
    <n v="12500"/>
    <n v="4000"/>
    <n v="0.24242424242424243"/>
  </r>
  <r>
    <x v="262"/>
    <s v="ORD-03679"/>
    <x v="0"/>
    <x v="2"/>
    <x v="94"/>
    <x v="2"/>
    <x v="1"/>
    <n v="7"/>
    <n v="47120"/>
    <n v="329840"/>
    <n v="38000"/>
    <n v="266000"/>
    <n v="63840"/>
    <n v="0.19354838709677419"/>
  </r>
  <r>
    <x v="262"/>
    <s v="ORD-03680"/>
    <x v="1"/>
    <x v="2"/>
    <x v="80"/>
    <x v="4"/>
    <x v="2"/>
    <n v="6"/>
    <n v="12240"/>
    <n v="73440"/>
    <n v="8500"/>
    <n v="51000"/>
    <n v="22440"/>
    <n v="0.30555555555555558"/>
  </r>
  <r>
    <x v="263"/>
    <s v="ORD-03681"/>
    <x v="1"/>
    <x v="0"/>
    <x v="123"/>
    <x v="0"/>
    <x v="0"/>
    <n v="4"/>
    <n v="4416"/>
    <n v="17664"/>
    <n v="3200"/>
    <n v="12800"/>
    <n v="4864"/>
    <n v="0.27536231884057971"/>
  </r>
  <r>
    <x v="263"/>
    <s v="ORD-03682"/>
    <x v="0"/>
    <x v="4"/>
    <x v="48"/>
    <x v="0"/>
    <x v="0"/>
    <n v="3"/>
    <n v="4192"/>
    <n v="12576"/>
    <n v="3200"/>
    <n v="9600"/>
    <n v="2976"/>
    <n v="0.23664122137404581"/>
  </r>
  <r>
    <x v="263"/>
    <s v="ORD-03683"/>
    <x v="0"/>
    <x v="5"/>
    <x v="85"/>
    <x v="5"/>
    <x v="3"/>
    <n v="9"/>
    <n v="720"/>
    <n v="6480"/>
    <n v="600"/>
    <n v="5400"/>
    <n v="1080"/>
    <n v="0.16666666666666666"/>
  </r>
  <r>
    <x v="263"/>
    <s v="ORD-03684"/>
    <x v="0"/>
    <x v="4"/>
    <x v="84"/>
    <x v="2"/>
    <x v="1"/>
    <n v="2"/>
    <n v="47880"/>
    <n v="95760"/>
    <n v="38000"/>
    <n v="76000"/>
    <n v="19760"/>
    <n v="0.20634920634920634"/>
  </r>
  <r>
    <x v="263"/>
    <s v="ORD-03685"/>
    <x v="1"/>
    <x v="5"/>
    <x v="31"/>
    <x v="3"/>
    <x v="0"/>
    <n v="7"/>
    <n v="3200"/>
    <n v="22400"/>
    <n v="2500"/>
    <n v="17500"/>
    <n v="4900"/>
    <n v="0.21875"/>
  </r>
  <r>
    <x v="263"/>
    <s v="ORD-03686"/>
    <x v="2"/>
    <x v="4"/>
    <x v="113"/>
    <x v="5"/>
    <x v="3"/>
    <n v="7"/>
    <n v="810"/>
    <n v="5670"/>
    <n v="600"/>
    <n v="4200"/>
    <n v="1470"/>
    <n v="0.25925925925925924"/>
  </r>
  <r>
    <x v="263"/>
    <s v="ORD-03687"/>
    <x v="1"/>
    <x v="5"/>
    <x v="23"/>
    <x v="6"/>
    <x v="3"/>
    <n v="5"/>
    <n v="1278"/>
    <n v="6390"/>
    <n v="900"/>
    <n v="4500"/>
    <n v="1890"/>
    <n v="0.29577464788732394"/>
  </r>
  <r>
    <x v="263"/>
    <s v="ORD-03688"/>
    <x v="2"/>
    <x v="3"/>
    <x v="78"/>
    <x v="3"/>
    <x v="0"/>
    <n v="5"/>
    <n v="3050"/>
    <n v="15250"/>
    <n v="2500"/>
    <n v="12500"/>
    <n v="2750"/>
    <n v="0.18032786885245902"/>
  </r>
  <r>
    <x v="263"/>
    <s v="ORD-03689"/>
    <x v="1"/>
    <x v="0"/>
    <x v="114"/>
    <x v="1"/>
    <x v="1"/>
    <n v="1"/>
    <n v="62099.999999999993"/>
    <n v="62099.999999999993"/>
    <n v="45000"/>
    <n v="45000"/>
    <n v="17099.999999999993"/>
    <n v="0.2753623188405796"/>
  </r>
  <r>
    <x v="263"/>
    <s v="ORD-03690"/>
    <x v="2"/>
    <x v="2"/>
    <x v="48"/>
    <x v="4"/>
    <x v="2"/>
    <n v="5"/>
    <n v="10965"/>
    <n v="54825"/>
    <n v="8500"/>
    <n v="42500"/>
    <n v="12325"/>
    <n v="0.22480620155038761"/>
  </r>
  <r>
    <x v="263"/>
    <s v="ORD-03691"/>
    <x v="2"/>
    <x v="2"/>
    <x v="65"/>
    <x v="1"/>
    <x v="1"/>
    <n v="2"/>
    <n v="58950"/>
    <n v="117900"/>
    <n v="45000"/>
    <n v="90000"/>
    <n v="27900"/>
    <n v="0.23664122137404581"/>
  </r>
  <r>
    <x v="263"/>
    <s v="ORD-03692"/>
    <x v="2"/>
    <x v="2"/>
    <x v="95"/>
    <x v="1"/>
    <x v="1"/>
    <n v="4"/>
    <n v="57150"/>
    <n v="228600"/>
    <n v="45000"/>
    <n v="180000"/>
    <n v="48600"/>
    <n v="0.2125984251968504"/>
  </r>
  <r>
    <x v="263"/>
    <s v="ORD-03693"/>
    <x v="2"/>
    <x v="2"/>
    <x v="148"/>
    <x v="2"/>
    <x v="1"/>
    <n v="2"/>
    <n v="48640"/>
    <n v="97280"/>
    <n v="38000"/>
    <n v="76000"/>
    <n v="21280"/>
    <n v="0.21875"/>
  </r>
  <r>
    <x v="263"/>
    <s v="ORD-03694"/>
    <x v="2"/>
    <x v="3"/>
    <x v="2"/>
    <x v="3"/>
    <x v="0"/>
    <n v="7"/>
    <n v="3175"/>
    <n v="22225"/>
    <n v="2500"/>
    <n v="17500"/>
    <n v="4725"/>
    <n v="0.2125984251968504"/>
  </r>
  <r>
    <x v="264"/>
    <s v="ORD-03695"/>
    <x v="3"/>
    <x v="5"/>
    <x v="21"/>
    <x v="1"/>
    <x v="1"/>
    <n v="3"/>
    <n v="62999.999999999993"/>
    <n v="188999.99999999997"/>
    <n v="45000"/>
    <n v="135000"/>
    <n v="53999.999999999971"/>
    <n v="0.28571428571428559"/>
  </r>
  <r>
    <x v="264"/>
    <s v="ORD-03696"/>
    <x v="2"/>
    <x v="3"/>
    <x v="6"/>
    <x v="5"/>
    <x v="3"/>
    <n v="9"/>
    <n v="810"/>
    <n v="7290"/>
    <n v="600"/>
    <n v="5400"/>
    <n v="1890"/>
    <n v="0.25925925925925924"/>
  </r>
  <r>
    <x v="264"/>
    <s v="ORD-03697"/>
    <x v="3"/>
    <x v="0"/>
    <x v="113"/>
    <x v="0"/>
    <x v="0"/>
    <n v="2"/>
    <n v="4640"/>
    <n v="9280"/>
    <n v="3200"/>
    <n v="6400"/>
    <n v="2880"/>
    <n v="0.31034482758620691"/>
  </r>
  <r>
    <x v="264"/>
    <s v="ORD-03698"/>
    <x v="1"/>
    <x v="2"/>
    <x v="19"/>
    <x v="0"/>
    <x v="0"/>
    <n v="4"/>
    <n v="4096"/>
    <n v="16384"/>
    <n v="3200"/>
    <n v="12800"/>
    <n v="3584"/>
    <n v="0.21875"/>
  </r>
  <r>
    <x v="264"/>
    <s v="ORD-03699"/>
    <x v="2"/>
    <x v="4"/>
    <x v="60"/>
    <x v="2"/>
    <x v="1"/>
    <n v="8"/>
    <n v="48640"/>
    <n v="389120"/>
    <n v="38000"/>
    <n v="304000"/>
    <n v="85120"/>
    <n v="0.21875"/>
  </r>
  <r>
    <x v="264"/>
    <s v="ORD-03700"/>
    <x v="3"/>
    <x v="3"/>
    <x v="101"/>
    <x v="1"/>
    <x v="1"/>
    <n v="4"/>
    <n v="58500"/>
    <n v="234000"/>
    <n v="45000"/>
    <n v="180000"/>
    <n v="54000"/>
    <n v="0.23076923076923078"/>
  </r>
  <r>
    <x v="264"/>
    <s v="ORD-03701"/>
    <x v="0"/>
    <x v="0"/>
    <x v="123"/>
    <x v="2"/>
    <x v="1"/>
    <n v="9"/>
    <n v="54720"/>
    <n v="492480"/>
    <n v="38000"/>
    <n v="342000"/>
    <n v="150480"/>
    <n v="0.30555555555555558"/>
  </r>
  <r>
    <x v="264"/>
    <s v="ORD-03702"/>
    <x v="0"/>
    <x v="2"/>
    <x v="87"/>
    <x v="2"/>
    <x v="1"/>
    <n v="7"/>
    <n v="45980"/>
    <n v="321860"/>
    <n v="38000"/>
    <n v="266000"/>
    <n v="55860"/>
    <n v="0.17355371900826447"/>
  </r>
  <r>
    <x v="264"/>
    <s v="ORD-03703"/>
    <x v="3"/>
    <x v="4"/>
    <x v="149"/>
    <x v="1"/>
    <x v="1"/>
    <n v="9"/>
    <n v="55350"/>
    <n v="498150"/>
    <n v="45000"/>
    <n v="405000"/>
    <n v="93150"/>
    <n v="0.18699186991869918"/>
  </r>
  <r>
    <x v="264"/>
    <s v="ORD-03704"/>
    <x v="0"/>
    <x v="2"/>
    <x v="47"/>
    <x v="5"/>
    <x v="3"/>
    <n v="10"/>
    <n v="726"/>
    <n v="7260"/>
    <n v="600"/>
    <n v="6000"/>
    <n v="1260"/>
    <n v="0.17355371900826447"/>
  </r>
  <r>
    <x v="264"/>
    <s v="ORD-03705"/>
    <x v="0"/>
    <x v="2"/>
    <x v="113"/>
    <x v="1"/>
    <x v="1"/>
    <n v="9"/>
    <n v="60750.000000000007"/>
    <n v="546750.00000000012"/>
    <n v="45000"/>
    <n v="405000"/>
    <n v="141750.00000000012"/>
    <n v="0.25925925925925941"/>
  </r>
  <r>
    <x v="264"/>
    <s v="ORD-03706"/>
    <x v="2"/>
    <x v="3"/>
    <x v="101"/>
    <x v="2"/>
    <x v="1"/>
    <n v="5"/>
    <n v="48260"/>
    <n v="241300"/>
    <n v="38000"/>
    <n v="190000"/>
    <n v="51300"/>
    <n v="0.2125984251968504"/>
  </r>
  <r>
    <x v="264"/>
    <s v="ORD-03707"/>
    <x v="2"/>
    <x v="2"/>
    <x v="51"/>
    <x v="6"/>
    <x v="3"/>
    <n v="4"/>
    <n v="1206"/>
    <n v="4824"/>
    <n v="900"/>
    <n v="3600"/>
    <n v="1224"/>
    <n v="0.2537313432835821"/>
  </r>
  <r>
    <x v="264"/>
    <s v="ORD-03708"/>
    <x v="3"/>
    <x v="2"/>
    <x v="141"/>
    <x v="2"/>
    <x v="1"/>
    <n v="7"/>
    <n v="50920"/>
    <n v="356440"/>
    <n v="38000"/>
    <n v="266000"/>
    <n v="90440"/>
    <n v="0.2537313432835821"/>
  </r>
  <r>
    <x v="265"/>
    <s v="ORD-03709"/>
    <x v="1"/>
    <x v="2"/>
    <x v="79"/>
    <x v="1"/>
    <x v="1"/>
    <n v="4"/>
    <n v="58500"/>
    <n v="234000"/>
    <n v="45000"/>
    <n v="180000"/>
    <n v="54000"/>
    <n v="0.23076923076923078"/>
  </r>
  <r>
    <x v="265"/>
    <s v="ORD-03710"/>
    <x v="1"/>
    <x v="3"/>
    <x v="87"/>
    <x v="0"/>
    <x v="0"/>
    <n v="2"/>
    <n v="4096"/>
    <n v="8192"/>
    <n v="3200"/>
    <n v="6400"/>
    <n v="1792"/>
    <n v="0.21875"/>
  </r>
  <r>
    <x v="265"/>
    <s v="ORD-03711"/>
    <x v="3"/>
    <x v="1"/>
    <x v="53"/>
    <x v="3"/>
    <x v="0"/>
    <n v="2"/>
    <n v="3550"/>
    <n v="7100"/>
    <n v="2500"/>
    <n v="5000"/>
    <n v="2100"/>
    <n v="0.29577464788732394"/>
  </r>
  <r>
    <x v="265"/>
    <s v="ORD-03712"/>
    <x v="0"/>
    <x v="5"/>
    <x v="76"/>
    <x v="7"/>
    <x v="2"/>
    <n v="5"/>
    <n v="8680"/>
    <n v="43400"/>
    <n v="7000"/>
    <n v="35000"/>
    <n v="8400"/>
    <n v="0.19354838709677419"/>
  </r>
  <r>
    <x v="265"/>
    <s v="ORD-03713"/>
    <x v="0"/>
    <x v="2"/>
    <x v="102"/>
    <x v="0"/>
    <x v="0"/>
    <n v="2"/>
    <n v="4352"/>
    <n v="8704"/>
    <n v="3200"/>
    <n v="6400"/>
    <n v="2304"/>
    <n v="0.26470588235294118"/>
  </r>
  <r>
    <x v="265"/>
    <s v="ORD-03714"/>
    <x v="0"/>
    <x v="2"/>
    <x v="98"/>
    <x v="1"/>
    <x v="1"/>
    <n v="7"/>
    <n v="54900"/>
    <n v="384300"/>
    <n v="45000"/>
    <n v="315000"/>
    <n v="69300"/>
    <n v="0.18032786885245902"/>
  </r>
  <r>
    <x v="265"/>
    <s v="ORD-03715"/>
    <x v="0"/>
    <x v="5"/>
    <x v="46"/>
    <x v="0"/>
    <x v="0"/>
    <n v="8"/>
    <n v="4192"/>
    <n v="33536"/>
    <n v="3200"/>
    <n v="25600"/>
    <n v="7936"/>
    <n v="0.23664122137404581"/>
  </r>
  <r>
    <x v="265"/>
    <s v="ORD-03716"/>
    <x v="3"/>
    <x v="1"/>
    <x v="30"/>
    <x v="5"/>
    <x v="3"/>
    <n v="6"/>
    <n v="738"/>
    <n v="4428"/>
    <n v="600"/>
    <n v="3600"/>
    <n v="828"/>
    <n v="0.18699186991869918"/>
  </r>
  <r>
    <x v="265"/>
    <s v="ORD-03717"/>
    <x v="2"/>
    <x v="0"/>
    <x v="123"/>
    <x v="1"/>
    <x v="1"/>
    <n v="4"/>
    <n v="54450"/>
    <n v="217800"/>
    <n v="45000"/>
    <n v="180000"/>
    <n v="37800"/>
    <n v="0.17355371900826447"/>
  </r>
  <r>
    <x v="265"/>
    <s v="ORD-03718"/>
    <x v="0"/>
    <x v="4"/>
    <x v="28"/>
    <x v="6"/>
    <x v="3"/>
    <n v="3"/>
    <n v="1098"/>
    <n v="3294"/>
    <n v="900"/>
    <n v="2700"/>
    <n v="594"/>
    <n v="0.18032786885245902"/>
  </r>
  <r>
    <x v="265"/>
    <s v="ORD-03719"/>
    <x v="1"/>
    <x v="1"/>
    <x v="78"/>
    <x v="7"/>
    <x v="2"/>
    <n v="4"/>
    <n v="9730"/>
    <n v="38920"/>
    <n v="7000"/>
    <n v="28000"/>
    <n v="10920"/>
    <n v="0.2805755395683453"/>
  </r>
  <r>
    <x v="265"/>
    <s v="ORD-03720"/>
    <x v="1"/>
    <x v="0"/>
    <x v="138"/>
    <x v="3"/>
    <x v="0"/>
    <n v="1"/>
    <n v="3150"/>
    <n v="3150"/>
    <n v="2500"/>
    <n v="2500"/>
    <n v="650"/>
    <n v="0.20634920634920634"/>
  </r>
  <r>
    <x v="265"/>
    <s v="ORD-03721"/>
    <x v="2"/>
    <x v="4"/>
    <x v="110"/>
    <x v="2"/>
    <x v="1"/>
    <n v="5"/>
    <n v="50540"/>
    <n v="252700"/>
    <n v="38000"/>
    <n v="190000"/>
    <n v="62700"/>
    <n v="0.24812030075187969"/>
  </r>
  <r>
    <x v="265"/>
    <s v="ORD-03722"/>
    <x v="3"/>
    <x v="3"/>
    <x v="89"/>
    <x v="2"/>
    <x v="1"/>
    <n v="2"/>
    <n v="46740"/>
    <n v="93480"/>
    <n v="38000"/>
    <n v="76000"/>
    <n v="17480"/>
    <n v="0.18699186991869918"/>
  </r>
  <r>
    <x v="266"/>
    <s v="ORD-03723"/>
    <x v="3"/>
    <x v="5"/>
    <x v="32"/>
    <x v="0"/>
    <x v="0"/>
    <n v="8"/>
    <n v="3904"/>
    <n v="31232"/>
    <n v="3200"/>
    <n v="25600"/>
    <n v="5632"/>
    <n v="0.18032786885245902"/>
  </r>
  <r>
    <x v="266"/>
    <s v="ORD-03724"/>
    <x v="1"/>
    <x v="3"/>
    <x v="81"/>
    <x v="1"/>
    <x v="1"/>
    <n v="4"/>
    <n v="57600"/>
    <n v="230400"/>
    <n v="45000"/>
    <n v="180000"/>
    <n v="50400"/>
    <n v="0.21875"/>
  </r>
  <r>
    <x v="266"/>
    <s v="ORD-03725"/>
    <x v="0"/>
    <x v="3"/>
    <x v="149"/>
    <x v="4"/>
    <x v="2"/>
    <n v="1"/>
    <n v="11390"/>
    <n v="11390"/>
    <n v="8500"/>
    <n v="8500"/>
    <n v="2890"/>
    <n v="0.2537313432835821"/>
  </r>
  <r>
    <x v="266"/>
    <s v="ORD-03726"/>
    <x v="1"/>
    <x v="0"/>
    <x v="140"/>
    <x v="1"/>
    <x v="1"/>
    <n v="9"/>
    <n v="58950"/>
    <n v="530550"/>
    <n v="45000"/>
    <n v="405000"/>
    <n v="125550"/>
    <n v="0.23664122137404581"/>
  </r>
  <r>
    <x v="266"/>
    <s v="ORD-03727"/>
    <x v="1"/>
    <x v="4"/>
    <x v="21"/>
    <x v="2"/>
    <x v="1"/>
    <n v="7"/>
    <n v="53200"/>
    <n v="372400"/>
    <n v="38000"/>
    <n v="266000"/>
    <n v="106400"/>
    <n v="0.2857142857142857"/>
  </r>
  <r>
    <x v="266"/>
    <s v="ORD-03728"/>
    <x v="3"/>
    <x v="4"/>
    <x v="28"/>
    <x v="7"/>
    <x v="2"/>
    <n v="4"/>
    <n v="10080"/>
    <n v="40320"/>
    <n v="7000"/>
    <n v="28000"/>
    <n v="12320"/>
    <n v="0.30555555555555558"/>
  </r>
  <r>
    <x v="266"/>
    <s v="ORD-03729"/>
    <x v="0"/>
    <x v="1"/>
    <x v="142"/>
    <x v="0"/>
    <x v="0"/>
    <n v="9"/>
    <n v="4160"/>
    <n v="37440"/>
    <n v="3200"/>
    <n v="28800"/>
    <n v="8640"/>
    <n v="0.23076923076923078"/>
  </r>
  <r>
    <x v="266"/>
    <s v="ORD-03730"/>
    <x v="1"/>
    <x v="0"/>
    <x v="40"/>
    <x v="4"/>
    <x v="2"/>
    <n v="10"/>
    <n v="10710"/>
    <n v="107100"/>
    <n v="8500"/>
    <n v="85000"/>
    <n v="22100"/>
    <n v="0.20634920634920634"/>
  </r>
  <r>
    <x v="266"/>
    <s v="ORD-03731"/>
    <x v="1"/>
    <x v="1"/>
    <x v="133"/>
    <x v="4"/>
    <x v="2"/>
    <n v="7"/>
    <n v="12325"/>
    <n v="86275"/>
    <n v="8500"/>
    <n v="59500"/>
    <n v="26775"/>
    <n v="0.31034482758620691"/>
  </r>
  <r>
    <x v="266"/>
    <s v="ORD-03732"/>
    <x v="2"/>
    <x v="1"/>
    <x v="75"/>
    <x v="5"/>
    <x v="3"/>
    <n v="8"/>
    <n v="774"/>
    <n v="6192"/>
    <n v="600"/>
    <n v="4800"/>
    <n v="1392"/>
    <n v="0.22480620155038761"/>
  </r>
  <r>
    <x v="266"/>
    <s v="ORD-03733"/>
    <x v="0"/>
    <x v="1"/>
    <x v="146"/>
    <x v="7"/>
    <x v="2"/>
    <n v="4"/>
    <n v="9240"/>
    <n v="36960"/>
    <n v="7000"/>
    <n v="28000"/>
    <n v="8960"/>
    <n v="0.24242424242424243"/>
  </r>
  <r>
    <x v="266"/>
    <s v="ORD-03734"/>
    <x v="0"/>
    <x v="2"/>
    <x v="27"/>
    <x v="7"/>
    <x v="2"/>
    <n v="8"/>
    <n v="8890"/>
    <n v="71120"/>
    <n v="7000"/>
    <n v="56000"/>
    <n v="15120"/>
    <n v="0.2125984251968504"/>
  </r>
  <r>
    <x v="266"/>
    <s v="ORD-03735"/>
    <x v="1"/>
    <x v="1"/>
    <x v="60"/>
    <x v="5"/>
    <x v="3"/>
    <n v="1"/>
    <n v="738"/>
    <n v="738"/>
    <n v="600"/>
    <n v="600"/>
    <n v="138"/>
    <n v="0.18699186991869918"/>
  </r>
  <r>
    <x v="266"/>
    <s v="ORD-03736"/>
    <x v="3"/>
    <x v="5"/>
    <x v="56"/>
    <x v="5"/>
    <x v="3"/>
    <n v="6"/>
    <n v="786"/>
    <n v="4716"/>
    <n v="600"/>
    <n v="3600"/>
    <n v="1116"/>
    <n v="0.23664122137404581"/>
  </r>
  <r>
    <x v="267"/>
    <s v="ORD-03737"/>
    <x v="2"/>
    <x v="5"/>
    <x v="138"/>
    <x v="4"/>
    <x v="2"/>
    <n v="4"/>
    <n v="11220"/>
    <n v="44880"/>
    <n v="8500"/>
    <n v="34000"/>
    <n v="10880"/>
    <n v="0.24242424242424243"/>
  </r>
  <r>
    <x v="267"/>
    <s v="ORD-03738"/>
    <x v="2"/>
    <x v="0"/>
    <x v="139"/>
    <x v="0"/>
    <x v="0"/>
    <n v="1"/>
    <n v="4544"/>
    <n v="4544"/>
    <n v="3200"/>
    <n v="3200"/>
    <n v="1344"/>
    <n v="0.29577464788732394"/>
  </r>
  <r>
    <x v="267"/>
    <s v="ORD-03739"/>
    <x v="0"/>
    <x v="3"/>
    <x v="111"/>
    <x v="3"/>
    <x v="0"/>
    <n v="10"/>
    <n v="3250"/>
    <n v="32500"/>
    <n v="2500"/>
    <n v="25000"/>
    <n v="7500"/>
    <n v="0.23076923076923078"/>
  </r>
  <r>
    <x v="267"/>
    <s v="ORD-03740"/>
    <x v="2"/>
    <x v="5"/>
    <x v="79"/>
    <x v="4"/>
    <x v="2"/>
    <n v="1"/>
    <n v="12070"/>
    <n v="12070"/>
    <n v="8500"/>
    <n v="8500"/>
    <n v="3570"/>
    <n v="0.29577464788732394"/>
  </r>
  <r>
    <x v="267"/>
    <s v="ORD-03741"/>
    <x v="0"/>
    <x v="3"/>
    <x v="16"/>
    <x v="3"/>
    <x v="0"/>
    <n v="7"/>
    <n v="3525"/>
    <n v="24675"/>
    <n v="2500"/>
    <n v="17500"/>
    <n v="7175"/>
    <n v="0.29078014184397161"/>
  </r>
  <r>
    <x v="267"/>
    <s v="ORD-03742"/>
    <x v="3"/>
    <x v="5"/>
    <x v="85"/>
    <x v="0"/>
    <x v="0"/>
    <n v="3"/>
    <n v="4128"/>
    <n v="12384"/>
    <n v="3200"/>
    <n v="9600"/>
    <n v="2784"/>
    <n v="0.22480620155038761"/>
  </r>
  <r>
    <x v="267"/>
    <s v="ORD-03743"/>
    <x v="1"/>
    <x v="2"/>
    <x v="45"/>
    <x v="2"/>
    <x v="1"/>
    <n v="7"/>
    <n v="54720"/>
    <n v="383040"/>
    <n v="38000"/>
    <n v="266000"/>
    <n v="117040"/>
    <n v="0.30555555555555558"/>
  </r>
  <r>
    <x v="267"/>
    <s v="ORD-03744"/>
    <x v="2"/>
    <x v="4"/>
    <x v="14"/>
    <x v="3"/>
    <x v="0"/>
    <n v="2"/>
    <n v="3525"/>
    <n v="7050"/>
    <n v="2500"/>
    <n v="5000"/>
    <n v="2050"/>
    <n v="0.29078014184397161"/>
  </r>
  <r>
    <x v="267"/>
    <s v="ORD-03745"/>
    <x v="1"/>
    <x v="5"/>
    <x v="103"/>
    <x v="6"/>
    <x v="3"/>
    <n v="7"/>
    <n v="1080"/>
    <n v="7560"/>
    <n v="900"/>
    <n v="6300"/>
    <n v="1260"/>
    <n v="0.16666666666666666"/>
  </r>
  <r>
    <x v="267"/>
    <s v="ORD-03746"/>
    <x v="3"/>
    <x v="3"/>
    <x v="135"/>
    <x v="1"/>
    <x v="1"/>
    <n v="2"/>
    <n v="54450"/>
    <n v="108900"/>
    <n v="45000"/>
    <n v="90000"/>
    <n v="18900"/>
    <n v="0.17355371900826447"/>
  </r>
  <r>
    <x v="267"/>
    <s v="ORD-03747"/>
    <x v="3"/>
    <x v="1"/>
    <x v="131"/>
    <x v="4"/>
    <x v="2"/>
    <n v="2"/>
    <n v="11730"/>
    <n v="23460"/>
    <n v="8500"/>
    <n v="17000"/>
    <n v="6460"/>
    <n v="0.27536231884057971"/>
  </r>
  <r>
    <x v="267"/>
    <s v="ORD-03748"/>
    <x v="3"/>
    <x v="5"/>
    <x v="14"/>
    <x v="6"/>
    <x v="3"/>
    <n v="3"/>
    <n v="1224"/>
    <n v="3672"/>
    <n v="900"/>
    <n v="2700"/>
    <n v="972"/>
    <n v="0.26470588235294118"/>
  </r>
  <r>
    <x v="267"/>
    <s v="ORD-03749"/>
    <x v="3"/>
    <x v="1"/>
    <x v="38"/>
    <x v="6"/>
    <x v="3"/>
    <n v="2"/>
    <n v="1161"/>
    <n v="2322"/>
    <n v="900"/>
    <n v="1800"/>
    <n v="522"/>
    <n v="0.22480620155038761"/>
  </r>
  <r>
    <x v="267"/>
    <s v="ORD-03750"/>
    <x v="0"/>
    <x v="4"/>
    <x v="52"/>
    <x v="5"/>
    <x v="3"/>
    <n v="8"/>
    <n v="768"/>
    <n v="6144"/>
    <n v="600"/>
    <n v="4800"/>
    <n v="1344"/>
    <n v="0.21875"/>
  </r>
  <r>
    <x v="268"/>
    <s v="ORD-03751"/>
    <x v="1"/>
    <x v="1"/>
    <x v="59"/>
    <x v="6"/>
    <x v="3"/>
    <n v="1"/>
    <n v="1080"/>
    <n v="1080"/>
    <n v="900"/>
    <n v="900"/>
    <n v="180"/>
    <n v="0.16666666666666666"/>
  </r>
  <r>
    <x v="268"/>
    <s v="ORD-03752"/>
    <x v="2"/>
    <x v="5"/>
    <x v="64"/>
    <x v="1"/>
    <x v="1"/>
    <n v="9"/>
    <n v="63900"/>
    <n v="575100"/>
    <n v="45000"/>
    <n v="405000"/>
    <n v="170100"/>
    <n v="0.29577464788732394"/>
  </r>
  <r>
    <x v="268"/>
    <s v="ORD-03753"/>
    <x v="1"/>
    <x v="4"/>
    <x v="24"/>
    <x v="6"/>
    <x v="3"/>
    <n v="3"/>
    <n v="1134"/>
    <n v="3402"/>
    <n v="900"/>
    <n v="2700"/>
    <n v="702"/>
    <n v="0.20634920634920634"/>
  </r>
  <r>
    <x v="268"/>
    <s v="ORD-03754"/>
    <x v="2"/>
    <x v="2"/>
    <x v="28"/>
    <x v="6"/>
    <x v="3"/>
    <n v="5"/>
    <n v="1116"/>
    <n v="5580"/>
    <n v="900"/>
    <n v="4500"/>
    <n v="1080"/>
    <n v="0.19354838709677419"/>
  </r>
  <r>
    <x v="268"/>
    <s v="ORD-03755"/>
    <x v="0"/>
    <x v="3"/>
    <x v="145"/>
    <x v="5"/>
    <x v="3"/>
    <n v="4"/>
    <n v="870"/>
    <n v="3480"/>
    <n v="600"/>
    <n v="2400"/>
    <n v="1080"/>
    <n v="0.31034482758620691"/>
  </r>
  <r>
    <x v="268"/>
    <s v="ORD-03756"/>
    <x v="2"/>
    <x v="2"/>
    <x v="49"/>
    <x v="1"/>
    <x v="1"/>
    <n v="3"/>
    <n v="55350"/>
    <n v="166050"/>
    <n v="45000"/>
    <n v="135000"/>
    <n v="31050"/>
    <n v="0.18699186991869918"/>
  </r>
  <r>
    <x v="268"/>
    <s v="ORD-03757"/>
    <x v="0"/>
    <x v="0"/>
    <x v="96"/>
    <x v="1"/>
    <x v="1"/>
    <n v="4"/>
    <n v="62999.999999999993"/>
    <n v="251999.99999999997"/>
    <n v="45000"/>
    <n v="180000"/>
    <n v="71999.999999999971"/>
    <n v="0.28571428571428564"/>
  </r>
  <r>
    <x v="268"/>
    <s v="ORD-03758"/>
    <x v="0"/>
    <x v="0"/>
    <x v="124"/>
    <x v="1"/>
    <x v="1"/>
    <n v="3"/>
    <n v="57150"/>
    <n v="171450"/>
    <n v="45000"/>
    <n v="135000"/>
    <n v="36450"/>
    <n v="0.2125984251968504"/>
  </r>
  <r>
    <x v="268"/>
    <s v="ORD-03759"/>
    <x v="0"/>
    <x v="5"/>
    <x v="40"/>
    <x v="3"/>
    <x v="0"/>
    <n v="8"/>
    <n v="3050"/>
    <n v="24400"/>
    <n v="2500"/>
    <n v="20000"/>
    <n v="4400"/>
    <n v="0.18032786885245902"/>
  </r>
  <r>
    <x v="268"/>
    <s v="ORD-03760"/>
    <x v="1"/>
    <x v="2"/>
    <x v="106"/>
    <x v="3"/>
    <x v="0"/>
    <n v="5"/>
    <n v="3325"/>
    <n v="16625"/>
    <n v="2500"/>
    <n v="12500"/>
    <n v="4125"/>
    <n v="0.24812030075187969"/>
  </r>
  <r>
    <x v="268"/>
    <s v="ORD-03761"/>
    <x v="1"/>
    <x v="0"/>
    <x v="90"/>
    <x v="7"/>
    <x v="2"/>
    <n v="5"/>
    <n v="9730"/>
    <n v="48650"/>
    <n v="7000"/>
    <n v="35000"/>
    <n v="13650"/>
    <n v="0.2805755395683453"/>
  </r>
  <r>
    <x v="268"/>
    <s v="ORD-03762"/>
    <x v="0"/>
    <x v="0"/>
    <x v="35"/>
    <x v="0"/>
    <x v="0"/>
    <n v="1"/>
    <n v="4384"/>
    <n v="4384"/>
    <n v="3200"/>
    <n v="3200"/>
    <n v="1184"/>
    <n v="0.27007299270072993"/>
  </r>
  <r>
    <x v="268"/>
    <s v="ORD-03763"/>
    <x v="2"/>
    <x v="0"/>
    <x v="27"/>
    <x v="2"/>
    <x v="1"/>
    <n v="8"/>
    <n v="52060.000000000007"/>
    <n v="416480.00000000006"/>
    <n v="38000"/>
    <n v="304000"/>
    <n v="112480.00000000006"/>
    <n v="0.27007299270073004"/>
  </r>
  <r>
    <x v="268"/>
    <s v="ORD-03764"/>
    <x v="3"/>
    <x v="0"/>
    <x v="51"/>
    <x v="2"/>
    <x v="1"/>
    <n v="1"/>
    <n v="52820.000000000007"/>
    <n v="52820.000000000007"/>
    <n v="38000"/>
    <n v="38000"/>
    <n v="14820.000000000007"/>
    <n v="0.28057553956834541"/>
  </r>
  <r>
    <x v="269"/>
    <s v="ORD-03765"/>
    <x v="1"/>
    <x v="5"/>
    <x v="1"/>
    <x v="1"/>
    <x v="1"/>
    <n v="10"/>
    <n v="59400"/>
    <n v="594000"/>
    <n v="45000"/>
    <n v="450000"/>
    <n v="144000"/>
    <n v="0.24242424242424243"/>
  </r>
  <r>
    <x v="269"/>
    <s v="ORD-03766"/>
    <x v="0"/>
    <x v="0"/>
    <x v="126"/>
    <x v="2"/>
    <x v="1"/>
    <n v="3"/>
    <n v="45980"/>
    <n v="137940"/>
    <n v="38000"/>
    <n v="114000"/>
    <n v="23940"/>
    <n v="0.17355371900826447"/>
  </r>
  <r>
    <x v="269"/>
    <s v="ORD-03767"/>
    <x v="1"/>
    <x v="2"/>
    <x v="87"/>
    <x v="5"/>
    <x v="3"/>
    <n v="9"/>
    <n v="732"/>
    <n v="6588"/>
    <n v="600"/>
    <n v="5400"/>
    <n v="1188"/>
    <n v="0.18032786885245902"/>
  </r>
  <r>
    <x v="269"/>
    <s v="ORD-03768"/>
    <x v="1"/>
    <x v="5"/>
    <x v="92"/>
    <x v="2"/>
    <x v="1"/>
    <n v="6"/>
    <n v="52060.000000000007"/>
    <n v="312360.00000000006"/>
    <n v="38000"/>
    <n v="228000"/>
    <n v="84360.000000000058"/>
    <n v="0.27007299270073004"/>
  </r>
  <r>
    <x v="269"/>
    <s v="ORD-03769"/>
    <x v="3"/>
    <x v="4"/>
    <x v="90"/>
    <x v="4"/>
    <x v="2"/>
    <n v="8"/>
    <n v="11645"/>
    <n v="93160"/>
    <n v="8500"/>
    <n v="68000"/>
    <n v="25160"/>
    <n v="0.27007299270072993"/>
  </r>
  <r>
    <x v="269"/>
    <s v="ORD-03770"/>
    <x v="3"/>
    <x v="4"/>
    <x v="101"/>
    <x v="5"/>
    <x v="3"/>
    <n v="4"/>
    <n v="798"/>
    <n v="3192"/>
    <n v="600"/>
    <n v="2400"/>
    <n v="792"/>
    <n v="0.24812030075187969"/>
  </r>
  <r>
    <x v="269"/>
    <s v="ORD-03771"/>
    <x v="0"/>
    <x v="5"/>
    <x v="70"/>
    <x v="3"/>
    <x v="0"/>
    <n v="9"/>
    <n v="3350"/>
    <n v="30150"/>
    <n v="2500"/>
    <n v="22500"/>
    <n v="7650"/>
    <n v="0.2537313432835821"/>
  </r>
  <r>
    <x v="269"/>
    <s v="ORD-03772"/>
    <x v="1"/>
    <x v="5"/>
    <x v="30"/>
    <x v="1"/>
    <x v="1"/>
    <n v="2"/>
    <n v="63450"/>
    <n v="126900"/>
    <n v="45000"/>
    <n v="90000"/>
    <n v="36900"/>
    <n v="0.29078014184397161"/>
  </r>
  <r>
    <x v="269"/>
    <s v="ORD-03773"/>
    <x v="1"/>
    <x v="0"/>
    <x v="21"/>
    <x v="1"/>
    <x v="1"/>
    <n v="4"/>
    <n v="59400"/>
    <n v="237600"/>
    <n v="45000"/>
    <n v="180000"/>
    <n v="57600"/>
    <n v="0.24242424242424243"/>
  </r>
  <r>
    <x v="269"/>
    <s v="ORD-03774"/>
    <x v="1"/>
    <x v="1"/>
    <x v="147"/>
    <x v="5"/>
    <x v="3"/>
    <n v="10"/>
    <n v="738"/>
    <n v="7380"/>
    <n v="600"/>
    <n v="6000"/>
    <n v="1380"/>
    <n v="0.18699186991869918"/>
  </r>
  <r>
    <x v="269"/>
    <s v="ORD-03775"/>
    <x v="1"/>
    <x v="1"/>
    <x v="82"/>
    <x v="6"/>
    <x v="3"/>
    <n v="6"/>
    <n v="1134"/>
    <n v="6804"/>
    <n v="900"/>
    <n v="5400"/>
    <n v="1404"/>
    <n v="0.20634920634920634"/>
  </r>
  <r>
    <x v="269"/>
    <s v="ORD-03776"/>
    <x v="1"/>
    <x v="3"/>
    <x v="89"/>
    <x v="1"/>
    <x v="1"/>
    <n v="6"/>
    <n v="59400"/>
    <n v="356400"/>
    <n v="45000"/>
    <n v="270000"/>
    <n v="86400"/>
    <n v="0.24242424242424243"/>
  </r>
  <r>
    <x v="269"/>
    <s v="ORD-03777"/>
    <x v="0"/>
    <x v="5"/>
    <x v="48"/>
    <x v="3"/>
    <x v="0"/>
    <n v="9"/>
    <n v="3600"/>
    <n v="32400"/>
    <n v="2500"/>
    <n v="22500"/>
    <n v="9900"/>
    <n v="0.30555555555555558"/>
  </r>
  <r>
    <x v="269"/>
    <s v="ORD-03778"/>
    <x v="3"/>
    <x v="4"/>
    <x v="113"/>
    <x v="0"/>
    <x v="0"/>
    <n v="2"/>
    <n v="4000"/>
    <n v="8000"/>
    <n v="3200"/>
    <n v="6400"/>
    <n v="1600"/>
    <n v="0.2"/>
  </r>
  <r>
    <x v="270"/>
    <s v="ORD-03779"/>
    <x v="0"/>
    <x v="3"/>
    <x v="8"/>
    <x v="5"/>
    <x v="3"/>
    <n v="10"/>
    <n v="798"/>
    <n v="7980"/>
    <n v="600"/>
    <n v="6000"/>
    <n v="1980"/>
    <n v="0.24812030075187969"/>
  </r>
  <r>
    <x v="270"/>
    <s v="ORD-03780"/>
    <x v="1"/>
    <x v="5"/>
    <x v="90"/>
    <x v="5"/>
    <x v="3"/>
    <n v="10"/>
    <n v="786"/>
    <n v="7860"/>
    <n v="600"/>
    <n v="6000"/>
    <n v="1860"/>
    <n v="0.23664122137404581"/>
  </r>
  <r>
    <x v="270"/>
    <s v="ORD-03781"/>
    <x v="2"/>
    <x v="2"/>
    <x v="60"/>
    <x v="0"/>
    <x v="0"/>
    <n v="7"/>
    <n v="4480"/>
    <n v="31360"/>
    <n v="3200"/>
    <n v="22400"/>
    <n v="8960"/>
    <n v="0.2857142857142857"/>
  </r>
  <r>
    <x v="270"/>
    <s v="ORD-03782"/>
    <x v="2"/>
    <x v="3"/>
    <x v="127"/>
    <x v="7"/>
    <x v="2"/>
    <n v="4"/>
    <n v="9870"/>
    <n v="39480"/>
    <n v="7000"/>
    <n v="28000"/>
    <n v="11480"/>
    <n v="0.29078014184397161"/>
  </r>
  <r>
    <x v="270"/>
    <s v="ORD-03783"/>
    <x v="3"/>
    <x v="1"/>
    <x v="40"/>
    <x v="3"/>
    <x v="0"/>
    <n v="10"/>
    <n v="3600"/>
    <n v="36000"/>
    <n v="2500"/>
    <n v="25000"/>
    <n v="11000"/>
    <n v="0.30555555555555558"/>
  </r>
  <r>
    <x v="270"/>
    <s v="ORD-03784"/>
    <x v="1"/>
    <x v="3"/>
    <x v="131"/>
    <x v="1"/>
    <x v="1"/>
    <n v="4"/>
    <n v="58050"/>
    <n v="232200"/>
    <n v="45000"/>
    <n v="180000"/>
    <n v="52200"/>
    <n v="0.22480620155038761"/>
  </r>
  <r>
    <x v="270"/>
    <s v="ORD-03785"/>
    <x v="1"/>
    <x v="3"/>
    <x v="49"/>
    <x v="4"/>
    <x v="2"/>
    <n v="10"/>
    <n v="10710"/>
    <n v="107100"/>
    <n v="8500"/>
    <n v="85000"/>
    <n v="22100"/>
    <n v="0.20634920634920634"/>
  </r>
  <r>
    <x v="270"/>
    <s v="ORD-03786"/>
    <x v="1"/>
    <x v="0"/>
    <x v="66"/>
    <x v="0"/>
    <x v="0"/>
    <n v="3"/>
    <n v="4448"/>
    <n v="13344"/>
    <n v="3200"/>
    <n v="9600"/>
    <n v="3744"/>
    <n v="0.2805755395683453"/>
  </r>
  <r>
    <x v="270"/>
    <s v="ORD-03787"/>
    <x v="3"/>
    <x v="3"/>
    <x v="143"/>
    <x v="0"/>
    <x v="0"/>
    <n v="2"/>
    <n v="4032"/>
    <n v="8064"/>
    <n v="3200"/>
    <n v="6400"/>
    <n v="1664"/>
    <n v="0.20634920634920634"/>
  </r>
  <r>
    <x v="270"/>
    <s v="ORD-03788"/>
    <x v="2"/>
    <x v="2"/>
    <x v="102"/>
    <x v="2"/>
    <x v="1"/>
    <n v="10"/>
    <n v="50540"/>
    <n v="505400"/>
    <n v="38000"/>
    <n v="380000"/>
    <n v="125400"/>
    <n v="0.24812030075187969"/>
  </r>
  <r>
    <x v="270"/>
    <s v="ORD-03789"/>
    <x v="0"/>
    <x v="5"/>
    <x v="136"/>
    <x v="1"/>
    <x v="1"/>
    <n v="7"/>
    <n v="54900"/>
    <n v="384300"/>
    <n v="45000"/>
    <n v="315000"/>
    <n v="69300"/>
    <n v="0.18032786885245902"/>
  </r>
  <r>
    <x v="270"/>
    <s v="ORD-03790"/>
    <x v="1"/>
    <x v="4"/>
    <x v="84"/>
    <x v="2"/>
    <x v="1"/>
    <n v="3"/>
    <n v="46740"/>
    <n v="140220"/>
    <n v="38000"/>
    <n v="114000"/>
    <n v="26220"/>
    <n v="0.18699186991869918"/>
  </r>
  <r>
    <x v="270"/>
    <s v="ORD-03791"/>
    <x v="0"/>
    <x v="4"/>
    <x v="119"/>
    <x v="6"/>
    <x v="3"/>
    <n v="3"/>
    <n v="1260"/>
    <n v="3780"/>
    <n v="900"/>
    <n v="2700"/>
    <n v="1080"/>
    <n v="0.2857142857142857"/>
  </r>
  <r>
    <x v="270"/>
    <s v="ORD-03792"/>
    <x v="1"/>
    <x v="0"/>
    <x v="106"/>
    <x v="7"/>
    <x v="2"/>
    <n v="3"/>
    <n v="9730"/>
    <n v="29190"/>
    <n v="7000"/>
    <n v="21000"/>
    <n v="8190"/>
    <n v="0.2805755395683453"/>
  </r>
  <r>
    <x v="271"/>
    <s v="ORD-03793"/>
    <x v="3"/>
    <x v="4"/>
    <x v="25"/>
    <x v="0"/>
    <x v="0"/>
    <n v="8"/>
    <n v="3936"/>
    <n v="31488"/>
    <n v="3200"/>
    <n v="25600"/>
    <n v="5888"/>
    <n v="0.18699186991869918"/>
  </r>
  <r>
    <x v="271"/>
    <s v="ORD-03794"/>
    <x v="2"/>
    <x v="4"/>
    <x v="134"/>
    <x v="3"/>
    <x v="0"/>
    <n v="2"/>
    <n v="3175"/>
    <n v="6350"/>
    <n v="2500"/>
    <n v="5000"/>
    <n v="1350"/>
    <n v="0.2125984251968504"/>
  </r>
  <r>
    <x v="271"/>
    <s v="ORD-03795"/>
    <x v="1"/>
    <x v="4"/>
    <x v="0"/>
    <x v="5"/>
    <x v="3"/>
    <n v="2"/>
    <n v="792"/>
    <n v="1584"/>
    <n v="600"/>
    <n v="1200"/>
    <n v="384"/>
    <n v="0.24242424242424243"/>
  </r>
  <r>
    <x v="271"/>
    <s v="ORD-03796"/>
    <x v="3"/>
    <x v="4"/>
    <x v="79"/>
    <x v="3"/>
    <x v="0"/>
    <n v="4"/>
    <n v="3150"/>
    <n v="12600"/>
    <n v="2500"/>
    <n v="10000"/>
    <n v="2600"/>
    <n v="0.20634920634920634"/>
  </r>
  <r>
    <x v="271"/>
    <s v="ORD-03797"/>
    <x v="2"/>
    <x v="0"/>
    <x v="41"/>
    <x v="1"/>
    <x v="1"/>
    <n v="6"/>
    <n v="62550.000000000007"/>
    <n v="375300.00000000006"/>
    <n v="45000"/>
    <n v="270000"/>
    <n v="105300.00000000006"/>
    <n v="0.28057553956834541"/>
  </r>
  <r>
    <x v="271"/>
    <s v="ORD-03798"/>
    <x v="1"/>
    <x v="1"/>
    <x v="126"/>
    <x v="7"/>
    <x v="2"/>
    <n v="9"/>
    <n v="9310"/>
    <n v="83790"/>
    <n v="7000"/>
    <n v="63000"/>
    <n v="20790"/>
    <n v="0.24812030075187969"/>
  </r>
  <r>
    <x v="271"/>
    <s v="ORD-03799"/>
    <x v="3"/>
    <x v="5"/>
    <x v="124"/>
    <x v="2"/>
    <x v="1"/>
    <n v="3"/>
    <n v="48640"/>
    <n v="145920"/>
    <n v="38000"/>
    <n v="114000"/>
    <n v="31920"/>
    <n v="0.21875"/>
  </r>
  <r>
    <x v="271"/>
    <s v="ORD-03800"/>
    <x v="0"/>
    <x v="4"/>
    <x v="44"/>
    <x v="1"/>
    <x v="1"/>
    <n v="7"/>
    <n v="60300"/>
    <n v="422100"/>
    <n v="45000"/>
    <n v="315000"/>
    <n v="107100"/>
    <n v="0.2537313432835821"/>
  </r>
  <r>
    <x v="271"/>
    <s v="ORD-03801"/>
    <x v="0"/>
    <x v="5"/>
    <x v="41"/>
    <x v="7"/>
    <x v="2"/>
    <n v="8"/>
    <n v="9450"/>
    <n v="75600"/>
    <n v="7000"/>
    <n v="56000"/>
    <n v="19600"/>
    <n v="0.25925925925925924"/>
  </r>
  <r>
    <x v="271"/>
    <s v="ORD-03802"/>
    <x v="3"/>
    <x v="5"/>
    <x v="43"/>
    <x v="3"/>
    <x v="0"/>
    <n v="2"/>
    <n v="3275"/>
    <n v="6550"/>
    <n v="2500"/>
    <n v="5000"/>
    <n v="1550"/>
    <n v="0.23664122137404581"/>
  </r>
  <r>
    <x v="271"/>
    <s v="ORD-03803"/>
    <x v="3"/>
    <x v="4"/>
    <x v="7"/>
    <x v="7"/>
    <x v="2"/>
    <n v="6"/>
    <n v="8890"/>
    <n v="53340"/>
    <n v="7000"/>
    <n v="42000"/>
    <n v="11340"/>
    <n v="0.2125984251968504"/>
  </r>
  <r>
    <x v="271"/>
    <s v="ORD-03804"/>
    <x v="2"/>
    <x v="5"/>
    <x v="85"/>
    <x v="0"/>
    <x v="0"/>
    <n v="9"/>
    <n v="3904"/>
    <n v="35136"/>
    <n v="3200"/>
    <n v="28800"/>
    <n v="6336"/>
    <n v="0.18032786885245902"/>
  </r>
  <r>
    <x v="271"/>
    <s v="ORD-03805"/>
    <x v="1"/>
    <x v="0"/>
    <x v="133"/>
    <x v="6"/>
    <x v="3"/>
    <n v="7"/>
    <n v="1188"/>
    <n v="8316"/>
    <n v="900"/>
    <n v="6300"/>
    <n v="2016"/>
    <n v="0.24242424242424243"/>
  </r>
  <r>
    <x v="271"/>
    <s v="ORD-03806"/>
    <x v="0"/>
    <x v="3"/>
    <x v="46"/>
    <x v="3"/>
    <x v="0"/>
    <n v="9"/>
    <n v="3500"/>
    <n v="31500"/>
    <n v="2500"/>
    <n v="22500"/>
    <n v="9000"/>
    <n v="0.2857142857142857"/>
  </r>
  <r>
    <x v="272"/>
    <s v="ORD-03807"/>
    <x v="3"/>
    <x v="0"/>
    <x v="81"/>
    <x v="7"/>
    <x v="2"/>
    <n v="2"/>
    <n v="9100"/>
    <n v="18200"/>
    <n v="7000"/>
    <n v="14000"/>
    <n v="4200"/>
    <n v="0.23076923076923078"/>
  </r>
  <r>
    <x v="272"/>
    <s v="ORD-03808"/>
    <x v="0"/>
    <x v="0"/>
    <x v="147"/>
    <x v="1"/>
    <x v="1"/>
    <n v="1"/>
    <n v="58500"/>
    <n v="58500"/>
    <n v="45000"/>
    <n v="45000"/>
    <n v="13500"/>
    <n v="0.23076923076923078"/>
  </r>
  <r>
    <x v="272"/>
    <s v="ORD-03809"/>
    <x v="1"/>
    <x v="1"/>
    <x v="76"/>
    <x v="1"/>
    <x v="1"/>
    <n v="6"/>
    <n v="58500"/>
    <n v="351000"/>
    <n v="45000"/>
    <n v="270000"/>
    <n v="81000"/>
    <n v="0.23076923076923078"/>
  </r>
  <r>
    <x v="272"/>
    <s v="ORD-03810"/>
    <x v="3"/>
    <x v="5"/>
    <x v="7"/>
    <x v="3"/>
    <x v="0"/>
    <n v="4"/>
    <n v="3150"/>
    <n v="12600"/>
    <n v="2500"/>
    <n v="10000"/>
    <n v="2600"/>
    <n v="0.20634920634920634"/>
  </r>
  <r>
    <x v="272"/>
    <s v="ORD-03811"/>
    <x v="0"/>
    <x v="3"/>
    <x v="115"/>
    <x v="4"/>
    <x v="2"/>
    <n v="10"/>
    <n v="11815.000000000002"/>
    <n v="118150.00000000001"/>
    <n v="8500"/>
    <n v="85000"/>
    <n v="33150.000000000015"/>
    <n v="0.28057553956834541"/>
  </r>
  <r>
    <x v="272"/>
    <s v="ORD-03812"/>
    <x v="0"/>
    <x v="0"/>
    <x v="16"/>
    <x v="1"/>
    <x v="1"/>
    <n v="5"/>
    <n v="57600"/>
    <n v="288000"/>
    <n v="45000"/>
    <n v="225000"/>
    <n v="63000"/>
    <n v="0.21875"/>
  </r>
  <r>
    <x v="272"/>
    <s v="ORD-03813"/>
    <x v="2"/>
    <x v="3"/>
    <x v="144"/>
    <x v="3"/>
    <x v="0"/>
    <n v="1"/>
    <n v="3325"/>
    <n v="3325"/>
    <n v="2500"/>
    <n v="2500"/>
    <n v="825"/>
    <n v="0.24812030075187969"/>
  </r>
  <r>
    <x v="272"/>
    <s v="ORD-03814"/>
    <x v="0"/>
    <x v="2"/>
    <x v="99"/>
    <x v="2"/>
    <x v="1"/>
    <n v="4"/>
    <n v="47500"/>
    <n v="190000"/>
    <n v="38000"/>
    <n v="152000"/>
    <n v="38000"/>
    <n v="0.2"/>
  </r>
  <r>
    <x v="272"/>
    <s v="ORD-03815"/>
    <x v="1"/>
    <x v="5"/>
    <x v="25"/>
    <x v="0"/>
    <x v="0"/>
    <n v="6"/>
    <n v="4256"/>
    <n v="25536"/>
    <n v="3200"/>
    <n v="19200"/>
    <n v="6336"/>
    <n v="0.24812030075187969"/>
  </r>
  <r>
    <x v="272"/>
    <s v="ORD-03816"/>
    <x v="2"/>
    <x v="3"/>
    <x v="81"/>
    <x v="2"/>
    <x v="1"/>
    <n v="3"/>
    <n v="55100"/>
    <n v="165300"/>
    <n v="38000"/>
    <n v="114000"/>
    <n v="51300"/>
    <n v="0.31034482758620691"/>
  </r>
  <r>
    <x v="272"/>
    <s v="ORD-03817"/>
    <x v="3"/>
    <x v="4"/>
    <x v="63"/>
    <x v="0"/>
    <x v="0"/>
    <n v="6"/>
    <n v="4480"/>
    <n v="26880"/>
    <n v="3200"/>
    <n v="19200"/>
    <n v="7680"/>
    <n v="0.2857142857142857"/>
  </r>
  <r>
    <x v="272"/>
    <s v="ORD-03818"/>
    <x v="0"/>
    <x v="4"/>
    <x v="20"/>
    <x v="2"/>
    <x v="1"/>
    <n v="8"/>
    <n v="53200"/>
    <n v="425600"/>
    <n v="38000"/>
    <n v="304000"/>
    <n v="121600"/>
    <n v="0.2857142857142857"/>
  </r>
  <r>
    <x v="272"/>
    <s v="ORD-03819"/>
    <x v="2"/>
    <x v="1"/>
    <x v="35"/>
    <x v="2"/>
    <x v="1"/>
    <n v="1"/>
    <n v="50160"/>
    <n v="50160"/>
    <n v="38000"/>
    <n v="38000"/>
    <n v="12160"/>
    <n v="0.24242424242424243"/>
  </r>
  <r>
    <x v="272"/>
    <s v="ORD-03820"/>
    <x v="0"/>
    <x v="1"/>
    <x v="1"/>
    <x v="7"/>
    <x v="2"/>
    <n v="3"/>
    <n v="9940"/>
    <n v="29820"/>
    <n v="7000"/>
    <n v="21000"/>
    <n v="8820"/>
    <n v="0.29577464788732394"/>
  </r>
  <r>
    <x v="273"/>
    <s v="ORD-03821"/>
    <x v="3"/>
    <x v="2"/>
    <x v="38"/>
    <x v="5"/>
    <x v="3"/>
    <n v="2"/>
    <n v="827.99999999999989"/>
    <n v="1655.9999999999998"/>
    <n v="600"/>
    <n v="1200"/>
    <n v="455.99999999999977"/>
    <n v="0.2753623188405796"/>
  </r>
  <r>
    <x v="273"/>
    <s v="ORD-03822"/>
    <x v="3"/>
    <x v="5"/>
    <x v="91"/>
    <x v="7"/>
    <x v="2"/>
    <n v="10"/>
    <n v="9520"/>
    <n v="95200"/>
    <n v="7000"/>
    <n v="70000"/>
    <n v="25200"/>
    <n v="0.26470588235294118"/>
  </r>
  <r>
    <x v="273"/>
    <s v="ORD-03823"/>
    <x v="1"/>
    <x v="1"/>
    <x v="117"/>
    <x v="6"/>
    <x v="3"/>
    <n v="6"/>
    <n v="1107"/>
    <n v="6642"/>
    <n v="900"/>
    <n v="5400"/>
    <n v="1242"/>
    <n v="0.18699186991869918"/>
  </r>
  <r>
    <x v="273"/>
    <s v="ORD-03824"/>
    <x v="2"/>
    <x v="1"/>
    <x v="12"/>
    <x v="0"/>
    <x v="0"/>
    <n v="6"/>
    <n v="3936"/>
    <n v="23616"/>
    <n v="3200"/>
    <n v="19200"/>
    <n v="4416"/>
    <n v="0.18699186991869918"/>
  </r>
  <r>
    <x v="273"/>
    <s v="ORD-03825"/>
    <x v="1"/>
    <x v="3"/>
    <x v="143"/>
    <x v="3"/>
    <x v="0"/>
    <n v="9"/>
    <n v="3375"/>
    <n v="30375"/>
    <n v="2500"/>
    <n v="22500"/>
    <n v="7875"/>
    <n v="0.25925925925925924"/>
  </r>
  <r>
    <x v="273"/>
    <s v="ORD-03826"/>
    <x v="3"/>
    <x v="5"/>
    <x v="89"/>
    <x v="5"/>
    <x v="3"/>
    <n v="8"/>
    <n v="815.99999999999989"/>
    <n v="6527.9999999999991"/>
    <n v="600"/>
    <n v="4800"/>
    <n v="1727.9999999999991"/>
    <n v="0.26470588235294107"/>
  </r>
  <r>
    <x v="273"/>
    <s v="ORD-03827"/>
    <x v="3"/>
    <x v="4"/>
    <x v="122"/>
    <x v="4"/>
    <x v="2"/>
    <n v="4"/>
    <n v="10625"/>
    <n v="42500"/>
    <n v="8500"/>
    <n v="34000"/>
    <n v="8500"/>
    <n v="0.2"/>
  </r>
  <r>
    <x v="273"/>
    <s v="ORD-03828"/>
    <x v="0"/>
    <x v="2"/>
    <x v="86"/>
    <x v="7"/>
    <x v="2"/>
    <n v="8"/>
    <n v="10150"/>
    <n v="81200"/>
    <n v="7000"/>
    <n v="56000"/>
    <n v="25200"/>
    <n v="0.31034482758620691"/>
  </r>
  <r>
    <x v="273"/>
    <s v="ORD-03829"/>
    <x v="2"/>
    <x v="5"/>
    <x v="149"/>
    <x v="5"/>
    <x v="3"/>
    <n v="10"/>
    <n v="732"/>
    <n v="7320"/>
    <n v="600"/>
    <n v="6000"/>
    <n v="1320"/>
    <n v="0.18032786885245902"/>
  </r>
  <r>
    <x v="273"/>
    <s v="ORD-03830"/>
    <x v="0"/>
    <x v="0"/>
    <x v="8"/>
    <x v="4"/>
    <x v="2"/>
    <n v="5"/>
    <n v="10795"/>
    <n v="53975"/>
    <n v="8500"/>
    <n v="42500"/>
    <n v="11475"/>
    <n v="0.2125984251968504"/>
  </r>
  <r>
    <x v="273"/>
    <s v="ORD-03831"/>
    <x v="3"/>
    <x v="0"/>
    <x v="64"/>
    <x v="1"/>
    <x v="1"/>
    <n v="5"/>
    <n v="57600"/>
    <n v="288000"/>
    <n v="45000"/>
    <n v="225000"/>
    <n v="63000"/>
    <n v="0.21875"/>
  </r>
  <r>
    <x v="273"/>
    <s v="ORD-03832"/>
    <x v="2"/>
    <x v="4"/>
    <x v="21"/>
    <x v="3"/>
    <x v="0"/>
    <n v="5"/>
    <n v="3000"/>
    <n v="15000"/>
    <n v="2500"/>
    <n v="12500"/>
    <n v="2500"/>
    <n v="0.16666666666666666"/>
  </r>
  <r>
    <x v="273"/>
    <s v="ORD-03833"/>
    <x v="2"/>
    <x v="0"/>
    <x v="135"/>
    <x v="4"/>
    <x v="2"/>
    <n v="10"/>
    <n v="10455"/>
    <n v="104550"/>
    <n v="8500"/>
    <n v="85000"/>
    <n v="19550"/>
    <n v="0.18699186991869918"/>
  </r>
  <r>
    <x v="273"/>
    <s v="ORD-03834"/>
    <x v="2"/>
    <x v="5"/>
    <x v="13"/>
    <x v="3"/>
    <x v="0"/>
    <n v="1"/>
    <n v="3399.9999999999995"/>
    <n v="3399.9999999999995"/>
    <n v="2500"/>
    <n v="2500"/>
    <n v="899.99999999999955"/>
    <n v="0.26470588235294107"/>
  </r>
  <r>
    <x v="274"/>
    <s v="ORD-03835"/>
    <x v="3"/>
    <x v="2"/>
    <x v="74"/>
    <x v="6"/>
    <x v="3"/>
    <n v="8"/>
    <n v="1143"/>
    <n v="9144"/>
    <n v="900"/>
    <n v="7200"/>
    <n v="1944"/>
    <n v="0.2125984251968504"/>
  </r>
  <r>
    <x v="274"/>
    <s v="ORD-03836"/>
    <x v="3"/>
    <x v="4"/>
    <x v="27"/>
    <x v="0"/>
    <x v="0"/>
    <n v="2"/>
    <n v="4064"/>
    <n v="8128"/>
    <n v="3200"/>
    <n v="6400"/>
    <n v="1728"/>
    <n v="0.2125984251968504"/>
  </r>
  <r>
    <x v="274"/>
    <s v="ORD-03837"/>
    <x v="2"/>
    <x v="3"/>
    <x v="126"/>
    <x v="2"/>
    <x v="1"/>
    <n v="6"/>
    <n v="47500"/>
    <n v="285000"/>
    <n v="38000"/>
    <n v="228000"/>
    <n v="57000"/>
    <n v="0.2"/>
  </r>
  <r>
    <x v="274"/>
    <s v="ORD-03838"/>
    <x v="0"/>
    <x v="0"/>
    <x v="141"/>
    <x v="4"/>
    <x v="2"/>
    <n v="10"/>
    <n v="11305"/>
    <n v="113050"/>
    <n v="8500"/>
    <n v="85000"/>
    <n v="28050"/>
    <n v="0.24812030075187969"/>
  </r>
  <r>
    <x v="274"/>
    <s v="ORD-03839"/>
    <x v="0"/>
    <x v="1"/>
    <x v="107"/>
    <x v="6"/>
    <x v="3"/>
    <n v="8"/>
    <n v="1269"/>
    <n v="10152"/>
    <n v="900"/>
    <n v="7200"/>
    <n v="2952"/>
    <n v="0.29078014184397161"/>
  </r>
  <r>
    <x v="274"/>
    <s v="ORD-03840"/>
    <x v="2"/>
    <x v="5"/>
    <x v="32"/>
    <x v="0"/>
    <x v="0"/>
    <n v="4"/>
    <n v="4320"/>
    <n v="17280"/>
    <n v="3200"/>
    <n v="12800"/>
    <n v="4480"/>
    <n v="0.25925925925925924"/>
  </r>
  <r>
    <x v="274"/>
    <s v="ORD-03841"/>
    <x v="2"/>
    <x v="1"/>
    <x v="65"/>
    <x v="4"/>
    <x v="2"/>
    <n v="3"/>
    <n v="10370"/>
    <n v="31110"/>
    <n v="8500"/>
    <n v="25500"/>
    <n v="5610"/>
    <n v="0.18032786885245902"/>
  </r>
  <r>
    <x v="274"/>
    <s v="ORD-03842"/>
    <x v="0"/>
    <x v="1"/>
    <x v="85"/>
    <x v="7"/>
    <x v="2"/>
    <n v="4"/>
    <n v="8400"/>
    <n v="33600"/>
    <n v="7000"/>
    <n v="28000"/>
    <n v="5600"/>
    <n v="0.16666666666666666"/>
  </r>
  <r>
    <x v="274"/>
    <s v="ORD-03843"/>
    <x v="1"/>
    <x v="2"/>
    <x v="137"/>
    <x v="7"/>
    <x v="2"/>
    <n v="4"/>
    <n v="9240"/>
    <n v="36960"/>
    <n v="7000"/>
    <n v="28000"/>
    <n v="8960"/>
    <n v="0.24242424242424243"/>
  </r>
  <r>
    <x v="274"/>
    <s v="ORD-03844"/>
    <x v="1"/>
    <x v="3"/>
    <x v="121"/>
    <x v="5"/>
    <x v="3"/>
    <n v="6"/>
    <n v="798"/>
    <n v="4788"/>
    <n v="600"/>
    <n v="3600"/>
    <n v="1188"/>
    <n v="0.24812030075187969"/>
  </r>
  <r>
    <x v="274"/>
    <s v="ORD-03845"/>
    <x v="0"/>
    <x v="1"/>
    <x v="132"/>
    <x v="1"/>
    <x v="1"/>
    <n v="6"/>
    <n v="62099.999999999993"/>
    <n v="372599.99999999994"/>
    <n v="45000"/>
    <n v="270000"/>
    <n v="102599.99999999994"/>
    <n v="0.2753623188405796"/>
  </r>
  <r>
    <x v="274"/>
    <s v="ORD-03846"/>
    <x v="1"/>
    <x v="4"/>
    <x v="136"/>
    <x v="4"/>
    <x v="2"/>
    <n v="7"/>
    <n v="10880"/>
    <n v="76160"/>
    <n v="8500"/>
    <n v="59500"/>
    <n v="16660"/>
    <n v="0.21875"/>
  </r>
  <r>
    <x v="274"/>
    <s v="ORD-03847"/>
    <x v="0"/>
    <x v="2"/>
    <x v="20"/>
    <x v="1"/>
    <x v="1"/>
    <n v="3"/>
    <n v="58050"/>
    <n v="174150"/>
    <n v="45000"/>
    <n v="135000"/>
    <n v="39150"/>
    <n v="0.22480620155038761"/>
  </r>
  <r>
    <x v="274"/>
    <s v="ORD-03848"/>
    <x v="2"/>
    <x v="0"/>
    <x v="128"/>
    <x v="6"/>
    <x v="3"/>
    <n v="7"/>
    <n v="1179"/>
    <n v="8253"/>
    <n v="900"/>
    <n v="6300"/>
    <n v="1953"/>
    <n v="0.23664122137404581"/>
  </r>
  <r>
    <x v="275"/>
    <s v="ORD-03849"/>
    <x v="3"/>
    <x v="1"/>
    <x v="84"/>
    <x v="0"/>
    <x v="0"/>
    <n v="5"/>
    <n v="4064"/>
    <n v="20320"/>
    <n v="3200"/>
    <n v="16000"/>
    <n v="4320"/>
    <n v="0.2125984251968504"/>
  </r>
  <r>
    <x v="275"/>
    <s v="ORD-03850"/>
    <x v="1"/>
    <x v="3"/>
    <x v="77"/>
    <x v="0"/>
    <x v="0"/>
    <n v="2"/>
    <n v="3840"/>
    <n v="7680"/>
    <n v="3200"/>
    <n v="6400"/>
    <n v="1280"/>
    <n v="0.16666666666666666"/>
  </r>
  <r>
    <x v="275"/>
    <s v="ORD-03851"/>
    <x v="3"/>
    <x v="4"/>
    <x v="84"/>
    <x v="5"/>
    <x v="3"/>
    <n v="7"/>
    <n v="840"/>
    <n v="5880"/>
    <n v="600"/>
    <n v="4200"/>
    <n v="1680"/>
    <n v="0.2857142857142857"/>
  </r>
  <r>
    <x v="275"/>
    <s v="ORD-03852"/>
    <x v="1"/>
    <x v="4"/>
    <x v="87"/>
    <x v="4"/>
    <x v="2"/>
    <n v="6"/>
    <n v="11135"/>
    <n v="66810"/>
    <n v="8500"/>
    <n v="51000"/>
    <n v="15810"/>
    <n v="0.23664122137404581"/>
  </r>
  <r>
    <x v="275"/>
    <s v="ORD-03853"/>
    <x v="3"/>
    <x v="1"/>
    <x v="4"/>
    <x v="0"/>
    <x v="0"/>
    <n v="5"/>
    <n v="4352"/>
    <n v="21760"/>
    <n v="3200"/>
    <n v="16000"/>
    <n v="5760"/>
    <n v="0.26470588235294118"/>
  </r>
  <r>
    <x v="275"/>
    <s v="ORD-03854"/>
    <x v="1"/>
    <x v="3"/>
    <x v="147"/>
    <x v="7"/>
    <x v="2"/>
    <n v="9"/>
    <n v="9030"/>
    <n v="81270"/>
    <n v="7000"/>
    <n v="63000"/>
    <n v="18270"/>
    <n v="0.22480620155038761"/>
  </r>
  <r>
    <x v="275"/>
    <s v="ORD-03855"/>
    <x v="3"/>
    <x v="5"/>
    <x v="90"/>
    <x v="1"/>
    <x v="1"/>
    <n v="9"/>
    <n v="64800"/>
    <n v="583200"/>
    <n v="45000"/>
    <n v="405000"/>
    <n v="178200"/>
    <n v="0.30555555555555558"/>
  </r>
  <r>
    <x v="275"/>
    <s v="ORD-03856"/>
    <x v="0"/>
    <x v="4"/>
    <x v="104"/>
    <x v="6"/>
    <x v="3"/>
    <n v="4"/>
    <n v="1251"/>
    <n v="5004"/>
    <n v="900"/>
    <n v="3600"/>
    <n v="1404"/>
    <n v="0.2805755395683453"/>
  </r>
  <r>
    <x v="275"/>
    <s v="ORD-03857"/>
    <x v="2"/>
    <x v="2"/>
    <x v="97"/>
    <x v="5"/>
    <x v="3"/>
    <n v="5"/>
    <n v="822.00000000000011"/>
    <n v="4110.0000000000009"/>
    <n v="600"/>
    <n v="3000"/>
    <n v="1110.0000000000009"/>
    <n v="0.2700729927007301"/>
  </r>
  <r>
    <x v="275"/>
    <s v="ORD-03858"/>
    <x v="1"/>
    <x v="1"/>
    <x v="146"/>
    <x v="2"/>
    <x v="1"/>
    <n v="6"/>
    <n v="47120"/>
    <n v="282720"/>
    <n v="38000"/>
    <n v="228000"/>
    <n v="54720"/>
    <n v="0.19354838709677419"/>
  </r>
  <r>
    <x v="275"/>
    <s v="ORD-03859"/>
    <x v="2"/>
    <x v="4"/>
    <x v="142"/>
    <x v="2"/>
    <x v="1"/>
    <n v="5"/>
    <n v="47120"/>
    <n v="235600"/>
    <n v="38000"/>
    <n v="190000"/>
    <n v="45600"/>
    <n v="0.19354838709677419"/>
  </r>
  <r>
    <x v="275"/>
    <s v="ORD-03860"/>
    <x v="0"/>
    <x v="3"/>
    <x v="76"/>
    <x v="3"/>
    <x v="0"/>
    <n v="8"/>
    <n v="3500"/>
    <n v="28000"/>
    <n v="2500"/>
    <n v="20000"/>
    <n v="8000"/>
    <n v="0.2857142857142857"/>
  </r>
  <r>
    <x v="275"/>
    <s v="ORD-03861"/>
    <x v="2"/>
    <x v="4"/>
    <x v="11"/>
    <x v="2"/>
    <x v="1"/>
    <n v="2"/>
    <n v="45600"/>
    <n v="91200"/>
    <n v="38000"/>
    <n v="76000"/>
    <n v="15200"/>
    <n v="0.16666666666666666"/>
  </r>
  <r>
    <x v="275"/>
    <s v="ORD-03862"/>
    <x v="0"/>
    <x v="4"/>
    <x v="131"/>
    <x v="5"/>
    <x v="3"/>
    <n v="1"/>
    <n v="792"/>
    <n v="792"/>
    <n v="600"/>
    <n v="600"/>
    <n v="192"/>
    <n v="0.24242424242424243"/>
  </r>
  <r>
    <x v="276"/>
    <s v="ORD-03863"/>
    <x v="1"/>
    <x v="5"/>
    <x v="124"/>
    <x v="6"/>
    <x v="3"/>
    <n v="6"/>
    <n v="1080"/>
    <n v="6480"/>
    <n v="900"/>
    <n v="5400"/>
    <n v="1080"/>
    <n v="0.16666666666666666"/>
  </r>
  <r>
    <x v="276"/>
    <s v="ORD-03864"/>
    <x v="0"/>
    <x v="1"/>
    <x v="10"/>
    <x v="7"/>
    <x v="2"/>
    <n v="3"/>
    <n v="10080"/>
    <n v="30240"/>
    <n v="7000"/>
    <n v="21000"/>
    <n v="9240"/>
    <n v="0.30555555555555558"/>
  </r>
  <r>
    <x v="276"/>
    <s v="ORD-03865"/>
    <x v="2"/>
    <x v="0"/>
    <x v="121"/>
    <x v="3"/>
    <x v="0"/>
    <n v="6"/>
    <n v="3100"/>
    <n v="18600"/>
    <n v="2500"/>
    <n v="15000"/>
    <n v="3600"/>
    <n v="0.19354838709677419"/>
  </r>
  <r>
    <x v="276"/>
    <s v="ORD-03866"/>
    <x v="2"/>
    <x v="2"/>
    <x v="69"/>
    <x v="2"/>
    <x v="1"/>
    <n v="2"/>
    <n v="50920"/>
    <n v="101840"/>
    <n v="38000"/>
    <n v="76000"/>
    <n v="25840"/>
    <n v="0.2537313432835821"/>
  </r>
  <r>
    <x v="276"/>
    <s v="ORD-03867"/>
    <x v="2"/>
    <x v="3"/>
    <x v="45"/>
    <x v="3"/>
    <x v="0"/>
    <n v="3"/>
    <n v="3300"/>
    <n v="9900"/>
    <n v="2500"/>
    <n v="7500"/>
    <n v="2400"/>
    <n v="0.24242424242424243"/>
  </r>
  <r>
    <x v="276"/>
    <s v="ORD-03868"/>
    <x v="0"/>
    <x v="1"/>
    <x v="21"/>
    <x v="1"/>
    <x v="1"/>
    <n v="6"/>
    <n v="60750.000000000007"/>
    <n v="364500.00000000006"/>
    <n v="45000"/>
    <n v="270000"/>
    <n v="94500.000000000058"/>
    <n v="0.25925925925925936"/>
  </r>
  <r>
    <x v="276"/>
    <s v="ORD-03869"/>
    <x v="2"/>
    <x v="3"/>
    <x v="75"/>
    <x v="0"/>
    <x v="0"/>
    <n v="10"/>
    <n v="4544"/>
    <n v="45440"/>
    <n v="3200"/>
    <n v="32000"/>
    <n v="13440"/>
    <n v="0.29577464788732394"/>
  </r>
  <r>
    <x v="276"/>
    <s v="ORD-03870"/>
    <x v="1"/>
    <x v="5"/>
    <x v="124"/>
    <x v="3"/>
    <x v="0"/>
    <n v="4"/>
    <n v="3350"/>
    <n v="13400"/>
    <n v="2500"/>
    <n v="10000"/>
    <n v="3400"/>
    <n v="0.2537313432835821"/>
  </r>
  <r>
    <x v="276"/>
    <s v="ORD-03871"/>
    <x v="0"/>
    <x v="5"/>
    <x v="45"/>
    <x v="6"/>
    <x v="3"/>
    <n v="4"/>
    <n v="1179"/>
    <n v="4716"/>
    <n v="900"/>
    <n v="3600"/>
    <n v="1116"/>
    <n v="0.23664122137404581"/>
  </r>
  <r>
    <x v="276"/>
    <s v="ORD-03872"/>
    <x v="3"/>
    <x v="4"/>
    <x v="77"/>
    <x v="3"/>
    <x v="0"/>
    <n v="6"/>
    <n v="3200"/>
    <n v="19200"/>
    <n v="2500"/>
    <n v="15000"/>
    <n v="4200"/>
    <n v="0.21875"/>
  </r>
  <r>
    <x v="276"/>
    <s v="ORD-03873"/>
    <x v="1"/>
    <x v="2"/>
    <x v="31"/>
    <x v="1"/>
    <x v="1"/>
    <n v="1"/>
    <n v="63450"/>
    <n v="63450"/>
    <n v="45000"/>
    <n v="45000"/>
    <n v="18450"/>
    <n v="0.29078014184397161"/>
  </r>
  <r>
    <x v="276"/>
    <s v="ORD-03874"/>
    <x v="0"/>
    <x v="2"/>
    <x v="74"/>
    <x v="4"/>
    <x v="2"/>
    <n v="5"/>
    <n v="11559.999999999998"/>
    <n v="57799.999999999993"/>
    <n v="8500"/>
    <n v="42500"/>
    <n v="15299.999999999993"/>
    <n v="0.26470588235294107"/>
  </r>
  <r>
    <x v="276"/>
    <s v="ORD-03875"/>
    <x v="1"/>
    <x v="2"/>
    <x v="3"/>
    <x v="2"/>
    <x v="1"/>
    <n v="9"/>
    <n v="49780"/>
    <n v="448020"/>
    <n v="38000"/>
    <n v="342000"/>
    <n v="106020"/>
    <n v="0.23664122137404581"/>
  </r>
  <r>
    <x v="276"/>
    <s v="ORD-03876"/>
    <x v="0"/>
    <x v="3"/>
    <x v="112"/>
    <x v="6"/>
    <x v="3"/>
    <n v="6"/>
    <n v="1251"/>
    <n v="7506"/>
    <n v="900"/>
    <n v="5400"/>
    <n v="2106"/>
    <n v="0.2805755395683453"/>
  </r>
  <r>
    <x v="277"/>
    <s v="ORD-03877"/>
    <x v="2"/>
    <x v="2"/>
    <x v="142"/>
    <x v="7"/>
    <x v="2"/>
    <n v="10"/>
    <n v="10080"/>
    <n v="100800"/>
    <n v="7000"/>
    <n v="70000"/>
    <n v="30800"/>
    <n v="0.30555555555555558"/>
  </r>
  <r>
    <x v="277"/>
    <s v="ORD-03878"/>
    <x v="1"/>
    <x v="2"/>
    <x v="69"/>
    <x v="5"/>
    <x v="3"/>
    <n v="6"/>
    <n v="864"/>
    <n v="5184"/>
    <n v="600"/>
    <n v="3600"/>
    <n v="1584"/>
    <n v="0.30555555555555558"/>
  </r>
  <r>
    <x v="277"/>
    <s v="ORD-03879"/>
    <x v="1"/>
    <x v="0"/>
    <x v="121"/>
    <x v="5"/>
    <x v="3"/>
    <n v="1"/>
    <n v="870"/>
    <n v="870"/>
    <n v="600"/>
    <n v="600"/>
    <n v="270"/>
    <n v="0.31034482758620691"/>
  </r>
  <r>
    <x v="277"/>
    <s v="ORD-03880"/>
    <x v="3"/>
    <x v="1"/>
    <x v="25"/>
    <x v="6"/>
    <x v="3"/>
    <n v="3"/>
    <n v="1296"/>
    <n v="3888"/>
    <n v="900"/>
    <n v="2700"/>
    <n v="1188"/>
    <n v="0.30555555555555558"/>
  </r>
  <r>
    <x v="277"/>
    <s v="ORD-03881"/>
    <x v="0"/>
    <x v="1"/>
    <x v="69"/>
    <x v="3"/>
    <x v="0"/>
    <n v="6"/>
    <n v="3100"/>
    <n v="18600"/>
    <n v="2500"/>
    <n v="15000"/>
    <n v="3600"/>
    <n v="0.19354838709677419"/>
  </r>
  <r>
    <x v="277"/>
    <s v="ORD-03882"/>
    <x v="1"/>
    <x v="2"/>
    <x v="44"/>
    <x v="3"/>
    <x v="0"/>
    <n v="7"/>
    <n v="3525"/>
    <n v="24675"/>
    <n v="2500"/>
    <n v="17500"/>
    <n v="7175"/>
    <n v="0.29078014184397161"/>
  </r>
  <r>
    <x v="277"/>
    <s v="ORD-03883"/>
    <x v="1"/>
    <x v="2"/>
    <x v="86"/>
    <x v="1"/>
    <x v="1"/>
    <n v="3"/>
    <n v="61199.999999999993"/>
    <n v="183599.99999999997"/>
    <n v="45000"/>
    <n v="135000"/>
    <n v="48599.999999999971"/>
    <n v="0.26470588235294107"/>
  </r>
  <r>
    <x v="277"/>
    <s v="ORD-03884"/>
    <x v="3"/>
    <x v="2"/>
    <x v="127"/>
    <x v="3"/>
    <x v="0"/>
    <n v="2"/>
    <n v="3125"/>
    <n v="6250"/>
    <n v="2500"/>
    <n v="5000"/>
    <n v="1250"/>
    <n v="0.2"/>
  </r>
  <r>
    <x v="277"/>
    <s v="ORD-03885"/>
    <x v="3"/>
    <x v="2"/>
    <x v="75"/>
    <x v="2"/>
    <x v="1"/>
    <n v="6"/>
    <n v="52060.000000000007"/>
    <n v="312360.00000000006"/>
    <n v="38000"/>
    <n v="228000"/>
    <n v="84360.000000000058"/>
    <n v="0.27007299270073004"/>
  </r>
  <r>
    <x v="277"/>
    <s v="ORD-03886"/>
    <x v="1"/>
    <x v="1"/>
    <x v="106"/>
    <x v="4"/>
    <x v="2"/>
    <n v="8"/>
    <n v="11050"/>
    <n v="88400"/>
    <n v="8500"/>
    <n v="68000"/>
    <n v="20400"/>
    <n v="0.23076923076923078"/>
  </r>
  <r>
    <x v="277"/>
    <s v="ORD-03887"/>
    <x v="2"/>
    <x v="0"/>
    <x v="96"/>
    <x v="3"/>
    <x v="0"/>
    <n v="9"/>
    <n v="3475.0000000000005"/>
    <n v="31275.000000000004"/>
    <n v="2500"/>
    <n v="22500"/>
    <n v="8775.0000000000036"/>
    <n v="0.28057553956834541"/>
  </r>
  <r>
    <x v="277"/>
    <s v="ORD-03888"/>
    <x v="1"/>
    <x v="1"/>
    <x v="103"/>
    <x v="5"/>
    <x v="3"/>
    <n v="6"/>
    <n v="870"/>
    <n v="5220"/>
    <n v="600"/>
    <n v="3600"/>
    <n v="1620"/>
    <n v="0.31034482758620691"/>
  </r>
  <r>
    <x v="277"/>
    <s v="ORD-03889"/>
    <x v="1"/>
    <x v="1"/>
    <x v="77"/>
    <x v="2"/>
    <x v="1"/>
    <n v="5"/>
    <n v="53200"/>
    <n v="266000"/>
    <n v="38000"/>
    <n v="190000"/>
    <n v="76000"/>
    <n v="0.2857142857142857"/>
  </r>
  <r>
    <x v="277"/>
    <s v="ORD-03890"/>
    <x v="3"/>
    <x v="4"/>
    <x v="93"/>
    <x v="5"/>
    <x v="3"/>
    <n v="7"/>
    <n v="762"/>
    <n v="5334"/>
    <n v="600"/>
    <n v="4200"/>
    <n v="1134"/>
    <n v="0.2125984251968504"/>
  </r>
  <r>
    <x v="278"/>
    <s v="ORD-03891"/>
    <x v="3"/>
    <x v="1"/>
    <x v="6"/>
    <x v="5"/>
    <x v="3"/>
    <n v="1"/>
    <n v="744"/>
    <n v="744"/>
    <n v="600"/>
    <n v="600"/>
    <n v="144"/>
    <n v="0.19354838709677419"/>
  </r>
  <r>
    <x v="278"/>
    <s v="ORD-03892"/>
    <x v="0"/>
    <x v="0"/>
    <x v="30"/>
    <x v="6"/>
    <x v="3"/>
    <n v="2"/>
    <n v="1296"/>
    <n v="2592"/>
    <n v="900"/>
    <n v="1800"/>
    <n v="792"/>
    <n v="0.30555555555555558"/>
  </r>
  <r>
    <x v="278"/>
    <s v="ORD-03893"/>
    <x v="1"/>
    <x v="2"/>
    <x v="93"/>
    <x v="6"/>
    <x v="3"/>
    <n v="6"/>
    <n v="1134"/>
    <n v="6804"/>
    <n v="900"/>
    <n v="5400"/>
    <n v="1404"/>
    <n v="0.20634920634920634"/>
  </r>
  <r>
    <x v="278"/>
    <s v="ORD-03894"/>
    <x v="0"/>
    <x v="1"/>
    <x v="22"/>
    <x v="1"/>
    <x v="1"/>
    <n v="3"/>
    <n v="57150"/>
    <n v="171450"/>
    <n v="45000"/>
    <n v="135000"/>
    <n v="36450"/>
    <n v="0.2125984251968504"/>
  </r>
  <r>
    <x v="278"/>
    <s v="ORD-03895"/>
    <x v="1"/>
    <x v="1"/>
    <x v="73"/>
    <x v="2"/>
    <x v="1"/>
    <n v="8"/>
    <n v="45980"/>
    <n v="367840"/>
    <n v="38000"/>
    <n v="304000"/>
    <n v="63840"/>
    <n v="0.17355371900826447"/>
  </r>
  <r>
    <x v="278"/>
    <s v="ORD-03896"/>
    <x v="1"/>
    <x v="4"/>
    <x v="74"/>
    <x v="6"/>
    <x v="3"/>
    <n v="6"/>
    <n v="1233"/>
    <n v="7398"/>
    <n v="900"/>
    <n v="5400"/>
    <n v="1998"/>
    <n v="0.27007299270072993"/>
  </r>
  <r>
    <x v="278"/>
    <s v="ORD-03897"/>
    <x v="2"/>
    <x v="2"/>
    <x v="127"/>
    <x v="5"/>
    <x v="3"/>
    <n v="8"/>
    <n v="834.00000000000011"/>
    <n v="6672.0000000000009"/>
    <n v="600"/>
    <n v="4800"/>
    <n v="1872.0000000000009"/>
    <n v="0.28057553956834541"/>
  </r>
  <r>
    <x v="278"/>
    <s v="ORD-03898"/>
    <x v="0"/>
    <x v="0"/>
    <x v="64"/>
    <x v="6"/>
    <x v="3"/>
    <n v="4"/>
    <n v="1224"/>
    <n v="4896"/>
    <n v="900"/>
    <n v="3600"/>
    <n v="1296"/>
    <n v="0.26470588235294118"/>
  </r>
  <r>
    <x v="278"/>
    <s v="ORD-03899"/>
    <x v="2"/>
    <x v="1"/>
    <x v="43"/>
    <x v="5"/>
    <x v="3"/>
    <n v="2"/>
    <n v="792"/>
    <n v="1584"/>
    <n v="600"/>
    <n v="1200"/>
    <n v="384"/>
    <n v="0.24242424242424243"/>
  </r>
  <r>
    <x v="278"/>
    <s v="ORD-03900"/>
    <x v="2"/>
    <x v="1"/>
    <x v="12"/>
    <x v="6"/>
    <x v="3"/>
    <n v="4"/>
    <n v="1152"/>
    <n v="4608"/>
    <n v="900"/>
    <n v="3600"/>
    <n v="1008"/>
    <n v="0.21875"/>
  </r>
  <r>
    <x v="278"/>
    <s v="ORD-03901"/>
    <x v="0"/>
    <x v="0"/>
    <x v="131"/>
    <x v="1"/>
    <x v="1"/>
    <n v="9"/>
    <n v="56700"/>
    <n v="510300"/>
    <n v="45000"/>
    <n v="405000"/>
    <n v="105300"/>
    <n v="0.20634920634920634"/>
  </r>
  <r>
    <x v="278"/>
    <s v="ORD-03902"/>
    <x v="0"/>
    <x v="5"/>
    <x v="55"/>
    <x v="2"/>
    <x v="1"/>
    <n v="4"/>
    <n v="51300"/>
    <n v="205200"/>
    <n v="38000"/>
    <n v="152000"/>
    <n v="53200"/>
    <n v="0.25925925925925924"/>
  </r>
  <r>
    <x v="278"/>
    <s v="ORD-03903"/>
    <x v="3"/>
    <x v="4"/>
    <x v="127"/>
    <x v="1"/>
    <x v="1"/>
    <n v="7"/>
    <n v="57150"/>
    <n v="400050"/>
    <n v="45000"/>
    <n v="315000"/>
    <n v="85050"/>
    <n v="0.2125984251968504"/>
  </r>
  <r>
    <x v="278"/>
    <s v="ORD-03904"/>
    <x v="2"/>
    <x v="2"/>
    <x v="79"/>
    <x v="1"/>
    <x v="1"/>
    <n v="10"/>
    <n v="61199.999999999993"/>
    <n v="611999.99999999988"/>
    <n v="45000"/>
    <n v="450000"/>
    <n v="161999.99999999988"/>
    <n v="0.26470588235294101"/>
  </r>
  <r>
    <x v="279"/>
    <s v="ORD-03905"/>
    <x v="0"/>
    <x v="0"/>
    <x v="52"/>
    <x v="3"/>
    <x v="0"/>
    <n v="2"/>
    <n v="3125"/>
    <n v="6250"/>
    <n v="2500"/>
    <n v="5000"/>
    <n v="1250"/>
    <n v="0.2"/>
  </r>
  <r>
    <x v="279"/>
    <s v="ORD-03906"/>
    <x v="2"/>
    <x v="1"/>
    <x v="12"/>
    <x v="1"/>
    <x v="1"/>
    <n v="3"/>
    <n v="57600"/>
    <n v="172800"/>
    <n v="45000"/>
    <n v="135000"/>
    <n v="37800"/>
    <n v="0.21875"/>
  </r>
  <r>
    <x v="279"/>
    <s v="ORD-03907"/>
    <x v="3"/>
    <x v="4"/>
    <x v="148"/>
    <x v="2"/>
    <x v="1"/>
    <n v="5"/>
    <n v="54340"/>
    <n v="271700"/>
    <n v="38000"/>
    <n v="190000"/>
    <n v="81700"/>
    <n v="0.30069930069930068"/>
  </r>
  <r>
    <x v="279"/>
    <s v="ORD-03908"/>
    <x v="0"/>
    <x v="5"/>
    <x v="28"/>
    <x v="0"/>
    <x v="0"/>
    <n v="8"/>
    <n v="4288"/>
    <n v="34304"/>
    <n v="3200"/>
    <n v="25600"/>
    <n v="8704"/>
    <n v="0.2537313432835821"/>
  </r>
  <r>
    <x v="279"/>
    <s v="ORD-03909"/>
    <x v="1"/>
    <x v="4"/>
    <x v="44"/>
    <x v="3"/>
    <x v="0"/>
    <n v="7"/>
    <n v="3275"/>
    <n v="22925"/>
    <n v="2500"/>
    <n v="17500"/>
    <n v="5425"/>
    <n v="0.23664122137404581"/>
  </r>
  <r>
    <x v="279"/>
    <s v="ORD-03910"/>
    <x v="3"/>
    <x v="0"/>
    <x v="69"/>
    <x v="6"/>
    <x v="3"/>
    <n v="10"/>
    <n v="1089"/>
    <n v="10890"/>
    <n v="900"/>
    <n v="9000"/>
    <n v="1890"/>
    <n v="0.17355371900826447"/>
  </r>
  <r>
    <x v="279"/>
    <s v="ORD-03911"/>
    <x v="1"/>
    <x v="4"/>
    <x v="72"/>
    <x v="5"/>
    <x v="3"/>
    <n v="3"/>
    <n v="864"/>
    <n v="2592"/>
    <n v="600"/>
    <n v="1800"/>
    <n v="792"/>
    <n v="0.30555555555555558"/>
  </r>
  <r>
    <x v="279"/>
    <s v="ORD-03912"/>
    <x v="2"/>
    <x v="0"/>
    <x v="12"/>
    <x v="6"/>
    <x v="3"/>
    <n v="9"/>
    <n v="1080"/>
    <n v="9720"/>
    <n v="900"/>
    <n v="8100"/>
    <n v="1620"/>
    <n v="0.16666666666666666"/>
  </r>
  <r>
    <x v="279"/>
    <s v="ORD-03913"/>
    <x v="0"/>
    <x v="3"/>
    <x v="3"/>
    <x v="0"/>
    <x v="0"/>
    <n v="4"/>
    <n v="4096"/>
    <n v="16384"/>
    <n v="3200"/>
    <n v="12800"/>
    <n v="3584"/>
    <n v="0.21875"/>
  </r>
  <r>
    <x v="279"/>
    <s v="ORD-03914"/>
    <x v="0"/>
    <x v="1"/>
    <x v="148"/>
    <x v="2"/>
    <x v="1"/>
    <n v="8"/>
    <n v="49020"/>
    <n v="392160"/>
    <n v="38000"/>
    <n v="304000"/>
    <n v="88160"/>
    <n v="0.22480620155038761"/>
  </r>
  <r>
    <x v="279"/>
    <s v="ORD-03915"/>
    <x v="0"/>
    <x v="2"/>
    <x v="22"/>
    <x v="6"/>
    <x v="3"/>
    <n v="1"/>
    <n v="1278"/>
    <n v="1278"/>
    <n v="900"/>
    <n v="900"/>
    <n v="378"/>
    <n v="0.29577464788732394"/>
  </r>
  <r>
    <x v="279"/>
    <s v="ORD-03916"/>
    <x v="3"/>
    <x v="5"/>
    <x v="136"/>
    <x v="7"/>
    <x v="2"/>
    <n v="4"/>
    <n v="10080"/>
    <n v="40320"/>
    <n v="7000"/>
    <n v="28000"/>
    <n v="12320"/>
    <n v="0.30555555555555558"/>
  </r>
  <r>
    <x v="279"/>
    <s v="ORD-03917"/>
    <x v="2"/>
    <x v="0"/>
    <x v="149"/>
    <x v="2"/>
    <x v="1"/>
    <n v="6"/>
    <n v="49020"/>
    <n v="294120"/>
    <n v="38000"/>
    <n v="228000"/>
    <n v="66120"/>
    <n v="0.22480620155038761"/>
  </r>
  <r>
    <x v="279"/>
    <s v="ORD-03918"/>
    <x v="3"/>
    <x v="0"/>
    <x v="145"/>
    <x v="5"/>
    <x v="3"/>
    <n v="6"/>
    <n v="720"/>
    <n v="4320"/>
    <n v="600"/>
    <n v="3600"/>
    <n v="720"/>
    <n v="0.16666666666666666"/>
  </r>
  <r>
    <x v="280"/>
    <s v="ORD-03919"/>
    <x v="2"/>
    <x v="4"/>
    <x v="49"/>
    <x v="6"/>
    <x v="3"/>
    <n v="9"/>
    <n v="1161"/>
    <n v="10449"/>
    <n v="900"/>
    <n v="8100"/>
    <n v="2349"/>
    <n v="0.22480620155038761"/>
  </r>
  <r>
    <x v="280"/>
    <s v="ORD-03920"/>
    <x v="0"/>
    <x v="3"/>
    <x v="62"/>
    <x v="1"/>
    <x v="1"/>
    <n v="7"/>
    <n v="60750.000000000007"/>
    <n v="425250.00000000006"/>
    <n v="45000"/>
    <n v="315000"/>
    <n v="110250.00000000006"/>
    <n v="0.25925925925925936"/>
  </r>
  <r>
    <x v="280"/>
    <s v="ORD-03921"/>
    <x v="3"/>
    <x v="0"/>
    <x v="92"/>
    <x v="2"/>
    <x v="1"/>
    <n v="7"/>
    <n v="49020"/>
    <n v="343140"/>
    <n v="38000"/>
    <n v="266000"/>
    <n v="77140"/>
    <n v="0.22480620155038761"/>
  </r>
  <r>
    <x v="280"/>
    <s v="ORD-03922"/>
    <x v="3"/>
    <x v="3"/>
    <x v="8"/>
    <x v="2"/>
    <x v="1"/>
    <n v="8"/>
    <n v="45600"/>
    <n v="364800"/>
    <n v="38000"/>
    <n v="304000"/>
    <n v="60800"/>
    <n v="0.16666666666666666"/>
  </r>
  <r>
    <x v="280"/>
    <s v="ORD-03923"/>
    <x v="1"/>
    <x v="3"/>
    <x v="147"/>
    <x v="3"/>
    <x v="0"/>
    <n v="2"/>
    <n v="3225"/>
    <n v="6450"/>
    <n v="2500"/>
    <n v="5000"/>
    <n v="1450"/>
    <n v="0.22480620155038761"/>
  </r>
  <r>
    <x v="280"/>
    <s v="ORD-03924"/>
    <x v="1"/>
    <x v="4"/>
    <x v="149"/>
    <x v="7"/>
    <x v="2"/>
    <n v="3"/>
    <n v="9800"/>
    <n v="29400"/>
    <n v="7000"/>
    <n v="21000"/>
    <n v="8400"/>
    <n v="0.2857142857142857"/>
  </r>
  <r>
    <x v="280"/>
    <s v="ORD-03925"/>
    <x v="1"/>
    <x v="0"/>
    <x v="64"/>
    <x v="5"/>
    <x v="3"/>
    <n v="4"/>
    <n v="744"/>
    <n v="2976"/>
    <n v="600"/>
    <n v="2400"/>
    <n v="576"/>
    <n v="0.19354838709677419"/>
  </r>
  <r>
    <x v="280"/>
    <s v="ORD-03926"/>
    <x v="2"/>
    <x v="3"/>
    <x v="15"/>
    <x v="6"/>
    <x v="3"/>
    <n v="7"/>
    <n v="1242"/>
    <n v="8694"/>
    <n v="900"/>
    <n v="6300"/>
    <n v="2394"/>
    <n v="0.27536231884057971"/>
  </r>
  <r>
    <x v="280"/>
    <s v="ORD-03927"/>
    <x v="2"/>
    <x v="4"/>
    <x v="16"/>
    <x v="1"/>
    <x v="1"/>
    <n v="7"/>
    <n v="62999.999999999993"/>
    <n v="440999.99999999994"/>
    <n v="45000"/>
    <n v="315000"/>
    <n v="125999.99999999994"/>
    <n v="0.28571428571428564"/>
  </r>
  <r>
    <x v="280"/>
    <s v="ORD-03928"/>
    <x v="2"/>
    <x v="5"/>
    <x v="58"/>
    <x v="7"/>
    <x v="2"/>
    <n v="7"/>
    <n v="8820"/>
    <n v="61740"/>
    <n v="7000"/>
    <n v="49000"/>
    <n v="12740"/>
    <n v="0.20634920634920634"/>
  </r>
  <r>
    <x v="280"/>
    <s v="ORD-03929"/>
    <x v="2"/>
    <x v="0"/>
    <x v="100"/>
    <x v="4"/>
    <x v="2"/>
    <n v="5"/>
    <n v="12240"/>
    <n v="61200"/>
    <n v="8500"/>
    <n v="42500"/>
    <n v="18700"/>
    <n v="0.30555555555555558"/>
  </r>
  <r>
    <x v="280"/>
    <s v="ORD-03930"/>
    <x v="0"/>
    <x v="1"/>
    <x v="71"/>
    <x v="2"/>
    <x v="1"/>
    <n v="4"/>
    <n v="48260"/>
    <n v="193040"/>
    <n v="38000"/>
    <n v="152000"/>
    <n v="41040"/>
    <n v="0.2125984251968504"/>
  </r>
  <r>
    <x v="280"/>
    <s v="ORD-03931"/>
    <x v="3"/>
    <x v="2"/>
    <x v="29"/>
    <x v="3"/>
    <x v="0"/>
    <n v="10"/>
    <n v="3300"/>
    <n v="33000"/>
    <n v="2500"/>
    <n v="25000"/>
    <n v="8000"/>
    <n v="0.24242424242424243"/>
  </r>
  <r>
    <x v="280"/>
    <s v="ORD-03932"/>
    <x v="0"/>
    <x v="4"/>
    <x v="14"/>
    <x v="6"/>
    <x v="3"/>
    <n v="10"/>
    <n v="1215"/>
    <n v="12150"/>
    <n v="900"/>
    <n v="9000"/>
    <n v="3150"/>
    <n v="0.25925925925925924"/>
  </r>
  <r>
    <x v="281"/>
    <s v="ORD-03933"/>
    <x v="2"/>
    <x v="4"/>
    <x v="12"/>
    <x v="6"/>
    <x v="3"/>
    <n v="8"/>
    <n v="1125"/>
    <n v="9000"/>
    <n v="900"/>
    <n v="7200"/>
    <n v="1800"/>
    <n v="0.2"/>
  </r>
  <r>
    <x v="281"/>
    <s v="ORD-03934"/>
    <x v="2"/>
    <x v="0"/>
    <x v="98"/>
    <x v="6"/>
    <x v="3"/>
    <n v="2"/>
    <n v="1143"/>
    <n v="2286"/>
    <n v="900"/>
    <n v="1800"/>
    <n v="486"/>
    <n v="0.2125984251968504"/>
  </r>
  <r>
    <x v="281"/>
    <s v="ORD-03935"/>
    <x v="2"/>
    <x v="0"/>
    <x v="80"/>
    <x v="0"/>
    <x v="0"/>
    <n v="7"/>
    <n v="4320"/>
    <n v="30240"/>
    <n v="3200"/>
    <n v="22400"/>
    <n v="7840"/>
    <n v="0.25925925925925924"/>
  </r>
  <r>
    <x v="281"/>
    <s v="ORD-03936"/>
    <x v="3"/>
    <x v="0"/>
    <x v="104"/>
    <x v="7"/>
    <x v="2"/>
    <n v="6"/>
    <n v="8820"/>
    <n v="52920"/>
    <n v="7000"/>
    <n v="42000"/>
    <n v="10920"/>
    <n v="0.20634920634920634"/>
  </r>
  <r>
    <x v="281"/>
    <s v="ORD-03937"/>
    <x v="2"/>
    <x v="3"/>
    <x v="145"/>
    <x v="1"/>
    <x v="1"/>
    <n v="10"/>
    <n v="57600"/>
    <n v="576000"/>
    <n v="45000"/>
    <n v="450000"/>
    <n v="126000"/>
    <n v="0.21875"/>
  </r>
  <r>
    <x v="281"/>
    <s v="ORD-03938"/>
    <x v="1"/>
    <x v="5"/>
    <x v="147"/>
    <x v="1"/>
    <x v="1"/>
    <n v="3"/>
    <n v="60300"/>
    <n v="180900"/>
    <n v="45000"/>
    <n v="135000"/>
    <n v="45900"/>
    <n v="0.2537313432835821"/>
  </r>
  <r>
    <x v="281"/>
    <s v="ORD-03939"/>
    <x v="3"/>
    <x v="0"/>
    <x v="82"/>
    <x v="2"/>
    <x v="1"/>
    <n v="6"/>
    <n v="49400"/>
    <n v="296400"/>
    <n v="38000"/>
    <n v="228000"/>
    <n v="68400"/>
    <n v="0.23076923076923078"/>
  </r>
  <r>
    <x v="281"/>
    <s v="ORD-03940"/>
    <x v="0"/>
    <x v="2"/>
    <x v="105"/>
    <x v="6"/>
    <x v="3"/>
    <n v="6"/>
    <n v="1080"/>
    <n v="6480"/>
    <n v="900"/>
    <n v="5400"/>
    <n v="1080"/>
    <n v="0.16666666666666666"/>
  </r>
  <r>
    <x v="281"/>
    <s v="ORD-03941"/>
    <x v="1"/>
    <x v="2"/>
    <x v="110"/>
    <x v="3"/>
    <x v="0"/>
    <n v="10"/>
    <n v="3125"/>
    <n v="31250"/>
    <n v="2500"/>
    <n v="25000"/>
    <n v="6250"/>
    <n v="0.2"/>
  </r>
  <r>
    <x v="281"/>
    <s v="ORD-03942"/>
    <x v="1"/>
    <x v="3"/>
    <x v="92"/>
    <x v="2"/>
    <x v="1"/>
    <n v="4"/>
    <n v="54340"/>
    <n v="217360"/>
    <n v="38000"/>
    <n v="152000"/>
    <n v="65360"/>
    <n v="0.30069930069930068"/>
  </r>
  <r>
    <x v="281"/>
    <s v="ORD-03943"/>
    <x v="2"/>
    <x v="4"/>
    <x v="138"/>
    <x v="4"/>
    <x v="2"/>
    <n v="3"/>
    <n v="11475"/>
    <n v="34425"/>
    <n v="8500"/>
    <n v="25500"/>
    <n v="8925"/>
    <n v="0.25925925925925924"/>
  </r>
  <r>
    <x v="281"/>
    <s v="ORD-03944"/>
    <x v="1"/>
    <x v="0"/>
    <x v="133"/>
    <x v="1"/>
    <x v="1"/>
    <n v="6"/>
    <n v="60300"/>
    <n v="361800"/>
    <n v="45000"/>
    <n v="270000"/>
    <n v="91800"/>
    <n v="0.2537313432835821"/>
  </r>
  <r>
    <x v="281"/>
    <s v="ORD-03945"/>
    <x v="1"/>
    <x v="2"/>
    <x v="118"/>
    <x v="5"/>
    <x v="3"/>
    <n v="7"/>
    <n v="834.00000000000011"/>
    <n v="5838.0000000000009"/>
    <n v="600"/>
    <n v="4200"/>
    <n v="1638.0000000000009"/>
    <n v="0.28057553956834541"/>
  </r>
  <r>
    <x v="281"/>
    <s v="ORD-03946"/>
    <x v="1"/>
    <x v="2"/>
    <x v="48"/>
    <x v="3"/>
    <x v="0"/>
    <n v="9"/>
    <n v="3550"/>
    <n v="31950"/>
    <n v="2500"/>
    <n v="22500"/>
    <n v="9450"/>
    <n v="0.29577464788732394"/>
  </r>
  <r>
    <x v="282"/>
    <s v="ORD-03947"/>
    <x v="3"/>
    <x v="3"/>
    <x v="141"/>
    <x v="0"/>
    <x v="0"/>
    <n v="2"/>
    <n v="4224"/>
    <n v="8448"/>
    <n v="3200"/>
    <n v="6400"/>
    <n v="2048"/>
    <n v="0.24242424242424243"/>
  </r>
  <r>
    <x v="282"/>
    <s v="ORD-03948"/>
    <x v="0"/>
    <x v="4"/>
    <x v="24"/>
    <x v="1"/>
    <x v="1"/>
    <n v="9"/>
    <n v="55350"/>
    <n v="498150"/>
    <n v="45000"/>
    <n v="405000"/>
    <n v="93150"/>
    <n v="0.18699186991869918"/>
  </r>
  <r>
    <x v="282"/>
    <s v="ORD-03949"/>
    <x v="1"/>
    <x v="5"/>
    <x v="37"/>
    <x v="7"/>
    <x v="2"/>
    <n v="8"/>
    <n v="9030"/>
    <n v="72240"/>
    <n v="7000"/>
    <n v="56000"/>
    <n v="16240"/>
    <n v="0.22480620155038761"/>
  </r>
  <r>
    <x v="282"/>
    <s v="ORD-03950"/>
    <x v="2"/>
    <x v="4"/>
    <x v="89"/>
    <x v="5"/>
    <x v="3"/>
    <n v="4"/>
    <n v="732"/>
    <n v="2928"/>
    <n v="600"/>
    <n v="2400"/>
    <n v="528"/>
    <n v="0.18032786885245902"/>
  </r>
  <r>
    <x v="282"/>
    <s v="ORD-03951"/>
    <x v="3"/>
    <x v="4"/>
    <x v="25"/>
    <x v="6"/>
    <x v="3"/>
    <n v="5"/>
    <n v="1152"/>
    <n v="5760"/>
    <n v="900"/>
    <n v="4500"/>
    <n v="1260"/>
    <n v="0.21875"/>
  </r>
  <r>
    <x v="282"/>
    <s v="ORD-03952"/>
    <x v="3"/>
    <x v="1"/>
    <x v="75"/>
    <x v="3"/>
    <x v="0"/>
    <n v="7"/>
    <n v="3075"/>
    <n v="21525"/>
    <n v="2500"/>
    <n v="17500"/>
    <n v="4025"/>
    <n v="0.18699186991869918"/>
  </r>
  <r>
    <x v="282"/>
    <s v="ORD-03953"/>
    <x v="3"/>
    <x v="0"/>
    <x v="137"/>
    <x v="7"/>
    <x v="2"/>
    <n v="1"/>
    <n v="8820"/>
    <n v="8820"/>
    <n v="7000"/>
    <n v="7000"/>
    <n v="1820"/>
    <n v="0.20634920634920634"/>
  </r>
  <r>
    <x v="282"/>
    <s v="ORD-03954"/>
    <x v="3"/>
    <x v="5"/>
    <x v="112"/>
    <x v="4"/>
    <x v="2"/>
    <n v="8"/>
    <n v="11730"/>
    <n v="93840"/>
    <n v="8500"/>
    <n v="68000"/>
    <n v="25840"/>
    <n v="0.27536231884057971"/>
  </r>
  <r>
    <x v="282"/>
    <s v="ORD-03955"/>
    <x v="3"/>
    <x v="4"/>
    <x v="49"/>
    <x v="1"/>
    <x v="1"/>
    <n v="3"/>
    <n v="55350"/>
    <n v="166050"/>
    <n v="45000"/>
    <n v="135000"/>
    <n v="31050"/>
    <n v="0.18699186991869918"/>
  </r>
  <r>
    <x v="282"/>
    <s v="ORD-03956"/>
    <x v="3"/>
    <x v="4"/>
    <x v="5"/>
    <x v="7"/>
    <x v="2"/>
    <n v="10"/>
    <n v="9800"/>
    <n v="98000"/>
    <n v="7000"/>
    <n v="70000"/>
    <n v="28000"/>
    <n v="0.2857142857142857"/>
  </r>
  <r>
    <x v="282"/>
    <s v="ORD-03957"/>
    <x v="3"/>
    <x v="3"/>
    <x v="93"/>
    <x v="0"/>
    <x v="0"/>
    <n v="9"/>
    <n v="4640"/>
    <n v="41760"/>
    <n v="3200"/>
    <n v="28800"/>
    <n v="12960"/>
    <n v="0.31034482758620691"/>
  </r>
  <r>
    <x v="282"/>
    <s v="ORD-03958"/>
    <x v="1"/>
    <x v="4"/>
    <x v="55"/>
    <x v="0"/>
    <x v="0"/>
    <n v="5"/>
    <n v="4384"/>
    <n v="21920"/>
    <n v="3200"/>
    <n v="16000"/>
    <n v="5920"/>
    <n v="0.27007299270072993"/>
  </r>
  <r>
    <x v="282"/>
    <s v="ORD-03959"/>
    <x v="1"/>
    <x v="1"/>
    <x v="127"/>
    <x v="5"/>
    <x v="3"/>
    <n v="4"/>
    <n v="822.00000000000011"/>
    <n v="3288.0000000000005"/>
    <n v="600"/>
    <n v="2400"/>
    <n v="888.00000000000045"/>
    <n v="0.27007299270073004"/>
  </r>
  <r>
    <x v="282"/>
    <s v="ORD-03960"/>
    <x v="0"/>
    <x v="0"/>
    <x v="53"/>
    <x v="4"/>
    <x v="2"/>
    <n v="7"/>
    <n v="11390"/>
    <n v="79730"/>
    <n v="8500"/>
    <n v="59500"/>
    <n v="20230"/>
    <n v="0.2537313432835821"/>
  </r>
  <r>
    <x v="283"/>
    <s v="ORD-03961"/>
    <x v="2"/>
    <x v="5"/>
    <x v="75"/>
    <x v="1"/>
    <x v="1"/>
    <n v="1"/>
    <n v="58500"/>
    <n v="58500"/>
    <n v="45000"/>
    <n v="45000"/>
    <n v="13500"/>
    <n v="0.23076923076923078"/>
  </r>
  <r>
    <x v="283"/>
    <s v="ORD-03962"/>
    <x v="1"/>
    <x v="1"/>
    <x v="148"/>
    <x v="2"/>
    <x v="1"/>
    <n v="5"/>
    <n v="48640"/>
    <n v="243200"/>
    <n v="38000"/>
    <n v="190000"/>
    <n v="53200"/>
    <n v="0.21875"/>
  </r>
  <r>
    <x v="283"/>
    <s v="ORD-03963"/>
    <x v="0"/>
    <x v="2"/>
    <x v="66"/>
    <x v="5"/>
    <x v="3"/>
    <n v="8"/>
    <n v="720"/>
    <n v="5760"/>
    <n v="600"/>
    <n v="4800"/>
    <n v="960"/>
    <n v="0.16666666666666666"/>
  </r>
  <r>
    <x v="283"/>
    <s v="ORD-03964"/>
    <x v="2"/>
    <x v="3"/>
    <x v="31"/>
    <x v="0"/>
    <x v="0"/>
    <n v="9"/>
    <n v="3904"/>
    <n v="35136"/>
    <n v="3200"/>
    <n v="28800"/>
    <n v="6336"/>
    <n v="0.18032786885245902"/>
  </r>
  <r>
    <x v="283"/>
    <s v="ORD-03965"/>
    <x v="3"/>
    <x v="5"/>
    <x v="126"/>
    <x v="2"/>
    <x v="1"/>
    <n v="6"/>
    <n v="45600"/>
    <n v="273600"/>
    <n v="38000"/>
    <n v="228000"/>
    <n v="45600"/>
    <n v="0.16666666666666666"/>
  </r>
  <r>
    <x v="283"/>
    <s v="ORD-03966"/>
    <x v="2"/>
    <x v="4"/>
    <x v="44"/>
    <x v="6"/>
    <x v="3"/>
    <n v="9"/>
    <n v="1224"/>
    <n v="11016"/>
    <n v="900"/>
    <n v="8100"/>
    <n v="2916"/>
    <n v="0.26470588235294118"/>
  </r>
  <r>
    <x v="283"/>
    <s v="ORD-03967"/>
    <x v="1"/>
    <x v="1"/>
    <x v="16"/>
    <x v="4"/>
    <x v="2"/>
    <n v="3"/>
    <n v="11475"/>
    <n v="34425"/>
    <n v="8500"/>
    <n v="25500"/>
    <n v="8925"/>
    <n v="0.25925925925925924"/>
  </r>
  <r>
    <x v="283"/>
    <s v="ORD-03968"/>
    <x v="2"/>
    <x v="0"/>
    <x v="18"/>
    <x v="3"/>
    <x v="0"/>
    <n v="8"/>
    <n v="3399.9999999999995"/>
    <n v="27199.999999999996"/>
    <n v="2500"/>
    <n v="20000"/>
    <n v="7199.9999999999964"/>
    <n v="0.26470588235294107"/>
  </r>
  <r>
    <x v="283"/>
    <s v="ORD-03969"/>
    <x v="3"/>
    <x v="4"/>
    <x v="21"/>
    <x v="6"/>
    <x v="3"/>
    <n v="8"/>
    <n v="1116"/>
    <n v="8928"/>
    <n v="900"/>
    <n v="7200"/>
    <n v="1728"/>
    <n v="0.19354838709677419"/>
  </r>
  <r>
    <x v="283"/>
    <s v="ORD-03970"/>
    <x v="1"/>
    <x v="5"/>
    <x v="81"/>
    <x v="1"/>
    <x v="1"/>
    <n v="1"/>
    <n v="54900"/>
    <n v="54900"/>
    <n v="45000"/>
    <n v="45000"/>
    <n v="9900"/>
    <n v="0.18032786885245902"/>
  </r>
  <r>
    <x v="283"/>
    <s v="ORD-03971"/>
    <x v="2"/>
    <x v="2"/>
    <x v="16"/>
    <x v="3"/>
    <x v="0"/>
    <n v="8"/>
    <n v="3150"/>
    <n v="25200"/>
    <n v="2500"/>
    <n v="20000"/>
    <n v="5200"/>
    <n v="0.20634920634920634"/>
  </r>
  <r>
    <x v="283"/>
    <s v="ORD-03972"/>
    <x v="3"/>
    <x v="5"/>
    <x v="98"/>
    <x v="5"/>
    <x v="3"/>
    <n v="2"/>
    <n v="768"/>
    <n v="1536"/>
    <n v="600"/>
    <n v="1200"/>
    <n v="336"/>
    <n v="0.21875"/>
  </r>
  <r>
    <x v="283"/>
    <s v="ORD-03973"/>
    <x v="0"/>
    <x v="4"/>
    <x v="93"/>
    <x v="1"/>
    <x v="1"/>
    <n v="2"/>
    <n v="61650.000000000007"/>
    <n v="123300.00000000001"/>
    <n v="45000"/>
    <n v="90000"/>
    <n v="33300.000000000015"/>
    <n v="0.27007299270072999"/>
  </r>
  <r>
    <x v="283"/>
    <s v="ORD-03974"/>
    <x v="3"/>
    <x v="3"/>
    <x v="41"/>
    <x v="4"/>
    <x v="2"/>
    <n v="5"/>
    <n v="11050"/>
    <n v="55250"/>
    <n v="8500"/>
    <n v="42500"/>
    <n v="12750"/>
    <n v="0.23076923076923078"/>
  </r>
  <r>
    <x v="284"/>
    <s v="ORD-03975"/>
    <x v="2"/>
    <x v="4"/>
    <x v="82"/>
    <x v="3"/>
    <x v="0"/>
    <n v="2"/>
    <n v="3500"/>
    <n v="7000"/>
    <n v="2500"/>
    <n v="5000"/>
    <n v="2000"/>
    <n v="0.2857142857142857"/>
  </r>
  <r>
    <x v="284"/>
    <s v="ORD-03976"/>
    <x v="0"/>
    <x v="2"/>
    <x v="3"/>
    <x v="3"/>
    <x v="0"/>
    <n v="1"/>
    <n v="3275"/>
    <n v="3275"/>
    <n v="2500"/>
    <n v="2500"/>
    <n v="775"/>
    <n v="0.23664122137404581"/>
  </r>
  <r>
    <x v="284"/>
    <s v="ORD-03977"/>
    <x v="2"/>
    <x v="2"/>
    <x v="62"/>
    <x v="1"/>
    <x v="1"/>
    <n v="3"/>
    <n v="58950"/>
    <n v="176850"/>
    <n v="45000"/>
    <n v="135000"/>
    <n v="41850"/>
    <n v="0.23664122137404581"/>
  </r>
  <r>
    <x v="284"/>
    <s v="ORD-03978"/>
    <x v="0"/>
    <x v="3"/>
    <x v="26"/>
    <x v="0"/>
    <x v="0"/>
    <n v="10"/>
    <n v="4096"/>
    <n v="40960"/>
    <n v="3200"/>
    <n v="32000"/>
    <n v="8960"/>
    <n v="0.21875"/>
  </r>
  <r>
    <x v="284"/>
    <s v="ORD-03979"/>
    <x v="0"/>
    <x v="2"/>
    <x v="139"/>
    <x v="0"/>
    <x v="0"/>
    <n v="7"/>
    <n v="4032"/>
    <n v="28224"/>
    <n v="3200"/>
    <n v="22400"/>
    <n v="5824"/>
    <n v="0.20634920634920634"/>
  </r>
  <r>
    <x v="284"/>
    <s v="ORD-03980"/>
    <x v="0"/>
    <x v="4"/>
    <x v="96"/>
    <x v="5"/>
    <x v="3"/>
    <n v="6"/>
    <n v="726"/>
    <n v="4356"/>
    <n v="600"/>
    <n v="3600"/>
    <n v="756"/>
    <n v="0.17355371900826447"/>
  </r>
  <r>
    <x v="284"/>
    <s v="ORD-03981"/>
    <x v="0"/>
    <x v="0"/>
    <x v="57"/>
    <x v="1"/>
    <x v="1"/>
    <n v="9"/>
    <n v="65250"/>
    <n v="587250"/>
    <n v="45000"/>
    <n v="405000"/>
    <n v="182250"/>
    <n v="0.31034482758620691"/>
  </r>
  <r>
    <x v="284"/>
    <s v="ORD-03982"/>
    <x v="0"/>
    <x v="0"/>
    <x v="9"/>
    <x v="6"/>
    <x v="3"/>
    <n v="4"/>
    <n v="1260"/>
    <n v="5040"/>
    <n v="900"/>
    <n v="3600"/>
    <n v="1440"/>
    <n v="0.2857142857142857"/>
  </r>
  <r>
    <x v="284"/>
    <s v="ORD-03983"/>
    <x v="1"/>
    <x v="0"/>
    <x v="2"/>
    <x v="7"/>
    <x v="2"/>
    <n v="7"/>
    <n v="8680"/>
    <n v="60760"/>
    <n v="7000"/>
    <n v="49000"/>
    <n v="11760"/>
    <n v="0.19354838709677419"/>
  </r>
  <r>
    <x v="284"/>
    <s v="ORD-03984"/>
    <x v="3"/>
    <x v="0"/>
    <x v="81"/>
    <x v="5"/>
    <x v="3"/>
    <n v="7"/>
    <n v="870"/>
    <n v="6090"/>
    <n v="600"/>
    <n v="4200"/>
    <n v="1890"/>
    <n v="0.31034482758620691"/>
  </r>
  <r>
    <x v="284"/>
    <s v="ORD-03985"/>
    <x v="2"/>
    <x v="3"/>
    <x v="75"/>
    <x v="5"/>
    <x v="3"/>
    <n v="2"/>
    <n v="786"/>
    <n v="1572"/>
    <n v="600"/>
    <n v="1200"/>
    <n v="372"/>
    <n v="0.23664122137404581"/>
  </r>
  <r>
    <x v="284"/>
    <s v="ORD-03986"/>
    <x v="1"/>
    <x v="2"/>
    <x v="63"/>
    <x v="2"/>
    <x v="1"/>
    <n v="10"/>
    <n v="47120"/>
    <n v="471200"/>
    <n v="38000"/>
    <n v="380000"/>
    <n v="91200"/>
    <n v="0.19354838709677419"/>
  </r>
  <r>
    <x v="284"/>
    <s v="ORD-03987"/>
    <x v="0"/>
    <x v="4"/>
    <x v="58"/>
    <x v="6"/>
    <x v="3"/>
    <n v="5"/>
    <n v="1206"/>
    <n v="6030"/>
    <n v="900"/>
    <n v="4500"/>
    <n v="1530"/>
    <n v="0.2537313432835821"/>
  </r>
  <r>
    <x v="284"/>
    <s v="ORD-03988"/>
    <x v="1"/>
    <x v="5"/>
    <x v="16"/>
    <x v="2"/>
    <x v="1"/>
    <n v="7"/>
    <n v="45600"/>
    <n v="319200"/>
    <n v="38000"/>
    <n v="266000"/>
    <n v="53200"/>
    <n v="0.16666666666666666"/>
  </r>
  <r>
    <x v="285"/>
    <s v="ORD-03989"/>
    <x v="1"/>
    <x v="4"/>
    <x v="136"/>
    <x v="1"/>
    <x v="1"/>
    <n v="9"/>
    <n v="60300"/>
    <n v="542700"/>
    <n v="45000"/>
    <n v="405000"/>
    <n v="137700"/>
    <n v="0.2537313432835821"/>
  </r>
  <r>
    <x v="285"/>
    <s v="ORD-03990"/>
    <x v="0"/>
    <x v="3"/>
    <x v="17"/>
    <x v="7"/>
    <x v="2"/>
    <n v="3"/>
    <n v="9240"/>
    <n v="27720"/>
    <n v="7000"/>
    <n v="21000"/>
    <n v="6720"/>
    <n v="0.24242424242424243"/>
  </r>
  <r>
    <x v="285"/>
    <s v="ORD-03991"/>
    <x v="3"/>
    <x v="4"/>
    <x v="25"/>
    <x v="1"/>
    <x v="1"/>
    <n v="6"/>
    <n v="58050"/>
    <n v="348300"/>
    <n v="45000"/>
    <n v="270000"/>
    <n v="78300"/>
    <n v="0.22480620155038761"/>
  </r>
  <r>
    <x v="285"/>
    <s v="ORD-03992"/>
    <x v="0"/>
    <x v="2"/>
    <x v="24"/>
    <x v="5"/>
    <x v="3"/>
    <n v="7"/>
    <n v="815.99999999999989"/>
    <n v="5711.9999999999991"/>
    <n v="600"/>
    <n v="4200"/>
    <n v="1511.9999999999991"/>
    <n v="0.26470588235294107"/>
  </r>
  <r>
    <x v="285"/>
    <s v="ORD-03993"/>
    <x v="2"/>
    <x v="5"/>
    <x v="22"/>
    <x v="5"/>
    <x v="3"/>
    <n v="5"/>
    <n v="792"/>
    <n v="3960"/>
    <n v="600"/>
    <n v="3000"/>
    <n v="960"/>
    <n v="0.24242424242424243"/>
  </r>
  <r>
    <x v="285"/>
    <s v="ORD-03994"/>
    <x v="3"/>
    <x v="1"/>
    <x v="83"/>
    <x v="5"/>
    <x v="3"/>
    <n v="7"/>
    <n v="720"/>
    <n v="5040"/>
    <n v="600"/>
    <n v="4200"/>
    <n v="840"/>
    <n v="0.16666666666666666"/>
  </r>
  <r>
    <x v="285"/>
    <s v="ORD-03995"/>
    <x v="1"/>
    <x v="0"/>
    <x v="2"/>
    <x v="0"/>
    <x v="0"/>
    <n v="7"/>
    <n v="4512"/>
    <n v="31584"/>
    <n v="3200"/>
    <n v="22400"/>
    <n v="9184"/>
    <n v="0.29078014184397161"/>
  </r>
  <r>
    <x v="285"/>
    <s v="ORD-03996"/>
    <x v="3"/>
    <x v="0"/>
    <x v="0"/>
    <x v="6"/>
    <x v="3"/>
    <n v="9"/>
    <n v="1080"/>
    <n v="9720"/>
    <n v="900"/>
    <n v="8100"/>
    <n v="1620"/>
    <n v="0.16666666666666666"/>
  </r>
  <r>
    <x v="285"/>
    <s v="ORD-03997"/>
    <x v="1"/>
    <x v="0"/>
    <x v="78"/>
    <x v="0"/>
    <x v="0"/>
    <n v="5"/>
    <n v="4064"/>
    <n v="20320"/>
    <n v="3200"/>
    <n v="16000"/>
    <n v="4320"/>
    <n v="0.2125984251968504"/>
  </r>
  <r>
    <x v="285"/>
    <s v="ORD-03998"/>
    <x v="2"/>
    <x v="5"/>
    <x v="46"/>
    <x v="3"/>
    <x v="0"/>
    <n v="3"/>
    <n v="3075"/>
    <n v="9225"/>
    <n v="2500"/>
    <n v="7500"/>
    <n v="1725"/>
    <n v="0.18699186991869918"/>
  </r>
  <r>
    <x v="285"/>
    <s v="ORD-03999"/>
    <x v="1"/>
    <x v="1"/>
    <x v="23"/>
    <x v="7"/>
    <x v="2"/>
    <n v="3"/>
    <n v="9170"/>
    <n v="27510"/>
    <n v="7000"/>
    <n v="21000"/>
    <n v="6510"/>
    <n v="0.23664122137404581"/>
  </r>
  <r>
    <x v="285"/>
    <s v="ORD-04000"/>
    <x v="0"/>
    <x v="0"/>
    <x v="129"/>
    <x v="1"/>
    <x v="1"/>
    <n v="8"/>
    <n v="58950"/>
    <n v="471600"/>
    <n v="45000"/>
    <n v="360000"/>
    <n v="111600"/>
    <n v="0.23664122137404581"/>
  </r>
  <r>
    <x v="285"/>
    <s v="ORD-04001"/>
    <x v="2"/>
    <x v="5"/>
    <x v="44"/>
    <x v="7"/>
    <x v="2"/>
    <n v="8"/>
    <n v="8960"/>
    <n v="71680"/>
    <n v="7000"/>
    <n v="56000"/>
    <n v="15680"/>
    <n v="0.21875"/>
  </r>
  <r>
    <x v="285"/>
    <s v="ORD-04002"/>
    <x v="3"/>
    <x v="0"/>
    <x v="6"/>
    <x v="2"/>
    <x v="1"/>
    <n v="10"/>
    <n v="52439.999999999993"/>
    <n v="524399.99999999988"/>
    <n v="38000"/>
    <n v="380000"/>
    <n v="144399.99999999988"/>
    <n v="0.27536231884057955"/>
  </r>
  <r>
    <x v="286"/>
    <s v="ORD-04003"/>
    <x v="1"/>
    <x v="4"/>
    <x v="129"/>
    <x v="6"/>
    <x v="3"/>
    <n v="8"/>
    <n v="1224"/>
    <n v="9792"/>
    <n v="900"/>
    <n v="7200"/>
    <n v="2592"/>
    <n v="0.26470588235294118"/>
  </r>
  <r>
    <x v="286"/>
    <s v="ORD-04004"/>
    <x v="1"/>
    <x v="1"/>
    <x v="101"/>
    <x v="5"/>
    <x v="3"/>
    <n v="9"/>
    <n v="726"/>
    <n v="6534"/>
    <n v="600"/>
    <n v="5400"/>
    <n v="1134"/>
    <n v="0.17355371900826447"/>
  </r>
  <r>
    <x v="286"/>
    <s v="ORD-04005"/>
    <x v="1"/>
    <x v="0"/>
    <x v="95"/>
    <x v="2"/>
    <x v="1"/>
    <n v="8"/>
    <n v="46360"/>
    <n v="370880"/>
    <n v="38000"/>
    <n v="304000"/>
    <n v="66880"/>
    <n v="0.18032786885245902"/>
  </r>
  <r>
    <x v="286"/>
    <s v="ORD-04006"/>
    <x v="3"/>
    <x v="3"/>
    <x v="58"/>
    <x v="1"/>
    <x v="1"/>
    <n v="2"/>
    <n v="64800"/>
    <n v="129600"/>
    <n v="45000"/>
    <n v="90000"/>
    <n v="39600"/>
    <n v="0.30555555555555558"/>
  </r>
  <r>
    <x v="286"/>
    <s v="ORD-04007"/>
    <x v="0"/>
    <x v="3"/>
    <x v="32"/>
    <x v="4"/>
    <x v="2"/>
    <n v="7"/>
    <n v="11220"/>
    <n v="78540"/>
    <n v="8500"/>
    <n v="59500"/>
    <n v="19040"/>
    <n v="0.24242424242424243"/>
  </r>
  <r>
    <x v="286"/>
    <s v="ORD-04008"/>
    <x v="1"/>
    <x v="4"/>
    <x v="79"/>
    <x v="3"/>
    <x v="0"/>
    <n v="10"/>
    <n v="3275"/>
    <n v="32750"/>
    <n v="2500"/>
    <n v="25000"/>
    <n v="7750"/>
    <n v="0.23664122137404581"/>
  </r>
  <r>
    <x v="286"/>
    <s v="ORD-04009"/>
    <x v="0"/>
    <x v="0"/>
    <x v="102"/>
    <x v="4"/>
    <x v="2"/>
    <n v="2"/>
    <n v="11390"/>
    <n v="22780"/>
    <n v="8500"/>
    <n v="17000"/>
    <n v="5780"/>
    <n v="0.2537313432835821"/>
  </r>
  <r>
    <x v="286"/>
    <s v="ORD-04010"/>
    <x v="2"/>
    <x v="1"/>
    <x v="139"/>
    <x v="6"/>
    <x v="3"/>
    <n v="6"/>
    <n v="1134"/>
    <n v="6804"/>
    <n v="900"/>
    <n v="5400"/>
    <n v="1404"/>
    <n v="0.20634920634920634"/>
  </r>
  <r>
    <x v="286"/>
    <s v="ORD-04011"/>
    <x v="0"/>
    <x v="3"/>
    <x v="90"/>
    <x v="1"/>
    <x v="1"/>
    <n v="7"/>
    <n v="56700"/>
    <n v="396900"/>
    <n v="45000"/>
    <n v="315000"/>
    <n v="81900"/>
    <n v="0.20634920634920634"/>
  </r>
  <r>
    <x v="286"/>
    <s v="ORD-04012"/>
    <x v="1"/>
    <x v="5"/>
    <x v="91"/>
    <x v="5"/>
    <x v="3"/>
    <n v="1"/>
    <n v="846"/>
    <n v="846"/>
    <n v="600"/>
    <n v="600"/>
    <n v="246"/>
    <n v="0.29078014184397161"/>
  </r>
  <r>
    <x v="286"/>
    <s v="ORD-04013"/>
    <x v="0"/>
    <x v="0"/>
    <x v="0"/>
    <x v="5"/>
    <x v="3"/>
    <n v="9"/>
    <n v="786"/>
    <n v="7074"/>
    <n v="600"/>
    <n v="5400"/>
    <n v="1674"/>
    <n v="0.23664122137404581"/>
  </r>
  <r>
    <x v="286"/>
    <s v="ORD-04014"/>
    <x v="0"/>
    <x v="0"/>
    <x v="68"/>
    <x v="0"/>
    <x v="0"/>
    <n v="8"/>
    <n v="3872"/>
    <n v="30976"/>
    <n v="3200"/>
    <n v="25600"/>
    <n v="5376"/>
    <n v="0.17355371900826447"/>
  </r>
  <r>
    <x v="286"/>
    <s v="ORD-04015"/>
    <x v="0"/>
    <x v="4"/>
    <x v="65"/>
    <x v="5"/>
    <x v="3"/>
    <n v="9"/>
    <n v="750"/>
    <n v="6750"/>
    <n v="600"/>
    <n v="5400"/>
    <n v="1350"/>
    <n v="0.2"/>
  </r>
  <r>
    <x v="286"/>
    <s v="ORD-04016"/>
    <x v="0"/>
    <x v="3"/>
    <x v="137"/>
    <x v="3"/>
    <x v="0"/>
    <n v="8"/>
    <n v="3350"/>
    <n v="26800"/>
    <n v="2500"/>
    <n v="20000"/>
    <n v="6800"/>
    <n v="0.2537313432835821"/>
  </r>
  <r>
    <x v="287"/>
    <s v="ORD-04017"/>
    <x v="0"/>
    <x v="4"/>
    <x v="32"/>
    <x v="2"/>
    <x v="1"/>
    <n v="4"/>
    <n v="54720"/>
    <n v="218880"/>
    <n v="38000"/>
    <n v="152000"/>
    <n v="66880"/>
    <n v="0.30555555555555558"/>
  </r>
  <r>
    <x v="287"/>
    <s v="ORD-04018"/>
    <x v="2"/>
    <x v="2"/>
    <x v="133"/>
    <x v="6"/>
    <x v="3"/>
    <n v="2"/>
    <n v="1206"/>
    <n v="2412"/>
    <n v="900"/>
    <n v="1800"/>
    <n v="612"/>
    <n v="0.2537313432835821"/>
  </r>
  <r>
    <x v="287"/>
    <s v="ORD-04019"/>
    <x v="1"/>
    <x v="5"/>
    <x v="50"/>
    <x v="6"/>
    <x v="3"/>
    <n v="10"/>
    <n v="1233"/>
    <n v="12330"/>
    <n v="900"/>
    <n v="9000"/>
    <n v="3330"/>
    <n v="0.27007299270072993"/>
  </r>
  <r>
    <x v="287"/>
    <s v="ORD-04020"/>
    <x v="3"/>
    <x v="2"/>
    <x v="11"/>
    <x v="2"/>
    <x v="1"/>
    <n v="10"/>
    <n v="50540"/>
    <n v="505400"/>
    <n v="38000"/>
    <n v="380000"/>
    <n v="125400"/>
    <n v="0.24812030075187969"/>
  </r>
  <r>
    <x v="287"/>
    <s v="ORD-04021"/>
    <x v="0"/>
    <x v="1"/>
    <x v="14"/>
    <x v="4"/>
    <x v="2"/>
    <n v="10"/>
    <n v="10795"/>
    <n v="107950"/>
    <n v="8500"/>
    <n v="85000"/>
    <n v="22950"/>
    <n v="0.2125984251968504"/>
  </r>
  <r>
    <x v="287"/>
    <s v="ORD-04022"/>
    <x v="2"/>
    <x v="0"/>
    <x v="146"/>
    <x v="4"/>
    <x v="2"/>
    <n v="4"/>
    <n v="12155"/>
    <n v="48620"/>
    <n v="8500"/>
    <n v="34000"/>
    <n v="14620"/>
    <n v="0.30069930069930068"/>
  </r>
  <r>
    <x v="287"/>
    <s v="ORD-04023"/>
    <x v="3"/>
    <x v="3"/>
    <x v="66"/>
    <x v="2"/>
    <x v="1"/>
    <n v="4"/>
    <n v="47500"/>
    <n v="190000"/>
    <n v="38000"/>
    <n v="152000"/>
    <n v="38000"/>
    <n v="0.2"/>
  </r>
  <r>
    <x v="287"/>
    <s v="ORD-04024"/>
    <x v="0"/>
    <x v="4"/>
    <x v="54"/>
    <x v="1"/>
    <x v="1"/>
    <n v="5"/>
    <n v="62099.999999999993"/>
    <n v="310499.99999999994"/>
    <n v="45000"/>
    <n v="225000"/>
    <n v="85499.999999999942"/>
    <n v="0.2753623188405796"/>
  </r>
  <r>
    <x v="287"/>
    <s v="ORD-04025"/>
    <x v="2"/>
    <x v="4"/>
    <x v="71"/>
    <x v="1"/>
    <x v="1"/>
    <n v="7"/>
    <n v="55800"/>
    <n v="390600"/>
    <n v="45000"/>
    <n v="315000"/>
    <n v="75600"/>
    <n v="0.19354838709677419"/>
  </r>
  <r>
    <x v="287"/>
    <s v="ORD-04026"/>
    <x v="3"/>
    <x v="3"/>
    <x v="99"/>
    <x v="2"/>
    <x v="1"/>
    <n v="1"/>
    <n v="46360"/>
    <n v="46360"/>
    <n v="38000"/>
    <n v="38000"/>
    <n v="8360"/>
    <n v="0.18032786885245902"/>
  </r>
  <r>
    <x v="287"/>
    <s v="ORD-04027"/>
    <x v="2"/>
    <x v="3"/>
    <x v="15"/>
    <x v="0"/>
    <x v="0"/>
    <n v="6"/>
    <n v="4096"/>
    <n v="24576"/>
    <n v="3200"/>
    <n v="19200"/>
    <n v="5376"/>
    <n v="0.21875"/>
  </r>
  <r>
    <x v="287"/>
    <s v="ORD-04028"/>
    <x v="2"/>
    <x v="5"/>
    <x v="133"/>
    <x v="0"/>
    <x v="0"/>
    <n v="6"/>
    <n v="4096"/>
    <n v="24576"/>
    <n v="3200"/>
    <n v="19200"/>
    <n v="5376"/>
    <n v="0.21875"/>
  </r>
  <r>
    <x v="287"/>
    <s v="ORD-04029"/>
    <x v="0"/>
    <x v="4"/>
    <x v="116"/>
    <x v="6"/>
    <x v="3"/>
    <n v="1"/>
    <n v="1107"/>
    <n v="1107"/>
    <n v="900"/>
    <n v="900"/>
    <n v="207"/>
    <n v="0.18699186991869918"/>
  </r>
  <r>
    <x v="287"/>
    <s v="ORD-04030"/>
    <x v="3"/>
    <x v="4"/>
    <x v="62"/>
    <x v="7"/>
    <x v="2"/>
    <n v="4"/>
    <n v="9940"/>
    <n v="39760"/>
    <n v="7000"/>
    <n v="28000"/>
    <n v="11760"/>
    <n v="0.29577464788732394"/>
  </r>
  <r>
    <x v="288"/>
    <s v="ORD-04031"/>
    <x v="1"/>
    <x v="2"/>
    <x v="108"/>
    <x v="3"/>
    <x v="0"/>
    <n v="10"/>
    <n v="3150"/>
    <n v="31500"/>
    <n v="2500"/>
    <n v="25000"/>
    <n v="6500"/>
    <n v="0.20634920634920634"/>
  </r>
  <r>
    <x v="288"/>
    <s v="ORD-04032"/>
    <x v="2"/>
    <x v="4"/>
    <x v="137"/>
    <x v="0"/>
    <x v="0"/>
    <n v="8"/>
    <n v="3840"/>
    <n v="30720"/>
    <n v="3200"/>
    <n v="25600"/>
    <n v="5120"/>
    <n v="0.16666666666666666"/>
  </r>
  <r>
    <x v="288"/>
    <s v="ORD-04033"/>
    <x v="3"/>
    <x v="0"/>
    <x v="39"/>
    <x v="2"/>
    <x v="1"/>
    <n v="3"/>
    <n v="46740"/>
    <n v="140220"/>
    <n v="38000"/>
    <n v="114000"/>
    <n v="26220"/>
    <n v="0.18699186991869918"/>
  </r>
  <r>
    <x v="288"/>
    <s v="ORD-04034"/>
    <x v="0"/>
    <x v="4"/>
    <x v="38"/>
    <x v="4"/>
    <x v="2"/>
    <n v="2"/>
    <n v="10370"/>
    <n v="20740"/>
    <n v="8500"/>
    <n v="17000"/>
    <n v="3740"/>
    <n v="0.18032786885245902"/>
  </r>
  <r>
    <x v="288"/>
    <s v="ORD-04035"/>
    <x v="2"/>
    <x v="1"/>
    <x v="141"/>
    <x v="6"/>
    <x v="3"/>
    <n v="5"/>
    <n v="1170"/>
    <n v="5850"/>
    <n v="900"/>
    <n v="4500"/>
    <n v="1350"/>
    <n v="0.23076923076923078"/>
  </r>
  <r>
    <x v="288"/>
    <s v="ORD-04036"/>
    <x v="1"/>
    <x v="1"/>
    <x v="114"/>
    <x v="0"/>
    <x v="0"/>
    <n v="10"/>
    <n v="4544"/>
    <n v="45440"/>
    <n v="3200"/>
    <n v="32000"/>
    <n v="13440"/>
    <n v="0.29577464788732394"/>
  </r>
  <r>
    <x v="288"/>
    <s v="ORD-04037"/>
    <x v="3"/>
    <x v="4"/>
    <x v="102"/>
    <x v="4"/>
    <x v="2"/>
    <n v="1"/>
    <n v="12240"/>
    <n v="12240"/>
    <n v="8500"/>
    <n v="8500"/>
    <n v="3740"/>
    <n v="0.30555555555555558"/>
  </r>
  <r>
    <x v="288"/>
    <s v="ORD-04038"/>
    <x v="3"/>
    <x v="2"/>
    <x v="97"/>
    <x v="5"/>
    <x v="3"/>
    <n v="3"/>
    <n v="750"/>
    <n v="2250"/>
    <n v="600"/>
    <n v="1800"/>
    <n v="450"/>
    <n v="0.2"/>
  </r>
  <r>
    <x v="288"/>
    <s v="ORD-04039"/>
    <x v="2"/>
    <x v="3"/>
    <x v="27"/>
    <x v="1"/>
    <x v="1"/>
    <n v="10"/>
    <n v="64800"/>
    <n v="648000"/>
    <n v="45000"/>
    <n v="450000"/>
    <n v="198000"/>
    <n v="0.30555555555555558"/>
  </r>
  <r>
    <x v="288"/>
    <s v="ORD-04040"/>
    <x v="2"/>
    <x v="1"/>
    <x v="17"/>
    <x v="6"/>
    <x v="3"/>
    <n v="7"/>
    <n v="1107"/>
    <n v="7749"/>
    <n v="900"/>
    <n v="6300"/>
    <n v="1449"/>
    <n v="0.18699186991869918"/>
  </r>
  <r>
    <x v="288"/>
    <s v="ORD-04041"/>
    <x v="1"/>
    <x v="1"/>
    <x v="5"/>
    <x v="4"/>
    <x v="2"/>
    <n v="10"/>
    <n v="10285"/>
    <n v="102850"/>
    <n v="8500"/>
    <n v="85000"/>
    <n v="17850"/>
    <n v="0.17355371900826447"/>
  </r>
  <r>
    <x v="288"/>
    <s v="ORD-04042"/>
    <x v="3"/>
    <x v="3"/>
    <x v="88"/>
    <x v="7"/>
    <x v="2"/>
    <n v="7"/>
    <n v="8400"/>
    <n v="58800"/>
    <n v="7000"/>
    <n v="49000"/>
    <n v="9800"/>
    <n v="0.16666666666666666"/>
  </r>
  <r>
    <x v="288"/>
    <s v="ORD-04043"/>
    <x v="2"/>
    <x v="0"/>
    <x v="133"/>
    <x v="3"/>
    <x v="0"/>
    <n v="10"/>
    <n v="3200"/>
    <n v="32000"/>
    <n v="2500"/>
    <n v="25000"/>
    <n v="7000"/>
    <n v="0.21875"/>
  </r>
  <r>
    <x v="288"/>
    <s v="ORD-04044"/>
    <x v="1"/>
    <x v="2"/>
    <x v="74"/>
    <x v="4"/>
    <x v="2"/>
    <n v="1"/>
    <n v="10625"/>
    <n v="10625"/>
    <n v="8500"/>
    <n v="8500"/>
    <n v="2125"/>
    <n v="0.2"/>
  </r>
  <r>
    <x v="289"/>
    <s v="ORD-04045"/>
    <x v="0"/>
    <x v="0"/>
    <x v="37"/>
    <x v="5"/>
    <x v="3"/>
    <n v="4"/>
    <n v="815.99999999999989"/>
    <n v="3263.9999999999995"/>
    <n v="600"/>
    <n v="2400"/>
    <n v="863.99999999999955"/>
    <n v="0.26470588235294107"/>
  </r>
  <r>
    <x v="289"/>
    <s v="ORD-04046"/>
    <x v="1"/>
    <x v="4"/>
    <x v="85"/>
    <x v="2"/>
    <x v="1"/>
    <n v="7"/>
    <n v="48640"/>
    <n v="340480"/>
    <n v="38000"/>
    <n v="266000"/>
    <n v="74480"/>
    <n v="0.21875"/>
  </r>
  <r>
    <x v="289"/>
    <s v="ORD-04047"/>
    <x v="2"/>
    <x v="3"/>
    <x v="144"/>
    <x v="7"/>
    <x v="2"/>
    <n v="6"/>
    <n v="8610"/>
    <n v="51660"/>
    <n v="7000"/>
    <n v="42000"/>
    <n v="9660"/>
    <n v="0.18699186991869918"/>
  </r>
  <r>
    <x v="289"/>
    <s v="ORD-04048"/>
    <x v="3"/>
    <x v="0"/>
    <x v="33"/>
    <x v="0"/>
    <x v="0"/>
    <n v="8"/>
    <n v="4576"/>
    <n v="36608"/>
    <n v="3200"/>
    <n v="25600"/>
    <n v="11008"/>
    <n v="0.30069930069930068"/>
  </r>
  <r>
    <x v="289"/>
    <s v="ORD-04049"/>
    <x v="1"/>
    <x v="0"/>
    <x v="12"/>
    <x v="6"/>
    <x v="3"/>
    <n v="6"/>
    <n v="1251"/>
    <n v="7506"/>
    <n v="900"/>
    <n v="5400"/>
    <n v="2106"/>
    <n v="0.2805755395683453"/>
  </r>
  <r>
    <x v="289"/>
    <s v="ORD-04050"/>
    <x v="2"/>
    <x v="2"/>
    <x v="49"/>
    <x v="5"/>
    <x v="3"/>
    <n v="3"/>
    <n v="815.99999999999989"/>
    <n v="2447.9999999999995"/>
    <n v="600"/>
    <n v="1800"/>
    <n v="647.99999999999955"/>
    <n v="0.26470588235294101"/>
  </r>
  <r>
    <x v="289"/>
    <s v="ORD-04051"/>
    <x v="3"/>
    <x v="3"/>
    <x v="138"/>
    <x v="7"/>
    <x v="2"/>
    <n v="7"/>
    <n v="9590"/>
    <n v="67130"/>
    <n v="7000"/>
    <n v="49000"/>
    <n v="18130"/>
    <n v="0.27007299270072993"/>
  </r>
  <r>
    <x v="289"/>
    <s v="ORD-04052"/>
    <x v="1"/>
    <x v="5"/>
    <x v="85"/>
    <x v="1"/>
    <x v="1"/>
    <n v="2"/>
    <n v="62099.999999999993"/>
    <n v="124199.99999999999"/>
    <n v="45000"/>
    <n v="90000"/>
    <n v="34199.999999999985"/>
    <n v="0.2753623188405796"/>
  </r>
  <r>
    <x v="289"/>
    <s v="ORD-04053"/>
    <x v="3"/>
    <x v="0"/>
    <x v="144"/>
    <x v="6"/>
    <x v="3"/>
    <n v="9"/>
    <n v="1179"/>
    <n v="10611"/>
    <n v="900"/>
    <n v="8100"/>
    <n v="2511"/>
    <n v="0.23664122137404581"/>
  </r>
  <r>
    <x v="289"/>
    <s v="ORD-04054"/>
    <x v="2"/>
    <x v="5"/>
    <x v="26"/>
    <x v="4"/>
    <x v="2"/>
    <n v="1"/>
    <n v="11900"/>
    <n v="11900"/>
    <n v="8500"/>
    <n v="8500"/>
    <n v="3400"/>
    <n v="0.2857142857142857"/>
  </r>
  <r>
    <x v="289"/>
    <s v="ORD-04055"/>
    <x v="1"/>
    <x v="2"/>
    <x v="68"/>
    <x v="3"/>
    <x v="0"/>
    <n v="6"/>
    <n v="3325"/>
    <n v="19950"/>
    <n v="2500"/>
    <n v="15000"/>
    <n v="4950"/>
    <n v="0.24812030075187969"/>
  </r>
  <r>
    <x v="289"/>
    <s v="ORD-04056"/>
    <x v="1"/>
    <x v="1"/>
    <x v="14"/>
    <x v="6"/>
    <x v="3"/>
    <n v="2"/>
    <n v="1125"/>
    <n v="2250"/>
    <n v="900"/>
    <n v="1800"/>
    <n v="450"/>
    <n v="0.2"/>
  </r>
  <r>
    <x v="289"/>
    <s v="ORD-04057"/>
    <x v="1"/>
    <x v="0"/>
    <x v="57"/>
    <x v="2"/>
    <x v="1"/>
    <n v="10"/>
    <n v="53200"/>
    <n v="532000"/>
    <n v="38000"/>
    <n v="380000"/>
    <n v="152000"/>
    <n v="0.2857142857142857"/>
  </r>
  <r>
    <x v="289"/>
    <s v="ORD-04058"/>
    <x v="1"/>
    <x v="3"/>
    <x v="55"/>
    <x v="0"/>
    <x v="0"/>
    <n v="3"/>
    <n v="3936"/>
    <n v="11808"/>
    <n v="3200"/>
    <n v="9600"/>
    <n v="2208"/>
    <n v="0.18699186991869918"/>
  </r>
  <r>
    <x v="290"/>
    <s v="ORD-04059"/>
    <x v="0"/>
    <x v="2"/>
    <x v="56"/>
    <x v="3"/>
    <x v="0"/>
    <n v="4"/>
    <n v="3600"/>
    <n v="14400"/>
    <n v="2500"/>
    <n v="10000"/>
    <n v="4400"/>
    <n v="0.30555555555555558"/>
  </r>
  <r>
    <x v="290"/>
    <s v="ORD-04060"/>
    <x v="0"/>
    <x v="0"/>
    <x v="51"/>
    <x v="5"/>
    <x v="3"/>
    <n v="3"/>
    <n v="780"/>
    <n v="2340"/>
    <n v="600"/>
    <n v="1800"/>
    <n v="540"/>
    <n v="0.23076923076923078"/>
  </r>
  <r>
    <x v="290"/>
    <s v="ORD-04061"/>
    <x v="0"/>
    <x v="3"/>
    <x v="54"/>
    <x v="1"/>
    <x v="1"/>
    <n v="10"/>
    <n v="63450"/>
    <n v="634500"/>
    <n v="45000"/>
    <n v="450000"/>
    <n v="184500"/>
    <n v="0.29078014184397161"/>
  </r>
  <r>
    <x v="290"/>
    <s v="ORD-04062"/>
    <x v="1"/>
    <x v="2"/>
    <x v="72"/>
    <x v="4"/>
    <x v="2"/>
    <n v="4"/>
    <n v="11220"/>
    <n v="44880"/>
    <n v="8500"/>
    <n v="34000"/>
    <n v="10880"/>
    <n v="0.24242424242424243"/>
  </r>
  <r>
    <x v="290"/>
    <s v="ORD-04063"/>
    <x v="0"/>
    <x v="3"/>
    <x v="128"/>
    <x v="1"/>
    <x v="1"/>
    <n v="8"/>
    <n v="58500"/>
    <n v="468000"/>
    <n v="45000"/>
    <n v="360000"/>
    <n v="108000"/>
    <n v="0.23076923076923078"/>
  </r>
  <r>
    <x v="290"/>
    <s v="ORD-04064"/>
    <x v="1"/>
    <x v="2"/>
    <x v="143"/>
    <x v="5"/>
    <x v="3"/>
    <n v="1"/>
    <n v="834.00000000000011"/>
    <n v="834.00000000000011"/>
    <n v="600"/>
    <n v="600"/>
    <n v="234.00000000000011"/>
    <n v="0.28057553956834541"/>
  </r>
  <r>
    <x v="290"/>
    <s v="ORD-04065"/>
    <x v="0"/>
    <x v="5"/>
    <x v="12"/>
    <x v="3"/>
    <x v="0"/>
    <n v="9"/>
    <n v="3350"/>
    <n v="30150"/>
    <n v="2500"/>
    <n v="22500"/>
    <n v="7650"/>
    <n v="0.2537313432835821"/>
  </r>
  <r>
    <x v="290"/>
    <s v="ORD-04066"/>
    <x v="3"/>
    <x v="2"/>
    <x v="44"/>
    <x v="2"/>
    <x v="1"/>
    <n v="4"/>
    <n v="51679.999999999993"/>
    <n v="206719.99999999997"/>
    <n v="38000"/>
    <n v="152000"/>
    <n v="54719.999999999971"/>
    <n v="0.26470588235294107"/>
  </r>
  <r>
    <x v="290"/>
    <s v="ORD-04067"/>
    <x v="1"/>
    <x v="5"/>
    <x v="5"/>
    <x v="4"/>
    <x v="2"/>
    <n v="9"/>
    <n v="10795"/>
    <n v="97155"/>
    <n v="8500"/>
    <n v="76500"/>
    <n v="20655"/>
    <n v="0.2125984251968504"/>
  </r>
  <r>
    <x v="290"/>
    <s v="ORD-04068"/>
    <x v="2"/>
    <x v="0"/>
    <x v="97"/>
    <x v="2"/>
    <x v="1"/>
    <n v="6"/>
    <n v="45980"/>
    <n v="275880"/>
    <n v="38000"/>
    <n v="228000"/>
    <n v="47880"/>
    <n v="0.17355371900826447"/>
  </r>
  <r>
    <x v="290"/>
    <s v="ORD-04069"/>
    <x v="1"/>
    <x v="1"/>
    <x v="38"/>
    <x v="7"/>
    <x v="2"/>
    <n v="5"/>
    <n v="9030"/>
    <n v="45150"/>
    <n v="7000"/>
    <n v="35000"/>
    <n v="10150"/>
    <n v="0.22480620155038761"/>
  </r>
  <r>
    <x v="290"/>
    <s v="ORD-04070"/>
    <x v="2"/>
    <x v="4"/>
    <x v="92"/>
    <x v="1"/>
    <x v="1"/>
    <n v="7"/>
    <n v="58950"/>
    <n v="412650"/>
    <n v="45000"/>
    <n v="315000"/>
    <n v="97650"/>
    <n v="0.23664122137404581"/>
  </r>
  <r>
    <x v="290"/>
    <s v="ORD-04071"/>
    <x v="3"/>
    <x v="4"/>
    <x v="76"/>
    <x v="3"/>
    <x v="0"/>
    <n v="4"/>
    <n v="3225"/>
    <n v="12900"/>
    <n v="2500"/>
    <n v="10000"/>
    <n v="2900"/>
    <n v="0.22480620155038761"/>
  </r>
  <r>
    <x v="290"/>
    <s v="ORD-04072"/>
    <x v="0"/>
    <x v="1"/>
    <x v="7"/>
    <x v="2"/>
    <x v="1"/>
    <n v="4"/>
    <n v="46360"/>
    <n v="185440"/>
    <n v="38000"/>
    <n v="152000"/>
    <n v="33440"/>
    <n v="0.18032786885245902"/>
  </r>
  <r>
    <x v="291"/>
    <s v="ORD-04073"/>
    <x v="3"/>
    <x v="3"/>
    <x v="58"/>
    <x v="4"/>
    <x v="2"/>
    <n v="3"/>
    <n v="11475"/>
    <n v="34425"/>
    <n v="8500"/>
    <n v="25500"/>
    <n v="8925"/>
    <n v="0.25925925925925924"/>
  </r>
  <r>
    <x v="291"/>
    <s v="ORD-04074"/>
    <x v="0"/>
    <x v="3"/>
    <x v="29"/>
    <x v="0"/>
    <x v="0"/>
    <n v="2"/>
    <n v="3872"/>
    <n v="7744"/>
    <n v="3200"/>
    <n v="6400"/>
    <n v="1344"/>
    <n v="0.17355371900826447"/>
  </r>
  <r>
    <x v="291"/>
    <s v="ORD-04075"/>
    <x v="3"/>
    <x v="5"/>
    <x v="50"/>
    <x v="3"/>
    <x v="0"/>
    <n v="7"/>
    <n v="3425.0000000000005"/>
    <n v="23975.000000000004"/>
    <n v="2500"/>
    <n v="17500"/>
    <n v="6475.0000000000036"/>
    <n v="0.27007299270073004"/>
  </r>
  <r>
    <x v="291"/>
    <s v="ORD-04076"/>
    <x v="1"/>
    <x v="3"/>
    <x v="108"/>
    <x v="7"/>
    <x v="2"/>
    <n v="3"/>
    <n v="10080"/>
    <n v="30240"/>
    <n v="7000"/>
    <n v="21000"/>
    <n v="9240"/>
    <n v="0.30555555555555558"/>
  </r>
  <r>
    <x v="291"/>
    <s v="ORD-04077"/>
    <x v="1"/>
    <x v="5"/>
    <x v="89"/>
    <x v="7"/>
    <x v="2"/>
    <n v="7"/>
    <n v="9730"/>
    <n v="68110"/>
    <n v="7000"/>
    <n v="49000"/>
    <n v="19110"/>
    <n v="0.2805755395683453"/>
  </r>
  <r>
    <x v="291"/>
    <s v="ORD-04078"/>
    <x v="2"/>
    <x v="0"/>
    <x v="123"/>
    <x v="6"/>
    <x v="3"/>
    <n v="10"/>
    <n v="1242"/>
    <n v="12420"/>
    <n v="900"/>
    <n v="9000"/>
    <n v="3420"/>
    <n v="0.27536231884057971"/>
  </r>
  <r>
    <x v="291"/>
    <s v="ORD-04079"/>
    <x v="0"/>
    <x v="1"/>
    <x v="124"/>
    <x v="3"/>
    <x v="0"/>
    <n v="1"/>
    <n v="3200"/>
    <n v="3200"/>
    <n v="2500"/>
    <n v="2500"/>
    <n v="700"/>
    <n v="0.21875"/>
  </r>
  <r>
    <x v="291"/>
    <s v="ORD-04080"/>
    <x v="3"/>
    <x v="4"/>
    <x v="137"/>
    <x v="7"/>
    <x v="2"/>
    <n v="1"/>
    <n v="9520"/>
    <n v="9520"/>
    <n v="7000"/>
    <n v="7000"/>
    <n v="2520"/>
    <n v="0.26470588235294118"/>
  </r>
  <r>
    <x v="291"/>
    <s v="ORD-04081"/>
    <x v="2"/>
    <x v="3"/>
    <x v="67"/>
    <x v="6"/>
    <x v="3"/>
    <n v="5"/>
    <n v="1179"/>
    <n v="5895"/>
    <n v="900"/>
    <n v="4500"/>
    <n v="1395"/>
    <n v="0.23664122137404581"/>
  </r>
  <r>
    <x v="291"/>
    <s v="ORD-04082"/>
    <x v="3"/>
    <x v="0"/>
    <x v="116"/>
    <x v="0"/>
    <x v="0"/>
    <n v="3"/>
    <n v="4544"/>
    <n v="13632"/>
    <n v="3200"/>
    <n v="9600"/>
    <n v="4032"/>
    <n v="0.29577464788732394"/>
  </r>
  <r>
    <x v="291"/>
    <s v="ORD-04083"/>
    <x v="3"/>
    <x v="3"/>
    <x v="13"/>
    <x v="0"/>
    <x v="0"/>
    <n v="2"/>
    <n v="4224"/>
    <n v="8448"/>
    <n v="3200"/>
    <n v="6400"/>
    <n v="2048"/>
    <n v="0.24242424242424243"/>
  </r>
  <r>
    <x v="291"/>
    <s v="ORD-04084"/>
    <x v="2"/>
    <x v="2"/>
    <x v="93"/>
    <x v="4"/>
    <x v="2"/>
    <n v="7"/>
    <n v="10370"/>
    <n v="72590"/>
    <n v="8500"/>
    <n v="59500"/>
    <n v="13090"/>
    <n v="0.18032786885245902"/>
  </r>
  <r>
    <x v="291"/>
    <s v="ORD-04085"/>
    <x v="0"/>
    <x v="1"/>
    <x v="13"/>
    <x v="3"/>
    <x v="0"/>
    <n v="8"/>
    <n v="3200"/>
    <n v="25600"/>
    <n v="2500"/>
    <n v="20000"/>
    <n v="5600"/>
    <n v="0.21875"/>
  </r>
  <r>
    <x v="291"/>
    <s v="ORD-04086"/>
    <x v="3"/>
    <x v="1"/>
    <x v="63"/>
    <x v="5"/>
    <x v="3"/>
    <n v="5"/>
    <n v="846"/>
    <n v="4230"/>
    <n v="600"/>
    <n v="3000"/>
    <n v="1230"/>
    <n v="0.29078014184397161"/>
  </r>
  <r>
    <x v="292"/>
    <s v="ORD-04087"/>
    <x v="1"/>
    <x v="4"/>
    <x v="133"/>
    <x v="2"/>
    <x v="1"/>
    <n v="9"/>
    <n v="52439.999999999993"/>
    <n v="471959.99999999994"/>
    <n v="38000"/>
    <n v="342000"/>
    <n v="129959.99999999994"/>
    <n v="0.2753623188405796"/>
  </r>
  <r>
    <x v="292"/>
    <s v="ORD-04088"/>
    <x v="0"/>
    <x v="4"/>
    <x v="43"/>
    <x v="0"/>
    <x v="0"/>
    <n v="5"/>
    <n v="4224"/>
    <n v="21120"/>
    <n v="3200"/>
    <n v="16000"/>
    <n v="5120"/>
    <n v="0.24242424242424243"/>
  </r>
  <r>
    <x v="292"/>
    <s v="ORD-04089"/>
    <x v="1"/>
    <x v="5"/>
    <x v="20"/>
    <x v="2"/>
    <x v="1"/>
    <n v="1"/>
    <n v="49020"/>
    <n v="49020"/>
    <n v="38000"/>
    <n v="38000"/>
    <n v="11020"/>
    <n v="0.22480620155038761"/>
  </r>
  <r>
    <x v="292"/>
    <s v="ORD-04090"/>
    <x v="3"/>
    <x v="4"/>
    <x v="63"/>
    <x v="3"/>
    <x v="0"/>
    <n v="5"/>
    <n v="3275"/>
    <n v="16375"/>
    <n v="2500"/>
    <n v="12500"/>
    <n v="3875"/>
    <n v="0.23664122137404581"/>
  </r>
  <r>
    <x v="292"/>
    <s v="ORD-04091"/>
    <x v="1"/>
    <x v="3"/>
    <x v="45"/>
    <x v="7"/>
    <x v="2"/>
    <n v="4"/>
    <n v="8680"/>
    <n v="34720"/>
    <n v="7000"/>
    <n v="28000"/>
    <n v="6720"/>
    <n v="0.19354838709677419"/>
  </r>
  <r>
    <x v="292"/>
    <s v="ORD-04092"/>
    <x v="0"/>
    <x v="4"/>
    <x v="90"/>
    <x v="7"/>
    <x v="2"/>
    <n v="7"/>
    <n v="9660"/>
    <n v="67620"/>
    <n v="7000"/>
    <n v="49000"/>
    <n v="18620"/>
    <n v="0.27536231884057971"/>
  </r>
  <r>
    <x v="292"/>
    <s v="ORD-04093"/>
    <x v="0"/>
    <x v="1"/>
    <x v="130"/>
    <x v="4"/>
    <x v="2"/>
    <n v="5"/>
    <n v="12070"/>
    <n v="60350"/>
    <n v="8500"/>
    <n v="42500"/>
    <n v="17850"/>
    <n v="0.29577464788732394"/>
  </r>
  <r>
    <x v="292"/>
    <s v="ORD-04094"/>
    <x v="2"/>
    <x v="3"/>
    <x v="119"/>
    <x v="4"/>
    <x v="2"/>
    <n v="1"/>
    <n v="10880"/>
    <n v="10880"/>
    <n v="8500"/>
    <n v="8500"/>
    <n v="2380"/>
    <n v="0.21875"/>
  </r>
  <r>
    <x v="292"/>
    <s v="ORD-04095"/>
    <x v="3"/>
    <x v="2"/>
    <x v="49"/>
    <x v="2"/>
    <x v="1"/>
    <n v="5"/>
    <n v="52060.000000000007"/>
    <n v="260300.00000000003"/>
    <n v="38000"/>
    <n v="190000"/>
    <n v="70300.000000000029"/>
    <n v="0.27007299270072999"/>
  </r>
  <r>
    <x v="292"/>
    <s v="ORD-04096"/>
    <x v="1"/>
    <x v="3"/>
    <x v="61"/>
    <x v="5"/>
    <x v="3"/>
    <n v="3"/>
    <n v="756"/>
    <n v="2268"/>
    <n v="600"/>
    <n v="1800"/>
    <n v="468"/>
    <n v="0.20634920634920634"/>
  </r>
  <r>
    <x v="292"/>
    <s v="ORD-04097"/>
    <x v="2"/>
    <x v="0"/>
    <x v="148"/>
    <x v="7"/>
    <x v="2"/>
    <n v="3"/>
    <n v="8610"/>
    <n v="25830"/>
    <n v="7000"/>
    <n v="21000"/>
    <n v="4830"/>
    <n v="0.18699186991869918"/>
  </r>
  <r>
    <x v="292"/>
    <s v="ORD-04098"/>
    <x v="2"/>
    <x v="4"/>
    <x v="134"/>
    <x v="5"/>
    <x v="3"/>
    <n v="10"/>
    <n v="798"/>
    <n v="7980"/>
    <n v="600"/>
    <n v="6000"/>
    <n v="1980"/>
    <n v="0.24812030075187969"/>
  </r>
  <r>
    <x v="292"/>
    <s v="ORD-04099"/>
    <x v="1"/>
    <x v="4"/>
    <x v="135"/>
    <x v="5"/>
    <x v="3"/>
    <n v="7"/>
    <n v="804"/>
    <n v="5628"/>
    <n v="600"/>
    <n v="4200"/>
    <n v="1428"/>
    <n v="0.2537313432835821"/>
  </r>
  <r>
    <x v="292"/>
    <s v="ORD-04100"/>
    <x v="3"/>
    <x v="3"/>
    <x v="125"/>
    <x v="4"/>
    <x v="2"/>
    <n v="4"/>
    <n v="11730"/>
    <n v="46920"/>
    <n v="8500"/>
    <n v="34000"/>
    <n v="12920"/>
    <n v="0.27536231884057971"/>
  </r>
  <r>
    <x v="293"/>
    <s v="ORD-04101"/>
    <x v="3"/>
    <x v="2"/>
    <x v="130"/>
    <x v="1"/>
    <x v="1"/>
    <n v="5"/>
    <n v="60300"/>
    <n v="301500"/>
    <n v="45000"/>
    <n v="225000"/>
    <n v="76500"/>
    <n v="0.2537313432835821"/>
  </r>
  <r>
    <x v="293"/>
    <s v="ORD-04102"/>
    <x v="1"/>
    <x v="4"/>
    <x v="128"/>
    <x v="0"/>
    <x v="0"/>
    <n v="2"/>
    <n v="4512"/>
    <n v="9024"/>
    <n v="3200"/>
    <n v="6400"/>
    <n v="2624"/>
    <n v="0.29078014184397161"/>
  </r>
  <r>
    <x v="293"/>
    <s v="ORD-04103"/>
    <x v="3"/>
    <x v="0"/>
    <x v="126"/>
    <x v="2"/>
    <x v="1"/>
    <n v="6"/>
    <n v="52060.000000000007"/>
    <n v="312360.00000000006"/>
    <n v="38000"/>
    <n v="228000"/>
    <n v="84360.000000000058"/>
    <n v="0.27007299270073004"/>
  </r>
  <r>
    <x v="293"/>
    <s v="ORD-04104"/>
    <x v="0"/>
    <x v="2"/>
    <x v="38"/>
    <x v="1"/>
    <x v="1"/>
    <n v="9"/>
    <n v="60300"/>
    <n v="542700"/>
    <n v="45000"/>
    <n v="405000"/>
    <n v="137700"/>
    <n v="0.2537313432835821"/>
  </r>
  <r>
    <x v="293"/>
    <s v="ORD-04105"/>
    <x v="2"/>
    <x v="5"/>
    <x v="96"/>
    <x v="4"/>
    <x v="2"/>
    <n v="5"/>
    <n v="10455"/>
    <n v="52275"/>
    <n v="8500"/>
    <n v="42500"/>
    <n v="9775"/>
    <n v="0.18699186991869918"/>
  </r>
  <r>
    <x v="293"/>
    <s v="ORD-04106"/>
    <x v="3"/>
    <x v="3"/>
    <x v="74"/>
    <x v="0"/>
    <x v="0"/>
    <n v="3"/>
    <n v="3936"/>
    <n v="11808"/>
    <n v="3200"/>
    <n v="9600"/>
    <n v="2208"/>
    <n v="0.18699186991869918"/>
  </r>
  <r>
    <x v="293"/>
    <s v="ORD-04107"/>
    <x v="3"/>
    <x v="5"/>
    <x v="111"/>
    <x v="2"/>
    <x v="1"/>
    <n v="3"/>
    <n v="51679.999999999993"/>
    <n v="155039.99999999997"/>
    <n v="38000"/>
    <n v="114000"/>
    <n v="41039.999999999971"/>
    <n v="0.26470588235294101"/>
  </r>
  <r>
    <x v="293"/>
    <s v="ORD-04108"/>
    <x v="3"/>
    <x v="3"/>
    <x v="49"/>
    <x v="1"/>
    <x v="1"/>
    <n v="10"/>
    <n v="56250"/>
    <n v="562500"/>
    <n v="45000"/>
    <n v="450000"/>
    <n v="112500"/>
    <n v="0.2"/>
  </r>
  <r>
    <x v="293"/>
    <s v="ORD-04109"/>
    <x v="2"/>
    <x v="5"/>
    <x v="46"/>
    <x v="3"/>
    <x v="0"/>
    <n v="2"/>
    <n v="3125"/>
    <n v="6250"/>
    <n v="2500"/>
    <n v="5000"/>
    <n v="1250"/>
    <n v="0.2"/>
  </r>
  <r>
    <x v="293"/>
    <s v="ORD-04110"/>
    <x v="2"/>
    <x v="5"/>
    <x v="114"/>
    <x v="4"/>
    <x v="2"/>
    <n v="8"/>
    <n v="11645"/>
    <n v="93160"/>
    <n v="8500"/>
    <n v="68000"/>
    <n v="25160"/>
    <n v="0.27007299270072993"/>
  </r>
  <r>
    <x v="293"/>
    <s v="ORD-04111"/>
    <x v="1"/>
    <x v="5"/>
    <x v="11"/>
    <x v="1"/>
    <x v="1"/>
    <n v="4"/>
    <n v="54450"/>
    <n v="217800"/>
    <n v="45000"/>
    <n v="180000"/>
    <n v="37800"/>
    <n v="0.17355371900826447"/>
  </r>
  <r>
    <x v="293"/>
    <s v="ORD-04112"/>
    <x v="0"/>
    <x v="0"/>
    <x v="41"/>
    <x v="2"/>
    <x v="1"/>
    <n v="10"/>
    <n v="49400"/>
    <n v="494000"/>
    <n v="38000"/>
    <n v="380000"/>
    <n v="114000"/>
    <n v="0.23076923076923078"/>
  </r>
  <r>
    <x v="293"/>
    <s v="ORD-04113"/>
    <x v="0"/>
    <x v="1"/>
    <x v="61"/>
    <x v="6"/>
    <x v="3"/>
    <n v="8"/>
    <n v="1287"/>
    <n v="10296"/>
    <n v="900"/>
    <n v="7200"/>
    <n v="3096"/>
    <n v="0.30069930069930068"/>
  </r>
  <r>
    <x v="293"/>
    <s v="ORD-04114"/>
    <x v="0"/>
    <x v="1"/>
    <x v="7"/>
    <x v="4"/>
    <x v="2"/>
    <n v="8"/>
    <n v="11135"/>
    <n v="89080"/>
    <n v="8500"/>
    <n v="68000"/>
    <n v="21080"/>
    <n v="0.23664122137404581"/>
  </r>
  <r>
    <x v="294"/>
    <s v="ORD-04115"/>
    <x v="0"/>
    <x v="1"/>
    <x v="70"/>
    <x v="4"/>
    <x v="2"/>
    <n v="5"/>
    <n v="10370"/>
    <n v="51850"/>
    <n v="8500"/>
    <n v="42500"/>
    <n v="9350"/>
    <n v="0.18032786885245902"/>
  </r>
  <r>
    <x v="294"/>
    <s v="ORD-04116"/>
    <x v="3"/>
    <x v="3"/>
    <x v="126"/>
    <x v="5"/>
    <x v="3"/>
    <n v="3"/>
    <n v="768"/>
    <n v="2304"/>
    <n v="600"/>
    <n v="1800"/>
    <n v="504"/>
    <n v="0.21875"/>
  </r>
  <r>
    <x v="294"/>
    <s v="ORD-04117"/>
    <x v="3"/>
    <x v="4"/>
    <x v="33"/>
    <x v="7"/>
    <x v="2"/>
    <n v="7"/>
    <n v="8960"/>
    <n v="62720"/>
    <n v="7000"/>
    <n v="49000"/>
    <n v="13720"/>
    <n v="0.21875"/>
  </r>
  <r>
    <x v="294"/>
    <s v="ORD-04118"/>
    <x v="3"/>
    <x v="5"/>
    <x v="19"/>
    <x v="4"/>
    <x v="2"/>
    <n v="4"/>
    <n v="12240"/>
    <n v="48960"/>
    <n v="8500"/>
    <n v="34000"/>
    <n v="14960"/>
    <n v="0.30555555555555558"/>
  </r>
  <r>
    <x v="294"/>
    <s v="ORD-04119"/>
    <x v="2"/>
    <x v="1"/>
    <x v="135"/>
    <x v="5"/>
    <x v="3"/>
    <n v="10"/>
    <n v="822.00000000000011"/>
    <n v="8220.0000000000018"/>
    <n v="600"/>
    <n v="6000"/>
    <n v="2220.0000000000018"/>
    <n v="0.2700729927007301"/>
  </r>
  <r>
    <x v="294"/>
    <s v="ORD-04120"/>
    <x v="1"/>
    <x v="5"/>
    <x v="5"/>
    <x v="2"/>
    <x v="1"/>
    <n v="7"/>
    <n v="48640"/>
    <n v="340480"/>
    <n v="38000"/>
    <n v="266000"/>
    <n v="74480"/>
    <n v="0.21875"/>
  </r>
  <r>
    <x v="294"/>
    <s v="ORD-04121"/>
    <x v="3"/>
    <x v="1"/>
    <x v="144"/>
    <x v="7"/>
    <x v="2"/>
    <n v="3"/>
    <n v="9730"/>
    <n v="29190"/>
    <n v="7000"/>
    <n v="21000"/>
    <n v="8190"/>
    <n v="0.2805755395683453"/>
  </r>
  <r>
    <x v="294"/>
    <s v="ORD-04122"/>
    <x v="2"/>
    <x v="5"/>
    <x v="146"/>
    <x v="0"/>
    <x v="0"/>
    <n v="1"/>
    <n v="4192"/>
    <n v="4192"/>
    <n v="3200"/>
    <n v="3200"/>
    <n v="992"/>
    <n v="0.23664122137404581"/>
  </r>
  <r>
    <x v="294"/>
    <s v="ORD-04123"/>
    <x v="2"/>
    <x v="0"/>
    <x v="114"/>
    <x v="0"/>
    <x v="0"/>
    <n v="5"/>
    <n v="4448"/>
    <n v="22240"/>
    <n v="3200"/>
    <n v="16000"/>
    <n v="6240"/>
    <n v="0.2805755395683453"/>
  </r>
  <r>
    <x v="294"/>
    <s v="ORD-04124"/>
    <x v="3"/>
    <x v="4"/>
    <x v="111"/>
    <x v="5"/>
    <x v="3"/>
    <n v="10"/>
    <n v="786"/>
    <n v="7860"/>
    <n v="600"/>
    <n v="6000"/>
    <n v="1860"/>
    <n v="0.23664122137404581"/>
  </r>
  <r>
    <x v="294"/>
    <s v="ORD-04125"/>
    <x v="3"/>
    <x v="3"/>
    <x v="0"/>
    <x v="7"/>
    <x v="2"/>
    <n v="6"/>
    <n v="8890"/>
    <n v="53340"/>
    <n v="7000"/>
    <n v="42000"/>
    <n v="11340"/>
    <n v="0.2125984251968504"/>
  </r>
  <r>
    <x v="294"/>
    <s v="ORD-04126"/>
    <x v="2"/>
    <x v="1"/>
    <x v="20"/>
    <x v="3"/>
    <x v="0"/>
    <n v="10"/>
    <n v="3350"/>
    <n v="33500"/>
    <n v="2500"/>
    <n v="25000"/>
    <n v="8500"/>
    <n v="0.2537313432835821"/>
  </r>
  <r>
    <x v="294"/>
    <s v="ORD-04127"/>
    <x v="3"/>
    <x v="0"/>
    <x v="31"/>
    <x v="5"/>
    <x v="3"/>
    <n v="6"/>
    <n v="774"/>
    <n v="4644"/>
    <n v="600"/>
    <n v="3600"/>
    <n v="1044"/>
    <n v="0.22480620155038761"/>
  </r>
  <r>
    <x v="294"/>
    <s v="ORD-04128"/>
    <x v="3"/>
    <x v="0"/>
    <x v="114"/>
    <x v="1"/>
    <x v="1"/>
    <n v="8"/>
    <n v="63900"/>
    <n v="511200"/>
    <n v="45000"/>
    <n v="360000"/>
    <n v="151200"/>
    <n v="0.29577464788732394"/>
  </r>
  <r>
    <x v="295"/>
    <s v="ORD-04129"/>
    <x v="0"/>
    <x v="2"/>
    <x v="81"/>
    <x v="6"/>
    <x v="3"/>
    <n v="8"/>
    <n v="1224"/>
    <n v="9792"/>
    <n v="900"/>
    <n v="7200"/>
    <n v="2592"/>
    <n v="0.26470588235294118"/>
  </r>
  <r>
    <x v="295"/>
    <s v="ORD-04130"/>
    <x v="3"/>
    <x v="3"/>
    <x v="19"/>
    <x v="2"/>
    <x v="1"/>
    <n v="6"/>
    <n v="55100"/>
    <n v="330600"/>
    <n v="38000"/>
    <n v="228000"/>
    <n v="102600"/>
    <n v="0.31034482758620691"/>
  </r>
  <r>
    <x v="295"/>
    <s v="ORD-04131"/>
    <x v="2"/>
    <x v="5"/>
    <x v="66"/>
    <x v="2"/>
    <x v="1"/>
    <n v="8"/>
    <n v="48640"/>
    <n v="389120"/>
    <n v="38000"/>
    <n v="304000"/>
    <n v="85120"/>
    <n v="0.21875"/>
  </r>
  <r>
    <x v="295"/>
    <s v="ORD-04132"/>
    <x v="0"/>
    <x v="0"/>
    <x v="70"/>
    <x v="2"/>
    <x v="1"/>
    <n v="10"/>
    <n v="51300"/>
    <n v="513000"/>
    <n v="38000"/>
    <n v="380000"/>
    <n v="133000"/>
    <n v="0.25925925925925924"/>
  </r>
  <r>
    <x v="295"/>
    <s v="ORD-04133"/>
    <x v="3"/>
    <x v="1"/>
    <x v="134"/>
    <x v="0"/>
    <x v="0"/>
    <n v="4"/>
    <n v="3872"/>
    <n v="15488"/>
    <n v="3200"/>
    <n v="12800"/>
    <n v="2688"/>
    <n v="0.17355371900826447"/>
  </r>
  <r>
    <x v="295"/>
    <s v="ORD-04134"/>
    <x v="2"/>
    <x v="5"/>
    <x v="96"/>
    <x v="6"/>
    <x v="3"/>
    <n v="3"/>
    <n v="1080"/>
    <n v="3240"/>
    <n v="900"/>
    <n v="2700"/>
    <n v="540"/>
    <n v="0.16666666666666666"/>
  </r>
  <r>
    <x v="295"/>
    <s v="ORD-04135"/>
    <x v="2"/>
    <x v="1"/>
    <x v="118"/>
    <x v="3"/>
    <x v="0"/>
    <n v="1"/>
    <n v="3125"/>
    <n v="3125"/>
    <n v="2500"/>
    <n v="2500"/>
    <n v="625"/>
    <n v="0.2"/>
  </r>
  <r>
    <x v="295"/>
    <s v="ORD-04136"/>
    <x v="3"/>
    <x v="0"/>
    <x v="133"/>
    <x v="1"/>
    <x v="1"/>
    <n v="2"/>
    <n v="59850"/>
    <n v="119700"/>
    <n v="45000"/>
    <n v="90000"/>
    <n v="29700"/>
    <n v="0.24812030075187969"/>
  </r>
  <r>
    <x v="295"/>
    <s v="ORD-04137"/>
    <x v="1"/>
    <x v="1"/>
    <x v="95"/>
    <x v="0"/>
    <x v="0"/>
    <n v="5"/>
    <n v="4320"/>
    <n v="21600"/>
    <n v="3200"/>
    <n v="16000"/>
    <n v="5600"/>
    <n v="0.25925925925925924"/>
  </r>
  <r>
    <x v="295"/>
    <s v="ORD-04138"/>
    <x v="2"/>
    <x v="1"/>
    <x v="132"/>
    <x v="3"/>
    <x v="0"/>
    <n v="2"/>
    <n v="3100"/>
    <n v="6200"/>
    <n v="2500"/>
    <n v="5000"/>
    <n v="1200"/>
    <n v="0.19354838709677419"/>
  </r>
  <r>
    <x v="295"/>
    <s v="ORD-04139"/>
    <x v="1"/>
    <x v="5"/>
    <x v="75"/>
    <x v="4"/>
    <x v="2"/>
    <n v="10"/>
    <n v="11815.000000000002"/>
    <n v="118150.00000000001"/>
    <n v="8500"/>
    <n v="85000"/>
    <n v="33150.000000000015"/>
    <n v="0.28057553956834541"/>
  </r>
  <r>
    <x v="295"/>
    <s v="ORD-04140"/>
    <x v="2"/>
    <x v="5"/>
    <x v="88"/>
    <x v="6"/>
    <x v="3"/>
    <n v="2"/>
    <n v="1098"/>
    <n v="2196"/>
    <n v="900"/>
    <n v="1800"/>
    <n v="396"/>
    <n v="0.18032786885245902"/>
  </r>
  <r>
    <x v="295"/>
    <s v="ORD-04141"/>
    <x v="3"/>
    <x v="2"/>
    <x v="29"/>
    <x v="4"/>
    <x v="2"/>
    <n v="2"/>
    <n v="10710"/>
    <n v="21420"/>
    <n v="8500"/>
    <n v="17000"/>
    <n v="4420"/>
    <n v="0.20634920634920634"/>
  </r>
  <r>
    <x v="295"/>
    <s v="ORD-04142"/>
    <x v="3"/>
    <x v="2"/>
    <x v="25"/>
    <x v="2"/>
    <x v="1"/>
    <n v="7"/>
    <n v="52060.000000000007"/>
    <n v="364420.00000000006"/>
    <n v="38000"/>
    <n v="266000"/>
    <n v="98420.000000000058"/>
    <n v="0.27007299270073004"/>
  </r>
  <r>
    <x v="296"/>
    <s v="ORD-04143"/>
    <x v="2"/>
    <x v="4"/>
    <x v="88"/>
    <x v="4"/>
    <x v="2"/>
    <n v="8"/>
    <n v="12240"/>
    <n v="97920"/>
    <n v="8500"/>
    <n v="68000"/>
    <n v="29920"/>
    <n v="0.30555555555555558"/>
  </r>
  <r>
    <x v="296"/>
    <s v="ORD-04144"/>
    <x v="2"/>
    <x v="5"/>
    <x v="93"/>
    <x v="2"/>
    <x v="1"/>
    <n v="4"/>
    <n v="49020"/>
    <n v="196080"/>
    <n v="38000"/>
    <n v="152000"/>
    <n v="44080"/>
    <n v="0.22480620155038761"/>
  </r>
  <r>
    <x v="296"/>
    <s v="ORD-04145"/>
    <x v="1"/>
    <x v="5"/>
    <x v="80"/>
    <x v="4"/>
    <x v="2"/>
    <n v="9"/>
    <n v="11050"/>
    <n v="99450"/>
    <n v="8500"/>
    <n v="76500"/>
    <n v="22950"/>
    <n v="0.23076923076923078"/>
  </r>
  <r>
    <x v="296"/>
    <s v="ORD-04146"/>
    <x v="3"/>
    <x v="5"/>
    <x v="134"/>
    <x v="0"/>
    <x v="0"/>
    <n v="4"/>
    <n v="4128"/>
    <n v="16512"/>
    <n v="3200"/>
    <n v="12800"/>
    <n v="3712"/>
    <n v="0.22480620155038761"/>
  </r>
  <r>
    <x v="296"/>
    <s v="ORD-04147"/>
    <x v="1"/>
    <x v="0"/>
    <x v="28"/>
    <x v="3"/>
    <x v="0"/>
    <n v="6"/>
    <n v="3300"/>
    <n v="19800"/>
    <n v="2500"/>
    <n v="15000"/>
    <n v="4800"/>
    <n v="0.24242424242424243"/>
  </r>
  <r>
    <x v="296"/>
    <s v="ORD-04148"/>
    <x v="1"/>
    <x v="5"/>
    <x v="99"/>
    <x v="5"/>
    <x v="3"/>
    <n v="4"/>
    <n v="720"/>
    <n v="2880"/>
    <n v="600"/>
    <n v="2400"/>
    <n v="480"/>
    <n v="0.16666666666666666"/>
  </r>
  <r>
    <x v="296"/>
    <s v="ORD-04149"/>
    <x v="3"/>
    <x v="2"/>
    <x v="92"/>
    <x v="4"/>
    <x v="2"/>
    <n v="4"/>
    <n v="11050"/>
    <n v="44200"/>
    <n v="8500"/>
    <n v="34000"/>
    <n v="10200"/>
    <n v="0.23076923076923078"/>
  </r>
  <r>
    <x v="296"/>
    <s v="ORD-04150"/>
    <x v="0"/>
    <x v="0"/>
    <x v="21"/>
    <x v="1"/>
    <x v="1"/>
    <n v="7"/>
    <n v="63900"/>
    <n v="447300"/>
    <n v="45000"/>
    <n v="315000"/>
    <n v="132300"/>
    <n v="0.29577464788732394"/>
  </r>
  <r>
    <x v="296"/>
    <s v="ORD-04151"/>
    <x v="2"/>
    <x v="4"/>
    <x v="29"/>
    <x v="6"/>
    <x v="3"/>
    <n v="8"/>
    <n v="1152"/>
    <n v="9216"/>
    <n v="900"/>
    <n v="7200"/>
    <n v="2016"/>
    <n v="0.21875"/>
  </r>
  <r>
    <x v="296"/>
    <s v="ORD-04152"/>
    <x v="3"/>
    <x v="5"/>
    <x v="87"/>
    <x v="2"/>
    <x v="1"/>
    <n v="3"/>
    <n v="46360"/>
    <n v="139080"/>
    <n v="38000"/>
    <n v="114000"/>
    <n v="25080"/>
    <n v="0.18032786885245902"/>
  </r>
  <r>
    <x v="296"/>
    <s v="ORD-04153"/>
    <x v="1"/>
    <x v="1"/>
    <x v="135"/>
    <x v="2"/>
    <x v="1"/>
    <n v="9"/>
    <n v="47880"/>
    <n v="430920"/>
    <n v="38000"/>
    <n v="342000"/>
    <n v="88920"/>
    <n v="0.20634920634920634"/>
  </r>
  <r>
    <x v="296"/>
    <s v="ORD-04154"/>
    <x v="1"/>
    <x v="3"/>
    <x v="62"/>
    <x v="1"/>
    <x v="1"/>
    <n v="4"/>
    <n v="57150"/>
    <n v="228600"/>
    <n v="45000"/>
    <n v="180000"/>
    <n v="48600"/>
    <n v="0.2125984251968504"/>
  </r>
  <r>
    <x v="296"/>
    <s v="ORD-04155"/>
    <x v="3"/>
    <x v="1"/>
    <x v="57"/>
    <x v="3"/>
    <x v="0"/>
    <n v="10"/>
    <n v="3050"/>
    <n v="30500"/>
    <n v="2500"/>
    <n v="25000"/>
    <n v="5500"/>
    <n v="0.18032786885245902"/>
  </r>
  <r>
    <x v="296"/>
    <s v="ORD-04156"/>
    <x v="2"/>
    <x v="0"/>
    <x v="125"/>
    <x v="4"/>
    <x v="2"/>
    <n v="8"/>
    <n v="11730"/>
    <n v="93840"/>
    <n v="8500"/>
    <n v="68000"/>
    <n v="25840"/>
    <n v="0.27536231884057971"/>
  </r>
  <r>
    <x v="297"/>
    <s v="ORD-04157"/>
    <x v="0"/>
    <x v="1"/>
    <x v="57"/>
    <x v="2"/>
    <x v="1"/>
    <n v="6"/>
    <n v="52060.000000000007"/>
    <n v="312360.00000000006"/>
    <n v="38000"/>
    <n v="228000"/>
    <n v="84360.000000000058"/>
    <n v="0.27007299270073004"/>
  </r>
  <r>
    <x v="297"/>
    <s v="ORD-04158"/>
    <x v="1"/>
    <x v="5"/>
    <x v="68"/>
    <x v="6"/>
    <x v="3"/>
    <n v="8"/>
    <n v="1107"/>
    <n v="8856"/>
    <n v="900"/>
    <n v="7200"/>
    <n v="1656"/>
    <n v="0.18699186991869918"/>
  </r>
  <r>
    <x v="297"/>
    <s v="ORD-04159"/>
    <x v="1"/>
    <x v="1"/>
    <x v="49"/>
    <x v="6"/>
    <x v="3"/>
    <n v="2"/>
    <n v="1251"/>
    <n v="2502"/>
    <n v="900"/>
    <n v="1800"/>
    <n v="702"/>
    <n v="0.2805755395683453"/>
  </r>
  <r>
    <x v="297"/>
    <s v="ORD-04160"/>
    <x v="0"/>
    <x v="3"/>
    <x v="40"/>
    <x v="4"/>
    <x v="2"/>
    <n v="9"/>
    <n v="11050"/>
    <n v="99450"/>
    <n v="8500"/>
    <n v="76500"/>
    <n v="22950"/>
    <n v="0.23076923076923078"/>
  </r>
  <r>
    <x v="297"/>
    <s v="ORD-04161"/>
    <x v="0"/>
    <x v="4"/>
    <x v="75"/>
    <x v="3"/>
    <x v="0"/>
    <n v="9"/>
    <n v="3475.0000000000005"/>
    <n v="31275.000000000004"/>
    <n v="2500"/>
    <n v="22500"/>
    <n v="8775.0000000000036"/>
    <n v="0.28057553956834541"/>
  </r>
  <r>
    <x v="297"/>
    <s v="ORD-04162"/>
    <x v="1"/>
    <x v="2"/>
    <x v="99"/>
    <x v="1"/>
    <x v="1"/>
    <n v="10"/>
    <n v="60300"/>
    <n v="603000"/>
    <n v="45000"/>
    <n v="450000"/>
    <n v="153000"/>
    <n v="0.2537313432835821"/>
  </r>
  <r>
    <x v="297"/>
    <s v="ORD-04163"/>
    <x v="1"/>
    <x v="5"/>
    <x v="99"/>
    <x v="3"/>
    <x v="0"/>
    <n v="10"/>
    <n v="3399.9999999999995"/>
    <n v="33999.999999999993"/>
    <n v="2500"/>
    <n v="25000"/>
    <n v="8999.9999999999927"/>
    <n v="0.26470588235294101"/>
  </r>
  <r>
    <x v="297"/>
    <s v="ORD-04164"/>
    <x v="2"/>
    <x v="5"/>
    <x v="118"/>
    <x v="6"/>
    <x v="3"/>
    <n v="2"/>
    <n v="1206"/>
    <n v="2412"/>
    <n v="900"/>
    <n v="1800"/>
    <n v="612"/>
    <n v="0.2537313432835821"/>
  </r>
  <r>
    <x v="297"/>
    <s v="ORD-04165"/>
    <x v="0"/>
    <x v="3"/>
    <x v="111"/>
    <x v="4"/>
    <x v="2"/>
    <n v="2"/>
    <n v="10200"/>
    <n v="20400"/>
    <n v="8500"/>
    <n v="17000"/>
    <n v="3400"/>
    <n v="0.16666666666666666"/>
  </r>
  <r>
    <x v="297"/>
    <s v="ORD-04166"/>
    <x v="1"/>
    <x v="3"/>
    <x v="141"/>
    <x v="3"/>
    <x v="0"/>
    <n v="9"/>
    <n v="3050"/>
    <n v="27450"/>
    <n v="2500"/>
    <n v="22500"/>
    <n v="4950"/>
    <n v="0.18032786885245902"/>
  </r>
  <r>
    <x v="297"/>
    <s v="ORD-04167"/>
    <x v="0"/>
    <x v="1"/>
    <x v="130"/>
    <x v="2"/>
    <x v="1"/>
    <n v="10"/>
    <n v="50920"/>
    <n v="509200"/>
    <n v="38000"/>
    <n v="380000"/>
    <n v="129200"/>
    <n v="0.2537313432835821"/>
  </r>
  <r>
    <x v="297"/>
    <s v="ORD-04168"/>
    <x v="3"/>
    <x v="4"/>
    <x v="47"/>
    <x v="1"/>
    <x v="1"/>
    <n v="4"/>
    <n v="64800"/>
    <n v="259200"/>
    <n v="45000"/>
    <n v="180000"/>
    <n v="79200"/>
    <n v="0.30555555555555558"/>
  </r>
  <r>
    <x v="297"/>
    <s v="ORD-04169"/>
    <x v="1"/>
    <x v="0"/>
    <x v="126"/>
    <x v="2"/>
    <x v="1"/>
    <n v="5"/>
    <n v="54720"/>
    <n v="273600"/>
    <n v="38000"/>
    <n v="190000"/>
    <n v="83600"/>
    <n v="0.30555555555555558"/>
  </r>
  <r>
    <x v="297"/>
    <s v="ORD-04170"/>
    <x v="2"/>
    <x v="0"/>
    <x v="142"/>
    <x v="6"/>
    <x v="3"/>
    <n v="3"/>
    <n v="1080"/>
    <n v="3240"/>
    <n v="900"/>
    <n v="2700"/>
    <n v="540"/>
    <n v="0.16666666666666666"/>
  </r>
  <r>
    <x v="298"/>
    <s v="ORD-04171"/>
    <x v="2"/>
    <x v="5"/>
    <x v="57"/>
    <x v="2"/>
    <x v="1"/>
    <n v="4"/>
    <n v="53200"/>
    <n v="212800"/>
    <n v="38000"/>
    <n v="152000"/>
    <n v="60800"/>
    <n v="0.2857142857142857"/>
  </r>
  <r>
    <x v="298"/>
    <s v="ORD-04172"/>
    <x v="0"/>
    <x v="1"/>
    <x v="43"/>
    <x v="3"/>
    <x v="0"/>
    <n v="9"/>
    <n v="3150"/>
    <n v="28350"/>
    <n v="2500"/>
    <n v="22500"/>
    <n v="5850"/>
    <n v="0.20634920634920634"/>
  </r>
  <r>
    <x v="298"/>
    <s v="ORD-04173"/>
    <x v="1"/>
    <x v="0"/>
    <x v="149"/>
    <x v="7"/>
    <x v="2"/>
    <n v="7"/>
    <n v="8890"/>
    <n v="62230"/>
    <n v="7000"/>
    <n v="49000"/>
    <n v="13230"/>
    <n v="0.2125984251968504"/>
  </r>
  <r>
    <x v="298"/>
    <s v="ORD-04174"/>
    <x v="0"/>
    <x v="3"/>
    <x v="131"/>
    <x v="5"/>
    <x v="3"/>
    <n v="8"/>
    <n v="786"/>
    <n v="6288"/>
    <n v="600"/>
    <n v="4800"/>
    <n v="1488"/>
    <n v="0.23664122137404581"/>
  </r>
  <r>
    <x v="298"/>
    <s v="ORD-04175"/>
    <x v="3"/>
    <x v="5"/>
    <x v="96"/>
    <x v="0"/>
    <x v="0"/>
    <n v="8"/>
    <n v="3936"/>
    <n v="31488"/>
    <n v="3200"/>
    <n v="25600"/>
    <n v="5888"/>
    <n v="0.18699186991869918"/>
  </r>
  <r>
    <x v="298"/>
    <s v="ORD-04176"/>
    <x v="2"/>
    <x v="4"/>
    <x v="123"/>
    <x v="3"/>
    <x v="0"/>
    <n v="10"/>
    <n v="3050"/>
    <n v="30500"/>
    <n v="2500"/>
    <n v="25000"/>
    <n v="5500"/>
    <n v="0.18032786885245902"/>
  </r>
  <r>
    <x v="298"/>
    <s v="ORD-04177"/>
    <x v="3"/>
    <x v="2"/>
    <x v="117"/>
    <x v="3"/>
    <x v="0"/>
    <n v="7"/>
    <n v="3000"/>
    <n v="21000"/>
    <n v="2500"/>
    <n v="17500"/>
    <n v="3500"/>
    <n v="0.16666666666666666"/>
  </r>
  <r>
    <x v="298"/>
    <s v="ORD-04178"/>
    <x v="0"/>
    <x v="4"/>
    <x v="108"/>
    <x v="4"/>
    <x v="2"/>
    <n v="10"/>
    <n v="11730"/>
    <n v="117300"/>
    <n v="8500"/>
    <n v="85000"/>
    <n v="32300"/>
    <n v="0.27536231884057971"/>
  </r>
  <r>
    <x v="298"/>
    <s v="ORD-04179"/>
    <x v="3"/>
    <x v="1"/>
    <x v="110"/>
    <x v="3"/>
    <x v="0"/>
    <n v="2"/>
    <n v="3075"/>
    <n v="6150"/>
    <n v="2500"/>
    <n v="5000"/>
    <n v="1150"/>
    <n v="0.18699186991869918"/>
  </r>
  <r>
    <x v="298"/>
    <s v="ORD-04180"/>
    <x v="3"/>
    <x v="3"/>
    <x v="79"/>
    <x v="5"/>
    <x v="3"/>
    <n v="7"/>
    <n v="815.99999999999989"/>
    <n v="5711.9999999999991"/>
    <n v="600"/>
    <n v="4200"/>
    <n v="1511.9999999999991"/>
    <n v="0.26470588235294107"/>
  </r>
  <r>
    <x v="298"/>
    <s v="ORD-04181"/>
    <x v="2"/>
    <x v="2"/>
    <x v="14"/>
    <x v="0"/>
    <x v="0"/>
    <n v="4"/>
    <n v="4192"/>
    <n v="16768"/>
    <n v="3200"/>
    <n v="12800"/>
    <n v="3968"/>
    <n v="0.23664122137404581"/>
  </r>
  <r>
    <x v="298"/>
    <s v="ORD-04182"/>
    <x v="3"/>
    <x v="3"/>
    <x v="102"/>
    <x v="1"/>
    <x v="1"/>
    <n v="4"/>
    <n v="54450"/>
    <n v="217800"/>
    <n v="45000"/>
    <n v="180000"/>
    <n v="37800"/>
    <n v="0.17355371900826447"/>
  </r>
  <r>
    <x v="298"/>
    <s v="ORD-04183"/>
    <x v="3"/>
    <x v="0"/>
    <x v="6"/>
    <x v="7"/>
    <x v="2"/>
    <n v="10"/>
    <n v="10150"/>
    <n v="101500"/>
    <n v="7000"/>
    <n v="70000"/>
    <n v="31500"/>
    <n v="0.31034482758620691"/>
  </r>
  <r>
    <x v="298"/>
    <s v="ORD-04184"/>
    <x v="1"/>
    <x v="2"/>
    <x v="118"/>
    <x v="7"/>
    <x v="2"/>
    <n v="10"/>
    <n v="9030"/>
    <n v="90300"/>
    <n v="7000"/>
    <n v="70000"/>
    <n v="20300"/>
    <n v="0.22480620155038761"/>
  </r>
  <r>
    <x v="299"/>
    <s v="ORD-04185"/>
    <x v="1"/>
    <x v="0"/>
    <x v="10"/>
    <x v="5"/>
    <x v="3"/>
    <n v="10"/>
    <n v="864"/>
    <n v="8640"/>
    <n v="600"/>
    <n v="6000"/>
    <n v="2640"/>
    <n v="0.30555555555555558"/>
  </r>
  <r>
    <x v="299"/>
    <s v="ORD-04186"/>
    <x v="3"/>
    <x v="0"/>
    <x v="92"/>
    <x v="7"/>
    <x v="2"/>
    <n v="5"/>
    <n v="10080"/>
    <n v="50400"/>
    <n v="7000"/>
    <n v="35000"/>
    <n v="15400"/>
    <n v="0.30555555555555558"/>
  </r>
  <r>
    <x v="299"/>
    <s v="ORD-04187"/>
    <x v="0"/>
    <x v="1"/>
    <x v="102"/>
    <x v="3"/>
    <x v="0"/>
    <n v="8"/>
    <n v="3425.0000000000005"/>
    <n v="27400.000000000004"/>
    <n v="2500"/>
    <n v="20000"/>
    <n v="7400.0000000000036"/>
    <n v="0.27007299270073004"/>
  </r>
  <r>
    <x v="299"/>
    <s v="ORD-04188"/>
    <x v="1"/>
    <x v="0"/>
    <x v="62"/>
    <x v="1"/>
    <x v="1"/>
    <n v="2"/>
    <n v="58950"/>
    <n v="117900"/>
    <n v="45000"/>
    <n v="90000"/>
    <n v="27900"/>
    <n v="0.23664122137404581"/>
  </r>
  <r>
    <x v="299"/>
    <s v="ORD-04189"/>
    <x v="3"/>
    <x v="0"/>
    <x v="87"/>
    <x v="4"/>
    <x v="2"/>
    <n v="7"/>
    <n v="11135"/>
    <n v="77945"/>
    <n v="8500"/>
    <n v="59500"/>
    <n v="18445"/>
    <n v="0.23664122137404581"/>
  </r>
  <r>
    <x v="299"/>
    <s v="ORD-04190"/>
    <x v="1"/>
    <x v="0"/>
    <x v="3"/>
    <x v="7"/>
    <x v="2"/>
    <n v="2"/>
    <n v="8750"/>
    <n v="17500"/>
    <n v="7000"/>
    <n v="14000"/>
    <n v="3500"/>
    <n v="0.2"/>
  </r>
  <r>
    <x v="299"/>
    <s v="ORD-04191"/>
    <x v="0"/>
    <x v="2"/>
    <x v="74"/>
    <x v="3"/>
    <x v="0"/>
    <n v="3"/>
    <n v="3300"/>
    <n v="9900"/>
    <n v="2500"/>
    <n v="7500"/>
    <n v="2400"/>
    <n v="0.24242424242424243"/>
  </r>
  <r>
    <x v="299"/>
    <s v="ORD-04192"/>
    <x v="1"/>
    <x v="4"/>
    <x v="76"/>
    <x v="2"/>
    <x v="1"/>
    <n v="3"/>
    <n v="52820.000000000007"/>
    <n v="158460.00000000003"/>
    <n v="38000"/>
    <n v="114000"/>
    <n v="44460.000000000029"/>
    <n v="0.28057553956834547"/>
  </r>
  <r>
    <x v="299"/>
    <s v="ORD-04193"/>
    <x v="0"/>
    <x v="2"/>
    <x v="139"/>
    <x v="7"/>
    <x v="2"/>
    <n v="1"/>
    <n v="9870"/>
    <n v="9870"/>
    <n v="7000"/>
    <n v="7000"/>
    <n v="2870"/>
    <n v="0.29078014184397161"/>
  </r>
  <r>
    <x v="299"/>
    <s v="ORD-04194"/>
    <x v="2"/>
    <x v="3"/>
    <x v="91"/>
    <x v="3"/>
    <x v="0"/>
    <n v="5"/>
    <n v="3100"/>
    <n v="15500"/>
    <n v="2500"/>
    <n v="12500"/>
    <n v="3000"/>
    <n v="0.19354838709677419"/>
  </r>
  <r>
    <x v="299"/>
    <s v="ORD-04195"/>
    <x v="1"/>
    <x v="4"/>
    <x v="35"/>
    <x v="2"/>
    <x v="1"/>
    <n v="10"/>
    <n v="55100"/>
    <n v="551000"/>
    <n v="38000"/>
    <n v="380000"/>
    <n v="171000"/>
    <n v="0.31034482758620691"/>
  </r>
  <r>
    <x v="299"/>
    <s v="ORD-04196"/>
    <x v="0"/>
    <x v="5"/>
    <x v="68"/>
    <x v="7"/>
    <x v="2"/>
    <n v="7"/>
    <n v="9450"/>
    <n v="66150"/>
    <n v="7000"/>
    <n v="49000"/>
    <n v="17150"/>
    <n v="0.25925925925925924"/>
  </r>
  <r>
    <x v="299"/>
    <s v="ORD-04197"/>
    <x v="0"/>
    <x v="0"/>
    <x v="121"/>
    <x v="2"/>
    <x v="1"/>
    <n v="6"/>
    <n v="46740"/>
    <n v="280440"/>
    <n v="38000"/>
    <n v="228000"/>
    <n v="52440"/>
    <n v="0.18699186991869918"/>
  </r>
  <r>
    <x v="299"/>
    <s v="ORD-04198"/>
    <x v="2"/>
    <x v="1"/>
    <x v="108"/>
    <x v="7"/>
    <x v="2"/>
    <n v="1"/>
    <n v="9590"/>
    <n v="9590"/>
    <n v="7000"/>
    <n v="7000"/>
    <n v="2590"/>
    <n v="0.27007299270072993"/>
  </r>
  <r>
    <x v="300"/>
    <s v="ORD-04199"/>
    <x v="0"/>
    <x v="2"/>
    <x v="84"/>
    <x v="7"/>
    <x v="2"/>
    <n v="2"/>
    <n v="9800"/>
    <n v="19600"/>
    <n v="7000"/>
    <n v="14000"/>
    <n v="5600"/>
    <n v="0.2857142857142857"/>
  </r>
  <r>
    <x v="300"/>
    <s v="ORD-04200"/>
    <x v="0"/>
    <x v="3"/>
    <x v="96"/>
    <x v="7"/>
    <x v="2"/>
    <n v="8"/>
    <n v="9800"/>
    <n v="78400"/>
    <n v="7000"/>
    <n v="56000"/>
    <n v="22400"/>
    <n v="0.2857142857142857"/>
  </r>
  <r>
    <x v="300"/>
    <s v="ORD-04201"/>
    <x v="2"/>
    <x v="4"/>
    <x v="64"/>
    <x v="0"/>
    <x v="0"/>
    <n v="7"/>
    <n v="4096"/>
    <n v="28672"/>
    <n v="3200"/>
    <n v="22400"/>
    <n v="6272"/>
    <n v="0.21875"/>
  </r>
  <r>
    <x v="300"/>
    <s v="ORD-04202"/>
    <x v="0"/>
    <x v="2"/>
    <x v="32"/>
    <x v="3"/>
    <x v="0"/>
    <n v="5"/>
    <n v="3100"/>
    <n v="15500"/>
    <n v="2500"/>
    <n v="12500"/>
    <n v="3000"/>
    <n v="0.19354838709677419"/>
  </r>
  <r>
    <x v="300"/>
    <s v="ORD-04203"/>
    <x v="0"/>
    <x v="2"/>
    <x v="73"/>
    <x v="2"/>
    <x v="1"/>
    <n v="4"/>
    <n v="53960"/>
    <n v="215840"/>
    <n v="38000"/>
    <n v="152000"/>
    <n v="63840"/>
    <n v="0.29577464788732394"/>
  </r>
  <r>
    <x v="300"/>
    <s v="ORD-04204"/>
    <x v="0"/>
    <x v="2"/>
    <x v="88"/>
    <x v="2"/>
    <x v="1"/>
    <n v="6"/>
    <n v="51300"/>
    <n v="307800"/>
    <n v="38000"/>
    <n v="228000"/>
    <n v="79800"/>
    <n v="0.25925925925925924"/>
  </r>
  <r>
    <x v="300"/>
    <s v="ORD-04205"/>
    <x v="2"/>
    <x v="1"/>
    <x v="61"/>
    <x v="2"/>
    <x v="1"/>
    <n v="8"/>
    <n v="53580"/>
    <n v="428640"/>
    <n v="38000"/>
    <n v="304000"/>
    <n v="124640"/>
    <n v="0.29078014184397161"/>
  </r>
  <r>
    <x v="300"/>
    <s v="ORD-04206"/>
    <x v="3"/>
    <x v="5"/>
    <x v="99"/>
    <x v="7"/>
    <x v="2"/>
    <n v="3"/>
    <n v="8610"/>
    <n v="25830"/>
    <n v="7000"/>
    <n v="21000"/>
    <n v="4830"/>
    <n v="0.18699186991869918"/>
  </r>
  <r>
    <x v="300"/>
    <s v="ORD-04207"/>
    <x v="3"/>
    <x v="4"/>
    <x v="52"/>
    <x v="2"/>
    <x v="1"/>
    <n v="6"/>
    <n v="54720"/>
    <n v="328320"/>
    <n v="38000"/>
    <n v="228000"/>
    <n v="100320"/>
    <n v="0.30555555555555558"/>
  </r>
  <r>
    <x v="300"/>
    <s v="ORD-04208"/>
    <x v="0"/>
    <x v="0"/>
    <x v="18"/>
    <x v="5"/>
    <x v="3"/>
    <n v="10"/>
    <n v="792"/>
    <n v="7920"/>
    <n v="600"/>
    <n v="6000"/>
    <n v="1920"/>
    <n v="0.24242424242424243"/>
  </r>
  <r>
    <x v="300"/>
    <s v="ORD-04209"/>
    <x v="2"/>
    <x v="3"/>
    <x v="99"/>
    <x v="5"/>
    <x v="3"/>
    <n v="1"/>
    <n v="827.99999999999989"/>
    <n v="827.99999999999989"/>
    <n v="600"/>
    <n v="600"/>
    <n v="227.99999999999989"/>
    <n v="0.2753623188405796"/>
  </r>
  <r>
    <x v="300"/>
    <s v="ORD-04210"/>
    <x v="3"/>
    <x v="2"/>
    <x v="69"/>
    <x v="1"/>
    <x v="1"/>
    <n v="3"/>
    <n v="64350"/>
    <n v="193050"/>
    <n v="45000"/>
    <n v="135000"/>
    <n v="58050"/>
    <n v="0.30069930069930068"/>
  </r>
  <r>
    <x v="300"/>
    <s v="ORD-04211"/>
    <x v="0"/>
    <x v="2"/>
    <x v="84"/>
    <x v="1"/>
    <x v="1"/>
    <n v="5"/>
    <n v="54900"/>
    <n v="274500"/>
    <n v="45000"/>
    <n v="225000"/>
    <n v="49500"/>
    <n v="0.18032786885245902"/>
  </r>
  <r>
    <x v="300"/>
    <s v="ORD-04212"/>
    <x v="0"/>
    <x v="5"/>
    <x v="130"/>
    <x v="2"/>
    <x v="1"/>
    <n v="9"/>
    <n v="52439.999999999993"/>
    <n v="471959.99999999994"/>
    <n v="38000"/>
    <n v="342000"/>
    <n v="129959.99999999994"/>
    <n v="0.2753623188405796"/>
  </r>
  <r>
    <x v="301"/>
    <s v="ORD-04213"/>
    <x v="2"/>
    <x v="5"/>
    <x v="60"/>
    <x v="1"/>
    <x v="1"/>
    <n v="4"/>
    <n v="59400"/>
    <n v="237600"/>
    <n v="45000"/>
    <n v="180000"/>
    <n v="57600"/>
    <n v="0.24242424242424243"/>
  </r>
  <r>
    <x v="301"/>
    <s v="ORD-04214"/>
    <x v="1"/>
    <x v="5"/>
    <x v="57"/>
    <x v="0"/>
    <x v="0"/>
    <n v="5"/>
    <n v="4160"/>
    <n v="20800"/>
    <n v="3200"/>
    <n v="16000"/>
    <n v="4800"/>
    <n v="0.23076923076923078"/>
  </r>
  <r>
    <x v="301"/>
    <s v="ORD-04215"/>
    <x v="3"/>
    <x v="0"/>
    <x v="32"/>
    <x v="7"/>
    <x v="2"/>
    <n v="4"/>
    <n v="8680"/>
    <n v="34720"/>
    <n v="7000"/>
    <n v="28000"/>
    <n v="6720"/>
    <n v="0.19354838709677419"/>
  </r>
  <r>
    <x v="301"/>
    <s v="ORD-04216"/>
    <x v="2"/>
    <x v="4"/>
    <x v="9"/>
    <x v="2"/>
    <x v="1"/>
    <n v="2"/>
    <n v="54720"/>
    <n v="109440"/>
    <n v="38000"/>
    <n v="76000"/>
    <n v="33440"/>
    <n v="0.30555555555555558"/>
  </r>
  <r>
    <x v="301"/>
    <s v="ORD-04217"/>
    <x v="1"/>
    <x v="4"/>
    <x v="127"/>
    <x v="7"/>
    <x v="2"/>
    <n v="1"/>
    <n v="9170"/>
    <n v="9170"/>
    <n v="7000"/>
    <n v="7000"/>
    <n v="2170"/>
    <n v="0.23664122137404581"/>
  </r>
  <r>
    <x v="301"/>
    <s v="ORD-04218"/>
    <x v="3"/>
    <x v="4"/>
    <x v="113"/>
    <x v="2"/>
    <x v="1"/>
    <n v="7"/>
    <n v="49400"/>
    <n v="345800"/>
    <n v="38000"/>
    <n v="266000"/>
    <n v="79800"/>
    <n v="0.23076923076923078"/>
  </r>
  <r>
    <x v="301"/>
    <s v="ORD-04219"/>
    <x v="0"/>
    <x v="4"/>
    <x v="33"/>
    <x v="7"/>
    <x v="2"/>
    <n v="6"/>
    <n v="9240"/>
    <n v="55440"/>
    <n v="7000"/>
    <n v="42000"/>
    <n v="13440"/>
    <n v="0.24242424242424243"/>
  </r>
  <r>
    <x v="301"/>
    <s v="ORD-04220"/>
    <x v="1"/>
    <x v="1"/>
    <x v="20"/>
    <x v="4"/>
    <x v="2"/>
    <n v="6"/>
    <n v="12155"/>
    <n v="72930"/>
    <n v="8500"/>
    <n v="51000"/>
    <n v="21930"/>
    <n v="0.30069930069930068"/>
  </r>
  <r>
    <x v="301"/>
    <s v="ORD-04221"/>
    <x v="0"/>
    <x v="2"/>
    <x v="107"/>
    <x v="0"/>
    <x v="0"/>
    <n v="9"/>
    <n v="4224"/>
    <n v="38016"/>
    <n v="3200"/>
    <n v="28800"/>
    <n v="9216"/>
    <n v="0.24242424242424243"/>
  </r>
  <r>
    <x v="301"/>
    <s v="ORD-04222"/>
    <x v="3"/>
    <x v="1"/>
    <x v="121"/>
    <x v="7"/>
    <x v="2"/>
    <n v="2"/>
    <n v="9100"/>
    <n v="18200"/>
    <n v="7000"/>
    <n v="14000"/>
    <n v="4200"/>
    <n v="0.23076923076923078"/>
  </r>
  <r>
    <x v="301"/>
    <s v="ORD-04223"/>
    <x v="3"/>
    <x v="0"/>
    <x v="111"/>
    <x v="7"/>
    <x v="2"/>
    <n v="10"/>
    <n v="8890"/>
    <n v="88900"/>
    <n v="7000"/>
    <n v="70000"/>
    <n v="18900"/>
    <n v="0.2125984251968504"/>
  </r>
  <r>
    <x v="301"/>
    <s v="ORD-04224"/>
    <x v="1"/>
    <x v="1"/>
    <x v="121"/>
    <x v="7"/>
    <x v="2"/>
    <n v="7"/>
    <n v="9100"/>
    <n v="63700"/>
    <n v="7000"/>
    <n v="49000"/>
    <n v="14700"/>
    <n v="0.23076923076923078"/>
  </r>
  <r>
    <x v="301"/>
    <s v="ORD-04225"/>
    <x v="1"/>
    <x v="0"/>
    <x v="126"/>
    <x v="2"/>
    <x v="1"/>
    <n v="10"/>
    <n v="47120"/>
    <n v="471200"/>
    <n v="38000"/>
    <n v="380000"/>
    <n v="91200"/>
    <n v="0.19354838709677419"/>
  </r>
  <r>
    <x v="301"/>
    <s v="ORD-04226"/>
    <x v="0"/>
    <x v="3"/>
    <x v="41"/>
    <x v="6"/>
    <x v="3"/>
    <n v="10"/>
    <n v="1278"/>
    <n v="12780"/>
    <n v="900"/>
    <n v="9000"/>
    <n v="3780"/>
    <n v="0.29577464788732394"/>
  </r>
  <r>
    <x v="302"/>
    <s v="ORD-04227"/>
    <x v="1"/>
    <x v="5"/>
    <x v="74"/>
    <x v="6"/>
    <x v="3"/>
    <n v="9"/>
    <n v="1224"/>
    <n v="11016"/>
    <n v="900"/>
    <n v="8100"/>
    <n v="2916"/>
    <n v="0.26470588235294118"/>
  </r>
  <r>
    <x v="302"/>
    <s v="ORD-04228"/>
    <x v="0"/>
    <x v="4"/>
    <x v="70"/>
    <x v="4"/>
    <x v="2"/>
    <n v="9"/>
    <n v="12155"/>
    <n v="109395"/>
    <n v="8500"/>
    <n v="76500"/>
    <n v="32895"/>
    <n v="0.30069930069930068"/>
  </r>
  <r>
    <x v="302"/>
    <s v="ORD-04229"/>
    <x v="3"/>
    <x v="1"/>
    <x v="107"/>
    <x v="4"/>
    <x v="2"/>
    <n v="6"/>
    <n v="12240"/>
    <n v="73440"/>
    <n v="8500"/>
    <n v="51000"/>
    <n v="22440"/>
    <n v="0.30555555555555558"/>
  </r>
  <r>
    <x v="302"/>
    <s v="ORD-04230"/>
    <x v="0"/>
    <x v="3"/>
    <x v="35"/>
    <x v="7"/>
    <x v="2"/>
    <n v="5"/>
    <n v="8960"/>
    <n v="44800"/>
    <n v="7000"/>
    <n v="35000"/>
    <n v="9800"/>
    <n v="0.21875"/>
  </r>
  <r>
    <x v="302"/>
    <s v="ORD-04231"/>
    <x v="3"/>
    <x v="5"/>
    <x v="135"/>
    <x v="0"/>
    <x v="0"/>
    <n v="6"/>
    <n v="4224"/>
    <n v="25344"/>
    <n v="3200"/>
    <n v="19200"/>
    <n v="6144"/>
    <n v="0.24242424242424243"/>
  </r>
  <r>
    <x v="302"/>
    <s v="ORD-04232"/>
    <x v="2"/>
    <x v="3"/>
    <x v="2"/>
    <x v="2"/>
    <x v="1"/>
    <n v="3"/>
    <n v="50920"/>
    <n v="152760"/>
    <n v="38000"/>
    <n v="114000"/>
    <n v="38760"/>
    <n v="0.2537313432835821"/>
  </r>
  <r>
    <x v="302"/>
    <s v="ORD-04233"/>
    <x v="3"/>
    <x v="1"/>
    <x v="73"/>
    <x v="2"/>
    <x v="1"/>
    <n v="4"/>
    <n v="50920"/>
    <n v="203680"/>
    <n v="38000"/>
    <n v="152000"/>
    <n v="51680"/>
    <n v="0.2537313432835821"/>
  </r>
  <r>
    <x v="302"/>
    <s v="ORD-04234"/>
    <x v="0"/>
    <x v="4"/>
    <x v="137"/>
    <x v="1"/>
    <x v="1"/>
    <n v="5"/>
    <n v="65250"/>
    <n v="326250"/>
    <n v="45000"/>
    <n v="225000"/>
    <n v="101250"/>
    <n v="0.31034482758620691"/>
  </r>
  <r>
    <x v="302"/>
    <s v="ORD-04235"/>
    <x v="3"/>
    <x v="2"/>
    <x v="11"/>
    <x v="2"/>
    <x v="1"/>
    <n v="6"/>
    <n v="53580"/>
    <n v="321480"/>
    <n v="38000"/>
    <n v="228000"/>
    <n v="93480"/>
    <n v="0.29078014184397161"/>
  </r>
  <r>
    <x v="302"/>
    <s v="ORD-04236"/>
    <x v="2"/>
    <x v="1"/>
    <x v="36"/>
    <x v="2"/>
    <x v="1"/>
    <n v="2"/>
    <n v="54720"/>
    <n v="109440"/>
    <n v="38000"/>
    <n v="76000"/>
    <n v="33440"/>
    <n v="0.30555555555555558"/>
  </r>
  <r>
    <x v="302"/>
    <s v="ORD-04237"/>
    <x v="1"/>
    <x v="3"/>
    <x v="98"/>
    <x v="1"/>
    <x v="1"/>
    <n v="2"/>
    <n v="62999.999999999993"/>
    <n v="125999.99999999999"/>
    <n v="45000"/>
    <n v="90000"/>
    <n v="35999.999999999985"/>
    <n v="0.28571428571428564"/>
  </r>
  <r>
    <x v="302"/>
    <s v="ORD-04238"/>
    <x v="1"/>
    <x v="1"/>
    <x v="20"/>
    <x v="3"/>
    <x v="0"/>
    <n v="3"/>
    <n v="3550"/>
    <n v="10650"/>
    <n v="2500"/>
    <n v="7500"/>
    <n v="3150"/>
    <n v="0.29577464788732394"/>
  </r>
  <r>
    <x v="302"/>
    <s v="ORD-04239"/>
    <x v="0"/>
    <x v="5"/>
    <x v="72"/>
    <x v="5"/>
    <x v="3"/>
    <n v="10"/>
    <n v="815.99999999999989"/>
    <n v="8159.9999999999991"/>
    <n v="600"/>
    <n v="6000"/>
    <n v="2159.9999999999991"/>
    <n v="0.26470588235294107"/>
  </r>
  <r>
    <x v="302"/>
    <s v="ORD-04240"/>
    <x v="0"/>
    <x v="5"/>
    <x v="83"/>
    <x v="2"/>
    <x v="1"/>
    <n v="10"/>
    <n v="49400"/>
    <n v="494000"/>
    <n v="38000"/>
    <n v="380000"/>
    <n v="114000"/>
    <n v="0.23076923076923078"/>
  </r>
  <r>
    <x v="303"/>
    <s v="ORD-04241"/>
    <x v="0"/>
    <x v="1"/>
    <x v="106"/>
    <x v="4"/>
    <x v="2"/>
    <n v="9"/>
    <n v="11475"/>
    <n v="103275"/>
    <n v="8500"/>
    <n v="76500"/>
    <n v="26775"/>
    <n v="0.25925925925925924"/>
  </r>
  <r>
    <x v="303"/>
    <s v="ORD-04242"/>
    <x v="1"/>
    <x v="2"/>
    <x v="14"/>
    <x v="6"/>
    <x v="3"/>
    <n v="2"/>
    <n v="1125"/>
    <n v="2250"/>
    <n v="900"/>
    <n v="1800"/>
    <n v="450"/>
    <n v="0.2"/>
  </r>
  <r>
    <x v="303"/>
    <s v="ORD-04243"/>
    <x v="0"/>
    <x v="5"/>
    <x v="107"/>
    <x v="1"/>
    <x v="1"/>
    <n v="10"/>
    <n v="65250"/>
    <n v="652500"/>
    <n v="45000"/>
    <n v="450000"/>
    <n v="202500"/>
    <n v="0.31034482758620691"/>
  </r>
  <r>
    <x v="303"/>
    <s v="ORD-04244"/>
    <x v="2"/>
    <x v="4"/>
    <x v="128"/>
    <x v="4"/>
    <x v="2"/>
    <n v="6"/>
    <n v="10880"/>
    <n v="65280"/>
    <n v="8500"/>
    <n v="51000"/>
    <n v="14280"/>
    <n v="0.21875"/>
  </r>
  <r>
    <x v="303"/>
    <s v="ORD-04245"/>
    <x v="1"/>
    <x v="0"/>
    <x v="23"/>
    <x v="3"/>
    <x v="0"/>
    <n v="3"/>
    <n v="3500"/>
    <n v="10500"/>
    <n v="2500"/>
    <n v="7500"/>
    <n v="3000"/>
    <n v="0.2857142857142857"/>
  </r>
  <r>
    <x v="303"/>
    <s v="ORD-04246"/>
    <x v="0"/>
    <x v="3"/>
    <x v="80"/>
    <x v="3"/>
    <x v="0"/>
    <n v="5"/>
    <n v="3150"/>
    <n v="15750"/>
    <n v="2500"/>
    <n v="12500"/>
    <n v="3250"/>
    <n v="0.20634920634920634"/>
  </r>
  <r>
    <x v="303"/>
    <s v="ORD-04247"/>
    <x v="3"/>
    <x v="0"/>
    <x v="23"/>
    <x v="4"/>
    <x v="2"/>
    <n v="7"/>
    <n v="11305"/>
    <n v="79135"/>
    <n v="8500"/>
    <n v="59500"/>
    <n v="19635"/>
    <n v="0.24812030075187969"/>
  </r>
  <r>
    <x v="303"/>
    <s v="ORD-04248"/>
    <x v="2"/>
    <x v="1"/>
    <x v="127"/>
    <x v="1"/>
    <x v="1"/>
    <n v="9"/>
    <n v="65250"/>
    <n v="587250"/>
    <n v="45000"/>
    <n v="405000"/>
    <n v="182250"/>
    <n v="0.31034482758620691"/>
  </r>
  <r>
    <x v="303"/>
    <s v="ORD-04249"/>
    <x v="3"/>
    <x v="0"/>
    <x v="47"/>
    <x v="1"/>
    <x v="1"/>
    <n v="4"/>
    <n v="65250"/>
    <n v="261000"/>
    <n v="45000"/>
    <n v="180000"/>
    <n v="81000"/>
    <n v="0.31034482758620691"/>
  </r>
  <r>
    <x v="303"/>
    <s v="ORD-04250"/>
    <x v="0"/>
    <x v="3"/>
    <x v="80"/>
    <x v="6"/>
    <x v="3"/>
    <n v="9"/>
    <n v="1161"/>
    <n v="10449"/>
    <n v="900"/>
    <n v="8100"/>
    <n v="2349"/>
    <n v="0.22480620155038761"/>
  </r>
  <r>
    <x v="303"/>
    <s v="ORD-04251"/>
    <x v="0"/>
    <x v="2"/>
    <x v="130"/>
    <x v="6"/>
    <x v="3"/>
    <n v="7"/>
    <n v="1089"/>
    <n v="7623"/>
    <n v="900"/>
    <n v="6300"/>
    <n v="1323"/>
    <n v="0.17355371900826447"/>
  </r>
  <r>
    <x v="303"/>
    <s v="ORD-04252"/>
    <x v="0"/>
    <x v="4"/>
    <x v="3"/>
    <x v="4"/>
    <x v="2"/>
    <n v="10"/>
    <n v="10795"/>
    <n v="107950"/>
    <n v="8500"/>
    <n v="85000"/>
    <n v="22950"/>
    <n v="0.2125984251968504"/>
  </r>
  <r>
    <x v="303"/>
    <s v="ORD-04253"/>
    <x v="2"/>
    <x v="0"/>
    <x v="87"/>
    <x v="5"/>
    <x v="3"/>
    <n v="7"/>
    <n v="720"/>
    <n v="5040"/>
    <n v="600"/>
    <n v="4200"/>
    <n v="840"/>
    <n v="0.16666666666666666"/>
  </r>
  <r>
    <x v="303"/>
    <s v="ORD-04254"/>
    <x v="2"/>
    <x v="5"/>
    <x v="107"/>
    <x v="1"/>
    <x v="1"/>
    <n v="1"/>
    <n v="55800"/>
    <n v="55800"/>
    <n v="45000"/>
    <n v="45000"/>
    <n v="10800"/>
    <n v="0.19354838709677419"/>
  </r>
  <r>
    <x v="304"/>
    <s v="ORD-04255"/>
    <x v="0"/>
    <x v="5"/>
    <x v="69"/>
    <x v="3"/>
    <x v="0"/>
    <n v="4"/>
    <n v="3075"/>
    <n v="12300"/>
    <n v="2500"/>
    <n v="10000"/>
    <n v="2300"/>
    <n v="0.18699186991869918"/>
  </r>
  <r>
    <x v="304"/>
    <s v="ORD-04256"/>
    <x v="2"/>
    <x v="1"/>
    <x v="146"/>
    <x v="0"/>
    <x v="0"/>
    <n v="9"/>
    <n v="3936"/>
    <n v="35424"/>
    <n v="3200"/>
    <n v="28800"/>
    <n v="6624"/>
    <n v="0.18699186991869918"/>
  </r>
  <r>
    <x v="304"/>
    <s v="ORD-04257"/>
    <x v="1"/>
    <x v="5"/>
    <x v="125"/>
    <x v="5"/>
    <x v="3"/>
    <n v="8"/>
    <n v="738"/>
    <n v="5904"/>
    <n v="600"/>
    <n v="4800"/>
    <n v="1104"/>
    <n v="0.18699186991869918"/>
  </r>
  <r>
    <x v="304"/>
    <s v="ORD-04258"/>
    <x v="3"/>
    <x v="0"/>
    <x v="86"/>
    <x v="7"/>
    <x v="2"/>
    <n v="8"/>
    <n v="9380"/>
    <n v="75040"/>
    <n v="7000"/>
    <n v="56000"/>
    <n v="19040"/>
    <n v="0.2537313432835821"/>
  </r>
  <r>
    <x v="304"/>
    <s v="ORD-04259"/>
    <x v="1"/>
    <x v="0"/>
    <x v="132"/>
    <x v="1"/>
    <x v="1"/>
    <n v="2"/>
    <n v="62099.999999999993"/>
    <n v="124199.99999999999"/>
    <n v="45000"/>
    <n v="90000"/>
    <n v="34199.999999999985"/>
    <n v="0.2753623188405796"/>
  </r>
  <r>
    <x v="304"/>
    <s v="ORD-04260"/>
    <x v="1"/>
    <x v="2"/>
    <x v="102"/>
    <x v="2"/>
    <x v="1"/>
    <n v="9"/>
    <n v="55100"/>
    <n v="495900"/>
    <n v="38000"/>
    <n v="342000"/>
    <n v="153900"/>
    <n v="0.31034482758620691"/>
  </r>
  <r>
    <x v="304"/>
    <s v="ORD-04261"/>
    <x v="3"/>
    <x v="2"/>
    <x v="100"/>
    <x v="0"/>
    <x v="0"/>
    <n v="10"/>
    <n v="4480"/>
    <n v="44800"/>
    <n v="3200"/>
    <n v="32000"/>
    <n v="12800"/>
    <n v="0.2857142857142857"/>
  </r>
  <r>
    <x v="304"/>
    <s v="ORD-04262"/>
    <x v="2"/>
    <x v="3"/>
    <x v="105"/>
    <x v="5"/>
    <x v="3"/>
    <n v="3"/>
    <n v="774"/>
    <n v="2322"/>
    <n v="600"/>
    <n v="1800"/>
    <n v="522"/>
    <n v="0.22480620155038761"/>
  </r>
  <r>
    <x v="304"/>
    <s v="ORD-04263"/>
    <x v="0"/>
    <x v="5"/>
    <x v="148"/>
    <x v="6"/>
    <x v="3"/>
    <n v="9"/>
    <n v="1215"/>
    <n v="10935"/>
    <n v="900"/>
    <n v="8100"/>
    <n v="2835"/>
    <n v="0.25925925925925924"/>
  </r>
  <r>
    <x v="304"/>
    <s v="ORD-04264"/>
    <x v="0"/>
    <x v="3"/>
    <x v="16"/>
    <x v="0"/>
    <x v="0"/>
    <n v="5"/>
    <n v="3904"/>
    <n v="19520"/>
    <n v="3200"/>
    <n v="16000"/>
    <n v="3520"/>
    <n v="0.18032786885245902"/>
  </r>
  <r>
    <x v="304"/>
    <s v="ORD-04265"/>
    <x v="2"/>
    <x v="2"/>
    <x v="1"/>
    <x v="2"/>
    <x v="1"/>
    <n v="2"/>
    <n v="53200"/>
    <n v="106400"/>
    <n v="38000"/>
    <n v="76000"/>
    <n v="30400"/>
    <n v="0.2857142857142857"/>
  </r>
  <r>
    <x v="304"/>
    <s v="ORD-04266"/>
    <x v="2"/>
    <x v="1"/>
    <x v="119"/>
    <x v="0"/>
    <x v="0"/>
    <n v="6"/>
    <n v="4000"/>
    <n v="24000"/>
    <n v="3200"/>
    <n v="19200"/>
    <n v="4800"/>
    <n v="0.2"/>
  </r>
  <r>
    <x v="304"/>
    <s v="ORD-04267"/>
    <x v="2"/>
    <x v="4"/>
    <x v="51"/>
    <x v="3"/>
    <x v="0"/>
    <n v="6"/>
    <n v="3025"/>
    <n v="18150"/>
    <n v="2500"/>
    <n v="15000"/>
    <n v="3150"/>
    <n v="0.17355371900826447"/>
  </r>
  <r>
    <x v="304"/>
    <s v="ORD-04268"/>
    <x v="3"/>
    <x v="2"/>
    <x v="131"/>
    <x v="7"/>
    <x v="2"/>
    <n v="1"/>
    <n v="9100"/>
    <n v="9100"/>
    <n v="7000"/>
    <n v="7000"/>
    <n v="2100"/>
    <n v="0.23076923076923078"/>
  </r>
  <r>
    <x v="305"/>
    <s v="ORD-04269"/>
    <x v="2"/>
    <x v="0"/>
    <x v="29"/>
    <x v="7"/>
    <x v="2"/>
    <n v="2"/>
    <n v="8820"/>
    <n v="17640"/>
    <n v="7000"/>
    <n v="14000"/>
    <n v="3640"/>
    <n v="0.20634920634920634"/>
  </r>
  <r>
    <x v="305"/>
    <s v="ORD-04270"/>
    <x v="3"/>
    <x v="4"/>
    <x v="86"/>
    <x v="4"/>
    <x v="2"/>
    <n v="8"/>
    <n v="10455"/>
    <n v="83640"/>
    <n v="8500"/>
    <n v="68000"/>
    <n v="15640"/>
    <n v="0.18699186991869918"/>
  </r>
  <r>
    <x v="305"/>
    <s v="ORD-04271"/>
    <x v="2"/>
    <x v="3"/>
    <x v="63"/>
    <x v="1"/>
    <x v="1"/>
    <n v="10"/>
    <n v="63450"/>
    <n v="634500"/>
    <n v="45000"/>
    <n v="450000"/>
    <n v="184500"/>
    <n v="0.29078014184397161"/>
  </r>
  <r>
    <x v="305"/>
    <s v="ORD-04272"/>
    <x v="3"/>
    <x v="5"/>
    <x v="44"/>
    <x v="3"/>
    <x v="0"/>
    <n v="6"/>
    <n v="3350"/>
    <n v="20100"/>
    <n v="2500"/>
    <n v="15000"/>
    <n v="5100"/>
    <n v="0.2537313432835821"/>
  </r>
  <r>
    <x v="305"/>
    <s v="ORD-04273"/>
    <x v="1"/>
    <x v="3"/>
    <x v="140"/>
    <x v="7"/>
    <x v="2"/>
    <n v="10"/>
    <n v="9590"/>
    <n v="95900"/>
    <n v="7000"/>
    <n v="70000"/>
    <n v="25900"/>
    <n v="0.27007299270072993"/>
  </r>
  <r>
    <x v="305"/>
    <s v="ORD-04274"/>
    <x v="1"/>
    <x v="0"/>
    <x v="126"/>
    <x v="7"/>
    <x v="2"/>
    <n v="1"/>
    <n v="10010"/>
    <n v="10010"/>
    <n v="7000"/>
    <n v="7000"/>
    <n v="3010"/>
    <n v="0.30069930069930068"/>
  </r>
  <r>
    <x v="305"/>
    <s v="ORD-04275"/>
    <x v="2"/>
    <x v="2"/>
    <x v="66"/>
    <x v="6"/>
    <x v="3"/>
    <n v="2"/>
    <n v="1233"/>
    <n v="2466"/>
    <n v="900"/>
    <n v="1800"/>
    <n v="666"/>
    <n v="0.27007299270072993"/>
  </r>
  <r>
    <x v="305"/>
    <s v="ORD-04276"/>
    <x v="1"/>
    <x v="5"/>
    <x v="46"/>
    <x v="0"/>
    <x v="0"/>
    <n v="10"/>
    <n v="4320"/>
    <n v="43200"/>
    <n v="3200"/>
    <n v="32000"/>
    <n v="11200"/>
    <n v="0.25925925925925924"/>
  </r>
  <r>
    <x v="305"/>
    <s v="ORD-04277"/>
    <x v="1"/>
    <x v="3"/>
    <x v="58"/>
    <x v="1"/>
    <x v="1"/>
    <n v="1"/>
    <n v="56700"/>
    <n v="56700"/>
    <n v="45000"/>
    <n v="45000"/>
    <n v="11700"/>
    <n v="0.20634920634920634"/>
  </r>
  <r>
    <x v="305"/>
    <s v="ORD-04278"/>
    <x v="3"/>
    <x v="4"/>
    <x v="130"/>
    <x v="6"/>
    <x v="3"/>
    <n v="1"/>
    <n v="1287"/>
    <n v="1287"/>
    <n v="900"/>
    <n v="900"/>
    <n v="387"/>
    <n v="0.30069930069930068"/>
  </r>
  <r>
    <x v="305"/>
    <s v="ORD-04279"/>
    <x v="2"/>
    <x v="2"/>
    <x v="81"/>
    <x v="1"/>
    <x v="1"/>
    <n v="4"/>
    <n v="64800"/>
    <n v="259200"/>
    <n v="45000"/>
    <n v="180000"/>
    <n v="79200"/>
    <n v="0.30555555555555558"/>
  </r>
  <r>
    <x v="305"/>
    <s v="ORD-04280"/>
    <x v="3"/>
    <x v="4"/>
    <x v="16"/>
    <x v="4"/>
    <x v="2"/>
    <n v="9"/>
    <n v="10540"/>
    <n v="94860"/>
    <n v="8500"/>
    <n v="76500"/>
    <n v="18360"/>
    <n v="0.19354838709677419"/>
  </r>
  <r>
    <x v="305"/>
    <s v="ORD-04281"/>
    <x v="2"/>
    <x v="0"/>
    <x v="105"/>
    <x v="2"/>
    <x v="1"/>
    <n v="10"/>
    <n v="45600"/>
    <n v="456000"/>
    <n v="38000"/>
    <n v="380000"/>
    <n v="76000"/>
    <n v="0.16666666666666666"/>
  </r>
  <r>
    <x v="305"/>
    <s v="ORD-04282"/>
    <x v="2"/>
    <x v="3"/>
    <x v="140"/>
    <x v="2"/>
    <x v="1"/>
    <n v="3"/>
    <n v="45980"/>
    <n v="137940"/>
    <n v="38000"/>
    <n v="114000"/>
    <n v="23940"/>
    <n v="0.17355371900826447"/>
  </r>
  <r>
    <x v="306"/>
    <s v="ORD-04283"/>
    <x v="3"/>
    <x v="5"/>
    <x v="14"/>
    <x v="4"/>
    <x v="2"/>
    <n v="4"/>
    <n v="11220"/>
    <n v="44880"/>
    <n v="8500"/>
    <n v="34000"/>
    <n v="10880"/>
    <n v="0.24242424242424243"/>
  </r>
  <r>
    <x v="306"/>
    <s v="ORD-04284"/>
    <x v="0"/>
    <x v="3"/>
    <x v="148"/>
    <x v="7"/>
    <x v="2"/>
    <n v="2"/>
    <n v="8680"/>
    <n v="17360"/>
    <n v="7000"/>
    <n v="14000"/>
    <n v="3360"/>
    <n v="0.19354838709677419"/>
  </r>
  <r>
    <x v="306"/>
    <s v="ORD-04285"/>
    <x v="3"/>
    <x v="2"/>
    <x v="15"/>
    <x v="1"/>
    <x v="1"/>
    <n v="5"/>
    <n v="57600"/>
    <n v="288000"/>
    <n v="45000"/>
    <n v="225000"/>
    <n v="63000"/>
    <n v="0.21875"/>
  </r>
  <r>
    <x v="306"/>
    <s v="ORD-04286"/>
    <x v="3"/>
    <x v="1"/>
    <x v="116"/>
    <x v="1"/>
    <x v="1"/>
    <n v="5"/>
    <n v="59850"/>
    <n v="299250"/>
    <n v="45000"/>
    <n v="225000"/>
    <n v="74250"/>
    <n v="0.24812030075187969"/>
  </r>
  <r>
    <x v="306"/>
    <s v="ORD-04287"/>
    <x v="3"/>
    <x v="4"/>
    <x v="107"/>
    <x v="5"/>
    <x v="3"/>
    <n v="5"/>
    <n v="768"/>
    <n v="3840"/>
    <n v="600"/>
    <n v="3000"/>
    <n v="840"/>
    <n v="0.21875"/>
  </r>
  <r>
    <x v="306"/>
    <s v="ORD-04288"/>
    <x v="1"/>
    <x v="4"/>
    <x v="80"/>
    <x v="7"/>
    <x v="2"/>
    <n v="2"/>
    <n v="9450"/>
    <n v="18900"/>
    <n v="7000"/>
    <n v="14000"/>
    <n v="4900"/>
    <n v="0.25925925925925924"/>
  </r>
  <r>
    <x v="306"/>
    <s v="ORD-04289"/>
    <x v="2"/>
    <x v="2"/>
    <x v="72"/>
    <x v="7"/>
    <x v="2"/>
    <n v="10"/>
    <n v="8470"/>
    <n v="84700"/>
    <n v="7000"/>
    <n v="70000"/>
    <n v="14700"/>
    <n v="0.17355371900826447"/>
  </r>
  <r>
    <x v="306"/>
    <s v="ORD-04290"/>
    <x v="0"/>
    <x v="0"/>
    <x v="52"/>
    <x v="2"/>
    <x v="1"/>
    <n v="7"/>
    <n v="49400"/>
    <n v="345800"/>
    <n v="38000"/>
    <n v="266000"/>
    <n v="79800"/>
    <n v="0.23076923076923078"/>
  </r>
  <r>
    <x v="306"/>
    <s v="ORD-04291"/>
    <x v="3"/>
    <x v="2"/>
    <x v="55"/>
    <x v="6"/>
    <x v="3"/>
    <n v="8"/>
    <n v="1305"/>
    <n v="10440"/>
    <n v="900"/>
    <n v="7200"/>
    <n v="3240"/>
    <n v="0.31034482758620691"/>
  </r>
  <r>
    <x v="306"/>
    <s v="ORD-04292"/>
    <x v="1"/>
    <x v="4"/>
    <x v="102"/>
    <x v="7"/>
    <x v="2"/>
    <n v="7"/>
    <n v="8960"/>
    <n v="62720"/>
    <n v="7000"/>
    <n v="49000"/>
    <n v="13720"/>
    <n v="0.21875"/>
  </r>
  <r>
    <x v="306"/>
    <s v="ORD-04293"/>
    <x v="3"/>
    <x v="2"/>
    <x v="124"/>
    <x v="4"/>
    <x v="2"/>
    <n v="10"/>
    <n v="11985"/>
    <n v="119850"/>
    <n v="8500"/>
    <n v="85000"/>
    <n v="34850"/>
    <n v="0.29078014184397161"/>
  </r>
  <r>
    <x v="306"/>
    <s v="ORD-04294"/>
    <x v="3"/>
    <x v="2"/>
    <x v="93"/>
    <x v="3"/>
    <x v="0"/>
    <n v="9"/>
    <n v="3475.0000000000005"/>
    <n v="31275.000000000004"/>
    <n v="2500"/>
    <n v="22500"/>
    <n v="8775.0000000000036"/>
    <n v="0.28057553956834541"/>
  </r>
  <r>
    <x v="306"/>
    <s v="ORD-04295"/>
    <x v="3"/>
    <x v="2"/>
    <x v="35"/>
    <x v="3"/>
    <x v="0"/>
    <n v="8"/>
    <n v="3225"/>
    <n v="25800"/>
    <n v="2500"/>
    <n v="20000"/>
    <n v="5800"/>
    <n v="0.22480620155038761"/>
  </r>
  <r>
    <x v="306"/>
    <s v="ORD-04296"/>
    <x v="3"/>
    <x v="0"/>
    <x v="57"/>
    <x v="7"/>
    <x v="2"/>
    <n v="9"/>
    <n v="10150"/>
    <n v="91350"/>
    <n v="7000"/>
    <n v="63000"/>
    <n v="28350"/>
    <n v="0.31034482758620691"/>
  </r>
  <r>
    <x v="307"/>
    <s v="ORD-04297"/>
    <x v="2"/>
    <x v="3"/>
    <x v="73"/>
    <x v="0"/>
    <x v="0"/>
    <n v="3"/>
    <n v="4288"/>
    <n v="12864"/>
    <n v="3200"/>
    <n v="9600"/>
    <n v="3264"/>
    <n v="0.2537313432835821"/>
  </r>
  <r>
    <x v="307"/>
    <s v="ORD-04298"/>
    <x v="3"/>
    <x v="5"/>
    <x v="111"/>
    <x v="1"/>
    <x v="1"/>
    <n v="7"/>
    <n v="55800"/>
    <n v="390600"/>
    <n v="45000"/>
    <n v="315000"/>
    <n v="75600"/>
    <n v="0.19354838709677419"/>
  </r>
  <r>
    <x v="307"/>
    <s v="ORD-04299"/>
    <x v="0"/>
    <x v="2"/>
    <x v="86"/>
    <x v="3"/>
    <x v="0"/>
    <n v="1"/>
    <n v="3200"/>
    <n v="3200"/>
    <n v="2500"/>
    <n v="2500"/>
    <n v="700"/>
    <n v="0.21875"/>
  </r>
  <r>
    <x v="307"/>
    <s v="ORD-04300"/>
    <x v="3"/>
    <x v="5"/>
    <x v="67"/>
    <x v="4"/>
    <x v="2"/>
    <n v="8"/>
    <n v="10795"/>
    <n v="86360"/>
    <n v="8500"/>
    <n v="68000"/>
    <n v="18360"/>
    <n v="0.2125984251968504"/>
  </r>
  <r>
    <x v="307"/>
    <s v="ORD-04301"/>
    <x v="1"/>
    <x v="2"/>
    <x v="73"/>
    <x v="0"/>
    <x v="0"/>
    <n v="4"/>
    <n v="4544"/>
    <n v="18176"/>
    <n v="3200"/>
    <n v="12800"/>
    <n v="5376"/>
    <n v="0.29577464788732394"/>
  </r>
  <r>
    <x v="307"/>
    <s v="ORD-04302"/>
    <x v="2"/>
    <x v="0"/>
    <x v="124"/>
    <x v="5"/>
    <x v="3"/>
    <n v="7"/>
    <n v="732"/>
    <n v="5124"/>
    <n v="600"/>
    <n v="4200"/>
    <n v="924"/>
    <n v="0.18032786885245902"/>
  </r>
  <r>
    <x v="307"/>
    <s v="ORD-04303"/>
    <x v="0"/>
    <x v="0"/>
    <x v="34"/>
    <x v="6"/>
    <x v="3"/>
    <n v="4"/>
    <n v="1125"/>
    <n v="4500"/>
    <n v="900"/>
    <n v="3600"/>
    <n v="900"/>
    <n v="0.2"/>
  </r>
  <r>
    <x v="307"/>
    <s v="ORD-04304"/>
    <x v="0"/>
    <x v="1"/>
    <x v="108"/>
    <x v="4"/>
    <x v="2"/>
    <n v="8"/>
    <n v="11135"/>
    <n v="89080"/>
    <n v="8500"/>
    <n v="68000"/>
    <n v="21080"/>
    <n v="0.23664122137404581"/>
  </r>
  <r>
    <x v="307"/>
    <s v="ORD-04305"/>
    <x v="0"/>
    <x v="3"/>
    <x v="59"/>
    <x v="2"/>
    <x v="1"/>
    <n v="8"/>
    <n v="46360"/>
    <n v="370880"/>
    <n v="38000"/>
    <n v="304000"/>
    <n v="66880"/>
    <n v="0.18032786885245902"/>
  </r>
  <r>
    <x v="307"/>
    <s v="ORD-04306"/>
    <x v="1"/>
    <x v="0"/>
    <x v="98"/>
    <x v="5"/>
    <x v="3"/>
    <n v="1"/>
    <n v="750"/>
    <n v="750"/>
    <n v="600"/>
    <n v="600"/>
    <n v="150"/>
    <n v="0.2"/>
  </r>
  <r>
    <x v="307"/>
    <s v="ORD-04307"/>
    <x v="1"/>
    <x v="0"/>
    <x v="128"/>
    <x v="7"/>
    <x v="2"/>
    <n v="1"/>
    <n v="9520"/>
    <n v="9520"/>
    <n v="7000"/>
    <n v="7000"/>
    <n v="2520"/>
    <n v="0.26470588235294118"/>
  </r>
  <r>
    <x v="307"/>
    <s v="ORD-04308"/>
    <x v="1"/>
    <x v="0"/>
    <x v="119"/>
    <x v="3"/>
    <x v="0"/>
    <n v="7"/>
    <n v="3000"/>
    <n v="21000"/>
    <n v="2500"/>
    <n v="17500"/>
    <n v="3500"/>
    <n v="0.16666666666666666"/>
  </r>
  <r>
    <x v="307"/>
    <s v="ORD-04309"/>
    <x v="3"/>
    <x v="3"/>
    <x v="140"/>
    <x v="6"/>
    <x v="3"/>
    <n v="10"/>
    <n v="1215"/>
    <n v="12150"/>
    <n v="900"/>
    <n v="9000"/>
    <n v="3150"/>
    <n v="0.25925925925925924"/>
  </r>
  <r>
    <x v="307"/>
    <s v="ORD-04310"/>
    <x v="3"/>
    <x v="1"/>
    <x v="148"/>
    <x v="7"/>
    <x v="2"/>
    <n v="6"/>
    <n v="9870"/>
    <n v="59220"/>
    <n v="7000"/>
    <n v="42000"/>
    <n v="17220"/>
    <n v="0.29078014184397161"/>
  </r>
  <r>
    <x v="308"/>
    <s v="ORD-04311"/>
    <x v="3"/>
    <x v="1"/>
    <x v="23"/>
    <x v="1"/>
    <x v="1"/>
    <n v="3"/>
    <n v="61650.000000000007"/>
    <n v="184950.00000000003"/>
    <n v="45000"/>
    <n v="135000"/>
    <n v="49950.000000000029"/>
    <n v="0.27007299270073004"/>
  </r>
  <r>
    <x v="308"/>
    <s v="ORD-04312"/>
    <x v="2"/>
    <x v="3"/>
    <x v="112"/>
    <x v="2"/>
    <x v="1"/>
    <n v="7"/>
    <n v="45980"/>
    <n v="321860"/>
    <n v="38000"/>
    <n v="266000"/>
    <n v="55860"/>
    <n v="0.17355371900826447"/>
  </r>
  <r>
    <x v="308"/>
    <s v="ORD-04313"/>
    <x v="0"/>
    <x v="1"/>
    <x v="31"/>
    <x v="5"/>
    <x v="3"/>
    <n v="7"/>
    <n v="864"/>
    <n v="6048"/>
    <n v="600"/>
    <n v="4200"/>
    <n v="1848"/>
    <n v="0.30555555555555558"/>
  </r>
  <r>
    <x v="308"/>
    <s v="ORD-04314"/>
    <x v="2"/>
    <x v="4"/>
    <x v="111"/>
    <x v="5"/>
    <x v="3"/>
    <n v="3"/>
    <n v="822.00000000000011"/>
    <n v="2466.0000000000005"/>
    <n v="600"/>
    <n v="1800"/>
    <n v="666.00000000000045"/>
    <n v="0.27007299270073004"/>
  </r>
  <r>
    <x v="308"/>
    <s v="ORD-04315"/>
    <x v="2"/>
    <x v="3"/>
    <x v="134"/>
    <x v="2"/>
    <x v="1"/>
    <n v="6"/>
    <n v="53960"/>
    <n v="323760"/>
    <n v="38000"/>
    <n v="228000"/>
    <n v="95760"/>
    <n v="0.29577464788732394"/>
  </r>
  <r>
    <x v="308"/>
    <s v="ORD-04316"/>
    <x v="0"/>
    <x v="5"/>
    <x v="128"/>
    <x v="5"/>
    <x v="3"/>
    <n v="6"/>
    <n v="726"/>
    <n v="4356"/>
    <n v="600"/>
    <n v="3600"/>
    <n v="756"/>
    <n v="0.17355371900826447"/>
  </r>
  <r>
    <x v="308"/>
    <s v="ORD-04317"/>
    <x v="0"/>
    <x v="3"/>
    <x v="68"/>
    <x v="0"/>
    <x v="0"/>
    <n v="3"/>
    <n v="4416"/>
    <n v="13248"/>
    <n v="3200"/>
    <n v="9600"/>
    <n v="3648"/>
    <n v="0.27536231884057971"/>
  </r>
  <r>
    <x v="308"/>
    <s v="ORD-04318"/>
    <x v="0"/>
    <x v="2"/>
    <x v="107"/>
    <x v="1"/>
    <x v="1"/>
    <n v="8"/>
    <n v="62550.000000000007"/>
    <n v="500400.00000000006"/>
    <n v="45000"/>
    <n v="360000"/>
    <n v="140400.00000000006"/>
    <n v="0.28057553956834541"/>
  </r>
  <r>
    <x v="308"/>
    <s v="ORD-04319"/>
    <x v="3"/>
    <x v="1"/>
    <x v="124"/>
    <x v="4"/>
    <x v="2"/>
    <n v="9"/>
    <n v="11220"/>
    <n v="100980"/>
    <n v="8500"/>
    <n v="76500"/>
    <n v="24480"/>
    <n v="0.24242424242424243"/>
  </r>
  <r>
    <x v="308"/>
    <s v="ORD-04320"/>
    <x v="3"/>
    <x v="4"/>
    <x v="49"/>
    <x v="2"/>
    <x v="1"/>
    <n v="10"/>
    <n v="52060.000000000007"/>
    <n v="520600.00000000006"/>
    <n v="38000"/>
    <n v="380000"/>
    <n v="140600.00000000006"/>
    <n v="0.27007299270072999"/>
  </r>
  <r>
    <x v="308"/>
    <s v="ORD-04321"/>
    <x v="0"/>
    <x v="2"/>
    <x v="128"/>
    <x v="0"/>
    <x v="0"/>
    <n v="6"/>
    <n v="3936"/>
    <n v="23616"/>
    <n v="3200"/>
    <n v="19200"/>
    <n v="4416"/>
    <n v="0.18699186991869918"/>
  </r>
  <r>
    <x v="308"/>
    <s v="ORD-04322"/>
    <x v="3"/>
    <x v="5"/>
    <x v="55"/>
    <x v="0"/>
    <x v="0"/>
    <n v="8"/>
    <n v="4096"/>
    <n v="32768"/>
    <n v="3200"/>
    <n v="25600"/>
    <n v="7168"/>
    <n v="0.21875"/>
  </r>
  <r>
    <x v="308"/>
    <s v="ORD-04323"/>
    <x v="0"/>
    <x v="4"/>
    <x v="114"/>
    <x v="7"/>
    <x v="2"/>
    <n v="2"/>
    <n v="9100"/>
    <n v="18200"/>
    <n v="7000"/>
    <n v="14000"/>
    <n v="4200"/>
    <n v="0.23076923076923078"/>
  </r>
  <r>
    <x v="308"/>
    <s v="ORD-04324"/>
    <x v="1"/>
    <x v="0"/>
    <x v="98"/>
    <x v="2"/>
    <x v="1"/>
    <n v="10"/>
    <n v="52820.000000000007"/>
    <n v="528200.00000000012"/>
    <n v="38000"/>
    <n v="380000"/>
    <n v="148200.00000000012"/>
    <n v="0.28057553956834547"/>
  </r>
  <r>
    <x v="309"/>
    <s v="ORD-04325"/>
    <x v="3"/>
    <x v="5"/>
    <x v="131"/>
    <x v="4"/>
    <x v="2"/>
    <n v="4"/>
    <n v="12155"/>
    <n v="48620"/>
    <n v="8500"/>
    <n v="34000"/>
    <n v="14620"/>
    <n v="0.30069930069930068"/>
  </r>
  <r>
    <x v="309"/>
    <s v="ORD-04326"/>
    <x v="0"/>
    <x v="0"/>
    <x v="31"/>
    <x v="4"/>
    <x v="2"/>
    <n v="3"/>
    <n v="10540"/>
    <n v="31620"/>
    <n v="8500"/>
    <n v="25500"/>
    <n v="6120"/>
    <n v="0.19354838709677419"/>
  </r>
  <r>
    <x v="309"/>
    <s v="ORD-04327"/>
    <x v="2"/>
    <x v="1"/>
    <x v="17"/>
    <x v="2"/>
    <x v="1"/>
    <n v="4"/>
    <n v="46360"/>
    <n v="185440"/>
    <n v="38000"/>
    <n v="152000"/>
    <n v="33440"/>
    <n v="0.18032786885245902"/>
  </r>
  <r>
    <x v="309"/>
    <s v="ORD-04328"/>
    <x v="0"/>
    <x v="2"/>
    <x v="96"/>
    <x v="6"/>
    <x v="3"/>
    <n v="10"/>
    <n v="1305"/>
    <n v="13050"/>
    <n v="900"/>
    <n v="9000"/>
    <n v="4050"/>
    <n v="0.31034482758620691"/>
  </r>
  <r>
    <x v="309"/>
    <s v="ORD-04329"/>
    <x v="3"/>
    <x v="2"/>
    <x v="3"/>
    <x v="1"/>
    <x v="1"/>
    <n v="8"/>
    <n v="54000"/>
    <n v="432000"/>
    <n v="45000"/>
    <n v="360000"/>
    <n v="72000"/>
    <n v="0.16666666666666666"/>
  </r>
  <r>
    <x v="309"/>
    <s v="ORD-04330"/>
    <x v="2"/>
    <x v="1"/>
    <x v="83"/>
    <x v="0"/>
    <x v="0"/>
    <n v="2"/>
    <n v="4096"/>
    <n v="8192"/>
    <n v="3200"/>
    <n v="6400"/>
    <n v="1792"/>
    <n v="0.21875"/>
  </r>
  <r>
    <x v="309"/>
    <s v="ORD-04331"/>
    <x v="2"/>
    <x v="5"/>
    <x v="0"/>
    <x v="1"/>
    <x v="1"/>
    <n v="8"/>
    <n v="55800"/>
    <n v="446400"/>
    <n v="45000"/>
    <n v="360000"/>
    <n v="86400"/>
    <n v="0.19354838709677419"/>
  </r>
  <r>
    <x v="309"/>
    <s v="ORD-04332"/>
    <x v="2"/>
    <x v="0"/>
    <x v="145"/>
    <x v="4"/>
    <x v="2"/>
    <n v="8"/>
    <n v="11475"/>
    <n v="91800"/>
    <n v="8500"/>
    <n v="68000"/>
    <n v="23800"/>
    <n v="0.25925925925925924"/>
  </r>
  <r>
    <x v="309"/>
    <s v="ORD-04333"/>
    <x v="2"/>
    <x v="2"/>
    <x v="29"/>
    <x v="1"/>
    <x v="1"/>
    <n v="3"/>
    <n v="61650.000000000007"/>
    <n v="184950.00000000003"/>
    <n v="45000"/>
    <n v="135000"/>
    <n v="49950.000000000029"/>
    <n v="0.27007299270073004"/>
  </r>
  <r>
    <x v="309"/>
    <s v="ORD-04334"/>
    <x v="1"/>
    <x v="3"/>
    <x v="107"/>
    <x v="5"/>
    <x v="3"/>
    <n v="7"/>
    <n v="834.00000000000011"/>
    <n v="5838.0000000000009"/>
    <n v="600"/>
    <n v="4200"/>
    <n v="1638.0000000000009"/>
    <n v="0.28057553956834541"/>
  </r>
  <r>
    <x v="309"/>
    <s v="ORD-04335"/>
    <x v="0"/>
    <x v="4"/>
    <x v="37"/>
    <x v="6"/>
    <x v="3"/>
    <n v="1"/>
    <n v="1134"/>
    <n v="1134"/>
    <n v="900"/>
    <n v="900"/>
    <n v="234"/>
    <n v="0.20634920634920634"/>
  </r>
  <r>
    <x v="309"/>
    <s v="ORD-04336"/>
    <x v="2"/>
    <x v="5"/>
    <x v="3"/>
    <x v="4"/>
    <x v="2"/>
    <n v="6"/>
    <n v="10370"/>
    <n v="62220"/>
    <n v="8500"/>
    <n v="51000"/>
    <n v="11220"/>
    <n v="0.18032786885245902"/>
  </r>
  <r>
    <x v="309"/>
    <s v="ORD-04337"/>
    <x v="3"/>
    <x v="2"/>
    <x v="64"/>
    <x v="5"/>
    <x v="3"/>
    <n v="8"/>
    <n v="792"/>
    <n v="6336"/>
    <n v="600"/>
    <n v="4800"/>
    <n v="1536"/>
    <n v="0.24242424242424243"/>
  </r>
  <r>
    <x v="309"/>
    <s v="ORD-04338"/>
    <x v="0"/>
    <x v="2"/>
    <x v="50"/>
    <x v="0"/>
    <x v="0"/>
    <n v="8"/>
    <n v="4256"/>
    <n v="34048"/>
    <n v="3200"/>
    <n v="25600"/>
    <n v="8448"/>
    <n v="0.24812030075187969"/>
  </r>
  <r>
    <x v="310"/>
    <s v="ORD-04339"/>
    <x v="0"/>
    <x v="2"/>
    <x v="110"/>
    <x v="0"/>
    <x v="0"/>
    <n v="4"/>
    <n v="4064"/>
    <n v="16256"/>
    <n v="3200"/>
    <n v="12800"/>
    <n v="3456"/>
    <n v="0.2125984251968504"/>
  </r>
  <r>
    <x v="310"/>
    <s v="ORD-04340"/>
    <x v="1"/>
    <x v="3"/>
    <x v="72"/>
    <x v="1"/>
    <x v="1"/>
    <n v="1"/>
    <n v="64800"/>
    <n v="64800"/>
    <n v="45000"/>
    <n v="45000"/>
    <n v="19800"/>
    <n v="0.30555555555555558"/>
  </r>
  <r>
    <x v="310"/>
    <s v="ORD-04341"/>
    <x v="1"/>
    <x v="4"/>
    <x v="116"/>
    <x v="4"/>
    <x v="2"/>
    <n v="9"/>
    <n v="10370"/>
    <n v="93330"/>
    <n v="8500"/>
    <n v="76500"/>
    <n v="16830"/>
    <n v="0.18032786885245902"/>
  </r>
  <r>
    <x v="310"/>
    <s v="ORD-04342"/>
    <x v="3"/>
    <x v="0"/>
    <x v="12"/>
    <x v="2"/>
    <x v="1"/>
    <n v="9"/>
    <n v="49780"/>
    <n v="448020"/>
    <n v="38000"/>
    <n v="342000"/>
    <n v="106020"/>
    <n v="0.23664122137404581"/>
  </r>
  <r>
    <x v="310"/>
    <s v="ORD-04343"/>
    <x v="1"/>
    <x v="0"/>
    <x v="96"/>
    <x v="6"/>
    <x v="3"/>
    <n v="7"/>
    <n v="1197"/>
    <n v="8379"/>
    <n v="900"/>
    <n v="6300"/>
    <n v="2079"/>
    <n v="0.24812030075187969"/>
  </r>
  <r>
    <x v="310"/>
    <s v="ORD-04344"/>
    <x v="0"/>
    <x v="3"/>
    <x v="109"/>
    <x v="5"/>
    <x v="3"/>
    <n v="6"/>
    <n v="798"/>
    <n v="4788"/>
    <n v="600"/>
    <n v="3600"/>
    <n v="1188"/>
    <n v="0.24812030075187969"/>
  </r>
  <r>
    <x v="310"/>
    <s v="ORD-04345"/>
    <x v="2"/>
    <x v="1"/>
    <x v="34"/>
    <x v="3"/>
    <x v="0"/>
    <n v="3"/>
    <n v="3100"/>
    <n v="9300"/>
    <n v="2500"/>
    <n v="7500"/>
    <n v="1800"/>
    <n v="0.19354838709677419"/>
  </r>
  <r>
    <x v="310"/>
    <s v="ORD-04346"/>
    <x v="3"/>
    <x v="5"/>
    <x v="101"/>
    <x v="4"/>
    <x v="2"/>
    <n v="2"/>
    <n v="10710"/>
    <n v="21420"/>
    <n v="8500"/>
    <n v="17000"/>
    <n v="4420"/>
    <n v="0.20634920634920634"/>
  </r>
  <r>
    <x v="310"/>
    <s v="ORD-04347"/>
    <x v="0"/>
    <x v="5"/>
    <x v="30"/>
    <x v="2"/>
    <x v="1"/>
    <n v="2"/>
    <n v="49400"/>
    <n v="98800"/>
    <n v="38000"/>
    <n v="76000"/>
    <n v="22800"/>
    <n v="0.23076923076923078"/>
  </r>
  <r>
    <x v="310"/>
    <s v="ORD-04348"/>
    <x v="0"/>
    <x v="3"/>
    <x v="10"/>
    <x v="0"/>
    <x v="0"/>
    <n v="6"/>
    <n v="3936"/>
    <n v="23616"/>
    <n v="3200"/>
    <n v="19200"/>
    <n v="4416"/>
    <n v="0.18699186991869918"/>
  </r>
  <r>
    <x v="310"/>
    <s v="ORD-04349"/>
    <x v="1"/>
    <x v="3"/>
    <x v="88"/>
    <x v="1"/>
    <x v="1"/>
    <n v="9"/>
    <n v="64350"/>
    <n v="579150"/>
    <n v="45000"/>
    <n v="405000"/>
    <n v="174150"/>
    <n v="0.30069930069930068"/>
  </r>
  <r>
    <x v="310"/>
    <s v="ORD-04350"/>
    <x v="1"/>
    <x v="5"/>
    <x v="7"/>
    <x v="2"/>
    <x v="1"/>
    <n v="5"/>
    <n v="48260"/>
    <n v="241300"/>
    <n v="38000"/>
    <n v="190000"/>
    <n v="51300"/>
    <n v="0.2125984251968504"/>
  </r>
  <r>
    <x v="310"/>
    <s v="ORD-04351"/>
    <x v="1"/>
    <x v="2"/>
    <x v="17"/>
    <x v="6"/>
    <x v="3"/>
    <n v="8"/>
    <n v="1260"/>
    <n v="10080"/>
    <n v="900"/>
    <n v="7200"/>
    <n v="2880"/>
    <n v="0.2857142857142857"/>
  </r>
  <r>
    <x v="310"/>
    <s v="ORD-04352"/>
    <x v="2"/>
    <x v="5"/>
    <x v="83"/>
    <x v="5"/>
    <x v="3"/>
    <n v="2"/>
    <n v="840"/>
    <n v="1680"/>
    <n v="600"/>
    <n v="1200"/>
    <n v="480"/>
    <n v="0.2857142857142857"/>
  </r>
  <r>
    <x v="311"/>
    <s v="ORD-04353"/>
    <x v="0"/>
    <x v="1"/>
    <x v="117"/>
    <x v="7"/>
    <x v="2"/>
    <n v="8"/>
    <n v="8400"/>
    <n v="67200"/>
    <n v="7000"/>
    <n v="56000"/>
    <n v="11200"/>
    <n v="0.16666666666666666"/>
  </r>
  <r>
    <x v="311"/>
    <s v="ORD-04354"/>
    <x v="2"/>
    <x v="2"/>
    <x v="132"/>
    <x v="6"/>
    <x v="3"/>
    <n v="9"/>
    <n v="1161"/>
    <n v="10449"/>
    <n v="900"/>
    <n v="8100"/>
    <n v="2349"/>
    <n v="0.22480620155038761"/>
  </r>
  <r>
    <x v="311"/>
    <s v="ORD-04355"/>
    <x v="0"/>
    <x v="2"/>
    <x v="4"/>
    <x v="2"/>
    <x v="1"/>
    <n v="3"/>
    <n v="47880"/>
    <n v="143640"/>
    <n v="38000"/>
    <n v="114000"/>
    <n v="29640"/>
    <n v="0.20634920634920634"/>
  </r>
  <r>
    <x v="311"/>
    <s v="ORD-04356"/>
    <x v="2"/>
    <x v="2"/>
    <x v="24"/>
    <x v="7"/>
    <x v="2"/>
    <n v="4"/>
    <n v="8890"/>
    <n v="35560"/>
    <n v="7000"/>
    <n v="28000"/>
    <n v="7560"/>
    <n v="0.2125984251968504"/>
  </r>
  <r>
    <x v="311"/>
    <s v="ORD-04357"/>
    <x v="1"/>
    <x v="2"/>
    <x v="53"/>
    <x v="3"/>
    <x v="0"/>
    <n v="1"/>
    <n v="3500"/>
    <n v="3500"/>
    <n v="2500"/>
    <n v="2500"/>
    <n v="1000"/>
    <n v="0.2857142857142857"/>
  </r>
  <r>
    <x v="311"/>
    <s v="ORD-04358"/>
    <x v="3"/>
    <x v="2"/>
    <x v="76"/>
    <x v="2"/>
    <x v="1"/>
    <n v="10"/>
    <n v="50160"/>
    <n v="501600"/>
    <n v="38000"/>
    <n v="380000"/>
    <n v="121600"/>
    <n v="0.24242424242424243"/>
  </r>
  <r>
    <x v="311"/>
    <s v="ORD-04359"/>
    <x v="2"/>
    <x v="5"/>
    <x v="37"/>
    <x v="7"/>
    <x v="2"/>
    <n v="2"/>
    <n v="8820"/>
    <n v="17640"/>
    <n v="7000"/>
    <n v="14000"/>
    <n v="3640"/>
    <n v="0.20634920634920634"/>
  </r>
  <r>
    <x v="311"/>
    <s v="ORD-04360"/>
    <x v="2"/>
    <x v="2"/>
    <x v="36"/>
    <x v="0"/>
    <x v="0"/>
    <n v="8"/>
    <n v="4448"/>
    <n v="35584"/>
    <n v="3200"/>
    <n v="25600"/>
    <n v="9984"/>
    <n v="0.2805755395683453"/>
  </r>
  <r>
    <x v="311"/>
    <s v="ORD-04361"/>
    <x v="0"/>
    <x v="2"/>
    <x v="35"/>
    <x v="5"/>
    <x v="3"/>
    <n v="7"/>
    <n v="774"/>
    <n v="5418"/>
    <n v="600"/>
    <n v="4200"/>
    <n v="1218"/>
    <n v="0.22480620155038761"/>
  </r>
  <r>
    <x v="311"/>
    <s v="ORD-04362"/>
    <x v="2"/>
    <x v="4"/>
    <x v="133"/>
    <x v="3"/>
    <x v="0"/>
    <n v="10"/>
    <n v="3325"/>
    <n v="33250"/>
    <n v="2500"/>
    <n v="25000"/>
    <n v="8250"/>
    <n v="0.24812030075187969"/>
  </r>
  <r>
    <x v="311"/>
    <s v="ORD-04363"/>
    <x v="0"/>
    <x v="2"/>
    <x v="109"/>
    <x v="1"/>
    <x v="1"/>
    <n v="1"/>
    <n v="62550.000000000007"/>
    <n v="62550.000000000007"/>
    <n v="45000"/>
    <n v="45000"/>
    <n v="17550.000000000007"/>
    <n v="0.28057553956834541"/>
  </r>
  <r>
    <x v="311"/>
    <s v="ORD-04364"/>
    <x v="2"/>
    <x v="1"/>
    <x v="16"/>
    <x v="1"/>
    <x v="1"/>
    <n v="2"/>
    <n v="54900"/>
    <n v="109800"/>
    <n v="45000"/>
    <n v="90000"/>
    <n v="19800"/>
    <n v="0.18032786885245902"/>
  </r>
  <r>
    <x v="311"/>
    <s v="ORD-04365"/>
    <x v="3"/>
    <x v="1"/>
    <x v="123"/>
    <x v="7"/>
    <x v="2"/>
    <n v="7"/>
    <n v="8960"/>
    <n v="62720"/>
    <n v="7000"/>
    <n v="49000"/>
    <n v="13720"/>
    <n v="0.21875"/>
  </r>
  <r>
    <x v="311"/>
    <s v="ORD-04366"/>
    <x v="1"/>
    <x v="0"/>
    <x v="76"/>
    <x v="7"/>
    <x v="2"/>
    <n v="7"/>
    <n v="9870"/>
    <n v="69090"/>
    <n v="7000"/>
    <n v="49000"/>
    <n v="20090"/>
    <n v="0.29078014184397161"/>
  </r>
  <r>
    <x v="312"/>
    <s v="ORD-04367"/>
    <x v="2"/>
    <x v="2"/>
    <x v="61"/>
    <x v="4"/>
    <x v="2"/>
    <n v="6"/>
    <n v="11305"/>
    <n v="67830"/>
    <n v="8500"/>
    <n v="51000"/>
    <n v="16830"/>
    <n v="0.24812030075187969"/>
  </r>
  <r>
    <x v="312"/>
    <s v="ORD-04368"/>
    <x v="1"/>
    <x v="2"/>
    <x v="89"/>
    <x v="1"/>
    <x v="1"/>
    <n v="5"/>
    <n v="57150"/>
    <n v="285750"/>
    <n v="45000"/>
    <n v="225000"/>
    <n v="60750"/>
    <n v="0.2125984251968504"/>
  </r>
  <r>
    <x v="312"/>
    <s v="ORD-04369"/>
    <x v="2"/>
    <x v="5"/>
    <x v="31"/>
    <x v="4"/>
    <x v="2"/>
    <n v="9"/>
    <n v="11645"/>
    <n v="104805"/>
    <n v="8500"/>
    <n v="76500"/>
    <n v="28305"/>
    <n v="0.27007299270072993"/>
  </r>
  <r>
    <x v="312"/>
    <s v="ORD-04370"/>
    <x v="1"/>
    <x v="2"/>
    <x v="100"/>
    <x v="4"/>
    <x v="2"/>
    <n v="8"/>
    <n v="10200"/>
    <n v="81600"/>
    <n v="8500"/>
    <n v="68000"/>
    <n v="13600"/>
    <n v="0.16666666666666666"/>
  </r>
  <r>
    <x v="312"/>
    <s v="ORD-04371"/>
    <x v="3"/>
    <x v="2"/>
    <x v="149"/>
    <x v="6"/>
    <x v="3"/>
    <n v="9"/>
    <n v="1215"/>
    <n v="10935"/>
    <n v="900"/>
    <n v="8100"/>
    <n v="2835"/>
    <n v="0.25925925925925924"/>
  </r>
  <r>
    <x v="312"/>
    <s v="ORD-04372"/>
    <x v="3"/>
    <x v="3"/>
    <x v="74"/>
    <x v="6"/>
    <x v="3"/>
    <n v="4"/>
    <n v="1305"/>
    <n v="5220"/>
    <n v="900"/>
    <n v="3600"/>
    <n v="1620"/>
    <n v="0.31034482758620691"/>
  </r>
  <r>
    <x v="312"/>
    <s v="ORD-04373"/>
    <x v="2"/>
    <x v="1"/>
    <x v="78"/>
    <x v="1"/>
    <x v="1"/>
    <n v="3"/>
    <n v="60300"/>
    <n v="180900"/>
    <n v="45000"/>
    <n v="135000"/>
    <n v="45900"/>
    <n v="0.2537313432835821"/>
  </r>
  <r>
    <x v="312"/>
    <s v="ORD-04374"/>
    <x v="2"/>
    <x v="1"/>
    <x v="121"/>
    <x v="5"/>
    <x v="3"/>
    <n v="5"/>
    <n v="726"/>
    <n v="3630"/>
    <n v="600"/>
    <n v="3000"/>
    <n v="630"/>
    <n v="0.17355371900826447"/>
  </r>
  <r>
    <x v="312"/>
    <s v="ORD-04375"/>
    <x v="3"/>
    <x v="0"/>
    <x v="45"/>
    <x v="2"/>
    <x v="1"/>
    <n v="5"/>
    <n v="49780"/>
    <n v="248900"/>
    <n v="38000"/>
    <n v="190000"/>
    <n v="58900"/>
    <n v="0.23664122137404581"/>
  </r>
  <r>
    <x v="312"/>
    <s v="ORD-04376"/>
    <x v="1"/>
    <x v="2"/>
    <x v="30"/>
    <x v="1"/>
    <x v="1"/>
    <n v="9"/>
    <n v="54900"/>
    <n v="494100"/>
    <n v="45000"/>
    <n v="405000"/>
    <n v="89100"/>
    <n v="0.18032786885245902"/>
  </r>
  <r>
    <x v="312"/>
    <s v="ORD-04377"/>
    <x v="1"/>
    <x v="0"/>
    <x v="53"/>
    <x v="2"/>
    <x v="1"/>
    <n v="2"/>
    <n v="45980"/>
    <n v="91960"/>
    <n v="38000"/>
    <n v="76000"/>
    <n v="15960"/>
    <n v="0.17355371900826447"/>
  </r>
  <r>
    <x v="312"/>
    <s v="ORD-04378"/>
    <x v="3"/>
    <x v="5"/>
    <x v="88"/>
    <x v="6"/>
    <x v="3"/>
    <n v="2"/>
    <n v="1170"/>
    <n v="2340"/>
    <n v="900"/>
    <n v="1800"/>
    <n v="540"/>
    <n v="0.23076923076923078"/>
  </r>
  <r>
    <x v="312"/>
    <s v="ORD-04379"/>
    <x v="3"/>
    <x v="2"/>
    <x v="55"/>
    <x v="2"/>
    <x v="1"/>
    <n v="10"/>
    <n v="50920"/>
    <n v="509200"/>
    <n v="38000"/>
    <n v="380000"/>
    <n v="129200"/>
    <n v="0.2537313432835821"/>
  </r>
  <r>
    <x v="312"/>
    <s v="ORD-04380"/>
    <x v="0"/>
    <x v="4"/>
    <x v="57"/>
    <x v="5"/>
    <x v="3"/>
    <n v="5"/>
    <n v="840"/>
    <n v="4200"/>
    <n v="600"/>
    <n v="3000"/>
    <n v="1200"/>
    <n v="0.2857142857142857"/>
  </r>
  <r>
    <x v="313"/>
    <s v="ORD-04381"/>
    <x v="2"/>
    <x v="0"/>
    <x v="90"/>
    <x v="2"/>
    <x v="1"/>
    <n v="1"/>
    <n v="55100"/>
    <n v="55100"/>
    <n v="38000"/>
    <n v="38000"/>
    <n v="17100"/>
    <n v="0.31034482758620691"/>
  </r>
  <r>
    <x v="313"/>
    <s v="ORD-04382"/>
    <x v="1"/>
    <x v="0"/>
    <x v="53"/>
    <x v="3"/>
    <x v="0"/>
    <n v="8"/>
    <n v="3300"/>
    <n v="26400"/>
    <n v="2500"/>
    <n v="20000"/>
    <n v="6400"/>
    <n v="0.24242424242424243"/>
  </r>
  <r>
    <x v="313"/>
    <s v="ORD-04383"/>
    <x v="3"/>
    <x v="3"/>
    <x v="45"/>
    <x v="5"/>
    <x v="3"/>
    <n v="5"/>
    <n v="738"/>
    <n v="3690"/>
    <n v="600"/>
    <n v="3000"/>
    <n v="690"/>
    <n v="0.18699186991869918"/>
  </r>
  <r>
    <x v="313"/>
    <s v="ORD-04384"/>
    <x v="0"/>
    <x v="5"/>
    <x v="54"/>
    <x v="5"/>
    <x v="3"/>
    <n v="4"/>
    <n v="804"/>
    <n v="3216"/>
    <n v="600"/>
    <n v="2400"/>
    <n v="816"/>
    <n v="0.2537313432835821"/>
  </r>
  <r>
    <x v="313"/>
    <s v="ORD-04385"/>
    <x v="1"/>
    <x v="1"/>
    <x v="49"/>
    <x v="3"/>
    <x v="0"/>
    <n v="9"/>
    <n v="3525"/>
    <n v="31725"/>
    <n v="2500"/>
    <n v="22500"/>
    <n v="9225"/>
    <n v="0.29078014184397161"/>
  </r>
  <r>
    <x v="313"/>
    <s v="ORD-04386"/>
    <x v="0"/>
    <x v="0"/>
    <x v="94"/>
    <x v="4"/>
    <x v="2"/>
    <n v="3"/>
    <n v="11730"/>
    <n v="35190"/>
    <n v="8500"/>
    <n v="25500"/>
    <n v="9690"/>
    <n v="0.27536231884057971"/>
  </r>
  <r>
    <x v="313"/>
    <s v="ORD-04387"/>
    <x v="2"/>
    <x v="3"/>
    <x v="50"/>
    <x v="6"/>
    <x v="3"/>
    <n v="10"/>
    <n v="1233"/>
    <n v="12330"/>
    <n v="900"/>
    <n v="9000"/>
    <n v="3330"/>
    <n v="0.27007299270072993"/>
  </r>
  <r>
    <x v="313"/>
    <s v="ORD-04388"/>
    <x v="3"/>
    <x v="5"/>
    <x v="109"/>
    <x v="1"/>
    <x v="1"/>
    <n v="7"/>
    <n v="61199.999999999993"/>
    <n v="428399.99999999994"/>
    <n v="45000"/>
    <n v="315000"/>
    <n v="113399.99999999994"/>
    <n v="0.26470588235294107"/>
  </r>
  <r>
    <x v="313"/>
    <s v="ORD-04389"/>
    <x v="1"/>
    <x v="1"/>
    <x v="110"/>
    <x v="3"/>
    <x v="0"/>
    <n v="10"/>
    <n v="3600"/>
    <n v="36000"/>
    <n v="2500"/>
    <n v="25000"/>
    <n v="11000"/>
    <n v="0.30555555555555558"/>
  </r>
  <r>
    <x v="313"/>
    <s v="ORD-04390"/>
    <x v="0"/>
    <x v="1"/>
    <x v="96"/>
    <x v="7"/>
    <x v="2"/>
    <n v="4"/>
    <n v="9660"/>
    <n v="38640"/>
    <n v="7000"/>
    <n v="28000"/>
    <n v="10640"/>
    <n v="0.27536231884057971"/>
  </r>
  <r>
    <x v="313"/>
    <s v="ORD-04391"/>
    <x v="3"/>
    <x v="5"/>
    <x v="122"/>
    <x v="7"/>
    <x v="2"/>
    <n v="8"/>
    <n v="8610"/>
    <n v="68880"/>
    <n v="7000"/>
    <n v="56000"/>
    <n v="12880"/>
    <n v="0.18699186991869918"/>
  </r>
  <r>
    <x v="313"/>
    <s v="ORD-04392"/>
    <x v="1"/>
    <x v="3"/>
    <x v="6"/>
    <x v="1"/>
    <x v="1"/>
    <n v="7"/>
    <n v="57600"/>
    <n v="403200"/>
    <n v="45000"/>
    <n v="315000"/>
    <n v="88200"/>
    <n v="0.21875"/>
  </r>
  <r>
    <x v="313"/>
    <s v="ORD-04393"/>
    <x v="1"/>
    <x v="5"/>
    <x v="128"/>
    <x v="4"/>
    <x v="2"/>
    <n v="7"/>
    <n v="10880"/>
    <n v="76160"/>
    <n v="8500"/>
    <n v="59500"/>
    <n v="16660"/>
    <n v="0.21875"/>
  </r>
  <r>
    <x v="313"/>
    <s v="ORD-04394"/>
    <x v="2"/>
    <x v="1"/>
    <x v="112"/>
    <x v="1"/>
    <x v="1"/>
    <n v="5"/>
    <n v="56250"/>
    <n v="281250"/>
    <n v="45000"/>
    <n v="225000"/>
    <n v="56250"/>
    <n v="0.2"/>
  </r>
  <r>
    <x v="314"/>
    <s v="ORD-04395"/>
    <x v="3"/>
    <x v="0"/>
    <x v="37"/>
    <x v="3"/>
    <x v="0"/>
    <n v="8"/>
    <n v="3100"/>
    <n v="24800"/>
    <n v="2500"/>
    <n v="20000"/>
    <n v="4800"/>
    <n v="0.19354838709677419"/>
  </r>
  <r>
    <x v="314"/>
    <s v="ORD-04396"/>
    <x v="0"/>
    <x v="2"/>
    <x v="138"/>
    <x v="6"/>
    <x v="3"/>
    <n v="7"/>
    <n v="1152"/>
    <n v="8064"/>
    <n v="900"/>
    <n v="6300"/>
    <n v="1764"/>
    <n v="0.21875"/>
  </r>
  <r>
    <x v="314"/>
    <s v="ORD-04397"/>
    <x v="3"/>
    <x v="2"/>
    <x v="104"/>
    <x v="0"/>
    <x v="0"/>
    <n v="8"/>
    <n v="4320"/>
    <n v="34560"/>
    <n v="3200"/>
    <n v="25600"/>
    <n v="8960"/>
    <n v="0.25925925925925924"/>
  </r>
  <r>
    <x v="314"/>
    <s v="ORD-04398"/>
    <x v="1"/>
    <x v="0"/>
    <x v="13"/>
    <x v="1"/>
    <x v="1"/>
    <n v="2"/>
    <n v="58050"/>
    <n v="116100"/>
    <n v="45000"/>
    <n v="90000"/>
    <n v="26100"/>
    <n v="0.22480620155038761"/>
  </r>
  <r>
    <x v="314"/>
    <s v="ORD-04399"/>
    <x v="0"/>
    <x v="3"/>
    <x v="79"/>
    <x v="1"/>
    <x v="1"/>
    <n v="1"/>
    <n v="62550.000000000007"/>
    <n v="62550.000000000007"/>
    <n v="45000"/>
    <n v="45000"/>
    <n v="17550.000000000007"/>
    <n v="0.28057553956834541"/>
  </r>
  <r>
    <x v="314"/>
    <s v="ORD-04400"/>
    <x v="1"/>
    <x v="4"/>
    <x v="97"/>
    <x v="3"/>
    <x v="0"/>
    <n v="2"/>
    <n v="3100"/>
    <n v="6200"/>
    <n v="2500"/>
    <n v="5000"/>
    <n v="1200"/>
    <n v="0.19354838709677419"/>
  </r>
  <r>
    <x v="314"/>
    <s v="ORD-04401"/>
    <x v="3"/>
    <x v="3"/>
    <x v="22"/>
    <x v="3"/>
    <x v="0"/>
    <n v="7"/>
    <n v="3150"/>
    <n v="22050"/>
    <n v="2500"/>
    <n v="17500"/>
    <n v="4550"/>
    <n v="0.20634920634920634"/>
  </r>
  <r>
    <x v="314"/>
    <s v="ORD-04402"/>
    <x v="2"/>
    <x v="5"/>
    <x v="134"/>
    <x v="4"/>
    <x v="2"/>
    <n v="8"/>
    <n v="12155"/>
    <n v="97240"/>
    <n v="8500"/>
    <n v="68000"/>
    <n v="29240"/>
    <n v="0.30069930069930068"/>
  </r>
  <r>
    <x v="314"/>
    <s v="ORD-04403"/>
    <x v="0"/>
    <x v="4"/>
    <x v="144"/>
    <x v="0"/>
    <x v="0"/>
    <n v="7"/>
    <n v="4032"/>
    <n v="28224"/>
    <n v="3200"/>
    <n v="22400"/>
    <n v="5824"/>
    <n v="0.20634920634920634"/>
  </r>
  <r>
    <x v="314"/>
    <s v="ORD-04404"/>
    <x v="2"/>
    <x v="4"/>
    <x v="75"/>
    <x v="3"/>
    <x v="0"/>
    <n v="2"/>
    <n v="3075"/>
    <n v="6150"/>
    <n v="2500"/>
    <n v="5000"/>
    <n v="1150"/>
    <n v="0.18699186991869918"/>
  </r>
  <r>
    <x v="314"/>
    <s v="ORD-04405"/>
    <x v="2"/>
    <x v="1"/>
    <x v="82"/>
    <x v="1"/>
    <x v="1"/>
    <n v="8"/>
    <n v="62550.000000000007"/>
    <n v="500400.00000000006"/>
    <n v="45000"/>
    <n v="360000"/>
    <n v="140400.00000000006"/>
    <n v="0.28057553956834541"/>
  </r>
  <r>
    <x v="314"/>
    <s v="ORD-04406"/>
    <x v="1"/>
    <x v="4"/>
    <x v="138"/>
    <x v="3"/>
    <x v="0"/>
    <n v="3"/>
    <n v="3325"/>
    <n v="9975"/>
    <n v="2500"/>
    <n v="7500"/>
    <n v="2475"/>
    <n v="0.24812030075187969"/>
  </r>
  <r>
    <x v="314"/>
    <s v="ORD-04407"/>
    <x v="3"/>
    <x v="3"/>
    <x v="129"/>
    <x v="4"/>
    <x v="2"/>
    <n v="8"/>
    <n v="10880"/>
    <n v="87040"/>
    <n v="8500"/>
    <n v="68000"/>
    <n v="19040"/>
    <n v="0.21875"/>
  </r>
  <r>
    <x v="314"/>
    <s v="ORD-04408"/>
    <x v="2"/>
    <x v="5"/>
    <x v="94"/>
    <x v="4"/>
    <x v="2"/>
    <n v="10"/>
    <n v="10795"/>
    <n v="107950"/>
    <n v="8500"/>
    <n v="85000"/>
    <n v="22950"/>
    <n v="0.2125984251968504"/>
  </r>
  <r>
    <x v="315"/>
    <s v="ORD-04409"/>
    <x v="1"/>
    <x v="0"/>
    <x v="66"/>
    <x v="4"/>
    <x v="2"/>
    <n v="9"/>
    <n v="11390"/>
    <n v="102510"/>
    <n v="8500"/>
    <n v="76500"/>
    <n v="26010"/>
    <n v="0.2537313432835821"/>
  </r>
  <r>
    <x v="315"/>
    <s v="ORD-04410"/>
    <x v="2"/>
    <x v="5"/>
    <x v="62"/>
    <x v="4"/>
    <x v="2"/>
    <n v="4"/>
    <n v="11135"/>
    <n v="44540"/>
    <n v="8500"/>
    <n v="34000"/>
    <n v="10540"/>
    <n v="0.23664122137404581"/>
  </r>
  <r>
    <x v="315"/>
    <s v="ORD-04411"/>
    <x v="0"/>
    <x v="1"/>
    <x v="141"/>
    <x v="5"/>
    <x v="3"/>
    <n v="8"/>
    <n v="744"/>
    <n v="5952"/>
    <n v="600"/>
    <n v="4800"/>
    <n v="1152"/>
    <n v="0.19354838709677419"/>
  </r>
  <r>
    <x v="315"/>
    <s v="ORD-04412"/>
    <x v="3"/>
    <x v="3"/>
    <x v="62"/>
    <x v="6"/>
    <x v="3"/>
    <n v="9"/>
    <n v="1287"/>
    <n v="11583"/>
    <n v="900"/>
    <n v="8100"/>
    <n v="3483"/>
    <n v="0.30069930069930068"/>
  </r>
  <r>
    <x v="315"/>
    <s v="ORD-04413"/>
    <x v="0"/>
    <x v="3"/>
    <x v="105"/>
    <x v="7"/>
    <x v="2"/>
    <n v="3"/>
    <n v="9240"/>
    <n v="27720"/>
    <n v="7000"/>
    <n v="21000"/>
    <n v="6720"/>
    <n v="0.24242424242424243"/>
  </r>
  <r>
    <x v="315"/>
    <s v="ORD-04414"/>
    <x v="3"/>
    <x v="0"/>
    <x v="28"/>
    <x v="7"/>
    <x v="2"/>
    <n v="8"/>
    <n v="9170"/>
    <n v="73360"/>
    <n v="7000"/>
    <n v="56000"/>
    <n v="17360"/>
    <n v="0.23664122137404581"/>
  </r>
  <r>
    <x v="315"/>
    <s v="ORD-04415"/>
    <x v="2"/>
    <x v="1"/>
    <x v="31"/>
    <x v="1"/>
    <x v="1"/>
    <n v="4"/>
    <n v="58500"/>
    <n v="234000"/>
    <n v="45000"/>
    <n v="180000"/>
    <n v="54000"/>
    <n v="0.23076923076923078"/>
  </r>
  <r>
    <x v="315"/>
    <s v="ORD-04416"/>
    <x v="1"/>
    <x v="5"/>
    <x v="97"/>
    <x v="2"/>
    <x v="1"/>
    <n v="2"/>
    <n v="47500"/>
    <n v="95000"/>
    <n v="38000"/>
    <n v="76000"/>
    <n v="19000"/>
    <n v="0.2"/>
  </r>
  <r>
    <x v="315"/>
    <s v="ORD-04417"/>
    <x v="2"/>
    <x v="3"/>
    <x v="45"/>
    <x v="2"/>
    <x v="1"/>
    <n v="4"/>
    <n v="50540"/>
    <n v="202160"/>
    <n v="38000"/>
    <n v="152000"/>
    <n v="50160"/>
    <n v="0.24812030075187969"/>
  </r>
  <r>
    <x v="315"/>
    <s v="ORD-04418"/>
    <x v="2"/>
    <x v="1"/>
    <x v="128"/>
    <x v="4"/>
    <x v="2"/>
    <n v="3"/>
    <n v="11475"/>
    <n v="34425"/>
    <n v="8500"/>
    <n v="25500"/>
    <n v="8925"/>
    <n v="0.25925925925925924"/>
  </r>
  <r>
    <x v="315"/>
    <s v="ORD-04419"/>
    <x v="3"/>
    <x v="4"/>
    <x v="12"/>
    <x v="0"/>
    <x v="0"/>
    <n v="8"/>
    <n v="4160"/>
    <n v="33280"/>
    <n v="3200"/>
    <n v="25600"/>
    <n v="7680"/>
    <n v="0.23076923076923078"/>
  </r>
  <r>
    <x v="315"/>
    <s v="ORD-04420"/>
    <x v="1"/>
    <x v="4"/>
    <x v="98"/>
    <x v="5"/>
    <x v="3"/>
    <n v="2"/>
    <n v="864"/>
    <n v="1728"/>
    <n v="600"/>
    <n v="1200"/>
    <n v="528"/>
    <n v="0.30555555555555558"/>
  </r>
  <r>
    <x v="315"/>
    <s v="ORD-04421"/>
    <x v="0"/>
    <x v="0"/>
    <x v="22"/>
    <x v="0"/>
    <x v="0"/>
    <n v="8"/>
    <n v="4288"/>
    <n v="34304"/>
    <n v="3200"/>
    <n v="25600"/>
    <n v="8704"/>
    <n v="0.2537313432835821"/>
  </r>
  <r>
    <x v="315"/>
    <s v="ORD-04422"/>
    <x v="1"/>
    <x v="0"/>
    <x v="54"/>
    <x v="5"/>
    <x v="3"/>
    <n v="5"/>
    <n v="810"/>
    <n v="4050"/>
    <n v="600"/>
    <n v="3000"/>
    <n v="1050"/>
    <n v="0.25925925925925924"/>
  </r>
  <r>
    <x v="316"/>
    <s v="ORD-04423"/>
    <x v="2"/>
    <x v="0"/>
    <x v="79"/>
    <x v="4"/>
    <x v="2"/>
    <n v="8"/>
    <n v="10200"/>
    <n v="81600"/>
    <n v="8500"/>
    <n v="68000"/>
    <n v="13600"/>
    <n v="0.16666666666666666"/>
  </r>
  <r>
    <x v="316"/>
    <s v="ORD-04424"/>
    <x v="3"/>
    <x v="5"/>
    <x v="62"/>
    <x v="7"/>
    <x v="2"/>
    <n v="9"/>
    <n v="8540"/>
    <n v="76860"/>
    <n v="7000"/>
    <n v="63000"/>
    <n v="13860"/>
    <n v="0.18032786885245902"/>
  </r>
  <r>
    <x v="316"/>
    <s v="ORD-04425"/>
    <x v="3"/>
    <x v="1"/>
    <x v="79"/>
    <x v="1"/>
    <x v="1"/>
    <n v="6"/>
    <n v="61199.999999999993"/>
    <n v="367199.99999999994"/>
    <n v="45000"/>
    <n v="270000"/>
    <n v="97199.999999999942"/>
    <n v="0.26470588235294107"/>
  </r>
  <r>
    <x v="316"/>
    <s v="ORD-04426"/>
    <x v="1"/>
    <x v="3"/>
    <x v="89"/>
    <x v="1"/>
    <x v="1"/>
    <n v="5"/>
    <n v="55350"/>
    <n v="276750"/>
    <n v="45000"/>
    <n v="225000"/>
    <n v="51750"/>
    <n v="0.18699186991869918"/>
  </r>
  <r>
    <x v="316"/>
    <s v="ORD-04427"/>
    <x v="0"/>
    <x v="5"/>
    <x v="3"/>
    <x v="6"/>
    <x v="3"/>
    <n v="9"/>
    <n v="1305"/>
    <n v="11745"/>
    <n v="900"/>
    <n v="8100"/>
    <n v="3645"/>
    <n v="0.31034482758620691"/>
  </r>
  <r>
    <x v="316"/>
    <s v="ORD-04428"/>
    <x v="2"/>
    <x v="4"/>
    <x v="148"/>
    <x v="0"/>
    <x v="0"/>
    <n v="3"/>
    <n v="4000"/>
    <n v="12000"/>
    <n v="3200"/>
    <n v="9600"/>
    <n v="2400"/>
    <n v="0.2"/>
  </r>
  <r>
    <x v="316"/>
    <s v="ORD-04429"/>
    <x v="0"/>
    <x v="5"/>
    <x v="36"/>
    <x v="4"/>
    <x v="2"/>
    <n v="1"/>
    <n v="12070"/>
    <n v="12070"/>
    <n v="8500"/>
    <n v="8500"/>
    <n v="3570"/>
    <n v="0.29577464788732394"/>
  </r>
  <r>
    <x v="316"/>
    <s v="ORD-04430"/>
    <x v="3"/>
    <x v="1"/>
    <x v="138"/>
    <x v="2"/>
    <x v="1"/>
    <n v="10"/>
    <n v="50160"/>
    <n v="501600"/>
    <n v="38000"/>
    <n v="380000"/>
    <n v="121600"/>
    <n v="0.24242424242424243"/>
  </r>
  <r>
    <x v="316"/>
    <s v="ORD-04431"/>
    <x v="0"/>
    <x v="2"/>
    <x v="15"/>
    <x v="5"/>
    <x v="3"/>
    <n v="5"/>
    <n v="870"/>
    <n v="4350"/>
    <n v="600"/>
    <n v="3000"/>
    <n v="1350"/>
    <n v="0.31034482758620691"/>
  </r>
  <r>
    <x v="316"/>
    <s v="ORD-04432"/>
    <x v="3"/>
    <x v="2"/>
    <x v="124"/>
    <x v="7"/>
    <x v="2"/>
    <n v="5"/>
    <n v="9450"/>
    <n v="47250"/>
    <n v="7000"/>
    <n v="35000"/>
    <n v="12250"/>
    <n v="0.25925925925925924"/>
  </r>
  <r>
    <x v="316"/>
    <s v="ORD-04433"/>
    <x v="3"/>
    <x v="4"/>
    <x v="93"/>
    <x v="3"/>
    <x v="0"/>
    <n v="8"/>
    <n v="3425.0000000000005"/>
    <n v="27400.000000000004"/>
    <n v="2500"/>
    <n v="20000"/>
    <n v="7400.0000000000036"/>
    <n v="0.27007299270073004"/>
  </r>
  <r>
    <x v="316"/>
    <s v="ORD-04434"/>
    <x v="0"/>
    <x v="0"/>
    <x v="138"/>
    <x v="3"/>
    <x v="0"/>
    <n v="6"/>
    <n v="3000"/>
    <n v="18000"/>
    <n v="2500"/>
    <n v="15000"/>
    <n v="3000"/>
    <n v="0.16666666666666666"/>
  </r>
  <r>
    <x v="316"/>
    <s v="ORD-04435"/>
    <x v="1"/>
    <x v="4"/>
    <x v="96"/>
    <x v="7"/>
    <x v="2"/>
    <n v="10"/>
    <n v="9730"/>
    <n v="97300"/>
    <n v="7000"/>
    <n v="70000"/>
    <n v="27300"/>
    <n v="0.2805755395683453"/>
  </r>
  <r>
    <x v="316"/>
    <s v="ORD-04436"/>
    <x v="1"/>
    <x v="2"/>
    <x v="120"/>
    <x v="6"/>
    <x v="3"/>
    <n v="6"/>
    <n v="1188"/>
    <n v="7128"/>
    <n v="900"/>
    <n v="5400"/>
    <n v="1728"/>
    <n v="0.24242424242424243"/>
  </r>
  <r>
    <x v="317"/>
    <s v="ORD-04437"/>
    <x v="1"/>
    <x v="3"/>
    <x v="20"/>
    <x v="2"/>
    <x v="1"/>
    <n v="4"/>
    <n v="54720"/>
    <n v="218880"/>
    <n v="38000"/>
    <n v="152000"/>
    <n v="66880"/>
    <n v="0.30555555555555558"/>
  </r>
  <r>
    <x v="317"/>
    <s v="ORD-04438"/>
    <x v="2"/>
    <x v="0"/>
    <x v="112"/>
    <x v="4"/>
    <x v="2"/>
    <n v="9"/>
    <n v="11390"/>
    <n v="102510"/>
    <n v="8500"/>
    <n v="76500"/>
    <n v="26010"/>
    <n v="0.2537313432835821"/>
  </r>
  <r>
    <x v="317"/>
    <s v="ORD-04439"/>
    <x v="0"/>
    <x v="4"/>
    <x v="19"/>
    <x v="4"/>
    <x v="2"/>
    <n v="6"/>
    <n v="11305"/>
    <n v="67830"/>
    <n v="8500"/>
    <n v="51000"/>
    <n v="16830"/>
    <n v="0.24812030075187969"/>
  </r>
  <r>
    <x v="317"/>
    <s v="ORD-04440"/>
    <x v="1"/>
    <x v="1"/>
    <x v="148"/>
    <x v="3"/>
    <x v="0"/>
    <n v="7"/>
    <n v="3449.9999999999995"/>
    <n v="24149.999999999996"/>
    <n v="2500"/>
    <n v="17500"/>
    <n v="6649.9999999999964"/>
    <n v="0.2753623188405796"/>
  </r>
  <r>
    <x v="317"/>
    <s v="ORD-04441"/>
    <x v="3"/>
    <x v="2"/>
    <x v="74"/>
    <x v="3"/>
    <x v="0"/>
    <n v="5"/>
    <n v="3625"/>
    <n v="18125"/>
    <n v="2500"/>
    <n v="12500"/>
    <n v="5625"/>
    <n v="0.31034482758620691"/>
  </r>
  <r>
    <x v="317"/>
    <s v="ORD-04442"/>
    <x v="1"/>
    <x v="1"/>
    <x v="134"/>
    <x v="6"/>
    <x v="3"/>
    <n v="8"/>
    <n v="1287"/>
    <n v="10296"/>
    <n v="900"/>
    <n v="7200"/>
    <n v="3096"/>
    <n v="0.30069930069930068"/>
  </r>
  <r>
    <x v="317"/>
    <s v="ORD-04443"/>
    <x v="0"/>
    <x v="0"/>
    <x v="49"/>
    <x v="7"/>
    <x v="2"/>
    <n v="10"/>
    <n v="9940"/>
    <n v="99400"/>
    <n v="7000"/>
    <n v="70000"/>
    <n v="29400"/>
    <n v="0.29577464788732394"/>
  </r>
  <r>
    <x v="317"/>
    <s v="ORD-04444"/>
    <x v="3"/>
    <x v="5"/>
    <x v="82"/>
    <x v="0"/>
    <x v="0"/>
    <n v="4"/>
    <n v="4320"/>
    <n v="17280"/>
    <n v="3200"/>
    <n v="12800"/>
    <n v="4480"/>
    <n v="0.25925925925925924"/>
  </r>
  <r>
    <x v="317"/>
    <s v="ORD-04445"/>
    <x v="2"/>
    <x v="2"/>
    <x v="132"/>
    <x v="6"/>
    <x v="3"/>
    <n v="2"/>
    <n v="1143"/>
    <n v="2286"/>
    <n v="900"/>
    <n v="1800"/>
    <n v="486"/>
    <n v="0.2125984251968504"/>
  </r>
  <r>
    <x v="317"/>
    <s v="ORD-04446"/>
    <x v="3"/>
    <x v="1"/>
    <x v="148"/>
    <x v="2"/>
    <x v="1"/>
    <n v="9"/>
    <n v="47880"/>
    <n v="430920"/>
    <n v="38000"/>
    <n v="342000"/>
    <n v="88920"/>
    <n v="0.20634920634920634"/>
  </r>
  <r>
    <x v="317"/>
    <s v="ORD-04447"/>
    <x v="2"/>
    <x v="5"/>
    <x v="137"/>
    <x v="5"/>
    <x v="3"/>
    <n v="7"/>
    <n v="738"/>
    <n v="5166"/>
    <n v="600"/>
    <n v="4200"/>
    <n v="966"/>
    <n v="0.18699186991869918"/>
  </r>
  <r>
    <x v="317"/>
    <s v="ORD-04448"/>
    <x v="1"/>
    <x v="2"/>
    <x v="37"/>
    <x v="1"/>
    <x v="1"/>
    <n v="9"/>
    <n v="58950"/>
    <n v="530550"/>
    <n v="45000"/>
    <n v="405000"/>
    <n v="125550"/>
    <n v="0.23664122137404581"/>
  </r>
  <r>
    <x v="317"/>
    <s v="ORD-04449"/>
    <x v="2"/>
    <x v="4"/>
    <x v="137"/>
    <x v="6"/>
    <x v="3"/>
    <n v="10"/>
    <n v="1152"/>
    <n v="11520"/>
    <n v="900"/>
    <n v="9000"/>
    <n v="2520"/>
    <n v="0.21875"/>
  </r>
  <r>
    <x v="317"/>
    <s v="ORD-04450"/>
    <x v="0"/>
    <x v="1"/>
    <x v="53"/>
    <x v="0"/>
    <x v="0"/>
    <n v="3"/>
    <n v="4384"/>
    <n v="13152"/>
    <n v="3200"/>
    <n v="9600"/>
    <n v="3552"/>
    <n v="0.27007299270072993"/>
  </r>
  <r>
    <x v="318"/>
    <s v="ORD-04451"/>
    <x v="1"/>
    <x v="1"/>
    <x v="88"/>
    <x v="1"/>
    <x v="1"/>
    <n v="7"/>
    <n v="63450"/>
    <n v="444150"/>
    <n v="45000"/>
    <n v="315000"/>
    <n v="129150"/>
    <n v="0.29078014184397161"/>
  </r>
  <r>
    <x v="318"/>
    <s v="ORD-04452"/>
    <x v="0"/>
    <x v="0"/>
    <x v="15"/>
    <x v="7"/>
    <x v="2"/>
    <n v="9"/>
    <n v="10080"/>
    <n v="90720"/>
    <n v="7000"/>
    <n v="63000"/>
    <n v="27720"/>
    <n v="0.30555555555555558"/>
  </r>
  <r>
    <x v="318"/>
    <s v="ORD-04453"/>
    <x v="0"/>
    <x v="2"/>
    <x v="6"/>
    <x v="7"/>
    <x v="2"/>
    <n v="7"/>
    <n v="8400"/>
    <n v="58800"/>
    <n v="7000"/>
    <n v="49000"/>
    <n v="9800"/>
    <n v="0.16666666666666666"/>
  </r>
  <r>
    <x v="318"/>
    <s v="ORD-04454"/>
    <x v="3"/>
    <x v="5"/>
    <x v="4"/>
    <x v="2"/>
    <x v="1"/>
    <n v="9"/>
    <n v="47120"/>
    <n v="424080"/>
    <n v="38000"/>
    <n v="342000"/>
    <n v="82080"/>
    <n v="0.19354838709677419"/>
  </r>
  <r>
    <x v="318"/>
    <s v="ORD-04455"/>
    <x v="1"/>
    <x v="2"/>
    <x v="108"/>
    <x v="3"/>
    <x v="0"/>
    <n v="7"/>
    <n v="3175"/>
    <n v="22225"/>
    <n v="2500"/>
    <n v="17500"/>
    <n v="4725"/>
    <n v="0.2125984251968504"/>
  </r>
  <r>
    <x v="318"/>
    <s v="ORD-04456"/>
    <x v="3"/>
    <x v="5"/>
    <x v="47"/>
    <x v="1"/>
    <x v="1"/>
    <n v="1"/>
    <n v="64350"/>
    <n v="64350"/>
    <n v="45000"/>
    <n v="45000"/>
    <n v="19350"/>
    <n v="0.30069930069930068"/>
  </r>
  <r>
    <x v="318"/>
    <s v="ORD-04457"/>
    <x v="3"/>
    <x v="3"/>
    <x v="146"/>
    <x v="2"/>
    <x v="1"/>
    <n v="4"/>
    <n v="50920"/>
    <n v="203680"/>
    <n v="38000"/>
    <n v="152000"/>
    <n v="51680"/>
    <n v="0.2537313432835821"/>
  </r>
  <r>
    <x v="318"/>
    <s v="ORD-04458"/>
    <x v="0"/>
    <x v="3"/>
    <x v="114"/>
    <x v="2"/>
    <x v="1"/>
    <n v="10"/>
    <n v="48640"/>
    <n v="486400"/>
    <n v="38000"/>
    <n v="380000"/>
    <n v="106400"/>
    <n v="0.21875"/>
  </r>
  <r>
    <x v="318"/>
    <s v="ORD-04459"/>
    <x v="2"/>
    <x v="1"/>
    <x v="57"/>
    <x v="0"/>
    <x v="0"/>
    <n v="7"/>
    <n v="4128"/>
    <n v="28896"/>
    <n v="3200"/>
    <n v="22400"/>
    <n v="6496"/>
    <n v="0.22480620155038761"/>
  </r>
  <r>
    <x v="318"/>
    <s v="ORD-04460"/>
    <x v="1"/>
    <x v="3"/>
    <x v="110"/>
    <x v="0"/>
    <x v="0"/>
    <n v="10"/>
    <n v="4128"/>
    <n v="41280"/>
    <n v="3200"/>
    <n v="32000"/>
    <n v="9280"/>
    <n v="0.22480620155038761"/>
  </r>
  <r>
    <x v="318"/>
    <s v="ORD-04461"/>
    <x v="1"/>
    <x v="4"/>
    <x v="106"/>
    <x v="5"/>
    <x v="3"/>
    <n v="5"/>
    <n v="852"/>
    <n v="4260"/>
    <n v="600"/>
    <n v="3000"/>
    <n v="1260"/>
    <n v="0.29577464788732394"/>
  </r>
  <r>
    <x v="318"/>
    <s v="ORD-04462"/>
    <x v="2"/>
    <x v="1"/>
    <x v="136"/>
    <x v="7"/>
    <x v="2"/>
    <n v="10"/>
    <n v="10010"/>
    <n v="100100"/>
    <n v="7000"/>
    <n v="70000"/>
    <n v="30100"/>
    <n v="0.30069930069930068"/>
  </r>
  <r>
    <x v="318"/>
    <s v="ORD-04463"/>
    <x v="1"/>
    <x v="3"/>
    <x v="64"/>
    <x v="6"/>
    <x v="3"/>
    <n v="8"/>
    <n v="1089"/>
    <n v="8712"/>
    <n v="900"/>
    <n v="7200"/>
    <n v="1512"/>
    <n v="0.17355371900826447"/>
  </r>
  <r>
    <x v="318"/>
    <s v="ORD-04464"/>
    <x v="3"/>
    <x v="0"/>
    <x v="86"/>
    <x v="4"/>
    <x v="2"/>
    <n v="9"/>
    <n v="11390"/>
    <n v="102510"/>
    <n v="8500"/>
    <n v="76500"/>
    <n v="26010"/>
    <n v="0.2537313432835821"/>
  </r>
  <r>
    <x v="319"/>
    <s v="ORD-04465"/>
    <x v="3"/>
    <x v="1"/>
    <x v="60"/>
    <x v="3"/>
    <x v="0"/>
    <n v="7"/>
    <n v="3175"/>
    <n v="22225"/>
    <n v="2500"/>
    <n v="17500"/>
    <n v="4725"/>
    <n v="0.2125984251968504"/>
  </r>
  <r>
    <x v="319"/>
    <s v="ORD-04466"/>
    <x v="3"/>
    <x v="4"/>
    <x v="51"/>
    <x v="4"/>
    <x v="2"/>
    <n v="8"/>
    <n v="11730"/>
    <n v="93840"/>
    <n v="8500"/>
    <n v="68000"/>
    <n v="25840"/>
    <n v="0.27536231884057971"/>
  </r>
  <r>
    <x v="319"/>
    <s v="ORD-04467"/>
    <x v="2"/>
    <x v="5"/>
    <x v="91"/>
    <x v="6"/>
    <x v="3"/>
    <n v="3"/>
    <n v="1107"/>
    <n v="3321"/>
    <n v="900"/>
    <n v="2700"/>
    <n v="621"/>
    <n v="0.18699186991869918"/>
  </r>
  <r>
    <x v="319"/>
    <s v="ORD-04468"/>
    <x v="3"/>
    <x v="3"/>
    <x v="40"/>
    <x v="1"/>
    <x v="1"/>
    <n v="4"/>
    <n v="63900"/>
    <n v="255600"/>
    <n v="45000"/>
    <n v="180000"/>
    <n v="75600"/>
    <n v="0.29577464788732394"/>
  </r>
  <r>
    <x v="319"/>
    <s v="ORD-04469"/>
    <x v="0"/>
    <x v="3"/>
    <x v="127"/>
    <x v="3"/>
    <x v="0"/>
    <n v="4"/>
    <n v="3225"/>
    <n v="12900"/>
    <n v="2500"/>
    <n v="10000"/>
    <n v="2900"/>
    <n v="0.22480620155038761"/>
  </r>
  <r>
    <x v="319"/>
    <s v="ORD-04470"/>
    <x v="3"/>
    <x v="1"/>
    <x v="143"/>
    <x v="6"/>
    <x v="3"/>
    <n v="6"/>
    <n v="1296"/>
    <n v="7776"/>
    <n v="900"/>
    <n v="5400"/>
    <n v="2376"/>
    <n v="0.30555555555555558"/>
  </r>
  <r>
    <x v="319"/>
    <s v="ORD-04471"/>
    <x v="3"/>
    <x v="2"/>
    <x v="63"/>
    <x v="3"/>
    <x v="0"/>
    <n v="10"/>
    <n v="3525"/>
    <n v="35250"/>
    <n v="2500"/>
    <n v="25000"/>
    <n v="10250"/>
    <n v="0.29078014184397161"/>
  </r>
  <r>
    <x v="319"/>
    <s v="ORD-04472"/>
    <x v="3"/>
    <x v="3"/>
    <x v="148"/>
    <x v="0"/>
    <x v="0"/>
    <n v="3"/>
    <n v="4064"/>
    <n v="12192"/>
    <n v="3200"/>
    <n v="9600"/>
    <n v="2592"/>
    <n v="0.2125984251968504"/>
  </r>
  <r>
    <x v="319"/>
    <s v="ORD-04473"/>
    <x v="1"/>
    <x v="4"/>
    <x v="64"/>
    <x v="0"/>
    <x v="0"/>
    <n v="2"/>
    <n v="3840"/>
    <n v="7680"/>
    <n v="3200"/>
    <n v="6400"/>
    <n v="1280"/>
    <n v="0.16666666666666666"/>
  </r>
  <r>
    <x v="319"/>
    <s v="ORD-04474"/>
    <x v="1"/>
    <x v="2"/>
    <x v="22"/>
    <x v="6"/>
    <x v="3"/>
    <n v="7"/>
    <n v="1089"/>
    <n v="7623"/>
    <n v="900"/>
    <n v="6300"/>
    <n v="1323"/>
    <n v="0.17355371900826447"/>
  </r>
  <r>
    <x v="319"/>
    <s v="ORD-04475"/>
    <x v="0"/>
    <x v="1"/>
    <x v="96"/>
    <x v="5"/>
    <x v="3"/>
    <n v="5"/>
    <n v="720"/>
    <n v="3600"/>
    <n v="600"/>
    <n v="3000"/>
    <n v="600"/>
    <n v="0.16666666666666666"/>
  </r>
  <r>
    <x v="319"/>
    <s v="ORD-04476"/>
    <x v="2"/>
    <x v="3"/>
    <x v="79"/>
    <x v="0"/>
    <x v="0"/>
    <n v="6"/>
    <n v="4480"/>
    <n v="26880"/>
    <n v="3200"/>
    <n v="19200"/>
    <n v="7680"/>
    <n v="0.2857142857142857"/>
  </r>
  <r>
    <x v="319"/>
    <s v="ORD-04477"/>
    <x v="0"/>
    <x v="0"/>
    <x v="40"/>
    <x v="3"/>
    <x v="0"/>
    <n v="7"/>
    <n v="3125"/>
    <n v="21875"/>
    <n v="2500"/>
    <n v="17500"/>
    <n v="4375"/>
    <n v="0.2"/>
  </r>
  <r>
    <x v="319"/>
    <s v="ORD-04478"/>
    <x v="0"/>
    <x v="0"/>
    <x v="81"/>
    <x v="5"/>
    <x v="3"/>
    <n v="3"/>
    <n v="870"/>
    <n v="2610"/>
    <n v="600"/>
    <n v="1800"/>
    <n v="810"/>
    <n v="0.31034482758620691"/>
  </r>
  <r>
    <x v="320"/>
    <s v="ORD-04479"/>
    <x v="1"/>
    <x v="2"/>
    <x v="60"/>
    <x v="1"/>
    <x v="1"/>
    <n v="5"/>
    <n v="55350"/>
    <n v="276750"/>
    <n v="45000"/>
    <n v="225000"/>
    <n v="51750"/>
    <n v="0.18699186991869918"/>
  </r>
  <r>
    <x v="320"/>
    <s v="ORD-04480"/>
    <x v="2"/>
    <x v="3"/>
    <x v="49"/>
    <x v="5"/>
    <x v="3"/>
    <n v="1"/>
    <n v="827.99999999999989"/>
    <n v="827.99999999999989"/>
    <n v="600"/>
    <n v="600"/>
    <n v="227.99999999999989"/>
    <n v="0.2753623188405796"/>
  </r>
  <r>
    <x v="320"/>
    <s v="ORD-04481"/>
    <x v="2"/>
    <x v="4"/>
    <x v="58"/>
    <x v="0"/>
    <x v="0"/>
    <n v="4"/>
    <n v="4448"/>
    <n v="17792"/>
    <n v="3200"/>
    <n v="12800"/>
    <n v="4992"/>
    <n v="0.2805755395683453"/>
  </r>
  <r>
    <x v="320"/>
    <s v="ORD-04482"/>
    <x v="3"/>
    <x v="3"/>
    <x v="23"/>
    <x v="1"/>
    <x v="1"/>
    <n v="3"/>
    <n v="54000"/>
    <n v="162000"/>
    <n v="45000"/>
    <n v="135000"/>
    <n v="27000"/>
    <n v="0.16666666666666666"/>
  </r>
  <r>
    <x v="320"/>
    <s v="ORD-04483"/>
    <x v="1"/>
    <x v="5"/>
    <x v="148"/>
    <x v="1"/>
    <x v="1"/>
    <n v="9"/>
    <n v="61199.999999999993"/>
    <n v="550799.99999999988"/>
    <n v="45000"/>
    <n v="405000"/>
    <n v="145799.99999999988"/>
    <n v="0.26470588235294101"/>
  </r>
  <r>
    <x v="320"/>
    <s v="ORD-04484"/>
    <x v="0"/>
    <x v="0"/>
    <x v="1"/>
    <x v="1"/>
    <x v="1"/>
    <n v="3"/>
    <n v="57600"/>
    <n v="172800"/>
    <n v="45000"/>
    <n v="135000"/>
    <n v="37800"/>
    <n v="0.21875"/>
  </r>
  <r>
    <x v="320"/>
    <s v="ORD-04485"/>
    <x v="3"/>
    <x v="4"/>
    <x v="8"/>
    <x v="2"/>
    <x v="1"/>
    <n v="7"/>
    <n v="55100"/>
    <n v="385700"/>
    <n v="38000"/>
    <n v="266000"/>
    <n v="119700"/>
    <n v="0.31034482758620691"/>
  </r>
  <r>
    <x v="320"/>
    <s v="ORD-04486"/>
    <x v="1"/>
    <x v="2"/>
    <x v="24"/>
    <x v="3"/>
    <x v="0"/>
    <n v="8"/>
    <n v="3300"/>
    <n v="26400"/>
    <n v="2500"/>
    <n v="20000"/>
    <n v="6400"/>
    <n v="0.24242424242424243"/>
  </r>
  <r>
    <x v="320"/>
    <s v="ORD-04487"/>
    <x v="0"/>
    <x v="0"/>
    <x v="75"/>
    <x v="3"/>
    <x v="0"/>
    <n v="1"/>
    <n v="3600"/>
    <n v="3600"/>
    <n v="2500"/>
    <n v="2500"/>
    <n v="1100"/>
    <n v="0.30555555555555558"/>
  </r>
  <r>
    <x v="320"/>
    <s v="ORD-04488"/>
    <x v="1"/>
    <x v="3"/>
    <x v="43"/>
    <x v="2"/>
    <x v="1"/>
    <n v="7"/>
    <n v="55100"/>
    <n v="385700"/>
    <n v="38000"/>
    <n v="266000"/>
    <n v="119700"/>
    <n v="0.31034482758620691"/>
  </r>
  <r>
    <x v="320"/>
    <s v="ORD-04489"/>
    <x v="0"/>
    <x v="0"/>
    <x v="90"/>
    <x v="4"/>
    <x v="2"/>
    <n v="8"/>
    <n v="10795"/>
    <n v="86360"/>
    <n v="8500"/>
    <n v="68000"/>
    <n v="18360"/>
    <n v="0.2125984251968504"/>
  </r>
  <r>
    <x v="320"/>
    <s v="ORD-04490"/>
    <x v="1"/>
    <x v="2"/>
    <x v="53"/>
    <x v="6"/>
    <x v="3"/>
    <n v="10"/>
    <n v="1287"/>
    <n v="12870"/>
    <n v="900"/>
    <n v="9000"/>
    <n v="3870"/>
    <n v="0.30069930069930068"/>
  </r>
  <r>
    <x v="320"/>
    <s v="ORD-04491"/>
    <x v="3"/>
    <x v="5"/>
    <x v="5"/>
    <x v="1"/>
    <x v="1"/>
    <n v="6"/>
    <n v="62099.999999999993"/>
    <n v="372599.99999999994"/>
    <n v="45000"/>
    <n v="270000"/>
    <n v="102599.99999999994"/>
    <n v="0.2753623188405796"/>
  </r>
  <r>
    <x v="320"/>
    <s v="ORD-04492"/>
    <x v="0"/>
    <x v="3"/>
    <x v="40"/>
    <x v="3"/>
    <x v="0"/>
    <n v="10"/>
    <n v="3225"/>
    <n v="32250"/>
    <n v="2500"/>
    <n v="25000"/>
    <n v="7250"/>
    <n v="0.22480620155038761"/>
  </r>
  <r>
    <x v="321"/>
    <s v="ORD-04493"/>
    <x v="2"/>
    <x v="3"/>
    <x v="139"/>
    <x v="2"/>
    <x v="1"/>
    <n v="2"/>
    <n v="55100"/>
    <n v="110200"/>
    <n v="38000"/>
    <n v="76000"/>
    <n v="34200"/>
    <n v="0.31034482758620691"/>
  </r>
  <r>
    <x v="321"/>
    <s v="ORD-04494"/>
    <x v="2"/>
    <x v="4"/>
    <x v="42"/>
    <x v="1"/>
    <x v="1"/>
    <n v="7"/>
    <n v="62999.999999999993"/>
    <n v="440999.99999999994"/>
    <n v="45000"/>
    <n v="315000"/>
    <n v="125999.99999999994"/>
    <n v="0.28571428571428564"/>
  </r>
  <r>
    <x v="321"/>
    <s v="ORD-04495"/>
    <x v="0"/>
    <x v="2"/>
    <x v="130"/>
    <x v="3"/>
    <x v="0"/>
    <n v="8"/>
    <n v="3050"/>
    <n v="24400"/>
    <n v="2500"/>
    <n v="20000"/>
    <n v="4400"/>
    <n v="0.18032786885245902"/>
  </r>
  <r>
    <x v="321"/>
    <s v="ORD-04496"/>
    <x v="0"/>
    <x v="5"/>
    <x v="130"/>
    <x v="2"/>
    <x v="1"/>
    <n v="9"/>
    <n v="49020"/>
    <n v="441180"/>
    <n v="38000"/>
    <n v="342000"/>
    <n v="99180"/>
    <n v="0.22480620155038761"/>
  </r>
  <r>
    <x v="321"/>
    <s v="ORD-04497"/>
    <x v="0"/>
    <x v="5"/>
    <x v="17"/>
    <x v="5"/>
    <x v="3"/>
    <n v="9"/>
    <n v="750"/>
    <n v="6750"/>
    <n v="600"/>
    <n v="5400"/>
    <n v="1350"/>
    <n v="0.2"/>
  </r>
  <r>
    <x v="321"/>
    <s v="ORD-04498"/>
    <x v="1"/>
    <x v="5"/>
    <x v="22"/>
    <x v="1"/>
    <x v="1"/>
    <n v="5"/>
    <n v="54000"/>
    <n v="270000"/>
    <n v="45000"/>
    <n v="225000"/>
    <n v="45000"/>
    <n v="0.16666666666666666"/>
  </r>
  <r>
    <x v="321"/>
    <s v="ORD-04499"/>
    <x v="1"/>
    <x v="3"/>
    <x v="107"/>
    <x v="5"/>
    <x v="3"/>
    <n v="3"/>
    <n v="762"/>
    <n v="2286"/>
    <n v="600"/>
    <n v="1800"/>
    <n v="486"/>
    <n v="0.2125984251968504"/>
  </r>
  <r>
    <x v="321"/>
    <s v="ORD-04500"/>
    <x v="2"/>
    <x v="0"/>
    <x v="136"/>
    <x v="7"/>
    <x v="2"/>
    <n v="8"/>
    <n v="9800"/>
    <n v="78400"/>
    <n v="7000"/>
    <n v="56000"/>
    <n v="22400"/>
    <n v="0.2857142857142857"/>
  </r>
  <r>
    <x v="321"/>
    <s v="ORD-04501"/>
    <x v="1"/>
    <x v="5"/>
    <x v="91"/>
    <x v="2"/>
    <x v="1"/>
    <n v="1"/>
    <n v="54340"/>
    <n v="54340"/>
    <n v="38000"/>
    <n v="38000"/>
    <n v="16340"/>
    <n v="0.30069930069930068"/>
  </r>
  <r>
    <x v="321"/>
    <s v="ORD-04502"/>
    <x v="1"/>
    <x v="3"/>
    <x v="141"/>
    <x v="3"/>
    <x v="0"/>
    <n v="2"/>
    <n v="3025"/>
    <n v="6050"/>
    <n v="2500"/>
    <n v="5000"/>
    <n v="1050"/>
    <n v="0.17355371900826447"/>
  </r>
  <r>
    <x v="321"/>
    <s v="ORD-04503"/>
    <x v="2"/>
    <x v="0"/>
    <x v="30"/>
    <x v="6"/>
    <x v="3"/>
    <n v="5"/>
    <n v="1107"/>
    <n v="5535"/>
    <n v="900"/>
    <n v="4500"/>
    <n v="1035"/>
    <n v="0.18699186991869918"/>
  </r>
  <r>
    <x v="321"/>
    <s v="ORD-04504"/>
    <x v="3"/>
    <x v="5"/>
    <x v="15"/>
    <x v="0"/>
    <x v="0"/>
    <n v="1"/>
    <n v="4192"/>
    <n v="4192"/>
    <n v="3200"/>
    <n v="3200"/>
    <n v="992"/>
    <n v="0.23664122137404581"/>
  </r>
  <r>
    <x v="321"/>
    <s v="ORD-04505"/>
    <x v="0"/>
    <x v="5"/>
    <x v="142"/>
    <x v="7"/>
    <x v="2"/>
    <n v="7"/>
    <n v="8890"/>
    <n v="62230"/>
    <n v="7000"/>
    <n v="49000"/>
    <n v="13230"/>
    <n v="0.2125984251968504"/>
  </r>
  <r>
    <x v="321"/>
    <s v="ORD-04506"/>
    <x v="0"/>
    <x v="0"/>
    <x v="148"/>
    <x v="7"/>
    <x v="2"/>
    <n v="6"/>
    <n v="9170"/>
    <n v="55020"/>
    <n v="7000"/>
    <n v="42000"/>
    <n v="13020"/>
    <n v="0.23664122137404581"/>
  </r>
  <r>
    <x v="322"/>
    <s v="ORD-04507"/>
    <x v="2"/>
    <x v="1"/>
    <x v="90"/>
    <x v="3"/>
    <x v="0"/>
    <n v="10"/>
    <n v="3200"/>
    <n v="32000"/>
    <n v="2500"/>
    <n v="25000"/>
    <n v="7000"/>
    <n v="0.21875"/>
  </r>
  <r>
    <x v="322"/>
    <s v="ORD-04508"/>
    <x v="2"/>
    <x v="2"/>
    <x v="23"/>
    <x v="6"/>
    <x v="3"/>
    <n v="6"/>
    <n v="1125"/>
    <n v="6750"/>
    <n v="900"/>
    <n v="5400"/>
    <n v="1350"/>
    <n v="0.2"/>
  </r>
  <r>
    <x v="322"/>
    <s v="ORD-04509"/>
    <x v="3"/>
    <x v="5"/>
    <x v="87"/>
    <x v="7"/>
    <x v="2"/>
    <n v="5"/>
    <n v="9170"/>
    <n v="45850"/>
    <n v="7000"/>
    <n v="35000"/>
    <n v="10850"/>
    <n v="0.23664122137404581"/>
  </r>
  <r>
    <x v="322"/>
    <s v="ORD-04510"/>
    <x v="1"/>
    <x v="5"/>
    <x v="18"/>
    <x v="1"/>
    <x v="1"/>
    <n v="7"/>
    <n v="59850"/>
    <n v="418950"/>
    <n v="45000"/>
    <n v="315000"/>
    <n v="103950"/>
    <n v="0.24812030075187969"/>
  </r>
  <r>
    <x v="322"/>
    <s v="ORD-04511"/>
    <x v="3"/>
    <x v="0"/>
    <x v="113"/>
    <x v="4"/>
    <x v="2"/>
    <n v="10"/>
    <n v="11475"/>
    <n v="114750"/>
    <n v="8500"/>
    <n v="85000"/>
    <n v="29750"/>
    <n v="0.25925925925925924"/>
  </r>
  <r>
    <x v="322"/>
    <s v="ORD-04512"/>
    <x v="0"/>
    <x v="0"/>
    <x v="65"/>
    <x v="2"/>
    <x v="1"/>
    <n v="9"/>
    <n v="52060.000000000007"/>
    <n v="468540.00000000006"/>
    <n v="38000"/>
    <n v="342000"/>
    <n v="126540.00000000006"/>
    <n v="0.27007299270073004"/>
  </r>
  <r>
    <x v="322"/>
    <s v="ORD-04513"/>
    <x v="1"/>
    <x v="0"/>
    <x v="48"/>
    <x v="7"/>
    <x v="2"/>
    <n v="8"/>
    <n v="8820"/>
    <n v="70560"/>
    <n v="7000"/>
    <n v="56000"/>
    <n v="14560"/>
    <n v="0.20634920634920634"/>
  </r>
  <r>
    <x v="322"/>
    <s v="ORD-04514"/>
    <x v="0"/>
    <x v="5"/>
    <x v="127"/>
    <x v="5"/>
    <x v="3"/>
    <n v="10"/>
    <n v="780"/>
    <n v="7800"/>
    <n v="600"/>
    <n v="6000"/>
    <n v="1800"/>
    <n v="0.23076923076923078"/>
  </r>
  <r>
    <x v="322"/>
    <s v="ORD-04515"/>
    <x v="3"/>
    <x v="2"/>
    <x v="134"/>
    <x v="7"/>
    <x v="2"/>
    <n v="8"/>
    <n v="8540"/>
    <n v="68320"/>
    <n v="7000"/>
    <n v="56000"/>
    <n v="12320"/>
    <n v="0.18032786885245902"/>
  </r>
  <r>
    <x v="322"/>
    <s v="ORD-04516"/>
    <x v="3"/>
    <x v="3"/>
    <x v="22"/>
    <x v="6"/>
    <x v="3"/>
    <n v="4"/>
    <n v="1296"/>
    <n v="5184"/>
    <n v="900"/>
    <n v="3600"/>
    <n v="1584"/>
    <n v="0.30555555555555558"/>
  </r>
  <r>
    <x v="322"/>
    <s v="ORD-04517"/>
    <x v="1"/>
    <x v="5"/>
    <x v="72"/>
    <x v="1"/>
    <x v="1"/>
    <n v="4"/>
    <n v="55800"/>
    <n v="223200"/>
    <n v="45000"/>
    <n v="180000"/>
    <n v="43200"/>
    <n v="0.19354838709677419"/>
  </r>
  <r>
    <x v="322"/>
    <s v="ORD-04518"/>
    <x v="0"/>
    <x v="0"/>
    <x v="67"/>
    <x v="7"/>
    <x v="2"/>
    <n v="3"/>
    <n v="9730"/>
    <n v="29190"/>
    <n v="7000"/>
    <n v="21000"/>
    <n v="8190"/>
    <n v="0.2805755395683453"/>
  </r>
  <r>
    <x v="322"/>
    <s v="ORD-04519"/>
    <x v="3"/>
    <x v="4"/>
    <x v="139"/>
    <x v="6"/>
    <x v="3"/>
    <n v="8"/>
    <n v="1134"/>
    <n v="9072"/>
    <n v="900"/>
    <n v="7200"/>
    <n v="1872"/>
    <n v="0.20634920634920634"/>
  </r>
  <r>
    <x v="322"/>
    <s v="ORD-04520"/>
    <x v="0"/>
    <x v="0"/>
    <x v="88"/>
    <x v="4"/>
    <x v="2"/>
    <n v="9"/>
    <n v="12155"/>
    <n v="109395"/>
    <n v="8500"/>
    <n v="76500"/>
    <n v="32895"/>
    <n v="0.30069930069930068"/>
  </r>
  <r>
    <x v="323"/>
    <s v="ORD-04521"/>
    <x v="0"/>
    <x v="3"/>
    <x v="84"/>
    <x v="5"/>
    <x v="3"/>
    <n v="6"/>
    <n v="864"/>
    <n v="5184"/>
    <n v="600"/>
    <n v="3600"/>
    <n v="1584"/>
    <n v="0.30555555555555558"/>
  </r>
  <r>
    <x v="323"/>
    <s v="ORD-04522"/>
    <x v="2"/>
    <x v="2"/>
    <x v="124"/>
    <x v="0"/>
    <x v="0"/>
    <n v="4"/>
    <n v="3872"/>
    <n v="15488"/>
    <n v="3200"/>
    <n v="12800"/>
    <n v="2688"/>
    <n v="0.17355371900826447"/>
  </r>
  <r>
    <x v="323"/>
    <s v="ORD-04523"/>
    <x v="0"/>
    <x v="0"/>
    <x v="66"/>
    <x v="4"/>
    <x v="2"/>
    <n v="6"/>
    <n v="10200"/>
    <n v="61200"/>
    <n v="8500"/>
    <n v="51000"/>
    <n v="10200"/>
    <n v="0.16666666666666666"/>
  </r>
  <r>
    <x v="323"/>
    <s v="ORD-04524"/>
    <x v="3"/>
    <x v="2"/>
    <x v="129"/>
    <x v="3"/>
    <x v="0"/>
    <n v="8"/>
    <n v="3625"/>
    <n v="29000"/>
    <n v="2500"/>
    <n v="20000"/>
    <n v="9000"/>
    <n v="0.31034482758620691"/>
  </r>
  <r>
    <x v="323"/>
    <s v="ORD-04525"/>
    <x v="1"/>
    <x v="1"/>
    <x v="54"/>
    <x v="2"/>
    <x v="1"/>
    <n v="5"/>
    <n v="52439.999999999993"/>
    <n v="262199.99999999994"/>
    <n v="38000"/>
    <n v="190000"/>
    <n v="72199.999999999942"/>
    <n v="0.27536231884057955"/>
  </r>
  <r>
    <x v="323"/>
    <s v="ORD-04526"/>
    <x v="2"/>
    <x v="4"/>
    <x v="80"/>
    <x v="6"/>
    <x v="3"/>
    <n v="6"/>
    <n v="1179"/>
    <n v="7074"/>
    <n v="900"/>
    <n v="5400"/>
    <n v="1674"/>
    <n v="0.23664122137404581"/>
  </r>
  <r>
    <x v="323"/>
    <s v="ORD-04527"/>
    <x v="1"/>
    <x v="2"/>
    <x v="58"/>
    <x v="7"/>
    <x v="2"/>
    <n v="3"/>
    <n v="9660"/>
    <n v="28980"/>
    <n v="7000"/>
    <n v="21000"/>
    <n v="7980"/>
    <n v="0.27536231884057971"/>
  </r>
  <r>
    <x v="323"/>
    <s v="ORD-04528"/>
    <x v="2"/>
    <x v="2"/>
    <x v="140"/>
    <x v="6"/>
    <x v="3"/>
    <n v="6"/>
    <n v="1125"/>
    <n v="6750"/>
    <n v="900"/>
    <n v="5400"/>
    <n v="1350"/>
    <n v="0.2"/>
  </r>
  <r>
    <x v="323"/>
    <s v="ORD-04529"/>
    <x v="0"/>
    <x v="0"/>
    <x v="87"/>
    <x v="5"/>
    <x v="3"/>
    <n v="10"/>
    <n v="810"/>
    <n v="8100"/>
    <n v="600"/>
    <n v="6000"/>
    <n v="2100"/>
    <n v="0.25925925925925924"/>
  </r>
  <r>
    <x v="323"/>
    <s v="ORD-04530"/>
    <x v="0"/>
    <x v="1"/>
    <x v="53"/>
    <x v="2"/>
    <x v="1"/>
    <n v="10"/>
    <n v="54720"/>
    <n v="547200"/>
    <n v="38000"/>
    <n v="380000"/>
    <n v="167200"/>
    <n v="0.30555555555555558"/>
  </r>
  <r>
    <x v="323"/>
    <s v="ORD-04531"/>
    <x v="1"/>
    <x v="2"/>
    <x v="37"/>
    <x v="0"/>
    <x v="0"/>
    <n v="7"/>
    <n v="3936"/>
    <n v="27552"/>
    <n v="3200"/>
    <n v="22400"/>
    <n v="5152"/>
    <n v="0.18699186991869918"/>
  </r>
  <r>
    <x v="323"/>
    <s v="ORD-04532"/>
    <x v="1"/>
    <x v="5"/>
    <x v="85"/>
    <x v="6"/>
    <x v="3"/>
    <n v="1"/>
    <n v="1134"/>
    <n v="1134"/>
    <n v="900"/>
    <n v="900"/>
    <n v="234"/>
    <n v="0.20634920634920634"/>
  </r>
  <r>
    <x v="323"/>
    <s v="ORD-04533"/>
    <x v="0"/>
    <x v="5"/>
    <x v="0"/>
    <x v="6"/>
    <x v="3"/>
    <n v="2"/>
    <n v="1251"/>
    <n v="2502"/>
    <n v="900"/>
    <n v="1800"/>
    <n v="702"/>
    <n v="0.2805755395683453"/>
  </r>
  <r>
    <x v="323"/>
    <s v="ORD-04534"/>
    <x v="2"/>
    <x v="1"/>
    <x v="115"/>
    <x v="4"/>
    <x v="2"/>
    <n v="2"/>
    <n v="11815.000000000002"/>
    <n v="23630.000000000004"/>
    <n v="8500"/>
    <n v="17000"/>
    <n v="6630.0000000000036"/>
    <n v="0.28057553956834541"/>
  </r>
  <r>
    <x v="324"/>
    <s v="ORD-04535"/>
    <x v="3"/>
    <x v="4"/>
    <x v="6"/>
    <x v="5"/>
    <x v="3"/>
    <n v="10"/>
    <n v="792"/>
    <n v="7920"/>
    <n v="600"/>
    <n v="6000"/>
    <n v="1920"/>
    <n v="0.24242424242424243"/>
  </r>
  <r>
    <x v="324"/>
    <s v="ORD-04536"/>
    <x v="0"/>
    <x v="2"/>
    <x v="85"/>
    <x v="4"/>
    <x v="2"/>
    <n v="4"/>
    <n v="10455"/>
    <n v="41820"/>
    <n v="8500"/>
    <n v="34000"/>
    <n v="7820"/>
    <n v="0.18699186991869918"/>
  </r>
  <r>
    <x v="324"/>
    <s v="ORD-04537"/>
    <x v="2"/>
    <x v="2"/>
    <x v="0"/>
    <x v="2"/>
    <x v="1"/>
    <n v="7"/>
    <n v="49400"/>
    <n v="345800"/>
    <n v="38000"/>
    <n v="266000"/>
    <n v="79800"/>
    <n v="0.23076923076923078"/>
  </r>
  <r>
    <x v="324"/>
    <s v="ORD-04538"/>
    <x v="1"/>
    <x v="1"/>
    <x v="4"/>
    <x v="4"/>
    <x v="2"/>
    <n v="9"/>
    <n v="10370"/>
    <n v="93330"/>
    <n v="8500"/>
    <n v="76500"/>
    <n v="16830"/>
    <n v="0.18032786885245902"/>
  </r>
  <r>
    <x v="324"/>
    <s v="ORD-04539"/>
    <x v="1"/>
    <x v="3"/>
    <x v="74"/>
    <x v="3"/>
    <x v="0"/>
    <n v="5"/>
    <n v="3075"/>
    <n v="15375"/>
    <n v="2500"/>
    <n v="12500"/>
    <n v="2875"/>
    <n v="0.18699186991869918"/>
  </r>
  <r>
    <x v="324"/>
    <s v="ORD-04540"/>
    <x v="3"/>
    <x v="4"/>
    <x v="23"/>
    <x v="2"/>
    <x v="1"/>
    <n v="4"/>
    <n v="47120"/>
    <n v="188480"/>
    <n v="38000"/>
    <n v="152000"/>
    <n v="36480"/>
    <n v="0.19354838709677419"/>
  </r>
  <r>
    <x v="324"/>
    <s v="ORD-04541"/>
    <x v="2"/>
    <x v="4"/>
    <x v="96"/>
    <x v="4"/>
    <x v="2"/>
    <n v="5"/>
    <n v="10455"/>
    <n v="52275"/>
    <n v="8500"/>
    <n v="42500"/>
    <n v="9775"/>
    <n v="0.18699186991869918"/>
  </r>
  <r>
    <x v="324"/>
    <s v="ORD-04542"/>
    <x v="1"/>
    <x v="1"/>
    <x v="85"/>
    <x v="2"/>
    <x v="1"/>
    <n v="7"/>
    <n v="52060.000000000007"/>
    <n v="364420.00000000006"/>
    <n v="38000"/>
    <n v="266000"/>
    <n v="98420.000000000058"/>
    <n v="0.27007299270073004"/>
  </r>
  <r>
    <x v="324"/>
    <s v="ORD-04543"/>
    <x v="3"/>
    <x v="4"/>
    <x v="12"/>
    <x v="0"/>
    <x v="0"/>
    <n v="8"/>
    <n v="3936"/>
    <n v="31488"/>
    <n v="3200"/>
    <n v="25600"/>
    <n v="5888"/>
    <n v="0.18699186991869918"/>
  </r>
  <r>
    <x v="324"/>
    <s v="ORD-04544"/>
    <x v="1"/>
    <x v="2"/>
    <x v="101"/>
    <x v="7"/>
    <x v="2"/>
    <n v="5"/>
    <n v="8820"/>
    <n v="44100"/>
    <n v="7000"/>
    <n v="35000"/>
    <n v="9100"/>
    <n v="0.20634920634920634"/>
  </r>
  <r>
    <x v="324"/>
    <s v="ORD-04545"/>
    <x v="1"/>
    <x v="3"/>
    <x v="107"/>
    <x v="5"/>
    <x v="3"/>
    <n v="8"/>
    <n v="810"/>
    <n v="6480"/>
    <n v="600"/>
    <n v="4800"/>
    <n v="1680"/>
    <n v="0.25925925925925924"/>
  </r>
  <r>
    <x v="324"/>
    <s v="ORD-04546"/>
    <x v="1"/>
    <x v="2"/>
    <x v="59"/>
    <x v="4"/>
    <x v="2"/>
    <n v="6"/>
    <n v="11135"/>
    <n v="66810"/>
    <n v="8500"/>
    <n v="51000"/>
    <n v="15810"/>
    <n v="0.23664122137404581"/>
  </r>
  <r>
    <x v="324"/>
    <s v="ORD-04547"/>
    <x v="1"/>
    <x v="3"/>
    <x v="61"/>
    <x v="5"/>
    <x v="3"/>
    <n v="9"/>
    <n v="744"/>
    <n v="6696"/>
    <n v="600"/>
    <n v="5400"/>
    <n v="1296"/>
    <n v="0.19354838709677419"/>
  </r>
  <r>
    <x v="324"/>
    <s v="ORD-04548"/>
    <x v="3"/>
    <x v="5"/>
    <x v="93"/>
    <x v="7"/>
    <x v="2"/>
    <n v="3"/>
    <n v="9240"/>
    <n v="27720"/>
    <n v="7000"/>
    <n v="21000"/>
    <n v="6720"/>
    <n v="0.24242424242424243"/>
  </r>
  <r>
    <x v="325"/>
    <s v="ORD-04549"/>
    <x v="1"/>
    <x v="5"/>
    <x v="92"/>
    <x v="4"/>
    <x v="2"/>
    <n v="4"/>
    <n v="10795"/>
    <n v="43180"/>
    <n v="8500"/>
    <n v="34000"/>
    <n v="9180"/>
    <n v="0.2125984251968504"/>
  </r>
  <r>
    <x v="325"/>
    <s v="ORD-04550"/>
    <x v="2"/>
    <x v="3"/>
    <x v="25"/>
    <x v="1"/>
    <x v="1"/>
    <n v="5"/>
    <n v="63450"/>
    <n v="317250"/>
    <n v="45000"/>
    <n v="225000"/>
    <n v="92250"/>
    <n v="0.29078014184397161"/>
  </r>
  <r>
    <x v="325"/>
    <s v="ORD-04551"/>
    <x v="2"/>
    <x v="2"/>
    <x v="141"/>
    <x v="2"/>
    <x v="1"/>
    <n v="8"/>
    <n v="52820.000000000007"/>
    <n v="422560.00000000006"/>
    <n v="38000"/>
    <n v="304000"/>
    <n v="118560.00000000006"/>
    <n v="0.28057553956834541"/>
  </r>
  <r>
    <x v="325"/>
    <s v="ORD-04552"/>
    <x v="0"/>
    <x v="0"/>
    <x v="132"/>
    <x v="7"/>
    <x v="2"/>
    <n v="8"/>
    <n v="8750"/>
    <n v="70000"/>
    <n v="7000"/>
    <n v="56000"/>
    <n v="14000"/>
    <n v="0.2"/>
  </r>
  <r>
    <x v="325"/>
    <s v="ORD-04553"/>
    <x v="1"/>
    <x v="4"/>
    <x v="9"/>
    <x v="1"/>
    <x v="1"/>
    <n v="2"/>
    <n v="62999.999999999993"/>
    <n v="125999.99999999999"/>
    <n v="45000"/>
    <n v="90000"/>
    <n v="35999.999999999985"/>
    <n v="0.28571428571428564"/>
  </r>
  <r>
    <x v="325"/>
    <s v="ORD-04554"/>
    <x v="2"/>
    <x v="5"/>
    <x v="86"/>
    <x v="6"/>
    <x v="3"/>
    <n v="3"/>
    <n v="1179"/>
    <n v="3537"/>
    <n v="900"/>
    <n v="2700"/>
    <n v="837"/>
    <n v="0.23664122137404581"/>
  </r>
  <r>
    <x v="325"/>
    <s v="ORD-04555"/>
    <x v="1"/>
    <x v="0"/>
    <x v="105"/>
    <x v="6"/>
    <x v="3"/>
    <n v="9"/>
    <n v="1134"/>
    <n v="10206"/>
    <n v="900"/>
    <n v="8100"/>
    <n v="2106"/>
    <n v="0.20634920634920634"/>
  </r>
  <r>
    <x v="325"/>
    <s v="ORD-04556"/>
    <x v="0"/>
    <x v="4"/>
    <x v="53"/>
    <x v="2"/>
    <x v="1"/>
    <n v="1"/>
    <n v="50540"/>
    <n v="50540"/>
    <n v="38000"/>
    <n v="38000"/>
    <n v="12540"/>
    <n v="0.24812030075187969"/>
  </r>
  <r>
    <x v="325"/>
    <s v="ORD-04557"/>
    <x v="3"/>
    <x v="2"/>
    <x v="142"/>
    <x v="0"/>
    <x v="0"/>
    <n v="6"/>
    <n v="3904"/>
    <n v="23424"/>
    <n v="3200"/>
    <n v="19200"/>
    <n v="4224"/>
    <n v="0.18032786885245902"/>
  </r>
  <r>
    <x v="325"/>
    <s v="ORD-04558"/>
    <x v="2"/>
    <x v="2"/>
    <x v="58"/>
    <x v="2"/>
    <x v="1"/>
    <n v="6"/>
    <n v="47880"/>
    <n v="287280"/>
    <n v="38000"/>
    <n v="228000"/>
    <n v="59280"/>
    <n v="0.20634920634920634"/>
  </r>
  <r>
    <x v="325"/>
    <s v="ORD-04559"/>
    <x v="1"/>
    <x v="2"/>
    <x v="8"/>
    <x v="1"/>
    <x v="1"/>
    <n v="2"/>
    <n v="55350"/>
    <n v="110700"/>
    <n v="45000"/>
    <n v="90000"/>
    <n v="20700"/>
    <n v="0.18699186991869918"/>
  </r>
  <r>
    <x v="325"/>
    <s v="ORD-04560"/>
    <x v="1"/>
    <x v="1"/>
    <x v="51"/>
    <x v="5"/>
    <x v="3"/>
    <n v="7"/>
    <n v="738"/>
    <n v="5166"/>
    <n v="600"/>
    <n v="4200"/>
    <n v="966"/>
    <n v="0.18699186991869918"/>
  </r>
  <r>
    <x v="325"/>
    <s v="ORD-04561"/>
    <x v="2"/>
    <x v="3"/>
    <x v="86"/>
    <x v="3"/>
    <x v="0"/>
    <n v="9"/>
    <n v="3500"/>
    <n v="31500"/>
    <n v="2500"/>
    <n v="22500"/>
    <n v="9000"/>
    <n v="0.2857142857142857"/>
  </r>
  <r>
    <x v="325"/>
    <s v="ORD-04562"/>
    <x v="0"/>
    <x v="2"/>
    <x v="146"/>
    <x v="1"/>
    <x v="1"/>
    <n v="4"/>
    <n v="59850"/>
    <n v="239400"/>
    <n v="45000"/>
    <n v="180000"/>
    <n v="59400"/>
    <n v="0.24812030075187969"/>
  </r>
  <r>
    <x v="326"/>
    <s v="ORD-04563"/>
    <x v="2"/>
    <x v="4"/>
    <x v="36"/>
    <x v="5"/>
    <x v="3"/>
    <n v="1"/>
    <n v="810"/>
    <n v="810"/>
    <n v="600"/>
    <n v="600"/>
    <n v="210"/>
    <n v="0.25925925925925924"/>
  </r>
  <r>
    <x v="326"/>
    <s v="ORD-04564"/>
    <x v="2"/>
    <x v="5"/>
    <x v="137"/>
    <x v="6"/>
    <x v="3"/>
    <n v="1"/>
    <n v="1224"/>
    <n v="1224"/>
    <n v="900"/>
    <n v="900"/>
    <n v="324"/>
    <n v="0.26470588235294118"/>
  </r>
  <r>
    <x v="326"/>
    <s v="ORD-04565"/>
    <x v="0"/>
    <x v="2"/>
    <x v="45"/>
    <x v="7"/>
    <x v="2"/>
    <n v="7"/>
    <n v="8400"/>
    <n v="58800"/>
    <n v="7000"/>
    <n v="49000"/>
    <n v="9800"/>
    <n v="0.16666666666666666"/>
  </r>
  <r>
    <x v="326"/>
    <s v="ORD-04566"/>
    <x v="3"/>
    <x v="2"/>
    <x v="32"/>
    <x v="6"/>
    <x v="3"/>
    <n v="2"/>
    <n v="1260"/>
    <n v="2520"/>
    <n v="900"/>
    <n v="1800"/>
    <n v="720"/>
    <n v="0.2857142857142857"/>
  </r>
  <r>
    <x v="326"/>
    <s v="ORD-04567"/>
    <x v="0"/>
    <x v="5"/>
    <x v="76"/>
    <x v="1"/>
    <x v="1"/>
    <n v="1"/>
    <n v="63450"/>
    <n v="63450"/>
    <n v="45000"/>
    <n v="45000"/>
    <n v="18450"/>
    <n v="0.29078014184397161"/>
  </r>
  <r>
    <x v="326"/>
    <s v="ORD-04568"/>
    <x v="0"/>
    <x v="0"/>
    <x v="120"/>
    <x v="2"/>
    <x v="1"/>
    <n v="5"/>
    <n v="49400"/>
    <n v="247000"/>
    <n v="38000"/>
    <n v="190000"/>
    <n v="57000"/>
    <n v="0.23076923076923078"/>
  </r>
  <r>
    <x v="326"/>
    <s v="ORD-04569"/>
    <x v="2"/>
    <x v="4"/>
    <x v="142"/>
    <x v="0"/>
    <x v="0"/>
    <n v="10"/>
    <n v="3840"/>
    <n v="38400"/>
    <n v="3200"/>
    <n v="32000"/>
    <n v="6400"/>
    <n v="0.16666666666666666"/>
  </r>
  <r>
    <x v="326"/>
    <s v="ORD-04570"/>
    <x v="0"/>
    <x v="1"/>
    <x v="3"/>
    <x v="7"/>
    <x v="2"/>
    <n v="2"/>
    <n v="10080"/>
    <n v="20160"/>
    <n v="7000"/>
    <n v="14000"/>
    <n v="6160"/>
    <n v="0.30555555555555558"/>
  </r>
  <r>
    <x v="326"/>
    <s v="ORD-04571"/>
    <x v="0"/>
    <x v="2"/>
    <x v="72"/>
    <x v="5"/>
    <x v="3"/>
    <n v="8"/>
    <n v="738"/>
    <n v="5904"/>
    <n v="600"/>
    <n v="4800"/>
    <n v="1104"/>
    <n v="0.18699186991869918"/>
  </r>
  <r>
    <x v="326"/>
    <s v="ORD-04572"/>
    <x v="3"/>
    <x v="5"/>
    <x v="97"/>
    <x v="0"/>
    <x v="0"/>
    <n v="6"/>
    <n v="4384"/>
    <n v="26304"/>
    <n v="3200"/>
    <n v="19200"/>
    <n v="7104"/>
    <n v="0.27007299270072993"/>
  </r>
  <r>
    <x v="326"/>
    <s v="ORD-04573"/>
    <x v="2"/>
    <x v="4"/>
    <x v="87"/>
    <x v="7"/>
    <x v="2"/>
    <n v="7"/>
    <n v="8960"/>
    <n v="62720"/>
    <n v="7000"/>
    <n v="49000"/>
    <n v="13720"/>
    <n v="0.21875"/>
  </r>
  <r>
    <x v="326"/>
    <s v="ORD-04574"/>
    <x v="0"/>
    <x v="3"/>
    <x v="42"/>
    <x v="5"/>
    <x v="3"/>
    <n v="9"/>
    <n v="762"/>
    <n v="6858"/>
    <n v="600"/>
    <n v="5400"/>
    <n v="1458"/>
    <n v="0.2125984251968504"/>
  </r>
  <r>
    <x v="326"/>
    <s v="ORD-04575"/>
    <x v="1"/>
    <x v="2"/>
    <x v="129"/>
    <x v="4"/>
    <x v="2"/>
    <n v="8"/>
    <n v="10710"/>
    <n v="85680"/>
    <n v="8500"/>
    <n v="68000"/>
    <n v="17680"/>
    <n v="0.20634920634920634"/>
  </r>
  <r>
    <x v="326"/>
    <s v="ORD-04576"/>
    <x v="1"/>
    <x v="4"/>
    <x v="119"/>
    <x v="1"/>
    <x v="1"/>
    <n v="4"/>
    <n v="56700"/>
    <n v="226800"/>
    <n v="45000"/>
    <n v="180000"/>
    <n v="46800"/>
    <n v="0.20634920634920634"/>
  </r>
  <r>
    <x v="327"/>
    <s v="ORD-04577"/>
    <x v="0"/>
    <x v="0"/>
    <x v="7"/>
    <x v="7"/>
    <x v="2"/>
    <n v="4"/>
    <n v="9660"/>
    <n v="38640"/>
    <n v="7000"/>
    <n v="28000"/>
    <n v="10640"/>
    <n v="0.27536231884057971"/>
  </r>
  <r>
    <x v="327"/>
    <s v="ORD-04578"/>
    <x v="2"/>
    <x v="1"/>
    <x v="69"/>
    <x v="1"/>
    <x v="1"/>
    <n v="7"/>
    <n v="60300"/>
    <n v="422100"/>
    <n v="45000"/>
    <n v="315000"/>
    <n v="107100"/>
    <n v="0.2537313432835821"/>
  </r>
  <r>
    <x v="327"/>
    <s v="ORD-04579"/>
    <x v="1"/>
    <x v="2"/>
    <x v="137"/>
    <x v="5"/>
    <x v="3"/>
    <n v="9"/>
    <n v="846"/>
    <n v="7614"/>
    <n v="600"/>
    <n v="5400"/>
    <n v="2214"/>
    <n v="0.29078014184397161"/>
  </r>
  <r>
    <x v="327"/>
    <s v="ORD-04580"/>
    <x v="0"/>
    <x v="1"/>
    <x v="25"/>
    <x v="6"/>
    <x v="3"/>
    <n v="8"/>
    <n v="1197"/>
    <n v="9576"/>
    <n v="900"/>
    <n v="7200"/>
    <n v="2376"/>
    <n v="0.24812030075187969"/>
  </r>
  <r>
    <x v="327"/>
    <s v="ORD-04581"/>
    <x v="2"/>
    <x v="5"/>
    <x v="108"/>
    <x v="2"/>
    <x v="1"/>
    <n v="3"/>
    <n v="50540"/>
    <n v="151620"/>
    <n v="38000"/>
    <n v="114000"/>
    <n v="37620"/>
    <n v="0.24812030075187969"/>
  </r>
  <r>
    <x v="327"/>
    <s v="ORD-04582"/>
    <x v="0"/>
    <x v="0"/>
    <x v="10"/>
    <x v="6"/>
    <x v="3"/>
    <n v="8"/>
    <n v="1080"/>
    <n v="8640"/>
    <n v="900"/>
    <n v="7200"/>
    <n v="1440"/>
    <n v="0.16666666666666666"/>
  </r>
  <r>
    <x v="327"/>
    <s v="ORD-04583"/>
    <x v="0"/>
    <x v="2"/>
    <x v="133"/>
    <x v="3"/>
    <x v="0"/>
    <n v="8"/>
    <n v="3425.0000000000005"/>
    <n v="27400.000000000004"/>
    <n v="2500"/>
    <n v="20000"/>
    <n v="7400.0000000000036"/>
    <n v="0.27007299270073004"/>
  </r>
  <r>
    <x v="327"/>
    <s v="ORD-04584"/>
    <x v="1"/>
    <x v="1"/>
    <x v="109"/>
    <x v="4"/>
    <x v="2"/>
    <n v="2"/>
    <n v="11730"/>
    <n v="23460"/>
    <n v="8500"/>
    <n v="17000"/>
    <n v="6460"/>
    <n v="0.27536231884057971"/>
  </r>
  <r>
    <x v="327"/>
    <s v="ORD-04585"/>
    <x v="1"/>
    <x v="2"/>
    <x v="133"/>
    <x v="5"/>
    <x v="3"/>
    <n v="8"/>
    <n v="827.99999999999989"/>
    <n v="6623.9999999999991"/>
    <n v="600"/>
    <n v="4800"/>
    <n v="1823.9999999999991"/>
    <n v="0.2753623188405796"/>
  </r>
  <r>
    <x v="327"/>
    <s v="ORD-04586"/>
    <x v="3"/>
    <x v="4"/>
    <x v="137"/>
    <x v="7"/>
    <x v="2"/>
    <n v="3"/>
    <n v="9520"/>
    <n v="28560"/>
    <n v="7000"/>
    <n v="21000"/>
    <n v="7560"/>
    <n v="0.26470588235294118"/>
  </r>
  <r>
    <x v="327"/>
    <s v="ORD-04587"/>
    <x v="0"/>
    <x v="0"/>
    <x v="66"/>
    <x v="1"/>
    <x v="1"/>
    <n v="9"/>
    <n v="57150"/>
    <n v="514350"/>
    <n v="45000"/>
    <n v="405000"/>
    <n v="109350"/>
    <n v="0.2125984251968504"/>
  </r>
  <r>
    <x v="327"/>
    <s v="ORD-04588"/>
    <x v="3"/>
    <x v="4"/>
    <x v="114"/>
    <x v="0"/>
    <x v="0"/>
    <n v="8"/>
    <n v="4576"/>
    <n v="36608"/>
    <n v="3200"/>
    <n v="25600"/>
    <n v="11008"/>
    <n v="0.30069930069930068"/>
  </r>
  <r>
    <x v="327"/>
    <s v="ORD-04589"/>
    <x v="2"/>
    <x v="3"/>
    <x v="41"/>
    <x v="5"/>
    <x v="3"/>
    <n v="5"/>
    <n v="768"/>
    <n v="3840"/>
    <n v="600"/>
    <n v="3000"/>
    <n v="840"/>
    <n v="0.21875"/>
  </r>
  <r>
    <x v="327"/>
    <s v="ORD-04590"/>
    <x v="2"/>
    <x v="4"/>
    <x v="50"/>
    <x v="7"/>
    <x v="2"/>
    <n v="2"/>
    <n v="8960"/>
    <n v="17920"/>
    <n v="7000"/>
    <n v="14000"/>
    <n v="3920"/>
    <n v="0.21875"/>
  </r>
  <r>
    <x v="328"/>
    <s v="ORD-04591"/>
    <x v="1"/>
    <x v="1"/>
    <x v="75"/>
    <x v="4"/>
    <x v="2"/>
    <n v="5"/>
    <n v="11645"/>
    <n v="58225"/>
    <n v="8500"/>
    <n v="42500"/>
    <n v="15725"/>
    <n v="0.27007299270072993"/>
  </r>
  <r>
    <x v="328"/>
    <s v="ORD-04592"/>
    <x v="0"/>
    <x v="2"/>
    <x v="142"/>
    <x v="2"/>
    <x v="1"/>
    <n v="1"/>
    <n v="49020"/>
    <n v="49020"/>
    <n v="38000"/>
    <n v="38000"/>
    <n v="11020"/>
    <n v="0.22480620155038761"/>
  </r>
  <r>
    <x v="328"/>
    <s v="ORD-04593"/>
    <x v="3"/>
    <x v="1"/>
    <x v="6"/>
    <x v="4"/>
    <x v="2"/>
    <n v="8"/>
    <n v="12240"/>
    <n v="97920"/>
    <n v="8500"/>
    <n v="68000"/>
    <n v="29920"/>
    <n v="0.30555555555555558"/>
  </r>
  <r>
    <x v="328"/>
    <s v="ORD-04594"/>
    <x v="0"/>
    <x v="5"/>
    <x v="64"/>
    <x v="6"/>
    <x v="3"/>
    <n v="4"/>
    <n v="1296"/>
    <n v="5184"/>
    <n v="900"/>
    <n v="3600"/>
    <n v="1584"/>
    <n v="0.30555555555555558"/>
  </r>
  <r>
    <x v="328"/>
    <s v="ORD-04595"/>
    <x v="2"/>
    <x v="0"/>
    <x v="109"/>
    <x v="5"/>
    <x v="3"/>
    <n v="3"/>
    <n v="726"/>
    <n v="2178"/>
    <n v="600"/>
    <n v="1800"/>
    <n v="378"/>
    <n v="0.17355371900826447"/>
  </r>
  <r>
    <x v="328"/>
    <s v="ORD-04596"/>
    <x v="3"/>
    <x v="4"/>
    <x v="123"/>
    <x v="2"/>
    <x v="1"/>
    <n v="1"/>
    <n v="46360"/>
    <n v="46360"/>
    <n v="38000"/>
    <n v="38000"/>
    <n v="8360"/>
    <n v="0.18032786885245902"/>
  </r>
  <r>
    <x v="328"/>
    <s v="ORD-04597"/>
    <x v="2"/>
    <x v="4"/>
    <x v="31"/>
    <x v="1"/>
    <x v="1"/>
    <n v="9"/>
    <n v="63900"/>
    <n v="575100"/>
    <n v="45000"/>
    <n v="405000"/>
    <n v="170100"/>
    <n v="0.29577464788732394"/>
  </r>
  <r>
    <x v="328"/>
    <s v="ORD-04598"/>
    <x v="3"/>
    <x v="3"/>
    <x v="107"/>
    <x v="6"/>
    <x v="3"/>
    <n v="3"/>
    <n v="1305"/>
    <n v="3915"/>
    <n v="900"/>
    <n v="2700"/>
    <n v="1215"/>
    <n v="0.31034482758620691"/>
  </r>
  <r>
    <x v="328"/>
    <s v="ORD-04599"/>
    <x v="1"/>
    <x v="4"/>
    <x v="57"/>
    <x v="4"/>
    <x v="2"/>
    <n v="6"/>
    <n v="12325"/>
    <n v="73950"/>
    <n v="8500"/>
    <n v="51000"/>
    <n v="22950"/>
    <n v="0.31034482758620691"/>
  </r>
  <r>
    <x v="328"/>
    <s v="ORD-04600"/>
    <x v="1"/>
    <x v="1"/>
    <x v="96"/>
    <x v="6"/>
    <x v="3"/>
    <n v="8"/>
    <n v="1161"/>
    <n v="9288"/>
    <n v="900"/>
    <n v="7200"/>
    <n v="2088"/>
    <n v="0.22480620155038761"/>
  </r>
  <r>
    <x v="328"/>
    <s v="ORD-04601"/>
    <x v="2"/>
    <x v="1"/>
    <x v="84"/>
    <x v="4"/>
    <x v="2"/>
    <n v="9"/>
    <n v="10370"/>
    <n v="93330"/>
    <n v="8500"/>
    <n v="76500"/>
    <n v="16830"/>
    <n v="0.18032786885245902"/>
  </r>
  <r>
    <x v="328"/>
    <s v="ORD-04602"/>
    <x v="3"/>
    <x v="2"/>
    <x v="6"/>
    <x v="4"/>
    <x v="2"/>
    <n v="8"/>
    <n v="12240"/>
    <n v="97920"/>
    <n v="8500"/>
    <n v="68000"/>
    <n v="29920"/>
    <n v="0.30555555555555558"/>
  </r>
  <r>
    <x v="328"/>
    <s v="ORD-04603"/>
    <x v="0"/>
    <x v="4"/>
    <x v="16"/>
    <x v="5"/>
    <x v="3"/>
    <n v="6"/>
    <n v="840"/>
    <n v="5040"/>
    <n v="600"/>
    <n v="3600"/>
    <n v="1440"/>
    <n v="0.2857142857142857"/>
  </r>
  <r>
    <x v="328"/>
    <s v="ORD-04604"/>
    <x v="3"/>
    <x v="5"/>
    <x v="11"/>
    <x v="7"/>
    <x v="2"/>
    <n v="7"/>
    <n v="8750"/>
    <n v="61250"/>
    <n v="7000"/>
    <n v="49000"/>
    <n v="12250"/>
    <n v="0.2"/>
  </r>
  <r>
    <x v="329"/>
    <s v="ORD-04605"/>
    <x v="1"/>
    <x v="4"/>
    <x v="29"/>
    <x v="3"/>
    <x v="0"/>
    <n v="7"/>
    <n v="3625"/>
    <n v="25375"/>
    <n v="2500"/>
    <n v="17500"/>
    <n v="7875"/>
    <n v="0.31034482758620691"/>
  </r>
  <r>
    <x v="329"/>
    <s v="ORD-04606"/>
    <x v="0"/>
    <x v="2"/>
    <x v="148"/>
    <x v="0"/>
    <x v="0"/>
    <n v="1"/>
    <n v="3840"/>
    <n v="3840"/>
    <n v="3200"/>
    <n v="3200"/>
    <n v="640"/>
    <n v="0.16666666666666666"/>
  </r>
  <r>
    <x v="329"/>
    <s v="ORD-04607"/>
    <x v="3"/>
    <x v="2"/>
    <x v="40"/>
    <x v="2"/>
    <x v="1"/>
    <n v="2"/>
    <n v="47120"/>
    <n v="94240"/>
    <n v="38000"/>
    <n v="76000"/>
    <n v="18240"/>
    <n v="0.19354838709677419"/>
  </r>
  <r>
    <x v="329"/>
    <s v="ORD-04608"/>
    <x v="3"/>
    <x v="0"/>
    <x v="28"/>
    <x v="0"/>
    <x v="0"/>
    <n v="9"/>
    <n v="4096"/>
    <n v="36864"/>
    <n v="3200"/>
    <n v="28800"/>
    <n v="8064"/>
    <n v="0.21875"/>
  </r>
  <r>
    <x v="329"/>
    <s v="ORD-04609"/>
    <x v="3"/>
    <x v="1"/>
    <x v="143"/>
    <x v="0"/>
    <x v="0"/>
    <n v="5"/>
    <n v="4192"/>
    <n v="20960"/>
    <n v="3200"/>
    <n v="16000"/>
    <n v="4960"/>
    <n v="0.23664122137404581"/>
  </r>
  <r>
    <x v="329"/>
    <s v="ORD-04610"/>
    <x v="3"/>
    <x v="0"/>
    <x v="117"/>
    <x v="4"/>
    <x v="2"/>
    <n v="8"/>
    <n v="11985"/>
    <n v="95880"/>
    <n v="8500"/>
    <n v="68000"/>
    <n v="27880"/>
    <n v="0.29078014184397161"/>
  </r>
  <r>
    <x v="329"/>
    <s v="ORD-04611"/>
    <x v="2"/>
    <x v="4"/>
    <x v="63"/>
    <x v="5"/>
    <x v="3"/>
    <n v="4"/>
    <n v="786"/>
    <n v="3144"/>
    <n v="600"/>
    <n v="2400"/>
    <n v="744"/>
    <n v="0.23664122137404581"/>
  </r>
  <r>
    <x v="329"/>
    <s v="ORD-04612"/>
    <x v="3"/>
    <x v="4"/>
    <x v="78"/>
    <x v="0"/>
    <x v="0"/>
    <n v="4"/>
    <n v="3904"/>
    <n v="15616"/>
    <n v="3200"/>
    <n v="12800"/>
    <n v="2816"/>
    <n v="0.18032786885245902"/>
  </r>
  <r>
    <x v="329"/>
    <s v="ORD-04613"/>
    <x v="3"/>
    <x v="1"/>
    <x v="86"/>
    <x v="1"/>
    <x v="1"/>
    <n v="9"/>
    <n v="62099.999999999993"/>
    <n v="558899.99999999988"/>
    <n v="45000"/>
    <n v="405000"/>
    <n v="153899.99999999988"/>
    <n v="0.27536231884057955"/>
  </r>
  <r>
    <x v="329"/>
    <s v="ORD-04614"/>
    <x v="0"/>
    <x v="0"/>
    <x v="18"/>
    <x v="0"/>
    <x v="0"/>
    <n v="10"/>
    <n v="4544"/>
    <n v="45440"/>
    <n v="3200"/>
    <n v="32000"/>
    <n v="13440"/>
    <n v="0.29577464788732394"/>
  </r>
  <r>
    <x v="329"/>
    <s v="ORD-04615"/>
    <x v="2"/>
    <x v="5"/>
    <x v="41"/>
    <x v="7"/>
    <x v="2"/>
    <n v="3"/>
    <n v="9800"/>
    <n v="29400"/>
    <n v="7000"/>
    <n v="21000"/>
    <n v="8400"/>
    <n v="0.2857142857142857"/>
  </r>
  <r>
    <x v="329"/>
    <s v="ORD-04616"/>
    <x v="2"/>
    <x v="5"/>
    <x v="63"/>
    <x v="4"/>
    <x v="2"/>
    <n v="8"/>
    <n v="12070"/>
    <n v="96560"/>
    <n v="8500"/>
    <n v="68000"/>
    <n v="28560"/>
    <n v="0.29577464788732394"/>
  </r>
  <r>
    <x v="329"/>
    <s v="ORD-04617"/>
    <x v="1"/>
    <x v="0"/>
    <x v="31"/>
    <x v="0"/>
    <x v="0"/>
    <n v="10"/>
    <n v="4032"/>
    <n v="40320"/>
    <n v="3200"/>
    <n v="32000"/>
    <n v="8320"/>
    <n v="0.20634920634920634"/>
  </r>
  <r>
    <x v="329"/>
    <s v="ORD-04618"/>
    <x v="3"/>
    <x v="0"/>
    <x v="49"/>
    <x v="2"/>
    <x v="1"/>
    <n v="8"/>
    <n v="53960"/>
    <n v="431680"/>
    <n v="38000"/>
    <n v="304000"/>
    <n v="127680"/>
    <n v="0.29577464788732394"/>
  </r>
  <r>
    <x v="330"/>
    <s v="ORD-04619"/>
    <x v="3"/>
    <x v="3"/>
    <x v="126"/>
    <x v="7"/>
    <x v="2"/>
    <n v="5"/>
    <n v="8610"/>
    <n v="43050"/>
    <n v="7000"/>
    <n v="35000"/>
    <n v="8050"/>
    <n v="0.18699186991869918"/>
  </r>
  <r>
    <x v="330"/>
    <s v="ORD-04620"/>
    <x v="1"/>
    <x v="1"/>
    <x v="147"/>
    <x v="5"/>
    <x v="3"/>
    <n v="3"/>
    <n v="827.99999999999989"/>
    <n v="2483.9999999999995"/>
    <n v="600"/>
    <n v="1800"/>
    <n v="683.99999999999955"/>
    <n v="0.2753623188405796"/>
  </r>
  <r>
    <x v="330"/>
    <s v="ORD-04621"/>
    <x v="0"/>
    <x v="1"/>
    <x v="51"/>
    <x v="2"/>
    <x v="1"/>
    <n v="2"/>
    <n v="50920"/>
    <n v="101840"/>
    <n v="38000"/>
    <n v="76000"/>
    <n v="25840"/>
    <n v="0.2537313432835821"/>
  </r>
  <r>
    <x v="330"/>
    <s v="ORD-04622"/>
    <x v="1"/>
    <x v="5"/>
    <x v="43"/>
    <x v="6"/>
    <x v="3"/>
    <n v="5"/>
    <n v="1305"/>
    <n v="6525"/>
    <n v="900"/>
    <n v="4500"/>
    <n v="2025"/>
    <n v="0.31034482758620691"/>
  </r>
  <r>
    <x v="330"/>
    <s v="ORD-04623"/>
    <x v="0"/>
    <x v="0"/>
    <x v="125"/>
    <x v="1"/>
    <x v="1"/>
    <n v="10"/>
    <n v="56700"/>
    <n v="567000"/>
    <n v="45000"/>
    <n v="450000"/>
    <n v="117000"/>
    <n v="0.20634920634920634"/>
  </r>
  <r>
    <x v="330"/>
    <s v="ORD-04624"/>
    <x v="1"/>
    <x v="4"/>
    <x v="58"/>
    <x v="7"/>
    <x v="2"/>
    <n v="4"/>
    <n v="9590"/>
    <n v="38360"/>
    <n v="7000"/>
    <n v="28000"/>
    <n v="10360"/>
    <n v="0.27007299270072993"/>
  </r>
  <r>
    <x v="330"/>
    <s v="ORD-04625"/>
    <x v="0"/>
    <x v="1"/>
    <x v="144"/>
    <x v="7"/>
    <x v="2"/>
    <n v="4"/>
    <n v="8540"/>
    <n v="34160"/>
    <n v="7000"/>
    <n v="28000"/>
    <n v="6160"/>
    <n v="0.18032786885245902"/>
  </r>
  <r>
    <x v="330"/>
    <s v="ORD-04626"/>
    <x v="2"/>
    <x v="1"/>
    <x v="39"/>
    <x v="3"/>
    <x v="0"/>
    <n v="5"/>
    <n v="3350"/>
    <n v="16750"/>
    <n v="2500"/>
    <n v="12500"/>
    <n v="4250"/>
    <n v="0.2537313432835821"/>
  </r>
  <r>
    <x v="330"/>
    <s v="ORD-04627"/>
    <x v="1"/>
    <x v="0"/>
    <x v="147"/>
    <x v="0"/>
    <x v="0"/>
    <n v="8"/>
    <n v="4032"/>
    <n v="32256"/>
    <n v="3200"/>
    <n v="25600"/>
    <n v="6656"/>
    <n v="0.20634920634920634"/>
  </r>
  <r>
    <x v="330"/>
    <s v="ORD-04628"/>
    <x v="0"/>
    <x v="3"/>
    <x v="127"/>
    <x v="0"/>
    <x v="0"/>
    <n v="6"/>
    <n v="4224"/>
    <n v="25344"/>
    <n v="3200"/>
    <n v="19200"/>
    <n v="6144"/>
    <n v="0.24242424242424243"/>
  </r>
  <r>
    <x v="330"/>
    <s v="ORD-04629"/>
    <x v="3"/>
    <x v="5"/>
    <x v="148"/>
    <x v="3"/>
    <x v="0"/>
    <n v="6"/>
    <n v="3350"/>
    <n v="20100"/>
    <n v="2500"/>
    <n v="15000"/>
    <n v="5100"/>
    <n v="0.2537313432835821"/>
  </r>
  <r>
    <x v="330"/>
    <s v="ORD-04630"/>
    <x v="1"/>
    <x v="0"/>
    <x v="38"/>
    <x v="0"/>
    <x v="0"/>
    <n v="10"/>
    <n v="3904"/>
    <n v="39040"/>
    <n v="3200"/>
    <n v="32000"/>
    <n v="7040"/>
    <n v="0.18032786885245902"/>
  </r>
  <r>
    <x v="330"/>
    <s v="ORD-04631"/>
    <x v="3"/>
    <x v="2"/>
    <x v="77"/>
    <x v="3"/>
    <x v="0"/>
    <n v="4"/>
    <n v="3550"/>
    <n v="14200"/>
    <n v="2500"/>
    <n v="10000"/>
    <n v="4200"/>
    <n v="0.29577464788732394"/>
  </r>
  <r>
    <x v="330"/>
    <s v="ORD-04632"/>
    <x v="3"/>
    <x v="4"/>
    <x v="12"/>
    <x v="1"/>
    <x v="1"/>
    <n v="9"/>
    <n v="58500"/>
    <n v="526500"/>
    <n v="45000"/>
    <n v="405000"/>
    <n v="121500"/>
    <n v="0.23076923076923078"/>
  </r>
  <r>
    <x v="331"/>
    <s v="ORD-04633"/>
    <x v="0"/>
    <x v="5"/>
    <x v="64"/>
    <x v="0"/>
    <x v="0"/>
    <n v="1"/>
    <n v="4576"/>
    <n v="4576"/>
    <n v="3200"/>
    <n v="3200"/>
    <n v="1376"/>
    <n v="0.30069930069930068"/>
  </r>
  <r>
    <x v="331"/>
    <s v="ORD-04634"/>
    <x v="3"/>
    <x v="1"/>
    <x v="85"/>
    <x v="7"/>
    <x v="2"/>
    <n v="9"/>
    <n v="9030"/>
    <n v="81270"/>
    <n v="7000"/>
    <n v="63000"/>
    <n v="18270"/>
    <n v="0.22480620155038761"/>
  </r>
  <r>
    <x v="331"/>
    <s v="ORD-04635"/>
    <x v="0"/>
    <x v="3"/>
    <x v="22"/>
    <x v="4"/>
    <x v="2"/>
    <n v="7"/>
    <n v="10710"/>
    <n v="74970"/>
    <n v="8500"/>
    <n v="59500"/>
    <n v="15470"/>
    <n v="0.20634920634920634"/>
  </r>
  <r>
    <x v="331"/>
    <s v="ORD-04636"/>
    <x v="3"/>
    <x v="5"/>
    <x v="59"/>
    <x v="3"/>
    <x v="0"/>
    <n v="6"/>
    <n v="3575"/>
    <n v="21450"/>
    <n v="2500"/>
    <n v="15000"/>
    <n v="6450"/>
    <n v="0.30069930069930068"/>
  </r>
  <r>
    <x v="331"/>
    <s v="ORD-04637"/>
    <x v="3"/>
    <x v="1"/>
    <x v="72"/>
    <x v="4"/>
    <x v="2"/>
    <n v="2"/>
    <n v="11559.999999999998"/>
    <n v="23119.999999999996"/>
    <n v="8500"/>
    <n v="17000"/>
    <n v="6119.9999999999964"/>
    <n v="0.26470588235294107"/>
  </r>
  <r>
    <x v="331"/>
    <s v="ORD-04638"/>
    <x v="0"/>
    <x v="3"/>
    <x v="135"/>
    <x v="5"/>
    <x v="3"/>
    <n v="10"/>
    <n v="786"/>
    <n v="7860"/>
    <n v="600"/>
    <n v="6000"/>
    <n v="1860"/>
    <n v="0.23664122137404581"/>
  </r>
  <r>
    <x v="331"/>
    <s v="ORD-04639"/>
    <x v="3"/>
    <x v="5"/>
    <x v="16"/>
    <x v="2"/>
    <x v="1"/>
    <n v="8"/>
    <n v="49780"/>
    <n v="398240"/>
    <n v="38000"/>
    <n v="304000"/>
    <n v="94240"/>
    <n v="0.23664122137404581"/>
  </r>
  <r>
    <x v="331"/>
    <s v="ORD-04640"/>
    <x v="3"/>
    <x v="5"/>
    <x v="28"/>
    <x v="0"/>
    <x v="0"/>
    <n v="4"/>
    <n v="4608"/>
    <n v="18432"/>
    <n v="3200"/>
    <n v="12800"/>
    <n v="5632"/>
    <n v="0.30555555555555558"/>
  </r>
  <r>
    <x v="331"/>
    <s v="ORD-04641"/>
    <x v="3"/>
    <x v="3"/>
    <x v="107"/>
    <x v="6"/>
    <x v="3"/>
    <n v="5"/>
    <n v="1134"/>
    <n v="5670"/>
    <n v="900"/>
    <n v="4500"/>
    <n v="1170"/>
    <n v="0.20634920634920634"/>
  </r>
  <r>
    <x v="331"/>
    <s v="ORD-04642"/>
    <x v="0"/>
    <x v="2"/>
    <x v="28"/>
    <x v="6"/>
    <x v="3"/>
    <n v="2"/>
    <n v="1098"/>
    <n v="2196"/>
    <n v="900"/>
    <n v="1800"/>
    <n v="396"/>
    <n v="0.18032786885245902"/>
  </r>
  <r>
    <x v="331"/>
    <s v="ORD-04643"/>
    <x v="3"/>
    <x v="3"/>
    <x v="116"/>
    <x v="2"/>
    <x v="1"/>
    <n v="3"/>
    <n v="52820.000000000007"/>
    <n v="158460.00000000003"/>
    <n v="38000"/>
    <n v="114000"/>
    <n v="44460.000000000029"/>
    <n v="0.28057553956834547"/>
  </r>
  <r>
    <x v="331"/>
    <s v="ORD-04644"/>
    <x v="1"/>
    <x v="0"/>
    <x v="80"/>
    <x v="2"/>
    <x v="1"/>
    <n v="7"/>
    <n v="54720"/>
    <n v="383040"/>
    <n v="38000"/>
    <n v="266000"/>
    <n v="117040"/>
    <n v="0.30555555555555558"/>
  </r>
  <r>
    <x v="331"/>
    <s v="ORD-04645"/>
    <x v="0"/>
    <x v="5"/>
    <x v="20"/>
    <x v="7"/>
    <x v="2"/>
    <n v="2"/>
    <n v="10080"/>
    <n v="20160"/>
    <n v="7000"/>
    <n v="14000"/>
    <n v="6160"/>
    <n v="0.30555555555555558"/>
  </r>
  <r>
    <x v="331"/>
    <s v="ORD-04646"/>
    <x v="1"/>
    <x v="4"/>
    <x v="123"/>
    <x v="7"/>
    <x v="2"/>
    <n v="1"/>
    <n v="10150"/>
    <n v="10150"/>
    <n v="7000"/>
    <n v="7000"/>
    <n v="3150"/>
    <n v="0.31034482758620691"/>
  </r>
  <r>
    <x v="332"/>
    <s v="ORD-04647"/>
    <x v="3"/>
    <x v="3"/>
    <x v="44"/>
    <x v="3"/>
    <x v="0"/>
    <n v="5"/>
    <n v="3500"/>
    <n v="17500"/>
    <n v="2500"/>
    <n v="12500"/>
    <n v="5000"/>
    <n v="0.2857142857142857"/>
  </r>
  <r>
    <x v="332"/>
    <s v="ORD-04648"/>
    <x v="2"/>
    <x v="4"/>
    <x v="96"/>
    <x v="1"/>
    <x v="1"/>
    <n v="6"/>
    <n v="55350"/>
    <n v="332100"/>
    <n v="45000"/>
    <n v="270000"/>
    <n v="62100"/>
    <n v="0.18699186991869918"/>
  </r>
  <r>
    <x v="332"/>
    <s v="ORD-04649"/>
    <x v="2"/>
    <x v="1"/>
    <x v="107"/>
    <x v="4"/>
    <x v="2"/>
    <n v="7"/>
    <n v="11475"/>
    <n v="80325"/>
    <n v="8500"/>
    <n v="59500"/>
    <n v="20825"/>
    <n v="0.25925925925925924"/>
  </r>
  <r>
    <x v="332"/>
    <s v="ORD-04650"/>
    <x v="1"/>
    <x v="5"/>
    <x v="89"/>
    <x v="0"/>
    <x v="0"/>
    <n v="4"/>
    <n v="3936"/>
    <n v="15744"/>
    <n v="3200"/>
    <n v="12800"/>
    <n v="2944"/>
    <n v="0.18699186991869918"/>
  </r>
  <r>
    <x v="332"/>
    <s v="ORD-04651"/>
    <x v="3"/>
    <x v="1"/>
    <x v="28"/>
    <x v="2"/>
    <x v="1"/>
    <n v="6"/>
    <n v="52060.000000000007"/>
    <n v="312360.00000000006"/>
    <n v="38000"/>
    <n v="228000"/>
    <n v="84360.000000000058"/>
    <n v="0.27007299270073004"/>
  </r>
  <r>
    <x v="332"/>
    <s v="ORD-04652"/>
    <x v="1"/>
    <x v="5"/>
    <x v="71"/>
    <x v="7"/>
    <x v="2"/>
    <n v="3"/>
    <n v="8750"/>
    <n v="26250"/>
    <n v="7000"/>
    <n v="21000"/>
    <n v="5250"/>
    <n v="0.2"/>
  </r>
  <r>
    <x v="332"/>
    <s v="ORD-04653"/>
    <x v="2"/>
    <x v="4"/>
    <x v="88"/>
    <x v="7"/>
    <x v="2"/>
    <n v="8"/>
    <n v="9800"/>
    <n v="78400"/>
    <n v="7000"/>
    <n v="56000"/>
    <n v="22400"/>
    <n v="0.2857142857142857"/>
  </r>
  <r>
    <x v="332"/>
    <s v="ORD-04654"/>
    <x v="1"/>
    <x v="3"/>
    <x v="38"/>
    <x v="6"/>
    <x v="3"/>
    <n v="7"/>
    <n v="1206"/>
    <n v="8442"/>
    <n v="900"/>
    <n v="6300"/>
    <n v="2142"/>
    <n v="0.2537313432835821"/>
  </r>
  <r>
    <x v="332"/>
    <s v="ORD-04655"/>
    <x v="3"/>
    <x v="1"/>
    <x v="140"/>
    <x v="7"/>
    <x v="2"/>
    <n v="4"/>
    <n v="10080"/>
    <n v="40320"/>
    <n v="7000"/>
    <n v="28000"/>
    <n v="12320"/>
    <n v="0.30555555555555558"/>
  </r>
  <r>
    <x v="332"/>
    <s v="ORD-04656"/>
    <x v="0"/>
    <x v="1"/>
    <x v="2"/>
    <x v="6"/>
    <x v="3"/>
    <n v="5"/>
    <n v="1080"/>
    <n v="5400"/>
    <n v="900"/>
    <n v="4500"/>
    <n v="900"/>
    <n v="0.16666666666666666"/>
  </r>
  <r>
    <x v="332"/>
    <s v="ORD-04657"/>
    <x v="0"/>
    <x v="2"/>
    <x v="53"/>
    <x v="7"/>
    <x v="2"/>
    <n v="7"/>
    <n v="8820"/>
    <n v="61740"/>
    <n v="7000"/>
    <n v="49000"/>
    <n v="12740"/>
    <n v="0.20634920634920634"/>
  </r>
  <r>
    <x v="332"/>
    <s v="ORD-04658"/>
    <x v="3"/>
    <x v="5"/>
    <x v="31"/>
    <x v="3"/>
    <x v="0"/>
    <n v="10"/>
    <n v="3125"/>
    <n v="31250"/>
    <n v="2500"/>
    <n v="25000"/>
    <n v="6250"/>
    <n v="0.2"/>
  </r>
  <r>
    <x v="332"/>
    <s v="ORD-04659"/>
    <x v="3"/>
    <x v="3"/>
    <x v="25"/>
    <x v="1"/>
    <x v="1"/>
    <n v="8"/>
    <n v="62550.000000000007"/>
    <n v="500400.00000000006"/>
    <n v="45000"/>
    <n v="360000"/>
    <n v="140400.00000000006"/>
    <n v="0.28057553956834541"/>
  </r>
  <r>
    <x v="332"/>
    <s v="ORD-04660"/>
    <x v="1"/>
    <x v="4"/>
    <x v="93"/>
    <x v="0"/>
    <x v="0"/>
    <n v="3"/>
    <n v="4640"/>
    <n v="13920"/>
    <n v="3200"/>
    <n v="9600"/>
    <n v="4320"/>
    <n v="0.31034482758620691"/>
  </r>
  <r>
    <x v="333"/>
    <s v="ORD-04661"/>
    <x v="0"/>
    <x v="4"/>
    <x v="4"/>
    <x v="4"/>
    <x v="2"/>
    <n v="7"/>
    <n v="10455"/>
    <n v="73185"/>
    <n v="8500"/>
    <n v="59500"/>
    <n v="13685"/>
    <n v="0.18699186991869918"/>
  </r>
  <r>
    <x v="333"/>
    <s v="ORD-04662"/>
    <x v="3"/>
    <x v="3"/>
    <x v="62"/>
    <x v="0"/>
    <x v="0"/>
    <n v="1"/>
    <n v="4480"/>
    <n v="4480"/>
    <n v="3200"/>
    <n v="3200"/>
    <n v="1280"/>
    <n v="0.2857142857142857"/>
  </r>
  <r>
    <x v="333"/>
    <s v="ORD-04663"/>
    <x v="0"/>
    <x v="1"/>
    <x v="82"/>
    <x v="1"/>
    <x v="1"/>
    <n v="8"/>
    <n v="59850"/>
    <n v="478800"/>
    <n v="45000"/>
    <n v="360000"/>
    <n v="118800"/>
    <n v="0.24812030075187969"/>
  </r>
  <r>
    <x v="333"/>
    <s v="ORD-04664"/>
    <x v="3"/>
    <x v="0"/>
    <x v="6"/>
    <x v="6"/>
    <x v="3"/>
    <n v="4"/>
    <n v="1287"/>
    <n v="5148"/>
    <n v="900"/>
    <n v="3600"/>
    <n v="1548"/>
    <n v="0.30069930069930068"/>
  </r>
  <r>
    <x v="333"/>
    <s v="ORD-04665"/>
    <x v="2"/>
    <x v="2"/>
    <x v="78"/>
    <x v="2"/>
    <x v="1"/>
    <n v="4"/>
    <n v="47880"/>
    <n v="191520"/>
    <n v="38000"/>
    <n v="152000"/>
    <n v="39520"/>
    <n v="0.20634920634920634"/>
  </r>
  <r>
    <x v="333"/>
    <s v="ORD-04666"/>
    <x v="2"/>
    <x v="0"/>
    <x v="45"/>
    <x v="1"/>
    <x v="1"/>
    <n v="10"/>
    <n v="62550.000000000007"/>
    <n v="625500.00000000012"/>
    <n v="45000"/>
    <n v="450000"/>
    <n v="175500.00000000012"/>
    <n v="0.28057553956834547"/>
  </r>
  <r>
    <x v="333"/>
    <s v="ORD-04667"/>
    <x v="0"/>
    <x v="3"/>
    <x v="104"/>
    <x v="0"/>
    <x v="0"/>
    <n v="4"/>
    <n v="3936"/>
    <n v="15744"/>
    <n v="3200"/>
    <n v="12800"/>
    <n v="2944"/>
    <n v="0.18699186991869918"/>
  </r>
  <r>
    <x v="333"/>
    <s v="ORD-04668"/>
    <x v="1"/>
    <x v="0"/>
    <x v="93"/>
    <x v="1"/>
    <x v="1"/>
    <n v="6"/>
    <n v="58950"/>
    <n v="353700"/>
    <n v="45000"/>
    <n v="270000"/>
    <n v="83700"/>
    <n v="0.23664122137404581"/>
  </r>
  <r>
    <x v="333"/>
    <s v="ORD-04669"/>
    <x v="2"/>
    <x v="1"/>
    <x v="131"/>
    <x v="4"/>
    <x v="2"/>
    <n v="8"/>
    <n v="10795"/>
    <n v="86360"/>
    <n v="8500"/>
    <n v="68000"/>
    <n v="18360"/>
    <n v="0.2125984251968504"/>
  </r>
  <r>
    <x v="333"/>
    <s v="ORD-04670"/>
    <x v="3"/>
    <x v="5"/>
    <x v="123"/>
    <x v="3"/>
    <x v="0"/>
    <n v="4"/>
    <n v="3350"/>
    <n v="13400"/>
    <n v="2500"/>
    <n v="10000"/>
    <n v="3400"/>
    <n v="0.2537313432835821"/>
  </r>
  <r>
    <x v="333"/>
    <s v="ORD-04671"/>
    <x v="2"/>
    <x v="0"/>
    <x v="42"/>
    <x v="3"/>
    <x v="0"/>
    <n v="10"/>
    <n v="3399.9999999999995"/>
    <n v="33999.999999999993"/>
    <n v="2500"/>
    <n v="25000"/>
    <n v="8999.9999999999927"/>
    <n v="0.26470588235294101"/>
  </r>
  <r>
    <x v="333"/>
    <s v="ORD-04672"/>
    <x v="0"/>
    <x v="1"/>
    <x v="18"/>
    <x v="2"/>
    <x v="1"/>
    <n v="8"/>
    <n v="49020"/>
    <n v="392160"/>
    <n v="38000"/>
    <n v="304000"/>
    <n v="88160"/>
    <n v="0.22480620155038761"/>
  </r>
  <r>
    <x v="333"/>
    <s v="ORD-04673"/>
    <x v="3"/>
    <x v="3"/>
    <x v="105"/>
    <x v="2"/>
    <x v="1"/>
    <n v="6"/>
    <n v="45980"/>
    <n v="275880"/>
    <n v="38000"/>
    <n v="228000"/>
    <n v="47880"/>
    <n v="0.17355371900826447"/>
  </r>
  <r>
    <x v="333"/>
    <s v="ORD-04674"/>
    <x v="3"/>
    <x v="4"/>
    <x v="39"/>
    <x v="5"/>
    <x v="3"/>
    <n v="5"/>
    <n v="822.00000000000011"/>
    <n v="4110.0000000000009"/>
    <n v="600"/>
    <n v="3000"/>
    <n v="1110.0000000000009"/>
    <n v="0.2700729927007301"/>
  </r>
  <r>
    <x v="334"/>
    <s v="ORD-04675"/>
    <x v="2"/>
    <x v="3"/>
    <x v="56"/>
    <x v="0"/>
    <x v="0"/>
    <n v="10"/>
    <n v="4320"/>
    <n v="43200"/>
    <n v="3200"/>
    <n v="32000"/>
    <n v="11200"/>
    <n v="0.25925925925925924"/>
  </r>
  <r>
    <x v="334"/>
    <s v="ORD-04676"/>
    <x v="3"/>
    <x v="1"/>
    <x v="73"/>
    <x v="3"/>
    <x v="0"/>
    <n v="10"/>
    <n v="3300"/>
    <n v="33000"/>
    <n v="2500"/>
    <n v="25000"/>
    <n v="8000"/>
    <n v="0.24242424242424243"/>
  </r>
  <r>
    <x v="334"/>
    <s v="ORD-04677"/>
    <x v="0"/>
    <x v="4"/>
    <x v="119"/>
    <x v="3"/>
    <x v="0"/>
    <n v="3"/>
    <n v="3375"/>
    <n v="10125"/>
    <n v="2500"/>
    <n v="7500"/>
    <n v="2625"/>
    <n v="0.25925925925925924"/>
  </r>
  <r>
    <x v="334"/>
    <s v="ORD-04678"/>
    <x v="2"/>
    <x v="0"/>
    <x v="48"/>
    <x v="5"/>
    <x v="3"/>
    <n v="5"/>
    <n v="762"/>
    <n v="3810"/>
    <n v="600"/>
    <n v="3000"/>
    <n v="810"/>
    <n v="0.2125984251968504"/>
  </r>
  <r>
    <x v="334"/>
    <s v="ORD-04679"/>
    <x v="1"/>
    <x v="1"/>
    <x v="133"/>
    <x v="3"/>
    <x v="0"/>
    <n v="6"/>
    <n v="3325"/>
    <n v="19950"/>
    <n v="2500"/>
    <n v="15000"/>
    <n v="4950"/>
    <n v="0.24812030075187969"/>
  </r>
  <r>
    <x v="334"/>
    <s v="ORD-04680"/>
    <x v="3"/>
    <x v="5"/>
    <x v="92"/>
    <x v="0"/>
    <x v="0"/>
    <n v="5"/>
    <n v="4352"/>
    <n v="21760"/>
    <n v="3200"/>
    <n v="16000"/>
    <n v="5760"/>
    <n v="0.26470588235294118"/>
  </r>
  <r>
    <x v="334"/>
    <s v="ORD-04681"/>
    <x v="2"/>
    <x v="2"/>
    <x v="0"/>
    <x v="1"/>
    <x v="1"/>
    <n v="4"/>
    <n v="60300"/>
    <n v="241200"/>
    <n v="45000"/>
    <n v="180000"/>
    <n v="61200"/>
    <n v="0.2537313432835821"/>
  </r>
  <r>
    <x v="334"/>
    <s v="ORD-04682"/>
    <x v="3"/>
    <x v="4"/>
    <x v="143"/>
    <x v="3"/>
    <x v="0"/>
    <n v="9"/>
    <n v="3325"/>
    <n v="29925"/>
    <n v="2500"/>
    <n v="22500"/>
    <n v="7425"/>
    <n v="0.24812030075187969"/>
  </r>
  <r>
    <x v="334"/>
    <s v="ORD-04683"/>
    <x v="1"/>
    <x v="1"/>
    <x v="22"/>
    <x v="6"/>
    <x v="3"/>
    <n v="10"/>
    <n v="1134"/>
    <n v="11340"/>
    <n v="900"/>
    <n v="9000"/>
    <n v="2340"/>
    <n v="0.20634920634920634"/>
  </r>
  <r>
    <x v="334"/>
    <s v="ORD-04684"/>
    <x v="1"/>
    <x v="1"/>
    <x v="38"/>
    <x v="2"/>
    <x v="1"/>
    <n v="4"/>
    <n v="54720"/>
    <n v="218880"/>
    <n v="38000"/>
    <n v="152000"/>
    <n v="66880"/>
    <n v="0.30555555555555558"/>
  </r>
  <r>
    <x v="334"/>
    <s v="ORD-04685"/>
    <x v="1"/>
    <x v="0"/>
    <x v="134"/>
    <x v="7"/>
    <x v="2"/>
    <n v="5"/>
    <n v="8540"/>
    <n v="42700"/>
    <n v="7000"/>
    <n v="35000"/>
    <n v="7700"/>
    <n v="0.18032786885245902"/>
  </r>
  <r>
    <x v="334"/>
    <s v="ORD-04686"/>
    <x v="3"/>
    <x v="5"/>
    <x v="20"/>
    <x v="7"/>
    <x v="2"/>
    <n v="1"/>
    <n v="9730"/>
    <n v="9730"/>
    <n v="7000"/>
    <n v="7000"/>
    <n v="2730"/>
    <n v="0.2805755395683453"/>
  </r>
  <r>
    <x v="334"/>
    <s v="ORD-04687"/>
    <x v="0"/>
    <x v="5"/>
    <x v="34"/>
    <x v="0"/>
    <x v="0"/>
    <n v="4"/>
    <n v="4576"/>
    <n v="18304"/>
    <n v="3200"/>
    <n v="12800"/>
    <n v="5504"/>
    <n v="0.30069930069930068"/>
  </r>
  <r>
    <x v="334"/>
    <s v="ORD-04688"/>
    <x v="1"/>
    <x v="4"/>
    <x v="71"/>
    <x v="0"/>
    <x v="0"/>
    <n v="10"/>
    <n v="3872"/>
    <n v="38720"/>
    <n v="3200"/>
    <n v="32000"/>
    <n v="6720"/>
    <n v="0.17355371900826447"/>
  </r>
  <r>
    <x v="335"/>
    <s v="ORD-04689"/>
    <x v="1"/>
    <x v="0"/>
    <x v="115"/>
    <x v="4"/>
    <x v="2"/>
    <n v="6"/>
    <n v="12070"/>
    <n v="72420"/>
    <n v="8500"/>
    <n v="51000"/>
    <n v="21420"/>
    <n v="0.29577464788732394"/>
  </r>
  <r>
    <x v="335"/>
    <s v="ORD-04690"/>
    <x v="2"/>
    <x v="2"/>
    <x v="57"/>
    <x v="4"/>
    <x v="2"/>
    <n v="2"/>
    <n v="11730"/>
    <n v="23460"/>
    <n v="8500"/>
    <n v="17000"/>
    <n v="6460"/>
    <n v="0.27536231884057971"/>
  </r>
  <r>
    <x v="335"/>
    <s v="ORD-04691"/>
    <x v="1"/>
    <x v="2"/>
    <x v="132"/>
    <x v="1"/>
    <x v="1"/>
    <n v="1"/>
    <n v="64800"/>
    <n v="64800"/>
    <n v="45000"/>
    <n v="45000"/>
    <n v="19800"/>
    <n v="0.30555555555555558"/>
  </r>
  <r>
    <x v="335"/>
    <s v="ORD-04692"/>
    <x v="1"/>
    <x v="1"/>
    <x v="96"/>
    <x v="0"/>
    <x v="0"/>
    <n v="2"/>
    <n v="4192"/>
    <n v="8384"/>
    <n v="3200"/>
    <n v="6400"/>
    <n v="1984"/>
    <n v="0.23664122137404581"/>
  </r>
  <r>
    <x v="335"/>
    <s v="ORD-04693"/>
    <x v="0"/>
    <x v="1"/>
    <x v="57"/>
    <x v="1"/>
    <x v="1"/>
    <n v="7"/>
    <n v="58950"/>
    <n v="412650"/>
    <n v="45000"/>
    <n v="315000"/>
    <n v="97650"/>
    <n v="0.23664122137404581"/>
  </r>
  <r>
    <x v="335"/>
    <s v="ORD-04694"/>
    <x v="0"/>
    <x v="4"/>
    <x v="99"/>
    <x v="7"/>
    <x v="2"/>
    <n v="5"/>
    <n v="10080"/>
    <n v="50400"/>
    <n v="7000"/>
    <n v="35000"/>
    <n v="15400"/>
    <n v="0.30555555555555558"/>
  </r>
  <r>
    <x v="335"/>
    <s v="ORD-04695"/>
    <x v="3"/>
    <x v="3"/>
    <x v="143"/>
    <x v="5"/>
    <x v="3"/>
    <n v="9"/>
    <n v="744"/>
    <n v="6696"/>
    <n v="600"/>
    <n v="5400"/>
    <n v="1296"/>
    <n v="0.19354838709677419"/>
  </r>
  <r>
    <x v="335"/>
    <s v="ORD-04696"/>
    <x v="0"/>
    <x v="0"/>
    <x v="106"/>
    <x v="1"/>
    <x v="1"/>
    <n v="8"/>
    <n v="62999.999999999993"/>
    <n v="503999.99999999994"/>
    <n v="45000"/>
    <n v="360000"/>
    <n v="143999.99999999994"/>
    <n v="0.28571428571428564"/>
  </r>
  <r>
    <x v="335"/>
    <s v="ORD-04697"/>
    <x v="2"/>
    <x v="5"/>
    <x v="121"/>
    <x v="3"/>
    <x v="0"/>
    <n v="3"/>
    <n v="3300"/>
    <n v="9900"/>
    <n v="2500"/>
    <n v="7500"/>
    <n v="2400"/>
    <n v="0.24242424242424243"/>
  </r>
  <r>
    <x v="335"/>
    <s v="ORD-04698"/>
    <x v="0"/>
    <x v="0"/>
    <x v="75"/>
    <x v="2"/>
    <x v="1"/>
    <n v="2"/>
    <n v="51300"/>
    <n v="102600"/>
    <n v="38000"/>
    <n v="76000"/>
    <n v="26600"/>
    <n v="0.25925925925925924"/>
  </r>
  <r>
    <x v="335"/>
    <s v="ORD-04699"/>
    <x v="1"/>
    <x v="3"/>
    <x v="99"/>
    <x v="6"/>
    <x v="3"/>
    <n v="9"/>
    <n v="1296"/>
    <n v="11664"/>
    <n v="900"/>
    <n v="8100"/>
    <n v="3564"/>
    <n v="0.30555555555555558"/>
  </r>
  <r>
    <x v="335"/>
    <s v="ORD-04700"/>
    <x v="1"/>
    <x v="4"/>
    <x v="68"/>
    <x v="6"/>
    <x v="3"/>
    <n v="2"/>
    <n v="1269"/>
    <n v="2538"/>
    <n v="900"/>
    <n v="1800"/>
    <n v="738"/>
    <n v="0.29078014184397161"/>
  </r>
  <r>
    <x v="335"/>
    <s v="ORD-04701"/>
    <x v="3"/>
    <x v="1"/>
    <x v="47"/>
    <x v="7"/>
    <x v="2"/>
    <n v="4"/>
    <n v="8470"/>
    <n v="33880"/>
    <n v="7000"/>
    <n v="28000"/>
    <n v="5880"/>
    <n v="0.17355371900826447"/>
  </r>
  <r>
    <x v="335"/>
    <s v="ORD-04702"/>
    <x v="0"/>
    <x v="3"/>
    <x v="19"/>
    <x v="2"/>
    <x v="1"/>
    <n v="1"/>
    <n v="50160"/>
    <n v="50160"/>
    <n v="38000"/>
    <n v="38000"/>
    <n v="12160"/>
    <n v="0.24242424242424243"/>
  </r>
  <r>
    <x v="336"/>
    <s v="ORD-04703"/>
    <x v="3"/>
    <x v="1"/>
    <x v="16"/>
    <x v="7"/>
    <x v="2"/>
    <n v="8"/>
    <n v="8680"/>
    <n v="69440"/>
    <n v="7000"/>
    <n v="56000"/>
    <n v="13440"/>
    <n v="0.19354838709677419"/>
  </r>
  <r>
    <x v="336"/>
    <s v="ORD-04704"/>
    <x v="0"/>
    <x v="1"/>
    <x v="66"/>
    <x v="0"/>
    <x v="0"/>
    <n v="9"/>
    <n v="4544"/>
    <n v="40896"/>
    <n v="3200"/>
    <n v="28800"/>
    <n v="12096"/>
    <n v="0.29577464788732394"/>
  </r>
  <r>
    <x v="336"/>
    <s v="ORD-04705"/>
    <x v="0"/>
    <x v="2"/>
    <x v="135"/>
    <x v="1"/>
    <x v="1"/>
    <n v="1"/>
    <n v="56700"/>
    <n v="56700"/>
    <n v="45000"/>
    <n v="45000"/>
    <n v="11700"/>
    <n v="0.20634920634920634"/>
  </r>
  <r>
    <x v="336"/>
    <s v="ORD-04706"/>
    <x v="2"/>
    <x v="2"/>
    <x v="90"/>
    <x v="0"/>
    <x v="0"/>
    <n v="8"/>
    <n v="4416"/>
    <n v="35328"/>
    <n v="3200"/>
    <n v="25600"/>
    <n v="9728"/>
    <n v="0.27536231884057971"/>
  </r>
  <r>
    <x v="336"/>
    <s v="ORD-04707"/>
    <x v="3"/>
    <x v="5"/>
    <x v="78"/>
    <x v="7"/>
    <x v="2"/>
    <n v="1"/>
    <n v="8960"/>
    <n v="8960"/>
    <n v="7000"/>
    <n v="7000"/>
    <n v="1960"/>
    <n v="0.21875"/>
  </r>
  <r>
    <x v="336"/>
    <s v="ORD-04708"/>
    <x v="2"/>
    <x v="5"/>
    <x v="131"/>
    <x v="5"/>
    <x v="3"/>
    <n v="10"/>
    <n v="762"/>
    <n v="7620"/>
    <n v="600"/>
    <n v="6000"/>
    <n v="1620"/>
    <n v="0.2125984251968504"/>
  </r>
  <r>
    <x v="336"/>
    <s v="ORD-04709"/>
    <x v="1"/>
    <x v="3"/>
    <x v="130"/>
    <x v="7"/>
    <x v="2"/>
    <n v="2"/>
    <n v="9870"/>
    <n v="19740"/>
    <n v="7000"/>
    <n v="14000"/>
    <n v="5740"/>
    <n v="0.29078014184397161"/>
  </r>
  <r>
    <x v="336"/>
    <s v="ORD-04710"/>
    <x v="0"/>
    <x v="1"/>
    <x v="80"/>
    <x v="6"/>
    <x v="3"/>
    <n v="1"/>
    <n v="1242"/>
    <n v="1242"/>
    <n v="900"/>
    <n v="900"/>
    <n v="342"/>
    <n v="0.27536231884057971"/>
  </r>
  <r>
    <x v="336"/>
    <s v="ORD-04711"/>
    <x v="1"/>
    <x v="4"/>
    <x v="22"/>
    <x v="3"/>
    <x v="0"/>
    <n v="3"/>
    <n v="3125"/>
    <n v="9375"/>
    <n v="2500"/>
    <n v="7500"/>
    <n v="1875"/>
    <n v="0.2"/>
  </r>
  <r>
    <x v="336"/>
    <s v="ORD-04712"/>
    <x v="0"/>
    <x v="5"/>
    <x v="26"/>
    <x v="1"/>
    <x v="1"/>
    <n v="7"/>
    <n v="58950"/>
    <n v="412650"/>
    <n v="45000"/>
    <n v="315000"/>
    <n v="97650"/>
    <n v="0.23664122137404581"/>
  </r>
  <r>
    <x v="336"/>
    <s v="ORD-04713"/>
    <x v="1"/>
    <x v="1"/>
    <x v="6"/>
    <x v="6"/>
    <x v="3"/>
    <n v="9"/>
    <n v="1179"/>
    <n v="10611"/>
    <n v="900"/>
    <n v="8100"/>
    <n v="2511"/>
    <n v="0.23664122137404581"/>
  </r>
  <r>
    <x v="336"/>
    <s v="ORD-04714"/>
    <x v="1"/>
    <x v="3"/>
    <x v="59"/>
    <x v="4"/>
    <x v="2"/>
    <n v="10"/>
    <n v="11050"/>
    <n v="110500"/>
    <n v="8500"/>
    <n v="85000"/>
    <n v="25500"/>
    <n v="0.23076923076923078"/>
  </r>
  <r>
    <x v="336"/>
    <s v="ORD-04715"/>
    <x v="3"/>
    <x v="0"/>
    <x v="65"/>
    <x v="5"/>
    <x v="3"/>
    <n v="1"/>
    <n v="804"/>
    <n v="804"/>
    <n v="600"/>
    <n v="600"/>
    <n v="204"/>
    <n v="0.2537313432835821"/>
  </r>
  <r>
    <x v="336"/>
    <s v="ORD-04716"/>
    <x v="3"/>
    <x v="5"/>
    <x v="147"/>
    <x v="4"/>
    <x v="2"/>
    <n v="6"/>
    <n v="11050"/>
    <n v="66300"/>
    <n v="8500"/>
    <n v="51000"/>
    <n v="15300"/>
    <n v="0.23076923076923078"/>
  </r>
  <r>
    <x v="337"/>
    <s v="ORD-04717"/>
    <x v="2"/>
    <x v="1"/>
    <x v="68"/>
    <x v="0"/>
    <x v="0"/>
    <n v="7"/>
    <n v="4000"/>
    <n v="28000"/>
    <n v="3200"/>
    <n v="22400"/>
    <n v="5600"/>
    <n v="0.2"/>
  </r>
  <r>
    <x v="337"/>
    <s v="ORD-04718"/>
    <x v="0"/>
    <x v="4"/>
    <x v="4"/>
    <x v="3"/>
    <x v="0"/>
    <n v="1"/>
    <n v="3575"/>
    <n v="3575"/>
    <n v="2500"/>
    <n v="2500"/>
    <n v="1075"/>
    <n v="0.30069930069930068"/>
  </r>
  <r>
    <x v="337"/>
    <s v="ORD-04719"/>
    <x v="2"/>
    <x v="2"/>
    <x v="101"/>
    <x v="5"/>
    <x v="3"/>
    <n v="5"/>
    <n v="870"/>
    <n v="4350"/>
    <n v="600"/>
    <n v="3000"/>
    <n v="1350"/>
    <n v="0.31034482758620691"/>
  </r>
  <r>
    <x v="337"/>
    <s v="ORD-04720"/>
    <x v="2"/>
    <x v="2"/>
    <x v="98"/>
    <x v="4"/>
    <x v="2"/>
    <n v="1"/>
    <n v="11730"/>
    <n v="11730"/>
    <n v="8500"/>
    <n v="8500"/>
    <n v="3230"/>
    <n v="0.27536231884057971"/>
  </r>
  <r>
    <x v="337"/>
    <s v="ORD-04721"/>
    <x v="2"/>
    <x v="0"/>
    <x v="128"/>
    <x v="6"/>
    <x v="3"/>
    <n v="10"/>
    <n v="1134"/>
    <n v="11340"/>
    <n v="900"/>
    <n v="9000"/>
    <n v="2340"/>
    <n v="0.20634920634920634"/>
  </r>
  <r>
    <x v="337"/>
    <s v="ORD-04722"/>
    <x v="0"/>
    <x v="0"/>
    <x v="56"/>
    <x v="3"/>
    <x v="0"/>
    <n v="2"/>
    <n v="3325"/>
    <n v="6650"/>
    <n v="2500"/>
    <n v="5000"/>
    <n v="1650"/>
    <n v="0.24812030075187969"/>
  </r>
  <r>
    <x v="337"/>
    <s v="ORD-04723"/>
    <x v="0"/>
    <x v="4"/>
    <x v="56"/>
    <x v="5"/>
    <x v="3"/>
    <n v="10"/>
    <n v="726"/>
    <n v="7260"/>
    <n v="600"/>
    <n v="6000"/>
    <n v="1260"/>
    <n v="0.17355371900826447"/>
  </r>
  <r>
    <x v="337"/>
    <s v="ORD-04724"/>
    <x v="3"/>
    <x v="4"/>
    <x v="70"/>
    <x v="6"/>
    <x v="3"/>
    <n v="1"/>
    <n v="1269"/>
    <n v="1269"/>
    <n v="900"/>
    <n v="900"/>
    <n v="369"/>
    <n v="0.29078014184397161"/>
  </r>
  <r>
    <x v="337"/>
    <s v="ORD-04725"/>
    <x v="3"/>
    <x v="0"/>
    <x v="91"/>
    <x v="5"/>
    <x v="3"/>
    <n v="4"/>
    <n v="840"/>
    <n v="3360"/>
    <n v="600"/>
    <n v="2400"/>
    <n v="960"/>
    <n v="0.2857142857142857"/>
  </r>
  <r>
    <x v="337"/>
    <s v="ORD-04726"/>
    <x v="2"/>
    <x v="2"/>
    <x v="84"/>
    <x v="0"/>
    <x v="0"/>
    <n v="2"/>
    <n v="3968"/>
    <n v="7936"/>
    <n v="3200"/>
    <n v="6400"/>
    <n v="1536"/>
    <n v="0.19354838709677419"/>
  </r>
  <r>
    <x v="337"/>
    <s v="ORD-04727"/>
    <x v="1"/>
    <x v="1"/>
    <x v="122"/>
    <x v="4"/>
    <x v="2"/>
    <n v="1"/>
    <n v="11900"/>
    <n v="11900"/>
    <n v="8500"/>
    <n v="8500"/>
    <n v="3400"/>
    <n v="0.2857142857142857"/>
  </r>
  <r>
    <x v="337"/>
    <s v="ORD-04728"/>
    <x v="1"/>
    <x v="3"/>
    <x v="85"/>
    <x v="3"/>
    <x v="0"/>
    <n v="1"/>
    <n v="3100"/>
    <n v="3100"/>
    <n v="2500"/>
    <n v="2500"/>
    <n v="600"/>
    <n v="0.19354838709677419"/>
  </r>
  <r>
    <x v="337"/>
    <s v="ORD-04729"/>
    <x v="1"/>
    <x v="2"/>
    <x v="10"/>
    <x v="1"/>
    <x v="1"/>
    <n v="10"/>
    <n v="59850"/>
    <n v="598500"/>
    <n v="45000"/>
    <n v="450000"/>
    <n v="148500"/>
    <n v="0.24812030075187969"/>
  </r>
  <r>
    <x v="337"/>
    <s v="ORD-04730"/>
    <x v="1"/>
    <x v="1"/>
    <x v="64"/>
    <x v="6"/>
    <x v="3"/>
    <n v="4"/>
    <n v="1269"/>
    <n v="5076"/>
    <n v="900"/>
    <n v="3600"/>
    <n v="1476"/>
    <n v="0.29078014184397161"/>
  </r>
  <r>
    <x v="338"/>
    <s v="ORD-04731"/>
    <x v="2"/>
    <x v="5"/>
    <x v="0"/>
    <x v="6"/>
    <x v="3"/>
    <n v="4"/>
    <n v="1170"/>
    <n v="4680"/>
    <n v="900"/>
    <n v="3600"/>
    <n v="1080"/>
    <n v="0.23076923076923078"/>
  </r>
  <r>
    <x v="338"/>
    <s v="ORD-04732"/>
    <x v="2"/>
    <x v="4"/>
    <x v="80"/>
    <x v="0"/>
    <x v="0"/>
    <n v="1"/>
    <n v="4064"/>
    <n v="4064"/>
    <n v="3200"/>
    <n v="3200"/>
    <n v="864"/>
    <n v="0.2125984251968504"/>
  </r>
  <r>
    <x v="338"/>
    <s v="ORD-04733"/>
    <x v="1"/>
    <x v="5"/>
    <x v="110"/>
    <x v="5"/>
    <x v="3"/>
    <n v="4"/>
    <n v="810"/>
    <n v="3240"/>
    <n v="600"/>
    <n v="2400"/>
    <n v="840"/>
    <n v="0.25925925925925924"/>
  </r>
  <r>
    <x v="338"/>
    <s v="ORD-04734"/>
    <x v="3"/>
    <x v="0"/>
    <x v="57"/>
    <x v="3"/>
    <x v="0"/>
    <n v="6"/>
    <n v="3125"/>
    <n v="18750"/>
    <n v="2500"/>
    <n v="15000"/>
    <n v="3750"/>
    <n v="0.2"/>
  </r>
  <r>
    <x v="338"/>
    <s v="ORD-04735"/>
    <x v="3"/>
    <x v="2"/>
    <x v="82"/>
    <x v="5"/>
    <x v="3"/>
    <n v="2"/>
    <n v="810"/>
    <n v="1620"/>
    <n v="600"/>
    <n v="1200"/>
    <n v="420"/>
    <n v="0.25925925925925924"/>
  </r>
  <r>
    <x v="338"/>
    <s v="ORD-04736"/>
    <x v="2"/>
    <x v="3"/>
    <x v="105"/>
    <x v="2"/>
    <x v="1"/>
    <n v="1"/>
    <n v="51679.999999999993"/>
    <n v="51679.999999999993"/>
    <n v="38000"/>
    <n v="38000"/>
    <n v="13679.999999999993"/>
    <n v="0.26470588235294107"/>
  </r>
  <r>
    <x v="338"/>
    <s v="ORD-04737"/>
    <x v="2"/>
    <x v="4"/>
    <x v="98"/>
    <x v="4"/>
    <x v="2"/>
    <n v="9"/>
    <n v="11475"/>
    <n v="103275"/>
    <n v="8500"/>
    <n v="76500"/>
    <n v="26775"/>
    <n v="0.25925925925925924"/>
  </r>
  <r>
    <x v="338"/>
    <s v="ORD-04738"/>
    <x v="1"/>
    <x v="5"/>
    <x v="133"/>
    <x v="4"/>
    <x v="2"/>
    <n v="10"/>
    <n v="11730"/>
    <n v="117300"/>
    <n v="8500"/>
    <n v="85000"/>
    <n v="32300"/>
    <n v="0.27536231884057971"/>
  </r>
  <r>
    <x v="338"/>
    <s v="ORD-04739"/>
    <x v="3"/>
    <x v="0"/>
    <x v="142"/>
    <x v="5"/>
    <x v="3"/>
    <n v="10"/>
    <n v="774"/>
    <n v="7740"/>
    <n v="600"/>
    <n v="6000"/>
    <n v="1740"/>
    <n v="0.22480620155038761"/>
  </r>
  <r>
    <x v="338"/>
    <s v="ORD-04740"/>
    <x v="3"/>
    <x v="1"/>
    <x v="139"/>
    <x v="1"/>
    <x v="1"/>
    <n v="3"/>
    <n v="62099.999999999993"/>
    <n v="186299.99999999997"/>
    <n v="45000"/>
    <n v="135000"/>
    <n v="51299.999999999971"/>
    <n v="0.2753623188405796"/>
  </r>
  <r>
    <x v="338"/>
    <s v="ORD-04741"/>
    <x v="3"/>
    <x v="4"/>
    <x v="14"/>
    <x v="6"/>
    <x v="3"/>
    <n v="8"/>
    <n v="1260"/>
    <n v="10080"/>
    <n v="900"/>
    <n v="7200"/>
    <n v="2880"/>
    <n v="0.2857142857142857"/>
  </r>
  <r>
    <x v="338"/>
    <s v="ORD-04742"/>
    <x v="2"/>
    <x v="3"/>
    <x v="80"/>
    <x v="6"/>
    <x v="3"/>
    <n v="4"/>
    <n v="1170"/>
    <n v="4680"/>
    <n v="900"/>
    <n v="3600"/>
    <n v="1080"/>
    <n v="0.23076923076923078"/>
  </r>
  <r>
    <x v="338"/>
    <s v="ORD-04743"/>
    <x v="3"/>
    <x v="3"/>
    <x v="12"/>
    <x v="6"/>
    <x v="3"/>
    <n v="1"/>
    <n v="1080"/>
    <n v="1080"/>
    <n v="900"/>
    <n v="900"/>
    <n v="180"/>
    <n v="0.16666666666666666"/>
  </r>
  <r>
    <x v="338"/>
    <s v="ORD-04744"/>
    <x v="1"/>
    <x v="0"/>
    <x v="112"/>
    <x v="0"/>
    <x v="0"/>
    <n v="3"/>
    <n v="4448"/>
    <n v="13344"/>
    <n v="3200"/>
    <n v="9600"/>
    <n v="3744"/>
    <n v="0.2805755395683453"/>
  </r>
  <r>
    <x v="339"/>
    <s v="ORD-04745"/>
    <x v="2"/>
    <x v="1"/>
    <x v="15"/>
    <x v="2"/>
    <x v="1"/>
    <n v="7"/>
    <n v="48640"/>
    <n v="340480"/>
    <n v="38000"/>
    <n v="266000"/>
    <n v="74480"/>
    <n v="0.21875"/>
  </r>
  <r>
    <x v="339"/>
    <s v="ORD-04746"/>
    <x v="1"/>
    <x v="2"/>
    <x v="43"/>
    <x v="5"/>
    <x v="3"/>
    <n v="4"/>
    <n v="774"/>
    <n v="3096"/>
    <n v="600"/>
    <n v="2400"/>
    <n v="696"/>
    <n v="0.22480620155038761"/>
  </r>
  <r>
    <x v="339"/>
    <s v="ORD-04747"/>
    <x v="3"/>
    <x v="3"/>
    <x v="39"/>
    <x v="6"/>
    <x v="3"/>
    <n v="10"/>
    <n v="1224"/>
    <n v="12240"/>
    <n v="900"/>
    <n v="9000"/>
    <n v="3240"/>
    <n v="0.26470588235294118"/>
  </r>
  <r>
    <x v="339"/>
    <s v="ORD-04748"/>
    <x v="2"/>
    <x v="2"/>
    <x v="100"/>
    <x v="7"/>
    <x v="2"/>
    <n v="2"/>
    <n v="8960"/>
    <n v="17920"/>
    <n v="7000"/>
    <n v="14000"/>
    <n v="3920"/>
    <n v="0.21875"/>
  </r>
  <r>
    <x v="339"/>
    <s v="ORD-04749"/>
    <x v="1"/>
    <x v="0"/>
    <x v="105"/>
    <x v="2"/>
    <x v="1"/>
    <n v="7"/>
    <n v="50920"/>
    <n v="356440"/>
    <n v="38000"/>
    <n v="266000"/>
    <n v="90440"/>
    <n v="0.2537313432835821"/>
  </r>
  <r>
    <x v="339"/>
    <s v="ORD-04750"/>
    <x v="1"/>
    <x v="2"/>
    <x v="31"/>
    <x v="0"/>
    <x v="0"/>
    <n v="5"/>
    <n v="4448"/>
    <n v="22240"/>
    <n v="3200"/>
    <n v="16000"/>
    <n v="6240"/>
    <n v="0.2805755395683453"/>
  </r>
  <r>
    <x v="339"/>
    <s v="ORD-04751"/>
    <x v="1"/>
    <x v="4"/>
    <x v="119"/>
    <x v="0"/>
    <x v="0"/>
    <n v="6"/>
    <n v="4480"/>
    <n v="26880"/>
    <n v="3200"/>
    <n v="19200"/>
    <n v="7680"/>
    <n v="0.2857142857142857"/>
  </r>
  <r>
    <x v="339"/>
    <s v="ORD-04752"/>
    <x v="0"/>
    <x v="0"/>
    <x v="87"/>
    <x v="6"/>
    <x v="3"/>
    <n v="2"/>
    <n v="1242"/>
    <n v="2484"/>
    <n v="900"/>
    <n v="1800"/>
    <n v="684"/>
    <n v="0.27536231884057971"/>
  </r>
  <r>
    <x v="339"/>
    <s v="ORD-04753"/>
    <x v="2"/>
    <x v="1"/>
    <x v="135"/>
    <x v="2"/>
    <x v="1"/>
    <n v="7"/>
    <n v="54720"/>
    <n v="383040"/>
    <n v="38000"/>
    <n v="266000"/>
    <n v="117040"/>
    <n v="0.30555555555555558"/>
  </r>
  <r>
    <x v="339"/>
    <s v="ORD-04754"/>
    <x v="0"/>
    <x v="0"/>
    <x v="141"/>
    <x v="3"/>
    <x v="0"/>
    <n v="10"/>
    <n v="3125"/>
    <n v="31250"/>
    <n v="2500"/>
    <n v="25000"/>
    <n v="6250"/>
    <n v="0.2"/>
  </r>
  <r>
    <x v="339"/>
    <s v="ORD-04755"/>
    <x v="3"/>
    <x v="1"/>
    <x v="55"/>
    <x v="6"/>
    <x v="3"/>
    <n v="6"/>
    <n v="1098"/>
    <n v="6588"/>
    <n v="900"/>
    <n v="5400"/>
    <n v="1188"/>
    <n v="0.18032786885245902"/>
  </r>
  <r>
    <x v="339"/>
    <s v="ORD-04756"/>
    <x v="0"/>
    <x v="3"/>
    <x v="134"/>
    <x v="1"/>
    <x v="1"/>
    <n v="9"/>
    <n v="54900"/>
    <n v="494100"/>
    <n v="45000"/>
    <n v="405000"/>
    <n v="89100"/>
    <n v="0.18032786885245902"/>
  </r>
  <r>
    <x v="339"/>
    <s v="ORD-04757"/>
    <x v="3"/>
    <x v="3"/>
    <x v="20"/>
    <x v="6"/>
    <x v="3"/>
    <n v="1"/>
    <n v="1278"/>
    <n v="1278"/>
    <n v="900"/>
    <n v="900"/>
    <n v="378"/>
    <n v="0.29577464788732394"/>
  </r>
  <r>
    <x v="339"/>
    <s v="ORD-04758"/>
    <x v="0"/>
    <x v="4"/>
    <x v="109"/>
    <x v="4"/>
    <x v="2"/>
    <n v="1"/>
    <n v="11220"/>
    <n v="11220"/>
    <n v="8500"/>
    <n v="8500"/>
    <n v="2720"/>
    <n v="0.24242424242424243"/>
  </r>
  <r>
    <x v="340"/>
    <s v="ORD-04759"/>
    <x v="1"/>
    <x v="5"/>
    <x v="69"/>
    <x v="5"/>
    <x v="3"/>
    <n v="6"/>
    <n v="810"/>
    <n v="4860"/>
    <n v="600"/>
    <n v="3600"/>
    <n v="1260"/>
    <n v="0.25925925925925924"/>
  </r>
  <r>
    <x v="340"/>
    <s v="ORD-04760"/>
    <x v="0"/>
    <x v="4"/>
    <x v="6"/>
    <x v="3"/>
    <x v="0"/>
    <n v="9"/>
    <n v="3525"/>
    <n v="31725"/>
    <n v="2500"/>
    <n v="22500"/>
    <n v="9225"/>
    <n v="0.29078014184397161"/>
  </r>
  <r>
    <x v="340"/>
    <s v="ORD-04761"/>
    <x v="3"/>
    <x v="1"/>
    <x v="112"/>
    <x v="3"/>
    <x v="0"/>
    <n v="9"/>
    <n v="3600"/>
    <n v="32400"/>
    <n v="2500"/>
    <n v="22500"/>
    <n v="9900"/>
    <n v="0.30555555555555558"/>
  </r>
  <r>
    <x v="340"/>
    <s v="ORD-04762"/>
    <x v="0"/>
    <x v="0"/>
    <x v="12"/>
    <x v="3"/>
    <x v="0"/>
    <n v="6"/>
    <n v="3300"/>
    <n v="19800"/>
    <n v="2500"/>
    <n v="15000"/>
    <n v="4800"/>
    <n v="0.24242424242424243"/>
  </r>
  <r>
    <x v="340"/>
    <s v="ORD-04763"/>
    <x v="2"/>
    <x v="3"/>
    <x v="148"/>
    <x v="2"/>
    <x v="1"/>
    <n v="7"/>
    <n v="45600"/>
    <n v="319200"/>
    <n v="38000"/>
    <n v="266000"/>
    <n v="53200"/>
    <n v="0.16666666666666666"/>
  </r>
  <r>
    <x v="340"/>
    <s v="ORD-04764"/>
    <x v="1"/>
    <x v="4"/>
    <x v="51"/>
    <x v="5"/>
    <x v="3"/>
    <n v="10"/>
    <n v="750"/>
    <n v="7500"/>
    <n v="600"/>
    <n v="6000"/>
    <n v="1500"/>
    <n v="0.2"/>
  </r>
  <r>
    <x v="340"/>
    <s v="ORD-04765"/>
    <x v="0"/>
    <x v="1"/>
    <x v="0"/>
    <x v="4"/>
    <x v="2"/>
    <n v="1"/>
    <n v="10200"/>
    <n v="10200"/>
    <n v="8500"/>
    <n v="8500"/>
    <n v="1700"/>
    <n v="0.16666666666666666"/>
  </r>
  <r>
    <x v="340"/>
    <s v="ORD-04766"/>
    <x v="3"/>
    <x v="2"/>
    <x v="143"/>
    <x v="1"/>
    <x v="1"/>
    <n v="9"/>
    <n v="61199.999999999993"/>
    <n v="550799.99999999988"/>
    <n v="45000"/>
    <n v="405000"/>
    <n v="145799.99999999988"/>
    <n v="0.26470588235294101"/>
  </r>
  <r>
    <x v="340"/>
    <s v="ORD-04767"/>
    <x v="1"/>
    <x v="4"/>
    <x v="1"/>
    <x v="6"/>
    <x v="3"/>
    <n v="7"/>
    <n v="1296"/>
    <n v="9072"/>
    <n v="900"/>
    <n v="6300"/>
    <n v="2772"/>
    <n v="0.30555555555555558"/>
  </r>
  <r>
    <x v="340"/>
    <s v="ORD-04768"/>
    <x v="1"/>
    <x v="2"/>
    <x v="55"/>
    <x v="5"/>
    <x v="3"/>
    <n v="4"/>
    <n v="750"/>
    <n v="3000"/>
    <n v="600"/>
    <n v="2400"/>
    <n v="600"/>
    <n v="0.2"/>
  </r>
  <r>
    <x v="340"/>
    <s v="ORD-04769"/>
    <x v="0"/>
    <x v="4"/>
    <x v="48"/>
    <x v="2"/>
    <x v="1"/>
    <n v="7"/>
    <n v="52439.999999999993"/>
    <n v="367079.99999999994"/>
    <n v="38000"/>
    <n v="266000"/>
    <n v="101079.99999999994"/>
    <n v="0.2753623188405796"/>
  </r>
  <r>
    <x v="340"/>
    <s v="ORD-04770"/>
    <x v="3"/>
    <x v="1"/>
    <x v="79"/>
    <x v="6"/>
    <x v="3"/>
    <n v="7"/>
    <n v="1251"/>
    <n v="8757"/>
    <n v="900"/>
    <n v="6300"/>
    <n v="2457"/>
    <n v="0.2805755395683453"/>
  </r>
  <r>
    <x v="340"/>
    <s v="ORD-04771"/>
    <x v="2"/>
    <x v="5"/>
    <x v="119"/>
    <x v="4"/>
    <x v="2"/>
    <n v="9"/>
    <n v="10370"/>
    <n v="93330"/>
    <n v="8500"/>
    <n v="76500"/>
    <n v="16830"/>
    <n v="0.18032786885245902"/>
  </r>
  <r>
    <x v="340"/>
    <s v="ORD-04772"/>
    <x v="2"/>
    <x v="0"/>
    <x v="104"/>
    <x v="5"/>
    <x v="3"/>
    <n v="3"/>
    <n v="804"/>
    <n v="2412"/>
    <n v="600"/>
    <n v="1800"/>
    <n v="612"/>
    <n v="0.2537313432835821"/>
  </r>
  <r>
    <x v="341"/>
    <s v="ORD-04773"/>
    <x v="3"/>
    <x v="1"/>
    <x v="50"/>
    <x v="5"/>
    <x v="3"/>
    <n v="1"/>
    <n v="720"/>
    <n v="720"/>
    <n v="600"/>
    <n v="600"/>
    <n v="120"/>
    <n v="0.16666666666666666"/>
  </r>
  <r>
    <x v="341"/>
    <s v="ORD-04774"/>
    <x v="3"/>
    <x v="2"/>
    <x v="149"/>
    <x v="7"/>
    <x v="2"/>
    <n v="8"/>
    <n v="9450"/>
    <n v="75600"/>
    <n v="7000"/>
    <n v="56000"/>
    <n v="19600"/>
    <n v="0.25925925925925924"/>
  </r>
  <r>
    <x v="341"/>
    <s v="ORD-04775"/>
    <x v="1"/>
    <x v="2"/>
    <x v="59"/>
    <x v="5"/>
    <x v="3"/>
    <n v="3"/>
    <n v="720"/>
    <n v="2160"/>
    <n v="600"/>
    <n v="1800"/>
    <n v="360"/>
    <n v="0.16666666666666666"/>
  </r>
  <r>
    <x v="341"/>
    <s v="ORD-04776"/>
    <x v="0"/>
    <x v="4"/>
    <x v="16"/>
    <x v="3"/>
    <x v="0"/>
    <n v="4"/>
    <n v="3475.0000000000005"/>
    <n v="13900.000000000002"/>
    <n v="2500"/>
    <n v="10000"/>
    <n v="3900.0000000000018"/>
    <n v="0.28057553956834541"/>
  </r>
  <r>
    <x v="341"/>
    <s v="ORD-04777"/>
    <x v="0"/>
    <x v="1"/>
    <x v="112"/>
    <x v="0"/>
    <x v="0"/>
    <n v="7"/>
    <n v="4640"/>
    <n v="32480"/>
    <n v="3200"/>
    <n v="22400"/>
    <n v="10080"/>
    <n v="0.31034482758620691"/>
  </r>
  <r>
    <x v="341"/>
    <s v="ORD-04778"/>
    <x v="0"/>
    <x v="2"/>
    <x v="19"/>
    <x v="6"/>
    <x v="3"/>
    <n v="4"/>
    <n v="1161"/>
    <n v="4644"/>
    <n v="900"/>
    <n v="3600"/>
    <n v="1044"/>
    <n v="0.22480620155038761"/>
  </r>
  <r>
    <x v="341"/>
    <s v="ORD-04779"/>
    <x v="2"/>
    <x v="1"/>
    <x v="65"/>
    <x v="1"/>
    <x v="1"/>
    <n v="9"/>
    <n v="60750.000000000007"/>
    <n v="546750.00000000012"/>
    <n v="45000"/>
    <n v="405000"/>
    <n v="141750.00000000012"/>
    <n v="0.25925925925925941"/>
  </r>
  <r>
    <x v="341"/>
    <s v="ORD-04780"/>
    <x v="1"/>
    <x v="2"/>
    <x v="125"/>
    <x v="3"/>
    <x v="0"/>
    <n v="4"/>
    <n v="3575"/>
    <n v="14300"/>
    <n v="2500"/>
    <n v="10000"/>
    <n v="4300"/>
    <n v="0.30069930069930068"/>
  </r>
  <r>
    <x v="341"/>
    <s v="ORD-04781"/>
    <x v="0"/>
    <x v="1"/>
    <x v="51"/>
    <x v="0"/>
    <x v="0"/>
    <n v="2"/>
    <n v="4384"/>
    <n v="8768"/>
    <n v="3200"/>
    <n v="6400"/>
    <n v="2368"/>
    <n v="0.27007299270072993"/>
  </r>
  <r>
    <x v="341"/>
    <s v="ORD-04782"/>
    <x v="0"/>
    <x v="1"/>
    <x v="61"/>
    <x v="3"/>
    <x v="0"/>
    <n v="6"/>
    <n v="3275"/>
    <n v="19650"/>
    <n v="2500"/>
    <n v="15000"/>
    <n v="4650"/>
    <n v="0.23664122137404581"/>
  </r>
  <r>
    <x v="341"/>
    <s v="ORD-04783"/>
    <x v="2"/>
    <x v="2"/>
    <x v="48"/>
    <x v="0"/>
    <x v="0"/>
    <n v="3"/>
    <n v="4000"/>
    <n v="12000"/>
    <n v="3200"/>
    <n v="9600"/>
    <n v="2400"/>
    <n v="0.2"/>
  </r>
  <r>
    <x v="341"/>
    <s v="ORD-04784"/>
    <x v="1"/>
    <x v="3"/>
    <x v="22"/>
    <x v="5"/>
    <x v="3"/>
    <n v="2"/>
    <n v="834.00000000000011"/>
    <n v="1668.0000000000002"/>
    <n v="600"/>
    <n v="1200"/>
    <n v="468.00000000000023"/>
    <n v="0.28057553956834541"/>
  </r>
  <r>
    <x v="341"/>
    <s v="ORD-04785"/>
    <x v="3"/>
    <x v="2"/>
    <x v="125"/>
    <x v="6"/>
    <x v="3"/>
    <n v="3"/>
    <n v="1098"/>
    <n v="3294"/>
    <n v="900"/>
    <n v="2700"/>
    <n v="594"/>
    <n v="0.18032786885245902"/>
  </r>
  <r>
    <x v="341"/>
    <s v="ORD-04786"/>
    <x v="1"/>
    <x v="2"/>
    <x v="110"/>
    <x v="2"/>
    <x v="1"/>
    <n v="10"/>
    <n v="45980"/>
    <n v="459800"/>
    <n v="38000"/>
    <n v="380000"/>
    <n v="79800"/>
    <n v="0.17355371900826447"/>
  </r>
  <r>
    <x v="342"/>
    <s v="ORD-04787"/>
    <x v="2"/>
    <x v="5"/>
    <x v="75"/>
    <x v="1"/>
    <x v="1"/>
    <n v="8"/>
    <n v="61650.000000000007"/>
    <n v="493200.00000000006"/>
    <n v="45000"/>
    <n v="360000"/>
    <n v="133200.00000000006"/>
    <n v="0.27007299270072999"/>
  </r>
  <r>
    <x v="342"/>
    <s v="ORD-04788"/>
    <x v="1"/>
    <x v="1"/>
    <x v="26"/>
    <x v="4"/>
    <x v="2"/>
    <n v="1"/>
    <n v="10795"/>
    <n v="10795"/>
    <n v="8500"/>
    <n v="8500"/>
    <n v="2295"/>
    <n v="0.2125984251968504"/>
  </r>
  <r>
    <x v="342"/>
    <s v="ORD-04789"/>
    <x v="2"/>
    <x v="3"/>
    <x v="13"/>
    <x v="3"/>
    <x v="0"/>
    <n v="2"/>
    <n v="3200"/>
    <n v="6400"/>
    <n v="2500"/>
    <n v="5000"/>
    <n v="1400"/>
    <n v="0.21875"/>
  </r>
  <r>
    <x v="342"/>
    <s v="ORD-04790"/>
    <x v="1"/>
    <x v="1"/>
    <x v="145"/>
    <x v="5"/>
    <x v="3"/>
    <n v="9"/>
    <n v="852"/>
    <n v="7668"/>
    <n v="600"/>
    <n v="5400"/>
    <n v="2268"/>
    <n v="0.29577464788732394"/>
  </r>
  <r>
    <x v="342"/>
    <s v="ORD-04791"/>
    <x v="1"/>
    <x v="4"/>
    <x v="43"/>
    <x v="6"/>
    <x v="3"/>
    <n v="8"/>
    <n v="1287"/>
    <n v="10296"/>
    <n v="900"/>
    <n v="7200"/>
    <n v="3096"/>
    <n v="0.30069930069930068"/>
  </r>
  <r>
    <x v="342"/>
    <s v="ORD-04792"/>
    <x v="0"/>
    <x v="0"/>
    <x v="139"/>
    <x v="1"/>
    <x v="1"/>
    <n v="6"/>
    <n v="58500"/>
    <n v="351000"/>
    <n v="45000"/>
    <n v="270000"/>
    <n v="81000"/>
    <n v="0.23076923076923078"/>
  </r>
  <r>
    <x v="342"/>
    <s v="ORD-04793"/>
    <x v="0"/>
    <x v="1"/>
    <x v="87"/>
    <x v="7"/>
    <x v="2"/>
    <n v="9"/>
    <n v="9450"/>
    <n v="85050"/>
    <n v="7000"/>
    <n v="63000"/>
    <n v="22050"/>
    <n v="0.25925925925925924"/>
  </r>
  <r>
    <x v="342"/>
    <s v="ORD-04794"/>
    <x v="3"/>
    <x v="1"/>
    <x v="27"/>
    <x v="5"/>
    <x v="3"/>
    <n v="2"/>
    <n v="738"/>
    <n v="1476"/>
    <n v="600"/>
    <n v="1200"/>
    <n v="276"/>
    <n v="0.18699186991869918"/>
  </r>
  <r>
    <x v="342"/>
    <s v="ORD-04795"/>
    <x v="3"/>
    <x v="2"/>
    <x v="103"/>
    <x v="2"/>
    <x v="1"/>
    <n v="7"/>
    <n v="47880"/>
    <n v="335160"/>
    <n v="38000"/>
    <n v="266000"/>
    <n v="69160"/>
    <n v="0.20634920634920634"/>
  </r>
  <r>
    <x v="342"/>
    <s v="ORD-04796"/>
    <x v="3"/>
    <x v="5"/>
    <x v="84"/>
    <x v="0"/>
    <x v="0"/>
    <n v="5"/>
    <n v="4192"/>
    <n v="20960"/>
    <n v="3200"/>
    <n v="16000"/>
    <n v="4960"/>
    <n v="0.23664122137404581"/>
  </r>
  <r>
    <x v="342"/>
    <s v="ORD-04797"/>
    <x v="2"/>
    <x v="0"/>
    <x v="2"/>
    <x v="7"/>
    <x v="2"/>
    <n v="9"/>
    <n v="9940"/>
    <n v="89460"/>
    <n v="7000"/>
    <n v="63000"/>
    <n v="26460"/>
    <n v="0.29577464788732394"/>
  </r>
  <r>
    <x v="342"/>
    <s v="ORD-04798"/>
    <x v="0"/>
    <x v="5"/>
    <x v="144"/>
    <x v="2"/>
    <x v="1"/>
    <n v="3"/>
    <n v="53580"/>
    <n v="160740"/>
    <n v="38000"/>
    <n v="114000"/>
    <n v="46740"/>
    <n v="0.29078014184397161"/>
  </r>
  <r>
    <x v="342"/>
    <s v="ORD-04799"/>
    <x v="3"/>
    <x v="3"/>
    <x v="92"/>
    <x v="4"/>
    <x v="2"/>
    <n v="2"/>
    <n v="10200"/>
    <n v="20400"/>
    <n v="8500"/>
    <n v="17000"/>
    <n v="3400"/>
    <n v="0.16666666666666666"/>
  </r>
  <r>
    <x v="342"/>
    <s v="ORD-04800"/>
    <x v="1"/>
    <x v="4"/>
    <x v="74"/>
    <x v="4"/>
    <x v="2"/>
    <n v="3"/>
    <n v="11050"/>
    <n v="33150"/>
    <n v="8500"/>
    <n v="25500"/>
    <n v="7650"/>
    <n v="0.23076923076923078"/>
  </r>
  <r>
    <x v="343"/>
    <s v="ORD-04801"/>
    <x v="3"/>
    <x v="4"/>
    <x v="13"/>
    <x v="7"/>
    <x v="2"/>
    <n v="8"/>
    <n v="9870"/>
    <n v="78960"/>
    <n v="7000"/>
    <n v="56000"/>
    <n v="22960"/>
    <n v="0.29078014184397161"/>
  </r>
  <r>
    <x v="343"/>
    <s v="ORD-04802"/>
    <x v="0"/>
    <x v="4"/>
    <x v="21"/>
    <x v="2"/>
    <x v="1"/>
    <n v="9"/>
    <n v="50920"/>
    <n v="458280"/>
    <n v="38000"/>
    <n v="342000"/>
    <n v="116280"/>
    <n v="0.2537313432835821"/>
  </r>
  <r>
    <x v="343"/>
    <s v="ORD-04803"/>
    <x v="0"/>
    <x v="5"/>
    <x v="140"/>
    <x v="3"/>
    <x v="0"/>
    <n v="8"/>
    <n v="3075"/>
    <n v="24600"/>
    <n v="2500"/>
    <n v="20000"/>
    <n v="4600"/>
    <n v="0.18699186991869918"/>
  </r>
  <r>
    <x v="343"/>
    <s v="ORD-04804"/>
    <x v="0"/>
    <x v="4"/>
    <x v="48"/>
    <x v="3"/>
    <x v="0"/>
    <n v="5"/>
    <n v="3399.9999999999995"/>
    <n v="16999.999999999996"/>
    <n v="2500"/>
    <n v="12500"/>
    <n v="4499.9999999999964"/>
    <n v="0.26470588235294101"/>
  </r>
  <r>
    <x v="343"/>
    <s v="ORD-04805"/>
    <x v="3"/>
    <x v="4"/>
    <x v="92"/>
    <x v="5"/>
    <x v="3"/>
    <n v="10"/>
    <n v="780"/>
    <n v="7800"/>
    <n v="600"/>
    <n v="6000"/>
    <n v="1800"/>
    <n v="0.23076923076923078"/>
  </r>
  <r>
    <x v="343"/>
    <s v="ORD-04806"/>
    <x v="1"/>
    <x v="0"/>
    <x v="148"/>
    <x v="5"/>
    <x v="3"/>
    <n v="5"/>
    <n v="810"/>
    <n v="4050"/>
    <n v="600"/>
    <n v="3000"/>
    <n v="1050"/>
    <n v="0.25925925925925924"/>
  </r>
  <r>
    <x v="343"/>
    <s v="ORD-04807"/>
    <x v="3"/>
    <x v="2"/>
    <x v="95"/>
    <x v="0"/>
    <x v="0"/>
    <n v="5"/>
    <n v="4064"/>
    <n v="20320"/>
    <n v="3200"/>
    <n v="16000"/>
    <n v="4320"/>
    <n v="0.2125984251968504"/>
  </r>
  <r>
    <x v="343"/>
    <s v="ORD-04808"/>
    <x v="0"/>
    <x v="5"/>
    <x v="138"/>
    <x v="2"/>
    <x v="1"/>
    <n v="1"/>
    <n v="48640"/>
    <n v="48640"/>
    <n v="38000"/>
    <n v="38000"/>
    <n v="10640"/>
    <n v="0.21875"/>
  </r>
  <r>
    <x v="343"/>
    <s v="ORD-04809"/>
    <x v="0"/>
    <x v="5"/>
    <x v="69"/>
    <x v="5"/>
    <x v="3"/>
    <n v="9"/>
    <n v="744"/>
    <n v="6696"/>
    <n v="600"/>
    <n v="5400"/>
    <n v="1296"/>
    <n v="0.19354838709677419"/>
  </r>
  <r>
    <x v="343"/>
    <s v="ORD-04810"/>
    <x v="2"/>
    <x v="1"/>
    <x v="17"/>
    <x v="4"/>
    <x v="2"/>
    <n v="10"/>
    <n v="11730"/>
    <n v="117300"/>
    <n v="8500"/>
    <n v="85000"/>
    <n v="32300"/>
    <n v="0.27536231884057971"/>
  </r>
  <r>
    <x v="343"/>
    <s v="ORD-04811"/>
    <x v="0"/>
    <x v="5"/>
    <x v="110"/>
    <x v="6"/>
    <x v="3"/>
    <n v="4"/>
    <n v="1080"/>
    <n v="4320"/>
    <n v="900"/>
    <n v="3600"/>
    <n v="720"/>
    <n v="0.16666666666666666"/>
  </r>
  <r>
    <x v="343"/>
    <s v="ORD-04812"/>
    <x v="0"/>
    <x v="2"/>
    <x v="34"/>
    <x v="4"/>
    <x v="2"/>
    <n v="3"/>
    <n v="12240"/>
    <n v="36720"/>
    <n v="8500"/>
    <n v="25500"/>
    <n v="11220"/>
    <n v="0.30555555555555558"/>
  </r>
  <r>
    <x v="343"/>
    <s v="ORD-04813"/>
    <x v="2"/>
    <x v="1"/>
    <x v="94"/>
    <x v="0"/>
    <x v="0"/>
    <n v="8"/>
    <n v="3968"/>
    <n v="31744"/>
    <n v="3200"/>
    <n v="25600"/>
    <n v="6144"/>
    <n v="0.19354838709677419"/>
  </r>
  <r>
    <x v="343"/>
    <s v="ORD-04814"/>
    <x v="1"/>
    <x v="0"/>
    <x v="92"/>
    <x v="4"/>
    <x v="2"/>
    <n v="5"/>
    <n v="12240"/>
    <n v="61200"/>
    <n v="8500"/>
    <n v="42500"/>
    <n v="18700"/>
    <n v="0.30555555555555558"/>
  </r>
  <r>
    <x v="344"/>
    <s v="ORD-04815"/>
    <x v="0"/>
    <x v="2"/>
    <x v="0"/>
    <x v="1"/>
    <x v="1"/>
    <n v="2"/>
    <n v="59850"/>
    <n v="119700"/>
    <n v="45000"/>
    <n v="90000"/>
    <n v="29700"/>
    <n v="0.24812030075187969"/>
  </r>
  <r>
    <x v="344"/>
    <s v="ORD-04816"/>
    <x v="3"/>
    <x v="3"/>
    <x v="114"/>
    <x v="6"/>
    <x v="3"/>
    <n v="1"/>
    <n v="1179"/>
    <n v="1179"/>
    <n v="900"/>
    <n v="900"/>
    <n v="279"/>
    <n v="0.23664122137404581"/>
  </r>
  <r>
    <x v="344"/>
    <s v="ORD-04817"/>
    <x v="2"/>
    <x v="5"/>
    <x v="90"/>
    <x v="6"/>
    <x v="3"/>
    <n v="1"/>
    <n v="1251"/>
    <n v="1251"/>
    <n v="900"/>
    <n v="900"/>
    <n v="351"/>
    <n v="0.2805755395683453"/>
  </r>
  <r>
    <x v="344"/>
    <s v="ORD-04818"/>
    <x v="3"/>
    <x v="2"/>
    <x v="8"/>
    <x v="2"/>
    <x v="1"/>
    <n v="10"/>
    <n v="52439.999999999993"/>
    <n v="524399.99999999988"/>
    <n v="38000"/>
    <n v="380000"/>
    <n v="144399.99999999988"/>
    <n v="0.27536231884057955"/>
  </r>
  <r>
    <x v="344"/>
    <s v="ORD-04819"/>
    <x v="1"/>
    <x v="5"/>
    <x v="149"/>
    <x v="4"/>
    <x v="2"/>
    <n v="3"/>
    <n v="10625"/>
    <n v="31875"/>
    <n v="8500"/>
    <n v="25500"/>
    <n v="6375"/>
    <n v="0.2"/>
  </r>
  <r>
    <x v="344"/>
    <s v="ORD-04820"/>
    <x v="0"/>
    <x v="4"/>
    <x v="34"/>
    <x v="2"/>
    <x v="1"/>
    <n v="9"/>
    <n v="50160"/>
    <n v="451440"/>
    <n v="38000"/>
    <n v="342000"/>
    <n v="109440"/>
    <n v="0.24242424242424243"/>
  </r>
  <r>
    <x v="344"/>
    <s v="ORD-04821"/>
    <x v="0"/>
    <x v="0"/>
    <x v="103"/>
    <x v="1"/>
    <x v="1"/>
    <n v="4"/>
    <n v="54450"/>
    <n v="217800"/>
    <n v="45000"/>
    <n v="180000"/>
    <n v="37800"/>
    <n v="0.17355371900826447"/>
  </r>
  <r>
    <x v="344"/>
    <s v="ORD-04822"/>
    <x v="2"/>
    <x v="5"/>
    <x v="20"/>
    <x v="2"/>
    <x v="1"/>
    <n v="5"/>
    <n v="48260"/>
    <n v="241300"/>
    <n v="38000"/>
    <n v="190000"/>
    <n v="51300"/>
    <n v="0.2125984251968504"/>
  </r>
  <r>
    <x v="344"/>
    <s v="ORD-04823"/>
    <x v="2"/>
    <x v="2"/>
    <x v="147"/>
    <x v="5"/>
    <x v="3"/>
    <n v="7"/>
    <n v="840"/>
    <n v="5880"/>
    <n v="600"/>
    <n v="4200"/>
    <n v="1680"/>
    <n v="0.2857142857142857"/>
  </r>
  <r>
    <x v="344"/>
    <s v="ORD-04824"/>
    <x v="2"/>
    <x v="2"/>
    <x v="30"/>
    <x v="7"/>
    <x v="2"/>
    <n v="7"/>
    <n v="8610"/>
    <n v="60270"/>
    <n v="7000"/>
    <n v="49000"/>
    <n v="11270"/>
    <n v="0.18699186991869918"/>
  </r>
  <r>
    <x v="344"/>
    <s v="ORD-04825"/>
    <x v="3"/>
    <x v="1"/>
    <x v="54"/>
    <x v="0"/>
    <x v="0"/>
    <n v="1"/>
    <n v="3968"/>
    <n v="3968"/>
    <n v="3200"/>
    <n v="3200"/>
    <n v="768"/>
    <n v="0.19354838709677419"/>
  </r>
  <r>
    <x v="344"/>
    <s v="ORD-04826"/>
    <x v="3"/>
    <x v="4"/>
    <x v="116"/>
    <x v="1"/>
    <x v="1"/>
    <n v="8"/>
    <n v="57150"/>
    <n v="457200"/>
    <n v="45000"/>
    <n v="360000"/>
    <n v="97200"/>
    <n v="0.2125984251968504"/>
  </r>
  <r>
    <x v="344"/>
    <s v="ORD-04827"/>
    <x v="3"/>
    <x v="5"/>
    <x v="82"/>
    <x v="6"/>
    <x v="3"/>
    <n v="3"/>
    <n v="1305"/>
    <n v="3915"/>
    <n v="900"/>
    <n v="2700"/>
    <n v="1215"/>
    <n v="0.31034482758620691"/>
  </r>
  <r>
    <x v="344"/>
    <s v="ORD-04828"/>
    <x v="2"/>
    <x v="4"/>
    <x v="12"/>
    <x v="6"/>
    <x v="3"/>
    <n v="6"/>
    <n v="1206"/>
    <n v="7236"/>
    <n v="900"/>
    <n v="5400"/>
    <n v="1836"/>
    <n v="0.2537313432835821"/>
  </r>
  <r>
    <x v="345"/>
    <s v="ORD-04829"/>
    <x v="1"/>
    <x v="1"/>
    <x v="122"/>
    <x v="1"/>
    <x v="1"/>
    <n v="2"/>
    <n v="55800"/>
    <n v="111600"/>
    <n v="45000"/>
    <n v="90000"/>
    <n v="21600"/>
    <n v="0.19354838709677419"/>
  </r>
  <r>
    <x v="345"/>
    <s v="ORD-04830"/>
    <x v="2"/>
    <x v="4"/>
    <x v="44"/>
    <x v="0"/>
    <x v="0"/>
    <n v="8"/>
    <n v="4096"/>
    <n v="32768"/>
    <n v="3200"/>
    <n v="25600"/>
    <n v="7168"/>
    <n v="0.21875"/>
  </r>
  <r>
    <x v="345"/>
    <s v="ORD-04831"/>
    <x v="3"/>
    <x v="1"/>
    <x v="52"/>
    <x v="5"/>
    <x v="3"/>
    <n v="7"/>
    <n v="768"/>
    <n v="5376"/>
    <n v="600"/>
    <n v="4200"/>
    <n v="1176"/>
    <n v="0.21875"/>
  </r>
  <r>
    <x v="345"/>
    <s v="ORD-04832"/>
    <x v="0"/>
    <x v="5"/>
    <x v="141"/>
    <x v="2"/>
    <x v="1"/>
    <n v="6"/>
    <n v="47500"/>
    <n v="285000"/>
    <n v="38000"/>
    <n v="228000"/>
    <n v="57000"/>
    <n v="0.2"/>
  </r>
  <r>
    <x v="345"/>
    <s v="ORD-04833"/>
    <x v="0"/>
    <x v="3"/>
    <x v="136"/>
    <x v="1"/>
    <x v="1"/>
    <n v="3"/>
    <n v="58050"/>
    <n v="174150"/>
    <n v="45000"/>
    <n v="135000"/>
    <n v="39150"/>
    <n v="0.22480620155038761"/>
  </r>
  <r>
    <x v="345"/>
    <s v="ORD-04834"/>
    <x v="1"/>
    <x v="5"/>
    <x v="113"/>
    <x v="2"/>
    <x v="1"/>
    <n v="7"/>
    <n v="45980"/>
    <n v="321860"/>
    <n v="38000"/>
    <n v="266000"/>
    <n v="55860"/>
    <n v="0.17355371900826447"/>
  </r>
  <r>
    <x v="345"/>
    <s v="ORD-04835"/>
    <x v="2"/>
    <x v="0"/>
    <x v="80"/>
    <x v="6"/>
    <x v="3"/>
    <n v="5"/>
    <n v="1125"/>
    <n v="5625"/>
    <n v="900"/>
    <n v="4500"/>
    <n v="1125"/>
    <n v="0.2"/>
  </r>
  <r>
    <x v="345"/>
    <s v="ORD-04836"/>
    <x v="2"/>
    <x v="2"/>
    <x v="138"/>
    <x v="2"/>
    <x v="1"/>
    <n v="6"/>
    <n v="52820.000000000007"/>
    <n v="316920.00000000006"/>
    <n v="38000"/>
    <n v="228000"/>
    <n v="88920.000000000058"/>
    <n v="0.28057553956834547"/>
  </r>
  <r>
    <x v="345"/>
    <s v="ORD-04837"/>
    <x v="0"/>
    <x v="5"/>
    <x v="24"/>
    <x v="3"/>
    <x v="0"/>
    <n v="5"/>
    <n v="3150"/>
    <n v="15750"/>
    <n v="2500"/>
    <n v="12500"/>
    <n v="3250"/>
    <n v="0.20634920634920634"/>
  </r>
  <r>
    <x v="345"/>
    <s v="ORD-04838"/>
    <x v="3"/>
    <x v="0"/>
    <x v="90"/>
    <x v="7"/>
    <x v="2"/>
    <n v="9"/>
    <n v="8750"/>
    <n v="78750"/>
    <n v="7000"/>
    <n v="63000"/>
    <n v="15750"/>
    <n v="0.2"/>
  </r>
  <r>
    <x v="345"/>
    <s v="ORD-04839"/>
    <x v="2"/>
    <x v="1"/>
    <x v="57"/>
    <x v="0"/>
    <x v="0"/>
    <n v="2"/>
    <n v="3936"/>
    <n v="7872"/>
    <n v="3200"/>
    <n v="6400"/>
    <n v="1472"/>
    <n v="0.18699186991869918"/>
  </r>
  <r>
    <x v="345"/>
    <s v="ORD-04840"/>
    <x v="0"/>
    <x v="1"/>
    <x v="73"/>
    <x v="7"/>
    <x v="2"/>
    <n v="3"/>
    <n v="10150"/>
    <n v="30450"/>
    <n v="7000"/>
    <n v="21000"/>
    <n v="9450"/>
    <n v="0.31034482758620691"/>
  </r>
  <r>
    <x v="345"/>
    <s v="ORD-04841"/>
    <x v="3"/>
    <x v="3"/>
    <x v="17"/>
    <x v="3"/>
    <x v="0"/>
    <n v="1"/>
    <n v="3025"/>
    <n v="3025"/>
    <n v="2500"/>
    <n v="2500"/>
    <n v="525"/>
    <n v="0.17355371900826447"/>
  </r>
  <r>
    <x v="345"/>
    <s v="ORD-04842"/>
    <x v="3"/>
    <x v="2"/>
    <x v="92"/>
    <x v="6"/>
    <x v="3"/>
    <n v="6"/>
    <n v="1278"/>
    <n v="7668"/>
    <n v="900"/>
    <n v="5400"/>
    <n v="2268"/>
    <n v="0.29577464788732394"/>
  </r>
  <r>
    <x v="346"/>
    <s v="ORD-04843"/>
    <x v="3"/>
    <x v="2"/>
    <x v="56"/>
    <x v="7"/>
    <x v="2"/>
    <n v="8"/>
    <n v="9730"/>
    <n v="77840"/>
    <n v="7000"/>
    <n v="56000"/>
    <n v="21840"/>
    <n v="0.2805755395683453"/>
  </r>
  <r>
    <x v="346"/>
    <s v="ORD-04844"/>
    <x v="0"/>
    <x v="0"/>
    <x v="98"/>
    <x v="6"/>
    <x v="3"/>
    <n v="4"/>
    <n v="1107"/>
    <n v="4428"/>
    <n v="900"/>
    <n v="3600"/>
    <n v="828"/>
    <n v="0.18699186991869918"/>
  </r>
  <r>
    <x v="346"/>
    <s v="ORD-04845"/>
    <x v="2"/>
    <x v="2"/>
    <x v="105"/>
    <x v="1"/>
    <x v="1"/>
    <n v="10"/>
    <n v="58500"/>
    <n v="585000"/>
    <n v="45000"/>
    <n v="450000"/>
    <n v="135000"/>
    <n v="0.23076923076923078"/>
  </r>
  <r>
    <x v="346"/>
    <s v="ORD-04846"/>
    <x v="3"/>
    <x v="4"/>
    <x v="124"/>
    <x v="2"/>
    <x v="1"/>
    <n v="7"/>
    <n v="48260"/>
    <n v="337820"/>
    <n v="38000"/>
    <n v="266000"/>
    <n v="71820"/>
    <n v="0.2125984251968504"/>
  </r>
  <r>
    <x v="346"/>
    <s v="ORD-04847"/>
    <x v="3"/>
    <x v="4"/>
    <x v="49"/>
    <x v="0"/>
    <x v="0"/>
    <n v="3"/>
    <n v="3968"/>
    <n v="11904"/>
    <n v="3200"/>
    <n v="9600"/>
    <n v="2304"/>
    <n v="0.19354838709677419"/>
  </r>
  <r>
    <x v="346"/>
    <s v="ORD-04848"/>
    <x v="0"/>
    <x v="4"/>
    <x v="61"/>
    <x v="4"/>
    <x v="2"/>
    <n v="2"/>
    <n v="10795"/>
    <n v="21590"/>
    <n v="8500"/>
    <n v="17000"/>
    <n v="4590"/>
    <n v="0.2125984251968504"/>
  </r>
  <r>
    <x v="346"/>
    <s v="ORD-04849"/>
    <x v="1"/>
    <x v="5"/>
    <x v="58"/>
    <x v="5"/>
    <x v="3"/>
    <n v="8"/>
    <n v="732"/>
    <n v="5856"/>
    <n v="600"/>
    <n v="4800"/>
    <n v="1056"/>
    <n v="0.18032786885245902"/>
  </r>
  <r>
    <x v="346"/>
    <s v="ORD-04850"/>
    <x v="0"/>
    <x v="0"/>
    <x v="42"/>
    <x v="0"/>
    <x v="0"/>
    <n v="5"/>
    <n v="3904"/>
    <n v="19520"/>
    <n v="3200"/>
    <n v="16000"/>
    <n v="3520"/>
    <n v="0.18032786885245902"/>
  </r>
  <r>
    <x v="346"/>
    <s v="ORD-04851"/>
    <x v="3"/>
    <x v="3"/>
    <x v="72"/>
    <x v="1"/>
    <x v="1"/>
    <n v="1"/>
    <n v="62550.000000000007"/>
    <n v="62550.000000000007"/>
    <n v="45000"/>
    <n v="45000"/>
    <n v="17550.000000000007"/>
    <n v="0.28057553956834541"/>
  </r>
  <r>
    <x v="346"/>
    <s v="ORD-04852"/>
    <x v="2"/>
    <x v="2"/>
    <x v="4"/>
    <x v="4"/>
    <x v="2"/>
    <n v="2"/>
    <n v="11900"/>
    <n v="23800"/>
    <n v="8500"/>
    <n v="17000"/>
    <n v="6800"/>
    <n v="0.2857142857142857"/>
  </r>
  <r>
    <x v="346"/>
    <s v="ORD-04853"/>
    <x v="1"/>
    <x v="5"/>
    <x v="148"/>
    <x v="6"/>
    <x v="3"/>
    <n v="2"/>
    <n v="1197"/>
    <n v="2394"/>
    <n v="900"/>
    <n v="1800"/>
    <n v="594"/>
    <n v="0.24812030075187969"/>
  </r>
  <r>
    <x v="346"/>
    <s v="ORD-04854"/>
    <x v="2"/>
    <x v="2"/>
    <x v="68"/>
    <x v="0"/>
    <x v="0"/>
    <n v="7"/>
    <n v="4512"/>
    <n v="31584"/>
    <n v="3200"/>
    <n v="22400"/>
    <n v="9184"/>
    <n v="0.29078014184397161"/>
  </r>
  <r>
    <x v="346"/>
    <s v="ORD-04855"/>
    <x v="1"/>
    <x v="2"/>
    <x v="58"/>
    <x v="3"/>
    <x v="0"/>
    <n v="3"/>
    <n v="3125"/>
    <n v="9375"/>
    <n v="2500"/>
    <n v="7500"/>
    <n v="1875"/>
    <n v="0.2"/>
  </r>
  <r>
    <x v="346"/>
    <s v="ORD-04856"/>
    <x v="2"/>
    <x v="4"/>
    <x v="100"/>
    <x v="2"/>
    <x v="1"/>
    <n v="7"/>
    <n v="53580"/>
    <n v="375060"/>
    <n v="38000"/>
    <n v="266000"/>
    <n v="109060"/>
    <n v="0.29078014184397161"/>
  </r>
  <r>
    <x v="347"/>
    <s v="ORD-04857"/>
    <x v="1"/>
    <x v="4"/>
    <x v="21"/>
    <x v="0"/>
    <x v="0"/>
    <n v="10"/>
    <n v="4096"/>
    <n v="40960"/>
    <n v="3200"/>
    <n v="32000"/>
    <n v="8960"/>
    <n v="0.21875"/>
  </r>
  <r>
    <x v="347"/>
    <s v="ORD-04858"/>
    <x v="1"/>
    <x v="2"/>
    <x v="26"/>
    <x v="6"/>
    <x v="3"/>
    <n v="8"/>
    <n v="1224"/>
    <n v="9792"/>
    <n v="900"/>
    <n v="7200"/>
    <n v="2592"/>
    <n v="0.26470588235294118"/>
  </r>
  <r>
    <x v="347"/>
    <s v="ORD-04859"/>
    <x v="3"/>
    <x v="3"/>
    <x v="149"/>
    <x v="1"/>
    <x v="1"/>
    <n v="8"/>
    <n v="62550.000000000007"/>
    <n v="500400.00000000006"/>
    <n v="45000"/>
    <n v="360000"/>
    <n v="140400.00000000006"/>
    <n v="0.28057553956834541"/>
  </r>
  <r>
    <x v="347"/>
    <s v="ORD-04860"/>
    <x v="0"/>
    <x v="3"/>
    <x v="138"/>
    <x v="6"/>
    <x v="3"/>
    <n v="7"/>
    <n v="1206"/>
    <n v="8442"/>
    <n v="900"/>
    <n v="6300"/>
    <n v="2142"/>
    <n v="0.2537313432835821"/>
  </r>
  <r>
    <x v="347"/>
    <s v="ORD-04861"/>
    <x v="0"/>
    <x v="0"/>
    <x v="51"/>
    <x v="6"/>
    <x v="3"/>
    <n v="2"/>
    <n v="1233"/>
    <n v="2466"/>
    <n v="900"/>
    <n v="1800"/>
    <n v="666"/>
    <n v="0.27007299270072993"/>
  </r>
  <r>
    <x v="347"/>
    <s v="ORD-04862"/>
    <x v="1"/>
    <x v="4"/>
    <x v="60"/>
    <x v="6"/>
    <x v="3"/>
    <n v="4"/>
    <n v="1080"/>
    <n v="4320"/>
    <n v="900"/>
    <n v="3600"/>
    <n v="720"/>
    <n v="0.16666666666666666"/>
  </r>
  <r>
    <x v="347"/>
    <s v="ORD-04863"/>
    <x v="3"/>
    <x v="4"/>
    <x v="128"/>
    <x v="6"/>
    <x v="3"/>
    <n v="2"/>
    <n v="1134"/>
    <n v="2268"/>
    <n v="900"/>
    <n v="1800"/>
    <n v="468"/>
    <n v="0.20634920634920634"/>
  </r>
  <r>
    <x v="347"/>
    <s v="ORD-04864"/>
    <x v="1"/>
    <x v="5"/>
    <x v="53"/>
    <x v="6"/>
    <x v="3"/>
    <n v="4"/>
    <n v="1242"/>
    <n v="4968"/>
    <n v="900"/>
    <n v="3600"/>
    <n v="1368"/>
    <n v="0.27536231884057971"/>
  </r>
  <r>
    <x v="347"/>
    <s v="ORD-04865"/>
    <x v="1"/>
    <x v="1"/>
    <x v="131"/>
    <x v="4"/>
    <x v="2"/>
    <n v="3"/>
    <n v="11559.999999999998"/>
    <n v="34679.999999999993"/>
    <n v="8500"/>
    <n v="25500"/>
    <n v="9179.9999999999927"/>
    <n v="0.26470588235294101"/>
  </r>
  <r>
    <x v="347"/>
    <s v="ORD-04866"/>
    <x v="2"/>
    <x v="5"/>
    <x v="32"/>
    <x v="4"/>
    <x v="2"/>
    <n v="6"/>
    <n v="11985"/>
    <n v="71910"/>
    <n v="8500"/>
    <n v="51000"/>
    <n v="20910"/>
    <n v="0.29078014184397161"/>
  </r>
  <r>
    <x v="347"/>
    <s v="ORD-04867"/>
    <x v="3"/>
    <x v="4"/>
    <x v="12"/>
    <x v="7"/>
    <x v="2"/>
    <n v="4"/>
    <n v="10010"/>
    <n v="40040"/>
    <n v="7000"/>
    <n v="28000"/>
    <n v="12040"/>
    <n v="0.30069930069930068"/>
  </r>
  <r>
    <x v="347"/>
    <s v="ORD-04868"/>
    <x v="2"/>
    <x v="4"/>
    <x v="140"/>
    <x v="5"/>
    <x v="3"/>
    <n v="8"/>
    <n v="762"/>
    <n v="6096"/>
    <n v="600"/>
    <n v="4800"/>
    <n v="1296"/>
    <n v="0.2125984251968504"/>
  </r>
  <r>
    <x v="347"/>
    <s v="ORD-04869"/>
    <x v="1"/>
    <x v="1"/>
    <x v="137"/>
    <x v="7"/>
    <x v="2"/>
    <n v="5"/>
    <n v="9170"/>
    <n v="45850"/>
    <n v="7000"/>
    <n v="35000"/>
    <n v="10850"/>
    <n v="0.23664122137404581"/>
  </r>
  <r>
    <x v="347"/>
    <s v="ORD-04870"/>
    <x v="0"/>
    <x v="2"/>
    <x v="27"/>
    <x v="2"/>
    <x v="1"/>
    <n v="7"/>
    <n v="52820.000000000007"/>
    <n v="369740.00000000006"/>
    <n v="38000"/>
    <n v="266000"/>
    <n v="103740.00000000006"/>
    <n v="0.28057553956834541"/>
  </r>
  <r>
    <x v="348"/>
    <s v="ORD-04871"/>
    <x v="0"/>
    <x v="5"/>
    <x v="121"/>
    <x v="4"/>
    <x v="2"/>
    <n v="9"/>
    <n v="11900"/>
    <n v="107100"/>
    <n v="8500"/>
    <n v="76500"/>
    <n v="30600"/>
    <n v="0.2857142857142857"/>
  </r>
  <r>
    <x v="348"/>
    <s v="ORD-04872"/>
    <x v="3"/>
    <x v="1"/>
    <x v="2"/>
    <x v="2"/>
    <x v="1"/>
    <n v="10"/>
    <n v="54340"/>
    <n v="543400"/>
    <n v="38000"/>
    <n v="380000"/>
    <n v="163400"/>
    <n v="0.30069930069930068"/>
  </r>
  <r>
    <x v="348"/>
    <s v="ORD-04873"/>
    <x v="0"/>
    <x v="5"/>
    <x v="93"/>
    <x v="6"/>
    <x v="3"/>
    <n v="7"/>
    <n v="1206"/>
    <n v="8442"/>
    <n v="900"/>
    <n v="6300"/>
    <n v="2142"/>
    <n v="0.2537313432835821"/>
  </r>
  <r>
    <x v="348"/>
    <s v="ORD-04874"/>
    <x v="0"/>
    <x v="0"/>
    <x v="97"/>
    <x v="1"/>
    <x v="1"/>
    <n v="2"/>
    <n v="57150"/>
    <n v="114300"/>
    <n v="45000"/>
    <n v="90000"/>
    <n v="24300"/>
    <n v="0.2125984251968504"/>
  </r>
  <r>
    <x v="348"/>
    <s v="ORD-04875"/>
    <x v="1"/>
    <x v="1"/>
    <x v="60"/>
    <x v="5"/>
    <x v="3"/>
    <n v="5"/>
    <n v="726"/>
    <n v="3630"/>
    <n v="600"/>
    <n v="3000"/>
    <n v="630"/>
    <n v="0.17355371900826447"/>
  </r>
  <r>
    <x v="348"/>
    <s v="ORD-04876"/>
    <x v="2"/>
    <x v="4"/>
    <x v="143"/>
    <x v="7"/>
    <x v="2"/>
    <n v="6"/>
    <n v="8470"/>
    <n v="50820"/>
    <n v="7000"/>
    <n v="42000"/>
    <n v="8820"/>
    <n v="0.17355371900826447"/>
  </r>
  <r>
    <x v="348"/>
    <s v="ORD-04877"/>
    <x v="0"/>
    <x v="2"/>
    <x v="141"/>
    <x v="4"/>
    <x v="2"/>
    <n v="1"/>
    <n v="11645"/>
    <n v="11645"/>
    <n v="8500"/>
    <n v="8500"/>
    <n v="3145"/>
    <n v="0.27007299270072993"/>
  </r>
  <r>
    <x v="348"/>
    <s v="ORD-04878"/>
    <x v="3"/>
    <x v="2"/>
    <x v="119"/>
    <x v="0"/>
    <x v="0"/>
    <n v="7"/>
    <n v="4000"/>
    <n v="28000"/>
    <n v="3200"/>
    <n v="22400"/>
    <n v="5600"/>
    <n v="0.2"/>
  </r>
  <r>
    <x v="348"/>
    <s v="ORD-04879"/>
    <x v="3"/>
    <x v="0"/>
    <x v="72"/>
    <x v="1"/>
    <x v="1"/>
    <n v="6"/>
    <n v="54000"/>
    <n v="324000"/>
    <n v="45000"/>
    <n v="270000"/>
    <n v="54000"/>
    <n v="0.16666666666666666"/>
  </r>
  <r>
    <x v="348"/>
    <s v="ORD-04880"/>
    <x v="0"/>
    <x v="4"/>
    <x v="72"/>
    <x v="1"/>
    <x v="1"/>
    <n v="3"/>
    <n v="61199.999999999993"/>
    <n v="183599.99999999997"/>
    <n v="45000"/>
    <n v="135000"/>
    <n v="48599.999999999971"/>
    <n v="0.26470588235294107"/>
  </r>
  <r>
    <x v="348"/>
    <s v="ORD-04881"/>
    <x v="1"/>
    <x v="0"/>
    <x v="22"/>
    <x v="3"/>
    <x v="0"/>
    <n v="5"/>
    <n v="3275"/>
    <n v="16375"/>
    <n v="2500"/>
    <n v="12500"/>
    <n v="3875"/>
    <n v="0.23664122137404581"/>
  </r>
  <r>
    <x v="348"/>
    <s v="ORD-04882"/>
    <x v="2"/>
    <x v="0"/>
    <x v="47"/>
    <x v="0"/>
    <x v="0"/>
    <n v="7"/>
    <n v="3904"/>
    <n v="27328"/>
    <n v="3200"/>
    <n v="22400"/>
    <n v="4928"/>
    <n v="0.18032786885245902"/>
  </r>
  <r>
    <x v="348"/>
    <s v="ORD-04883"/>
    <x v="2"/>
    <x v="0"/>
    <x v="78"/>
    <x v="4"/>
    <x v="2"/>
    <n v="4"/>
    <n v="12240"/>
    <n v="48960"/>
    <n v="8500"/>
    <n v="34000"/>
    <n v="14960"/>
    <n v="0.30555555555555558"/>
  </r>
  <r>
    <x v="348"/>
    <s v="ORD-04884"/>
    <x v="2"/>
    <x v="0"/>
    <x v="91"/>
    <x v="1"/>
    <x v="1"/>
    <n v="1"/>
    <n v="60750.000000000007"/>
    <n v="60750.000000000007"/>
    <n v="45000"/>
    <n v="45000"/>
    <n v="15750.000000000007"/>
    <n v="0.25925925925925936"/>
  </r>
  <r>
    <x v="349"/>
    <s v="ORD-04885"/>
    <x v="0"/>
    <x v="5"/>
    <x v="35"/>
    <x v="2"/>
    <x v="1"/>
    <n v="5"/>
    <n v="48260"/>
    <n v="241300"/>
    <n v="38000"/>
    <n v="190000"/>
    <n v="51300"/>
    <n v="0.2125984251968504"/>
  </r>
  <r>
    <x v="349"/>
    <s v="ORD-04886"/>
    <x v="2"/>
    <x v="1"/>
    <x v="10"/>
    <x v="7"/>
    <x v="2"/>
    <n v="8"/>
    <n v="9100"/>
    <n v="72800"/>
    <n v="7000"/>
    <n v="56000"/>
    <n v="16800"/>
    <n v="0.23076923076923078"/>
  </r>
  <r>
    <x v="349"/>
    <s v="ORD-04887"/>
    <x v="0"/>
    <x v="1"/>
    <x v="136"/>
    <x v="1"/>
    <x v="1"/>
    <n v="7"/>
    <n v="62999.999999999993"/>
    <n v="440999.99999999994"/>
    <n v="45000"/>
    <n v="315000"/>
    <n v="125999.99999999994"/>
    <n v="0.28571428571428564"/>
  </r>
  <r>
    <x v="349"/>
    <s v="ORD-04888"/>
    <x v="1"/>
    <x v="3"/>
    <x v="126"/>
    <x v="2"/>
    <x v="1"/>
    <n v="10"/>
    <n v="49020"/>
    <n v="490200"/>
    <n v="38000"/>
    <n v="380000"/>
    <n v="110200"/>
    <n v="0.22480620155038761"/>
  </r>
  <r>
    <x v="349"/>
    <s v="ORD-04889"/>
    <x v="2"/>
    <x v="0"/>
    <x v="110"/>
    <x v="2"/>
    <x v="1"/>
    <n v="1"/>
    <n v="50160"/>
    <n v="50160"/>
    <n v="38000"/>
    <n v="38000"/>
    <n v="12160"/>
    <n v="0.24242424242424243"/>
  </r>
  <r>
    <x v="349"/>
    <s v="ORD-04890"/>
    <x v="2"/>
    <x v="2"/>
    <x v="79"/>
    <x v="2"/>
    <x v="1"/>
    <n v="10"/>
    <n v="49780"/>
    <n v="497800"/>
    <n v="38000"/>
    <n v="380000"/>
    <n v="117800"/>
    <n v="0.23664122137404581"/>
  </r>
  <r>
    <x v="349"/>
    <s v="ORD-04891"/>
    <x v="1"/>
    <x v="1"/>
    <x v="26"/>
    <x v="5"/>
    <x v="3"/>
    <n v="4"/>
    <n v="810"/>
    <n v="3240"/>
    <n v="600"/>
    <n v="2400"/>
    <n v="840"/>
    <n v="0.25925925925925924"/>
  </r>
  <r>
    <x v="349"/>
    <s v="ORD-04892"/>
    <x v="3"/>
    <x v="3"/>
    <x v="86"/>
    <x v="5"/>
    <x v="3"/>
    <n v="6"/>
    <n v="774"/>
    <n v="4644"/>
    <n v="600"/>
    <n v="3600"/>
    <n v="1044"/>
    <n v="0.22480620155038761"/>
  </r>
  <r>
    <x v="349"/>
    <s v="ORD-04893"/>
    <x v="1"/>
    <x v="1"/>
    <x v="135"/>
    <x v="4"/>
    <x v="2"/>
    <n v="3"/>
    <n v="10710"/>
    <n v="32130"/>
    <n v="8500"/>
    <n v="25500"/>
    <n v="6630"/>
    <n v="0.20634920634920634"/>
  </r>
  <r>
    <x v="349"/>
    <s v="ORD-04894"/>
    <x v="3"/>
    <x v="1"/>
    <x v="39"/>
    <x v="3"/>
    <x v="0"/>
    <n v="7"/>
    <n v="3425.0000000000005"/>
    <n v="23975.000000000004"/>
    <n v="2500"/>
    <n v="17500"/>
    <n v="6475.0000000000036"/>
    <n v="0.27007299270073004"/>
  </r>
  <r>
    <x v="349"/>
    <s v="ORD-04895"/>
    <x v="3"/>
    <x v="1"/>
    <x v="121"/>
    <x v="7"/>
    <x v="2"/>
    <n v="1"/>
    <n v="9870"/>
    <n v="9870"/>
    <n v="7000"/>
    <n v="7000"/>
    <n v="2870"/>
    <n v="0.29078014184397161"/>
  </r>
  <r>
    <x v="349"/>
    <s v="ORD-04896"/>
    <x v="1"/>
    <x v="2"/>
    <x v="135"/>
    <x v="0"/>
    <x v="0"/>
    <n v="9"/>
    <n v="4032"/>
    <n v="36288"/>
    <n v="3200"/>
    <n v="28800"/>
    <n v="7488"/>
    <n v="0.20634920634920634"/>
  </r>
  <r>
    <x v="349"/>
    <s v="ORD-04897"/>
    <x v="2"/>
    <x v="2"/>
    <x v="93"/>
    <x v="4"/>
    <x v="2"/>
    <n v="3"/>
    <n v="10285"/>
    <n v="30855"/>
    <n v="8500"/>
    <n v="25500"/>
    <n v="5355"/>
    <n v="0.17355371900826447"/>
  </r>
  <r>
    <x v="349"/>
    <s v="ORD-04898"/>
    <x v="3"/>
    <x v="2"/>
    <x v="143"/>
    <x v="6"/>
    <x v="3"/>
    <n v="2"/>
    <n v="1233"/>
    <n v="2466"/>
    <n v="900"/>
    <n v="1800"/>
    <n v="666"/>
    <n v="0.27007299270072993"/>
  </r>
  <r>
    <x v="350"/>
    <s v="ORD-04899"/>
    <x v="3"/>
    <x v="4"/>
    <x v="123"/>
    <x v="6"/>
    <x v="3"/>
    <n v="9"/>
    <n v="1296"/>
    <n v="11664"/>
    <n v="900"/>
    <n v="8100"/>
    <n v="3564"/>
    <n v="0.30555555555555558"/>
  </r>
  <r>
    <x v="350"/>
    <s v="ORD-04900"/>
    <x v="0"/>
    <x v="2"/>
    <x v="45"/>
    <x v="4"/>
    <x v="2"/>
    <n v="10"/>
    <n v="10370"/>
    <n v="103700"/>
    <n v="8500"/>
    <n v="85000"/>
    <n v="18700"/>
    <n v="0.18032786885245902"/>
  </r>
  <r>
    <x v="350"/>
    <s v="ORD-04901"/>
    <x v="2"/>
    <x v="4"/>
    <x v="19"/>
    <x v="4"/>
    <x v="2"/>
    <n v="1"/>
    <n v="10965"/>
    <n v="10965"/>
    <n v="8500"/>
    <n v="8500"/>
    <n v="2465"/>
    <n v="0.22480620155038761"/>
  </r>
  <r>
    <x v="350"/>
    <s v="ORD-04902"/>
    <x v="3"/>
    <x v="1"/>
    <x v="122"/>
    <x v="2"/>
    <x v="1"/>
    <n v="6"/>
    <n v="51679.999999999993"/>
    <n v="310079.99999999994"/>
    <n v="38000"/>
    <n v="228000"/>
    <n v="82079.999999999942"/>
    <n v="0.26470588235294101"/>
  </r>
  <r>
    <x v="350"/>
    <s v="ORD-04903"/>
    <x v="3"/>
    <x v="3"/>
    <x v="121"/>
    <x v="5"/>
    <x v="3"/>
    <n v="9"/>
    <n v="815.99999999999989"/>
    <n v="7343.9999999999991"/>
    <n v="600"/>
    <n v="5400"/>
    <n v="1943.9999999999991"/>
    <n v="0.26470588235294107"/>
  </r>
  <r>
    <x v="350"/>
    <s v="ORD-04904"/>
    <x v="2"/>
    <x v="3"/>
    <x v="14"/>
    <x v="3"/>
    <x v="0"/>
    <n v="5"/>
    <n v="3075"/>
    <n v="15375"/>
    <n v="2500"/>
    <n v="12500"/>
    <n v="2875"/>
    <n v="0.18699186991869918"/>
  </r>
  <r>
    <x v="350"/>
    <s v="ORD-04905"/>
    <x v="2"/>
    <x v="5"/>
    <x v="123"/>
    <x v="5"/>
    <x v="3"/>
    <n v="8"/>
    <n v="786"/>
    <n v="6288"/>
    <n v="600"/>
    <n v="4800"/>
    <n v="1488"/>
    <n v="0.23664122137404581"/>
  </r>
  <r>
    <x v="350"/>
    <s v="ORD-04906"/>
    <x v="1"/>
    <x v="2"/>
    <x v="131"/>
    <x v="0"/>
    <x v="0"/>
    <n v="8"/>
    <n v="3904"/>
    <n v="31232"/>
    <n v="3200"/>
    <n v="25600"/>
    <n v="5632"/>
    <n v="0.18032786885245902"/>
  </r>
  <r>
    <x v="350"/>
    <s v="ORD-04907"/>
    <x v="3"/>
    <x v="3"/>
    <x v="80"/>
    <x v="6"/>
    <x v="3"/>
    <n v="4"/>
    <n v="1107"/>
    <n v="4428"/>
    <n v="900"/>
    <n v="3600"/>
    <n v="828"/>
    <n v="0.18699186991869918"/>
  </r>
  <r>
    <x v="350"/>
    <s v="ORD-04908"/>
    <x v="2"/>
    <x v="2"/>
    <x v="119"/>
    <x v="5"/>
    <x v="3"/>
    <n v="6"/>
    <n v="798"/>
    <n v="4788"/>
    <n v="600"/>
    <n v="3600"/>
    <n v="1188"/>
    <n v="0.24812030075187969"/>
  </r>
  <r>
    <x v="350"/>
    <s v="ORD-04909"/>
    <x v="1"/>
    <x v="2"/>
    <x v="20"/>
    <x v="0"/>
    <x v="0"/>
    <n v="5"/>
    <n v="4320"/>
    <n v="21600"/>
    <n v="3200"/>
    <n v="16000"/>
    <n v="5600"/>
    <n v="0.25925925925925924"/>
  </r>
  <r>
    <x v="350"/>
    <s v="ORD-04910"/>
    <x v="3"/>
    <x v="1"/>
    <x v="139"/>
    <x v="0"/>
    <x v="0"/>
    <n v="5"/>
    <n v="4640"/>
    <n v="23200"/>
    <n v="3200"/>
    <n v="16000"/>
    <n v="7200"/>
    <n v="0.31034482758620691"/>
  </r>
  <r>
    <x v="350"/>
    <s v="ORD-04911"/>
    <x v="1"/>
    <x v="0"/>
    <x v="46"/>
    <x v="2"/>
    <x v="1"/>
    <n v="3"/>
    <n v="47880"/>
    <n v="143640"/>
    <n v="38000"/>
    <n v="114000"/>
    <n v="29640"/>
    <n v="0.20634920634920634"/>
  </r>
  <r>
    <x v="350"/>
    <s v="ORD-04912"/>
    <x v="2"/>
    <x v="4"/>
    <x v="122"/>
    <x v="3"/>
    <x v="0"/>
    <n v="6"/>
    <n v="3625"/>
    <n v="21750"/>
    <n v="2500"/>
    <n v="15000"/>
    <n v="6750"/>
    <n v="0.31034482758620691"/>
  </r>
  <r>
    <x v="351"/>
    <s v="ORD-04913"/>
    <x v="1"/>
    <x v="4"/>
    <x v="137"/>
    <x v="3"/>
    <x v="0"/>
    <n v="3"/>
    <n v="3500"/>
    <n v="10500"/>
    <n v="2500"/>
    <n v="7500"/>
    <n v="3000"/>
    <n v="0.2857142857142857"/>
  </r>
  <r>
    <x v="351"/>
    <s v="ORD-04914"/>
    <x v="1"/>
    <x v="0"/>
    <x v="26"/>
    <x v="3"/>
    <x v="0"/>
    <n v="10"/>
    <n v="3399.9999999999995"/>
    <n v="33999.999999999993"/>
    <n v="2500"/>
    <n v="25000"/>
    <n v="8999.9999999999927"/>
    <n v="0.26470588235294101"/>
  </r>
  <r>
    <x v="351"/>
    <s v="ORD-04915"/>
    <x v="1"/>
    <x v="4"/>
    <x v="24"/>
    <x v="5"/>
    <x v="3"/>
    <n v="8"/>
    <n v="720"/>
    <n v="5760"/>
    <n v="600"/>
    <n v="4800"/>
    <n v="960"/>
    <n v="0.16666666666666666"/>
  </r>
  <r>
    <x v="351"/>
    <s v="ORD-04916"/>
    <x v="0"/>
    <x v="1"/>
    <x v="70"/>
    <x v="2"/>
    <x v="1"/>
    <n v="7"/>
    <n v="49400"/>
    <n v="345800"/>
    <n v="38000"/>
    <n v="266000"/>
    <n v="79800"/>
    <n v="0.23076923076923078"/>
  </r>
  <r>
    <x v="351"/>
    <s v="ORD-04917"/>
    <x v="1"/>
    <x v="3"/>
    <x v="93"/>
    <x v="0"/>
    <x v="0"/>
    <n v="2"/>
    <n v="4064"/>
    <n v="8128"/>
    <n v="3200"/>
    <n v="6400"/>
    <n v="1728"/>
    <n v="0.2125984251968504"/>
  </r>
  <r>
    <x v="351"/>
    <s v="ORD-04918"/>
    <x v="0"/>
    <x v="0"/>
    <x v="45"/>
    <x v="5"/>
    <x v="3"/>
    <n v="3"/>
    <n v="786"/>
    <n v="2358"/>
    <n v="600"/>
    <n v="1800"/>
    <n v="558"/>
    <n v="0.23664122137404581"/>
  </r>
  <r>
    <x v="351"/>
    <s v="ORD-04919"/>
    <x v="1"/>
    <x v="2"/>
    <x v="61"/>
    <x v="7"/>
    <x v="2"/>
    <n v="1"/>
    <n v="8960"/>
    <n v="8960"/>
    <n v="7000"/>
    <n v="7000"/>
    <n v="1960"/>
    <n v="0.21875"/>
  </r>
  <r>
    <x v="351"/>
    <s v="ORD-04920"/>
    <x v="3"/>
    <x v="0"/>
    <x v="1"/>
    <x v="3"/>
    <x v="0"/>
    <n v="3"/>
    <n v="3250"/>
    <n v="9750"/>
    <n v="2500"/>
    <n v="7500"/>
    <n v="2250"/>
    <n v="0.23076923076923078"/>
  </r>
  <r>
    <x v="351"/>
    <s v="ORD-04921"/>
    <x v="2"/>
    <x v="3"/>
    <x v="51"/>
    <x v="5"/>
    <x v="3"/>
    <n v="2"/>
    <n v="738"/>
    <n v="1476"/>
    <n v="600"/>
    <n v="1200"/>
    <n v="276"/>
    <n v="0.18699186991869918"/>
  </r>
  <r>
    <x v="351"/>
    <s v="ORD-04922"/>
    <x v="1"/>
    <x v="1"/>
    <x v="129"/>
    <x v="4"/>
    <x v="2"/>
    <n v="4"/>
    <n v="12070"/>
    <n v="48280"/>
    <n v="8500"/>
    <n v="34000"/>
    <n v="14280"/>
    <n v="0.29577464788732394"/>
  </r>
  <r>
    <x v="351"/>
    <s v="ORD-04923"/>
    <x v="1"/>
    <x v="2"/>
    <x v="89"/>
    <x v="0"/>
    <x v="0"/>
    <n v="4"/>
    <n v="4160"/>
    <n v="16640"/>
    <n v="3200"/>
    <n v="12800"/>
    <n v="3840"/>
    <n v="0.23076923076923078"/>
  </r>
  <r>
    <x v="351"/>
    <s v="ORD-04924"/>
    <x v="3"/>
    <x v="1"/>
    <x v="62"/>
    <x v="5"/>
    <x v="3"/>
    <n v="1"/>
    <n v="774"/>
    <n v="774"/>
    <n v="600"/>
    <n v="600"/>
    <n v="174"/>
    <n v="0.22480620155038761"/>
  </r>
  <r>
    <x v="351"/>
    <s v="ORD-04925"/>
    <x v="1"/>
    <x v="1"/>
    <x v="103"/>
    <x v="7"/>
    <x v="2"/>
    <n v="9"/>
    <n v="9100"/>
    <n v="81900"/>
    <n v="7000"/>
    <n v="63000"/>
    <n v="18900"/>
    <n v="0.23076923076923078"/>
  </r>
  <r>
    <x v="351"/>
    <s v="ORD-04926"/>
    <x v="2"/>
    <x v="5"/>
    <x v="53"/>
    <x v="5"/>
    <x v="3"/>
    <n v="1"/>
    <n v="834.00000000000011"/>
    <n v="834.00000000000011"/>
    <n v="600"/>
    <n v="600"/>
    <n v="234.00000000000011"/>
    <n v="0.28057553956834541"/>
  </r>
  <r>
    <x v="352"/>
    <s v="ORD-04927"/>
    <x v="1"/>
    <x v="4"/>
    <x v="141"/>
    <x v="7"/>
    <x v="2"/>
    <n v="10"/>
    <n v="9800"/>
    <n v="98000"/>
    <n v="7000"/>
    <n v="70000"/>
    <n v="28000"/>
    <n v="0.2857142857142857"/>
  </r>
  <r>
    <x v="352"/>
    <s v="ORD-04928"/>
    <x v="1"/>
    <x v="4"/>
    <x v="55"/>
    <x v="0"/>
    <x v="0"/>
    <n v="10"/>
    <n v="4640"/>
    <n v="46400"/>
    <n v="3200"/>
    <n v="32000"/>
    <n v="14400"/>
    <n v="0.31034482758620691"/>
  </r>
  <r>
    <x v="352"/>
    <s v="ORD-04929"/>
    <x v="1"/>
    <x v="1"/>
    <x v="15"/>
    <x v="3"/>
    <x v="0"/>
    <n v="10"/>
    <n v="3150"/>
    <n v="31500"/>
    <n v="2500"/>
    <n v="25000"/>
    <n v="6500"/>
    <n v="0.20634920634920634"/>
  </r>
  <r>
    <x v="352"/>
    <s v="ORD-04930"/>
    <x v="1"/>
    <x v="2"/>
    <x v="57"/>
    <x v="3"/>
    <x v="0"/>
    <n v="9"/>
    <n v="3525"/>
    <n v="31725"/>
    <n v="2500"/>
    <n v="22500"/>
    <n v="9225"/>
    <n v="0.29078014184397161"/>
  </r>
  <r>
    <x v="352"/>
    <s v="ORD-04931"/>
    <x v="2"/>
    <x v="2"/>
    <x v="15"/>
    <x v="5"/>
    <x v="3"/>
    <n v="7"/>
    <n v="756"/>
    <n v="5292"/>
    <n v="600"/>
    <n v="4200"/>
    <n v="1092"/>
    <n v="0.20634920634920634"/>
  </r>
  <r>
    <x v="352"/>
    <s v="ORD-04932"/>
    <x v="0"/>
    <x v="1"/>
    <x v="5"/>
    <x v="6"/>
    <x v="3"/>
    <n v="3"/>
    <n v="1215"/>
    <n v="3645"/>
    <n v="900"/>
    <n v="2700"/>
    <n v="945"/>
    <n v="0.25925925925925924"/>
  </r>
  <r>
    <x v="352"/>
    <s v="ORD-04933"/>
    <x v="2"/>
    <x v="0"/>
    <x v="84"/>
    <x v="5"/>
    <x v="3"/>
    <n v="4"/>
    <n v="768"/>
    <n v="3072"/>
    <n v="600"/>
    <n v="2400"/>
    <n v="672"/>
    <n v="0.21875"/>
  </r>
  <r>
    <x v="352"/>
    <s v="ORD-04934"/>
    <x v="3"/>
    <x v="2"/>
    <x v="47"/>
    <x v="4"/>
    <x v="2"/>
    <n v="9"/>
    <n v="11475"/>
    <n v="103275"/>
    <n v="8500"/>
    <n v="76500"/>
    <n v="26775"/>
    <n v="0.25925925925925924"/>
  </r>
  <r>
    <x v="352"/>
    <s v="ORD-04935"/>
    <x v="1"/>
    <x v="0"/>
    <x v="89"/>
    <x v="5"/>
    <x v="3"/>
    <n v="7"/>
    <n v="774"/>
    <n v="5418"/>
    <n v="600"/>
    <n v="4200"/>
    <n v="1218"/>
    <n v="0.22480620155038761"/>
  </r>
  <r>
    <x v="352"/>
    <s v="ORD-04936"/>
    <x v="2"/>
    <x v="0"/>
    <x v="91"/>
    <x v="3"/>
    <x v="0"/>
    <n v="9"/>
    <n v="3525"/>
    <n v="31725"/>
    <n v="2500"/>
    <n v="22500"/>
    <n v="9225"/>
    <n v="0.29078014184397161"/>
  </r>
  <r>
    <x v="352"/>
    <s v="ORD-04937"/>
    <x v="1"/>
    <x v="4"/>
    <x v="81"/>
    <x v="6"/>
    <x v="3"/>
    <n v="10"/>
    <n v="1089"/>
    <n v="10890"/>
    <n v="900"/>
    <n v="9000"/>
    <n v="1890"/>
    <n v="0.17355371900826447"/>
  </r>
  <r>
    <x v="352"/>
    <s v="ORD-04938"/>
    <x v="1"/>
    <x v="4"/>
    <x v="129"/>
    <x v="6"/>
    <x v="3"/>
    <n v="3"/>
    <n v="1287"/>
    <n v="3861"/>
    <n v="900"/>
    <n v="2700"/>
    <n v="1161"/>
    <n v="0.30069930069930068"/>
  </r>
  <r>
    <x v="352"/>
    <s v="ORD-04939"/>
    <x v="1"/>
    <x v="0"/>
    <x v="100"/>
    <x v="2"/>
    <x v="1"/>
    <n v="8"/>
    <n v="46740"/>
    <n v="373920"/>
    <n v="38000"/>
    <n v="304000"/>
    <n v="69920"/>
    <n v="0.18699186991869918"/>
  </r>
  <r>
    <x v="352"/>
    <s v="ORD-04940"/>
    <x v="1"/>
    <x v="4"/>
    <x v="28"/>
    <x v="5"/>
    <x v="3"/>
    <n v="8"/>
    <n v="846"/>
    <n v="6768"/>
    <n v="600"/>
    <n v="4800"/>
    <n v="1968"/>
    <n v="0.29078014184397161"/>
  </r>
  <r>
    <x v="353"/>
    <s v="ORD-04941"/>
    <x v="2"/>
    <x v="2"/>
    <x v="1"/>
    <x v="6"/>
    <x v="3"/>
    <n v="3"/>
    <n v="1188"/>
    <n v="3564"/>
    <n v="900"/>
    <n v="2700"/>
    <n v="864"/>
    <n v="0.24242424242424243"/>
  </r>
  <r>
    <x v="353"/>
    <s v="ORD-04942"/>
    <x v="0"/>
    <x v="5"/>
    <x v="96"/>
    <x v="7"/>
    <x v="2"/>
    <n v="10"/>
    <n v="8750"/>
    <n v="87500"/>
    <n v="7000"/>
    <n v="70000"/>
    <n v="17500"/>
    <n v="0.2"/>
  </r>
  <r>
    <x v="353"/>
    <s v="ORD-04943"/>
    <x v="1"/>
    <x v="3"/>
    <x v="63"/>
    <x v="0"/>
    <x v="0"/>
    <n v="9"/>
    <n v="4320"/>
    <n v="38880"/>
    <n v="3200"/>
    <n v="28800"/>
    <n v="10080"/>
    <n v="0.25925925925925924"/>
  </r>
  <r>
    <x v="353"/>
    <s v="ORD-04944"/>
    <x v="2"/>
    <x v="1"/>
    <x v="140"/>
    <x v="4"/>
    <x v="2"/>
    <n v="9"/>
    <n v="10795"/>
    <n v="97155"/>
    <n v="8500"/>
    <n v="76500"/>
    <n v="20655"/>
    <n v="0.2125984251968504"/>
  </r>
  <r>
    <x v="353"/>
    <s v="ORD-04945"/>
    <x v="3"/>
    <x v="3"/>
    <x v="84"/>
    <x v="6"/>
    <x v="3"/>
    <n v="5"/>
    <n v="1098"/>
    <n v="5490"/>
    <n v="900"/>
    <n v="4500"/>
    <n v="990"/>
    <n v="0.18032786885245902"/>
  </r>
  <r>
    <x v="353"/>
    <s v="ORD-04946"/>
    <x v="1"/>
    <x v="1"/>
    <x v="17"/>
    <x v="3"/>
    <x v="0"/>
    <n v="7"/>
    <n v="3550"/>
    <n v="24850"/>
    <n v="2500"/>
    <n v="17500"/>
    <n v="7350"/>
    <n v="0.29577464788732394"/>
  </r>
  <r>
    <x v="353"/>
    <s v="ORD-04947"/>
    <x v="3"/>
    <x v="0"/>
    <x v="48"/>
    <x v="1"/>
    <x v="1"/>
    <n v="4"/>
    <n v="55800"/>
    <n v="223200"/>
    <n v="45000"/>
    <n v="180000"/>
    <n v="43200"/>
    <n v="0.19354838709677419"/>
  </r>
  <r>
    <x v="353"/>
    <s v="ORD-04948"/>
    <x v="1"/>
    <x v="1"/>
    <x v="59"/>
    <x v="1"/>
    <x v="1"/>
    <n v="1"/>
    <n v="58950"/>
    <n v="58950"/>
    <n v="45000"/>
    <n v="45000"/>
    <n v="13950"/>
    <n v="0.23664122137404581"/>
  </r>
  <r>
    <x v="353"/>
    <s v="ORD-04949"/>
    <x v="2"/>
    <x v="5"/>
    <x v="61"/>
    <x v="5"/>
    <x v="3"/>
    <n v="6"/>
    <n v="798"/>
    <n v="4788"/>
    <n v="600"/>
    <n v="3600"/>
    <n v="1188"/>
    <n v="0.24812030075187969"/>
  </r>
  <r>
    <x v="353"/>
    <s v="ORD-04950"/>
    <x v="1"/>
    <x v="1"/>
    <x v="65"/>
    <x v="3"/>
    <x v="0"/>
    <n v="5"/>
    <n v="3050"/>
    <n v="15250"/>
    <n v="2500"/>
    <n v="12500"/>
    <n v="2750"/>
    <n v="0.18032786885245902"/>
  </r>
  <r>
    <x v="353"/>
    <s v="ORD-04951"/>
    <x v="0"/>
    <x v="4"/>
    <x v="99"/>
    <x v="5"/>
    <x v="3"/>
    <n v="5"/>
    <n v="780"/>
    <n v="3900"/>
    <n v="600"/>
    <n v="3000"/>
    <n v="900"/>
    <n v="0.23076923076923078"/>
  </r>
  <r>
    <x v="353"/>
    <s v="ORD-04952"/>
    <x v="2"/>
    <x v="0"/>
    <x v="79"/>
    <x v="3"/>
    <x v="0"/>
    <n v="6"/>
    <n v="3025"/>
    <n v="18150"/>
    <n v="2500"/>
    <n v="15000"/>
    <n v="3150"/>
    <n v="0.17355371900826447"/>
  </r>
  <r>
    <x v="353"/>
    <s v="ORD-04953"/>
    <x v="2"/>
    <x v="1"/>
    <x v="124"/>
    <x v="4"/>
    <x v="2"/>
    <n v="6"/>
    <n v="11645"/>
    <n v="69870"/>
    <n v="8500"/>
    <n v="51000"/>
    <n v="18870"/>
    <n v="0.27007299270072993"/>
  </r>
  <r>
    <x v="353"/>
    <s v="ORD-04954"/>
    <x v="3"/>
    <x v="4"/>
    <x v="111"/>
    <x v="3"/>
    <x v="0"/>
    <n v="5"/>
    <n v="3425.0000000000005"/>
    <n v="17125.000000000004"/>
    <n v="2500"/>
    <n v="12500"/>
    <n v="4625.0000000000036"/>
    <n v="0.2700729927007301"/>
  </r>
  <r>
    <x v="354"/>
    <s v="ORD-04955"/>
    <x v="0"/>
    <x v="4"/>
    <x v="56"/>
    <x v="7"/>
    <x v="2"/>
    <n v="1"/>
    <n v="10010"/>
    <n v="10010"/>
    <n v="7000"/>
    <n v="7000"/>
    <n v="3010"/>
    <n v="0.30069930069930068"/>
  </r>
  <r>
    <x v="354"/>
    <s v="ORD-04956"/>
    <x v="0"/>
    <x v="0"/>
    <x v="0"/>
    <x v="3"/>
    <x v="0"/>
    <n v="3"/>
    <n v="3350"/>
    <n v="10050"/>
    <n v="2500"/>
    <n v="7500"/>
    <n v="2550"/>
    <n v="0.2537313432835821"/>
  </r>
  <r>
    <x v="354"/>
    <s v="ORD-04957"/>
    <x v="3"/>
    <x v="5"/>
    <x v="65"/>
    <x v="0"/>
    <x v="0"/>
    <n v="8"/>
    <n v="4416"/>
    <n v="35328"/>
    <n v="3200"/>
    <n v="25600"/>
    <n v="9728"/>
    <n v="0.27536231884057971"/>
  </r>
  <r>
    <x v="354"/>
    <s v="ORD-04958"/>
    <x v="0"/>
    <x v="2"/>
    <x v="105"/>
    <x v="5"/>
    <x v="3"/>
    <n v="3"/>
    <n v="744"/>
    <n v="2232"/>
    <n v="600"/>
    <n v="1800"/>
    <n v="432"/>
    <n v="0.19354838709677419"/>
  </r>
  <r>
    <x v="354"/>
    <s v="ORD-04959"/>
    <x v="0"/>
    <x v="1"/>
    <x v="64"/>
    <x v="7"/>
    <x v="2"/>
    <n v="6"/>
    <n v="8680"/>
    <n v="52080"/>
    <n v="7000"/>
    <n v="42000"/>
    <n v="10080"/>
    <n v="0.19354838709677419"/>
  </r>
  <r>
    <x v="354"/>
    <s v="ORD-04960"/>
    <x v="3"/>
    <x v="2"/>
    <x v="55"/>
    <x v="6"/>
    <x v="3"/>
    <n v="1"/>
    <n v="1134"/>
    <n v="1134"/>
    <n v="900"/>
    <n v="900"/>
    <n v="234"/>
    <n v="0.20634920634920634"/>
  </r>
  <r>
    <x v="354"/>
    <s v="ORD-04961"/>
    <x v="0"/>
    <x v="3"/>
    <x v="124"/>
    <x v="2"/>
    <x v="1"/>
    <n v="9"/>
    <n v="47120"/>
    <n v="424080"/>
    <n v="38000"/>
    <n v="342000"/>
    <n v="82080"/>
    <n v="0.19354838709677419"/>
  </r>
  <r>
    <x v="354"/>
    <s v="ORD-04962"/>
    <x v="1"/>
    <x v="2"/>
    <x v="46"/>
    <x v="5"/>
    <x v="3"/>
    <n v="5"/>
    <n v="798"/>
    <n v="3990"/>
    <n v="600"/>
    <n v="3000"/>
    <n v="990"/>
    <n v="0.24812030075187969"/>
  </r>
  <r>
    <x v="354"/>
    <s v="ORD-04963"/>
    <x v="1"/>
    <x v="3"/>
    <x v="11"/>
    <x v="1"/>
    <x v="1"/>
    <n v="6"/>
    <n v="58500"/>
    <n v="351000"/>
    <n v="45000"/>
    <n v="270000"/>
    <n v="81000"/>
    <n v="0.23076923076923078"/>
  </r>
  <r>
    <x v="354"/>
    <s v="ORD-04964"/>
    <x v="2"/>
    <x v="5"/>
    <x v="34"/>
    <x v="2"/>
    <x v="1"/>
    <n v="2"/>
    <n v="46740"/>
    <n v="93480"/>
    <n v="38000"/>
    <n v="76000"/>
    <n v="17480"/>
    <n v="0.18699186991869918"/>
  </r>
  <r>
    <x v="354"/>
    <s v="ORD-04965"/>
    <x v="1"/>
    <x v="4"/>
    <x v="139"/>
    <x v="3"/>
    <x v="0"/>
    <n v="3"/>
    <n v="3075"/>
    <n v="9225"/>
    <n v="2500"/>
    <n v="7500"/>
    <n v="1725"/>
    <n v="0.18699186991869918"/>
  </r>
  <r>
    <x v="354"/>
    <s v="ORD-04966"/>
    <x v="2"/>
    <x v="4"/>
    <x v="47"/>
    <x v="5"/>
    <x v="3"/>
    <n v="4"/>
    <n v="846"/>
    <n v="3384"/>
    <n v="600"/>
    <n v="2400"/>
    <n v="984"/>
    <n v="0.29078014184397161"/>
  </r>
  <r>
    <x v="354"/>
    <s v="ORD-04967"/>
    <x v="0"/>
    <x v="4"/>
    <x v="109"/>
    <x v="4"/>
    <x v="2"/>
    <n v="7"/>
    <n v="12155"/>
    <n v="85085"/>
    <n v="8500"/>
    <n v="59500"/>
    <n v="25585"/>
    <n v="0.30069930069930068"/>
  </r>
  <r>
    <x v="354"/>
    <s v="ORD-04968"/>
    <x v="2"/>
    <x v="0"/>
    <x v="50"/>
    <x v="5"/>
    <x v="3"/>
    <n v="1"/>
    <n v="768"/>
    <n v="768"/>
    <n v="600"/>
    <n v="600"/>
    <n v="168"/>
    <n v="0.21875"/>
  </r>
  <r>
    <x v="355"/>
    <s v="ORD-04969"/>
    <x v="0"/>
    <x v="4"/>
    <x v="31"/>
    <x v="1"/>
    <x v="1"/>
    <n v="10"/>
    <n v="56250"/>
    <n v="562500"/>
    <n v="45000"/>
    <n v="450000"/>
    <n v="112500"/>
    <n v="0.2"/>
  </r>
  <r>
    <x v="355"/>
    <s v="ORD-04970"/>
    <x v="1"/>
    <x v="2"/>
    <x v="59"/>
    <x v="0"/>
    <x v="0"/>
    <n v="6"/>
    <n v="4096"/>
    <n v="24576"/>
    <n v="3200"/>
    <n v="19200"/>
    <n v="5376"/>
    <n v="0.21875"/>
  </r>
  <r>
    <x v="355"/>
    <s v="ORD-04971"/>
    <x v="3"/>
    <x v="5"/>
    <x v="12"/>
    <x v="5"/>
    <x v="3"/>
    <n v="5"/>
    <n v="738"/>
    <n v="3690"/>
    <n v="600"/>
    <n v="3000"/>
    <n v="690"/>
    <n v="0.18699186991869918"/>
  </r>
  <r>
    <x v="355"/>
    <s v="ORD-04972"/>
    <x v="1"/>
    <x v="1"/>
    <x v="86"/>
    <x v="2"/>
    <x v="1"/>
    <n v="1"/>
    <n v="51300"/>
    <n v="51300"/>
    <n v="38000"/>
    <n v="38000"/>
    <n v="13300"/>
    <n v="0.25925925925925924"/>
  </r>
  <r>
    <x v="355"/>
    <s v="ORD-04973"/>
    <x v="1"/>
    <x v="4"/>
    <x v="100"/>
    <x v="4"/>
    <x v="2"/>
    <n v="4"/>
    <n v="11900"/>
    <n v="47600"/>
    <n v="8500"/>
    <n v="34000"/>
    <n v="13600"/>
    <n v="0.2857142857142857"/>
  </r>
  <r>
    <x v="355"/>
    <s v="ORD-04974"/>
    <x v="0"/>
    <x v="2"/>
    <x v="47"/>
    <x v="3"/>
    <x v="0"/>
    <n v="2"/>
    <n v="3425.0000000000005"/>
    <n v="6850.0000000000009"/>
    <n v="2500"/>
    <n v="5000"/>
    <n v="1850.0000000000009"/>
    <n v="0.27007299270073004"/>
  </r>
  <r>
    <x v="355"/>
    <s v="ORD-04975"/>
    <x v="1"/>
    <x v="1"/>
    <x v="75"/>
    <x v="7"/>
    <x v="2"/>
    <n v="9"/>
    <n v="8680"/>
    <n v="78120"/>
    <n v="7000"/>
    <n v="63000"/>
    <n v="15120"/>
    <n v="0.19354838709677419"/>
  </r>
  <r>
    <x v="355"/>
    <s v="ORD-04976"/>
    <x v="0"/>
    <x v="4"/>
    <x v="114"/>
    <x v="2"/>
    <x v="1"/>
    <n v="8"/>
    <n v="45600"/>
    <n v="364800"/>
    <n v="38000"/>
    <n v="304000"/>
    <n v="60800"/>
    <n v="0.16666666666666666"/>
  </r>
  <r>
    <x v="355"/>
    <s v="ORD-04977"/>
    <x v="1"/>
    <x v="1"/>
    <x v="83"/>
    <x v="6"/>
    <x v="3"/>
    <n v="10"/>
    <n v="1179"/>
    <n v="11790"/>
    <n v="900"/>
    <n v="9000"/>
    <n v="2790"/>
    <n v="0.23664122137404581"/>
  </r>
  <r>
    <x v="355"/>
    <s v="ORD-04978"/>
    <x v="3"/>
    <x v="0"/>
    <x v="47"/>
    <x v="2"/>
    <x v="1"/>
    <n v="7"/>
    <n v="50540"/>
    <n v="353780"/>
    <n v="38000"/>
    <n v="266000"/>
    <n v="87780"/>
    <n v="0.24812030075187969"/>
  </r>
  <r>
    <x v="355"/>
    <s v="ORD-04979"/>
    <x v="0"/>
    <x v="3"/>
    <x v="76"/>
    <x v="7"/>
    <x v="2"/>
    <n v="8"/>
    <n v="9310"/>
    <n v="74480"/>
    <n v="7000"/>
    <n v="56000"/>
    <n v="18480"/>
    <n v="0.24812030075187969"/>
  </r>
  <r>
    <x v="355"/>
    <s v="ORD-04980"/>
    <x v="0"/>
    <x v="3"/>
    <x v="69"/>
    <x v="4"/>
    <x v="2"/>
    <n v="5"/>
    <n v="11815.000000000002"/>
    <n v="59075.000000000007"/>
    <n v="8500"/>
    <n v="42500"/>
    <n v="16575.000000000007"/>
    <n v="0.28057553956834541"/>
  </r>
  <r>
    <x v="355"/>
    <s v="ORD-04981"/>
    <x v="0"/>
    <x v="2"/>
    <x v="52"/>
    <x v="6"/>
    <x v="3"/>
    <n v="3"/>
    <n v="1197"/>
    <n v="3591"/>
    <n v="900"/>
    <n v="2700"/>
    <n v="891"/>
    <n v="0.24812030075187969"/>
  </r>
  <r>
    <x v="355"/>
    <s v="ORD-04982"/>
    <x v="1"/>
    <x v="5"/>
    <x v="143"/>
    <x v="2"/>
    <x v="1"/>
    <n v="8"/>
    <n v="50160"/>
    <n v="401280"/>
    <n v="38000"/>
    <n v="304000"/>
    <n v="97280"/>
    <n v="0.24242424242424243"/>
  </r>
  <r>
    <x v="356"/>
    <s v="ORD-04983"/>
    <x v="3"/>
    <x v="2"/>
    <x v="55"/>
    <x v="6"/>
    <x v="3"/>
    <n v="9"/>
    <n v="1107"/>
    <n v="9963"/>
    <n v="900"/>
    <n v="8100"/>
    <n v="1863"/>
    <n v="0.18699186991869918"/>
  </r>
  <r>
    <x v="356"/>
    <s v="ORD-04984"/>
    <x v="3"/>
    <x v="0"/>
    <x v="136"/>
    <x v="0"/>
    <x v="0"/>
    <n v="8"/>
    <n v="4640"/>
    <n v="37120"/>
    <n v="3200"/>
    <n v="25600"/>
    <n v="11520"/>
    <n v="0.31034482758620691"/>
  </r>
  <r>
    <x v="356"/>
    <s v="ORD-04985"/>
    <x v="3"/>
    <x v="1"/>
    <x v="3"/>
    <x v="6"/>
    <x v="3"/>
    <n v="8"/>
    <n v="1242"/>
    <n v="9936"/>
    <n v="900"/>
    <n v="7200"/>
    <n v="2736"/>
    <n v="0.27536231884057971"/>
  </r>
  <r>
    <x v="356"/>
    <s v="ORD-04986"/>
    <x v="1"/>
    <x v="3"/>
    <x v="4"/>
    <x v="5"/>
    <x v="3"/>
    <n v="10"/>
    <n v="815.99999999999989"/>
    <n v="8159.9999999999991"/>
    <n v="600"/>
    <n v="6000"/>
    <n v="2159.9999999999991"/>
    <n v="0.26470588235294107"/>
  </r>
  <r>
    <x v="356"/>
    <s v="ORD-04987"/>
    <x v="1"/>
    <x v="4"/>
    <x v="54"/>
    <x v="2"/>
    <x v="1"/>
    <n v="4"/>
    <n v="52820.000000000007"/>
    <n v="211280.00000000003"/>
    <n v="38000"/>
    <n v="152000"/>
    <n v="59280.000000000029"/>
    <n v="0.28057553956834541"/>
  </r>
  <r>
    <x v="356"/>
    <s v="ORD-04988"/>
    <x v="0"/>
    <x v="1"/>
    <x v="80"/>
    <x v="7"/>
    <x v="2"/>
    <n v="1"/>
    <n v="9520"/>
    <n v="9520"/>
    <n v="7000"/>
    <n v="7000"/>
    <n v="2520"/>
    <n v="0.26470588235294118"/>
  </r>
  <r>
    <x v="356"/>
    <s v="ORD-04989"/>
    <x v="0"/>
    <x v="2"/>
    <x v="146"/>
    <x v="6"/>
    <x v="3"/>
    <n v="10"/>
    <n v="1179"/>
    <n v="11790"/>
    <n v="900"/>
    <n v="9000"/>
    <n v="2790"/>
    <n v="0.23664122137404581"/>
  </r>
  <r>
    <x v="356"/>
    <s v="ORD-04990"/>
    <x v="3"/>
    <x v="0"/>
    <x v="0"/>
    <x v="1"/>
    <x v="1"/>
    <n v="8"/>
    <n v="63900"/>
    <n v="511200"/>
    <n v="45000"/>
    <n v="360000"/>
    <n v="151200"/>
    <n v="0.29577464788732394"/>
  </r>
  <r>
    <x v="356"/>
    <s v="ORD-04991"/>
    <x v="3"/>
    <x v="2"/>
    <x v="139"/>
    <x v="1"/>
    <x v="1"/>
    <n v="3"/>
    <n v="62099.999999999993"/>
    <n v="186299.99999999997"/>
    <n v="45000"/>
    <n v="135000"/>
    <n v="51299.999999999971"/>
    <n v="0.2753623188405796"/>
  </r>
  <r>
    <x v="356"/>
    <s v="ORD-04992"/>
    <x v="3"/>
    <x v="0"/>
    <x v="125"/>
    <x v="1"/>
    <x v="1"/>
    <n v="3"/>
    <n v="62999.999999999993"/>
    <n v="188999.99999999997"/>
    <n v="45000"/>
    <n v="135000"/>
    <n v="53999.999999999971"/>
    <n v="0.28571428571428559"/>
  </r>
  <r>
    <x v="356"/>
    <s v="ORD-04993"/>
    <x v="0"/>
    <x v="1"/>
    <x v="133"/>
    <x v="7"/>
    <x v="2"/>
    <n v="9"/>
    <n v="8750"/>
    <n v="78750"/>
    <n v="7000"/>
    <n v="63000"/>
    <n v="15750"/>
    <n v="0.2"/>
  </r>
  <r>
    <x v="356"/>
    <s v="ORD-04994"/>
    <x v="1"/>
    <x v="1"/>
    <x v="1"/>
    <x v="1"/>
    <x v="1"/>
    <n v="6"/>
    <n v="56250"/>
    <n v="337500"/>
    <n v="45000"/>
    <n v="270000"/>
    <n v="67500"/>
    <n v="0.2"/>
  </r>
  <r>
    <x v="356"/>
    <s v="ORD-04995"/>
    <x v="2"/>
    <x v="5"/>
    <x v="138"/>
    <x v="2"/>
    <x v="1"/>
    <n v="8"/>
    <n v="50160"/>
    <n v="401280"/>
    <n v="38000"/>
    <n v="304000"/>
    <n v="97280"/>
    <n v="0.24242424242424243"/>
  </r>
  <r>
    <x v="356"/>
    <s v="ORD-04996"/>
    <x v="3"/>
    <x v="3"/>
    <x v="89"/>
    <x v="1"/>
    <x v="1"/>
    <n v="9"/>
    <n v="55800"/>
    <n v="502200"/>
    <n v="45000"/>
    <n v="405000"/>
    <n v="97200"/>
    <n v="0.19354838709677419"/>
  </r>
  <r>
    <x v="357"/>
    <s v="ORD-04997"/>
    <x v="3"/>
    <x v="1"/>
    <x v="136"/>
    <x v="4"/>
    <x v="2"/>
    <n v="1"/>
    <n v="11305"/>
    <n v="11305"/>
    <n v="8500"/>
    <n v="8500"/>
    <n v="2805"/>
    <n v="0.24812030075187969"/>
  </r>
  <r>
    <x v="357"/>
    <s v="ORD-04998"/>
    <x v="0"/>
    <x v="0"/>
    <x v="113"/>
    <x v="2"/>
    <x v="1"/>
    <n v="3"/>
    <n v="51300"/>
    <n v="153900"/>
    <n v="38000"/>
    <n v="114000"/>
    <n v="39900"/>
    <n v="0.25925925925925924"/>
  </r>
  <r>
    <x v="357"/>
    <s v="ORD-04999"/>
    <x v="0"/>
    <x v="5"/>
    <x v="127"/>
    <x v="1"/>
    <x v="1"/>
    <n v="6"/>
    <n v="56250"/>
    <n v="337500"/>
    <n v="45000"/>
    <n v="270000"/>
    <n v="67500"/>
    <n v="0.2"/>
  </r>
  <r>
    <x v="357"/>
    <s v="ORD-05000"/>
    <x v="1"/>
    <x v="3"/>
    <x v="70"/>
    <x v="6"/>
    <x v="3"/>
    <n v="3"/>
    <n v="1179"/>
    <n v="3537"/>
    <n v="900"/>
    <n v="2700"/>
    <n v="837"/>
    <n v="0.2366412213740458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010A4C2-F690-438D-9E9A-DDE573A18FDC}" name="Top 10 Customers"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Customer">
  <location ref="P3:Q14" firstHeaderRow="1" firstDataRow="1" firstDataCol="1"/>
  <pivotFields count="16">
    <pivotField numFmtId="173" showAll="0">
      <items count="35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t="default"/>
      </items>
    </pivotField>
    <pivotField showAll="0"/>
    <pivotField showAll="0">
      <items count="5">
        <item x="0"/>
        <item x="2"/>
        <item x="1"/>
        <item x="3"/>
        <item t="default"/>
      </items>
    </pivotField>
    <pivotField showAll="0">
      <items count="7">
        <item x="1"/>
        <item x="3"/>
        <item x="0"/>
        <item x="2"/>
        <item x="4"/>
        <item x="5"/>
        <item t="default"/>
      </items>
    </pivotField>
    <pivotField axis="axisRow" showAll="0" measureFilter="1" sortType="descending">
      <items count="151">
        <item x="42"/>
        <item x="17"/>
        <item x="33"/>
        <item x="49"/>
        <item x="5"/>
        <item x="130"/>
        <item x="37"/>
        <item x="6"/>
        <item x="66"/>
        <item x="39"/>
        <item x="70"/>
        <item x="44"/>
        <item x="79"/>
        <item x="50"/>
        <item x="139"/>
        <item x="21"/>
        <item x="140"/>
        <item x="106"/>
        <item x="138"/>
        <item x="59"/>
        <item x="108"/>
        <item x="69"/>
        <item x="34"/>
        <item x="118"/>
        <item x="2"/>
        <item x="83"/>
        <item x="121"/>
        <item x="123"/>
        <item x="113"/>
        <item x="127"/>
        <item x="120"/>
        <item x="9"/>
        <item x="47"/>
        <item x="24"/>
        <item x="97"/>
        <item x="20"/>
        <item x="146"/>
        <item x="93"/>
        <item x="109"/>
        <item x="124"/>
        <item x="13"/>
        <item x="103"/>
        <item x="114"/>
        <item x="53"/>
        <item x="43"/>
        <item x="77"/>
        <item x="65"/>
        <item x="133"/>
        <item x="75"/>
        <item x="26"/>
        <item x="1"/>
        <item x="45"/>
        <item x="55"/>
        <item x="99"/>
        <item x="23"/>
        <item x="86"/>
        <item x="122"/>
        <item x="101"/>
        <item x="52"/>
        <item x="92"/>
        <item x="25"/>
        <item x="19"/>
        <item x="72"/>
        <item x="89"/>
        <item x="7"/>
        <item x="135"/>
        <item x="0"/>
        <item x="125"/>
        <item x="88"/>
        <item x="28"/>
        <item x="31"/>
        <item x="128"/>
        <item x="132"/>
        <item x="10"/>
        <item x="58"/>
        <item x="73"/>
        <item x="147"/>
        <item x="54"/>
        <item x="129"/>
        <item x="104"/>
        <item x="102"/>
        <item x="56"/>
        <item x="87"/>
        <item x="85"/>
        <item x="131"/>
        <item x="90"/>
        <item x="141"/>
        <item x="63"/>
        <item x="32"/>
        <item x="57"/>
        <item x="112"/>
        <item x="145"/>
        <item x="80"/>
        <item x="16"/>
        <item x="15"/>
        <item x="84"/>
        <item x="116"/>
        <item x="115"/>
        <item x="95"/>
        <item x="96"/>
        <item x="36"/>
        <item x="22"/>
        <item x="126"/>
        <item x="60"/>
        <item x="74"/>
        <item x="68"/>
        <item x="62"/>
        <item x="81"/>
        <item x="67"/>
        <item x="61"/>
        <item x="8"/>
        <item x="142"/>
        <item x="76"/>
        <item x="3"/>
        <item x="14"/>
        <item x="149"/>
        <item x="64"/>
        <item x="40"/>
        <item x="143"/>
        <item x="48"/>
        <item x="98"/>
        <item x="110"/>
        <item x="46"/>
        <item x="18"/>
        <item x="82"/>
        <item x="117"/>
        <item x="12"/>
        <item x="119"/>
        <item x="91"/>
        <item x="105"/>
        <item x="4"/>
        <item x="29"/>
        <item x="137"/>
        <item x="78"/>
        <item x="71"/>
        <item x="41"/>
        <item x="38"/>
        <item x="94"/>
        <item x="107"/>
        <item x="30"/>
        <item x="11"/>
        <item x="134"/>
        <item x="144"/>
        <item x="35"/>
        <item x="136"/>
        <item x="51"/>
        <item x="100"/>
        <item x="148"/>
        <item x="111"/>
        <item x="27"/>
        <item t="default"/>
      </items>
      <autoSortScope>
        <pivotArea dataOnly="0" outline="0" fieldPosition="0">
          <references count="1">
            <reference field="4294967294" count="1" selected="0">
              <x v="0"/>
            </reference>
          </references>
        </pivotArea>
      </autoSortScope>
    </pivotField>
    <pivotField showAll="0">
      <items count="9">
        <item x="2"/>
        <item x="6"/>
        <item x="1"/>
        <item x="4"/>
        <item x="5"/>
        <item x="7"/>
        <item x="3"/>
        <item x="0"/>
        <item t="default"/>
      </items>
    </pivotField>
    <pivotField showAll="0"/>
    <pivotField numFmtId="3" showAll="0"/>
    <pivotField numFmtId="3" showAll="0"/>
    <pivotField dataField="1" numFmtId="3" showAll="0"/>
    <pivotField numFmtId="3" showAll="0"/>
    <pivotField numFmtId="3" showAll="0"/>
    <pivotField numFmtId="3" showAll="0"/>
    <pivotField numFmtId="10" showAll="0"/>
    <pivotField showAll="0" defaultSubtotal="0">
      <items count="14">
        <item x="0"/>
        <item x="1"/>
        <item x="2"/>
        <item x="3"/>
        <item x="4"/>
        <item x="5"/>
        <item x="6"/>
        <item x="7"/>
        <item x="8"/>
        <item x="9"/>
        <item x="10"/>
        <item x="11"/>
        <item x="12"/>
        <item x="13"/>
      </items>
    </pivotField>
    <pivotField showAll="0" defaultSubtotal="0">
      <items count="3">
        <item x="0"/>
        <item x="1"/>
        <item x="2"/>
      </items>
    </pivotField>
  </pivotFields>
  <rowFields count="1">
    <field x="4"/>
  </rowFields>
  <rowItems count="11">
    <i>
      <x v="145"/>
    </i>
    <i>
      <x v="51"/>
    </i>
    <i>
      <x v="74"/>
    </i>
    <i>
      <x v="52"/>
    </i>
    <i>
      <x v="50"/>
    </i>
    <i>
      <x v="35"/>
    </i>
    <i>
      <x v="46"/>
    </i>
    <i>
      <x v="60"/>
    </i>
    <i>
      <x v="5"/>
    </i>
    <i>
      <x v="123"/>
    </i>
    <i t="grand">
      <x/>
    </i>
  </rowItems>
  <colItems count="1">
    <i/>
  </colItems>
  <dataFields count="1">
    <dataField name="Sum of Sales" fld="9" baseField="0" baseItem="0" numFmtId="3"/>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4"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F74CBA5-7615-43B3-AD21-91B0F989B204}" name="Profit by Product"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rowHeaderCaption="Product">
  <location ref="M3:N12" firstHeaderRow="1" firstDataRow="1" firstDataCol="1"/>
  <pivotFields count="16">
    <pivotField numFmtId="173" showAll="0">
      <items count="35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t="default"/>
      </items>
    </pivotField>
    <pivotField showAll="0"/>
    <pivotField showAll="0">
      <items count="5">
        <item x="0"/>
        <item x="2"/>
        <item x="1"/>
        <item x="3"/>
        <item t="default"/>
      </items>
    </pivotField>
    <pivotField showAll="0">
      <items count="7">
        <item x="1"/>
        <item x="3"/>
        <item x="0"/>
        <item x="2"/>
        <item x="4"/>
        <item x="5"/>
        <item t="default"/>
      </items>
    </pivotField>
    <pivotField showAll="0"/>
    <pivotField axis="axisRow" showAll="0" sortType="descending">
      <items count="9">
        <item x="2"/>
        <item x="6"/>
        <item x="1"/>
        <item x="4"/>
        <item x="5"/>
        <item x="7"/>
        <item x="3"/>
        <item x="0"/>
        <item t="default"/>
      </items>
      <autoSortScope>
        <pivotArea dataOnly="0" outline="0" fieldPosition="0">
          <references count="1">
            <reference field="4294967294" count="1" selected="0">
              <x v="0"/>
            </reference>
          </references>
        </pivotArea>
      </autoSortScope>
    </pivotField>
    <pivotField showAll="0">
      <items count="5">
        <item x="3"/>
        <item x="1"/>
        <item x="2"/>
        <item x="0"/>
        <item t="default"/>
      </items>
    </pivotField>
    <pivotField numFmtId="3" showAll="0"/>
    <pivotField numFmtId="3" showAll="0"/>
    <pivotField numFmtId="3" showAll="0"/>
    <pivotField numFmtId="3" showAll="0"/>
    <pivotField numFmtId="3" showAll="0"/>
    <pivotField dataField="1" numFmtId="3" showAll="0"/>
    <pivotField numFmtId="10" showAll="0"/>
    <pivotField showAll="0" defaultSubtotal="0">
      <items count="14">
        <item x="0"/>
        <item x="1"/>
        <item x="2"/>
        <item x="3"/>
        <item x="4"/>
        <item x="5"/>
        <item x="6"/>
        <item x="7"/>
        <item x="8"/>
        <item x="9"/>
        <item x="10"/>
        <item x="11"/>
        <item x="12"/>
        <item x="13"/>
      </items>
    </pivotField>
    <pivotField showAll="0" defaultSubtotal="0">
      <items count="3">
        <item x="0"/>
        <item x="1"/>
        <item x="2"/>
      </items>
    </pivotField>
  </pivotFields>
  <rowFields count="1">
    <field x="5"/>
  </rowFields>
  <rowItems count="9">
    <i>
      <x v="2"/>
    </i>
    <i>
      <x/>
    </i>
    <i>
      <x v="3"/>
    </i>
    <i>
      <x v="5"/>
    </i>
    <i>
      <x v="7"/>
    </i>
    <i>
      <x v="6"/>
    </i>
    <i>
      <x v="1"/>
    </i>
    <i>
      <x v="4"/>
    </i>
    <i t="grand">
      <x/>
    </i>
  </rowItems>
  <colItems count="1">
    <i/>
  </colItems>
  <dataFields count="1">
    <dataField name="Sum of Profit" fld="12" baseField="0" baseItem="0" numFmtId="3"/>
  </dataFields>
  <chartFormats count="1">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4D481B1-FD64-44AE-8C55-4C7D5306D5D1}" name="Monthly SalesTrend"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rowHeaderCaption="Monthly Sales">
  <location ref="J3:K17" firstHeaderRow="1" firstDataRow="1" firstDataCol="1"/>
  <pivotFields count="16">
    <pivotField numFmtId="173" showAll="0">
      <items count="35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t="default"/>
      </items>
    </pivotField>
    <pivotField showAll="0"/>
    <pivotField showAll="0">
      <items count="5">
        <item x="0"/>
        <item x="2"/>
        <item x="1"/>
        <item x="3"/>
        <item t="default"/>
      </items>
    </pivotField>
    <pivotField showAll="0">
      <items count="7">
        <item x="1"/>
        <item x="3"/>
        <item x="0"/>
        <item x="2"/>
        <item x="4"/>
        <item x="5"/>
        <item t="default"/>
      </items>
    </pivotField>
    <pivotField showAll="0"/>
    <pivotField showAll="0">
      <items count="9">
        <item x="2"/>
        <item x="6"/>
        <item x="1"/>
        <item x="4"/>
        <item x="5"/>
        <item x="7"/>
        <item x="3"/>
        <item x="0"/>
        <item t="default"/>
      </items>
    </pivotField>
    <pivotField showAll="0"/>
    <pivotField numFmtId="3" showAll="0"/>
    <pivotField numFmtId="3" showAll="0"/>
    <pivotField dataField="1" numFmtId="3" showAll="0"/>
    <pivotField numFmtId="3" showAll="0"/>
    <pivotField numFmtId="3" showAll="0"/>
    <pivotField numFmtId="3" showAll="0"/>
    <pivotField numFmtId="10" showAll="0"/>
    <pivotField axis="axisRow" showAll="0" sortType="ascending">
      <items count="15">
        <item x="1"/>
        <item x="2"/>
        <item x="3"/>
        <item x="4"/>
        <item x="5"/>
        <item x="6"/>
        <item x="7"/>
        <item x="8"/>
        <item x="9"/>
        <item x="10"/>
        <item x="11"/>
        <item x="12"/>
        <item x="0"/>
        <item x="13"/>
        <item t="default"/>
      </items>
    </pivotField>
    <pivotField axis="axisRow" showAll="0">
      <items count="4">
        <item x="0"/>
        <item x="1"/>
        <item x="2"/>
        <item t="default"/>
      </items>
    </pivotField>
  </pivotFields>
  <rowFields count="2">
    <field x="15"/>
    <field x="14"/>
  </rowFields>
  <rowItems count="14">
    <i>
      <x v="1"/>
    </i>
    <i r="1">
      <x/>
    </i>
    <i r="1">
      <x v="1"/>
    </i>
    <i r="1">
      <x v="2"/>
    </i>
    <i r="1">
      <x v="3"/>
    </i>
    <i r="1">
      <x v="4"/>
    </i>
    <i r="1">
      <x v="5"/>
    </i>
    <i r="1">
      <x v="6"/>
    </i>
    <i r="1">
      <x v="7"/>
    </i>
    <i r="1">
      <x v="8"/>
    </i>
    <i r="1">
      <x v="9"/>
    </i>
    <i r="1">
      <x v="10"/>
    </i>
    <i r="1">
      <x v="11"/>
    </i>
    <i t="grand">
      <x/>
    </i>
  </rowItems>
  <colItems count="1">
    <i/>
  </colItems>
  <dataFields count="1">
    <dataField name="Sum of Sales" fld="9" baseField="0" baseItem="0" numFmtId="41"/>
  </dataFields>
  <chartFormats count="1">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68FDA8A-817A-44E4-80C8-E23E6E1B87A7}" name="Total Sales by Salesperson"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Salesperson">
  <location ref="G3:H10" firstHeaderRow="1" firstDataRow="1" firstDataCol="1"/>
  <pivotFields count="16">
    <pivotField numFmtId="173" showAll="0">
      <items count="35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t="default"/>
      </items>
    </pivotField>
    <pivotField showAll="0"/>
    <pivotField showAll="0">
      <items count="5">
        <item x="0"/>
        <item x="2"/>
        <item x="1"/>
        <item x="3"/>
        <item t="default"/>
      </items>
    </pivotField>
    <pivotField axis="axisRow" showAll="0" sortType="descending">
      <items count="7">
        <item x="1"/>
        <item x="3"/>
        <item x="0"/>
        <item x="2"/>
        <item x="4"/>
        <item x="5"/>
        <item t="default"/>
      </items>
      <autoSortScope>
        <pivotArea dataOnly="0" outline="0" fieldPosition="0">
          <references count="1">
            <reference field="4294967294" count="1" selected="0">
              <x v="0"/>
            </reference>
          </references>
        </pivotArea>
      </autoSortScope>
    </pivotField>
    <pivotField showAll="0"/>
    <pivotField showAll="0">
      <items count="9">
        <item x="2"/>
        <item x="6"/>
        <item x="1"/>
        <item x="4"/>
        <item x="5"/>
        <item x="7"/>
        <item x="3"/>
        <item x="0"/>
        <item t="default"/>
      </items>
    </pivotField>
    <pivotField showAll="0"/>
    <pivotField numFmtId="3" showAll="0"/>
    <pivotField numFmtId="3" showAll="0"/>
    <pivotField dataField="1" numFmtId="3" showAll="0"/>
    <pivotField numFmtId="3" showAll="0"/>
    <pivotField numFmtId="3" showAll="0"/>
    <pivotField numFmtId="3" showAll="0"/>
    <pivotField numFmtId="10" showAll="0"/>
    <pivotField showAll="0">
      <items count="15">
        <item x="0"/>
        <item x="1"/>
        <item x="2"/>
        <item x="3"/>
        <item x="4"/>
        <item x="5"/>
        <item x="6"/>
        <item x="7"/>
        <item x="8"/>
        <item x="9"/>
        <item x="10"/>
        <item x="11"/>
        <item x="12"/>
        <item x="13"/>
        <item t="default"/>
      </items>
    </pivotField>
    <pivotField showAll="0">
      <items count="4">
        <item x="0"/>
        <item x="1"/>
        <item x="2"/>
        <item t="default"/>
      </items>
    </pivotField>
  </pivotFields>
  <rowFields count="1">
    <field x="3"/>
  </rowFields>
  <rowItems count="7">
    <i>
      <x v="5"/>
    </i>
    <i>
      <x v="4"/>
    </i>
    <i>
      <x v="2"/>
    </i>
    <i>
      <x/>
    </i>
    <i>
      <x v="3"/>
    </i>
    <i>
      <x v="1"/>
    </i>
    <i t="grand">
      <x/>
    </i>
  </rowItems>
  <colItems count="1">
    <i/>
  </colItems>
  <dataFields count="1">
    <dataField name="Sum of Sales" fld="9" baseField="0" baseItem="0" numFmtId="3"/>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D6EAFAF-B158-4DB4-B758-55AEC67AA27E}" name="Total Sales by Product"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Product">
  <location ref="D3:E12" firstHeaderRow="1" firstDataRow="1" firstDataCol="1"/>
  <pivotFields count="16">
    <pivotField numFmtId="173" showAll="0">
      <items count="35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t="default"/>
      </items>
    </pivotField>
    <pivotField showAll="0"/>
    <pivotField showAll="0">
      <items count="5">
        <item x="0"/>
        <item x="2"/>
        <item x="1"/>
        <item x="3"/>
        <item t="default"/>
      </items>
    </pivotField>
    <pivotField showAll="0">
      <items count="7">
        <item x="1"/>
        <item x="3"/>
        <item x="0"/>
        <item x="2"/>
        <item x="4"/>
        <item x="5"/>
        <item t="default"/>
      </items>
    </pivotField>
    <pivotField showAll="0"/>
    <pivotField axis="axisRow" showAll="0" sortType="descending">
      <items count="9">
        <item x="2"/>
        <item x="6"/>
        <item x="1"/>
        <item x="4"/>
        <item x="5"/>
        <item x="7"/>
        <item x="3"/>
        <item x="0"/>
        <item t="default"/>
      </items>
      <autoSortScope>
        <pivotArea dataOnly="0" outline="0" fieldPosition="0">
          <references count="1">
            <reference field="4294967294" count="1" selected="0">
              <x v="0"/>
            </reference>
          </references>
        </pivotArea>
      </autoSortScope>
    </pivotField>
    <pivotField showAll="0"/>
    <pivotField numFmtId="3" showAll="0"/>
    <pivotField numFmtId="3" showAll="0"/>
    <pivotField dataField="1" numFmtId="3" showAll="0"/>
    <pivotField numFmtId="3" showAll="0"/>
    <pivotField numFmtId="3" showAll="0"/>
    <pivotField numFmtId="3" showAll="0"/>
    <pivotField numFmtId="10" showAll="0"/>
    <pivotField showAll="0">
      <items count="15">
        <item x="0"/>
        <item x="1"/>
        <item x="2"/>
        <item x="3"/>
        <item x="4"/>
        <item x="5"/>
        <item x="6"/>
        <item x="7"/>
        <item x="8"/>
        <item x="9"/>
        <item x="10"/>
        <item x="11"/>
        <item x="12"/>
        <item x="13"/>
        <item t="default"/>
      </items>
    </pivotField>
    <pivotField showAll="0">
      <items count="4">
        <item x="0"/>
        <item x="1"/>
        <item x="2"/>
        <item t="default"/>
      </items>
    </pivotField>
  </pivotFields>
  <rowFields count="1">
    <field x="5"/>
  </rowFields>
  <rowItems count="9">
    <i>
      <x v="2"/>
    </i>
    <i>
      <x/>
    </i>
    <i>
      <x v="3"/>
    </i>
    <i>
      <x v="5"/>
    </i>
    <i>
      <x v="7"/>
    </i>
    <i>
      <x v="6"/>
    </i>
    <i>
      <x v="1"/>
    </i>
    <i>
      <x v="4"/>
    </i>
    <i t="grand">
      <x/>
    </i>
  </rowItems>
  <colItems count="1">
    <i/>
  </colItems>
  <dataFields count="1">
    <dataField name="Sum of Sales" fld="9" baseField="0" baseItem="0" numFmtId="3"/>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29895F9-8B7D-4611-808D-2D792C3BDC71}" name="Total Sales by Region"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Region">
  <location ref="A3:B8" firstHeaderRow="1" firstDataRow="1" firstDataCol="1"/>
  <pivotFields count="16">
    <pivotField numFmtId="173" showAll="0">
      <items count="35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t="default"/>
      </items>
    </pivotField>
    <pivotField showAll="0"/>
    <pivotField axis="axisRow" showAll="0" sortType="descending">
      <items count="5">
        <item x="0"/>
        <item x="2"/>
        <item x="1"/>
        <item x="3"/>
        <item t="default"/>
      </items>
      <autoSortScope>
        <pivotArea dataOnly="0" outline="0" fieldPosition="0">
          <references count="1">
            <reference field="4294967294" count="1" selected="0">
              <x v="0"/>
            </reference>
          </references>
        </pivotArea>
      </autoSortScope>
    </pivotField>
    <pivotField showAll="0">
      <items count="7">
        <item x="1"/>
        <item x="3"/>
        <item x="0"/>
        <item x="2"/>
        <item x="4"/>
        <item x="5"/>
        <item t="default"/>
      </items>
    </pivotField>
    <pivotField showAll="0"/>
    <pivotField showAll="0">
      <items count="9">
        <item x="2"/>
        <item x="6"/>
        <item x="1"/>
        <item x="4"/>
        <item x="5"/>
        <item x="7"/>
        <item x="3"/>
        <item x="0"/>
        <item t="default"/>
      </items>
    </pivotField>
    <pivotField showAll="0"/>
    <pivotField numFmtId="3" showAll="0"/>
    <pivotField numFmtId="3" showAll="0"/>
    <pivotField dataField="1" numFmtId="3" showAll="0"/>
    <pivotField numFmtId="3" showAll="0"/>
    <pivotField numFmtId="3" showAll="0"/>
    <pivotField numFmtId="3" showAll="0"/>
    <pivotField numFmtId="10" showAll="0"/>
    <pivotField showAll="0">
      <items count="15">
        <item x="0"/>
        <item x="1"/>
        <item x="2"/>
        <item x="3"/>
        <item x="4"/>
        <item x="5"/>
        <item x="6"/>
        <item x="7"/>
        <item x="8"/>
        <item x="9"/>
        <item x="10"/>
        <item x="11"/>
        <item x="12"/>
        <item x="13"/>
        <item t="default"/>
      </items>
    </pivotField>
    <pivotField showAll="0">
      <items count="4">
        <item x="0"/>
        <item x="1"/>
        <item x="2"/>
        <item t="default"/>
      </items>
    </pivotField>
  </pivotFields>
  <rowFields count="1">
    <field x="2"/>
  </rowFields>
  <rowItems count="5">
    <i>
      <x v="3"/>
    </i>
    <i>
      <x/>
    </i>
    <i>
      <x v="2"/>
    </i>
    <i>
      <x v="1"/>
    </i>
    <i t="grand">
      <x/>
    </i>
  </rowItems>
  <colItems count="1">
    <i/>
  </colItems>
  <dataFields count="1">
    <dataField name="Sum of Sales" fld="9" baseField="0" baseItem="0" numFmtId="3"/>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61D1A6E6-7177-441B-96DF-9153B53F16D1}" sourceName="Region">
  <pivotTables>
    <pivotTable tabId="1" name="Total Sales by Region"/>
    <pivotTable tabId="1" name="Monthly SalesTrend"/>
    <pivotTable tabId="1" name="Top 10 Customers"/>
    <pivotTable tabId="1" name="Profit by Product"/>
    <pivotTable tabId="1" name="Total Sales by Product"/>
    <pivotTable tabId="1" name="Total Sales by Salesperson"/>
  </pivotTables>
  <data>
    <tabular pivotCacheId="1245135969">
      <items count="4">
        <i x="0" s="1"/>
        <i x="2" s="1"/>
        <i x="1"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F4B7F893-25EF-48B9-BA37-D72D064C352D}" sourceName="Product">
  <pivotTables>
    <pivotTable tabId="1" name="Total Sales by Region"/>
    <pivotTable tabId="1" name="Monthly SalesTrend"/>
    <pivotTable tabId="1" name="Profit by Product"/>
    <pivotTable tabId="1" name="Top 10 Customers"/>
    <pivotTable tabId="1" name="Total Sales by Product"/>
    <pivotTable tabId="1" name="Total Sales by Salesperson"/>
  </pivotTables>
  <data>
    <tabular pivotCacheId="1245135969">
      <items count="8">
        <i x="2" s="1"/>
        <i x="6" s="1"/>
        <i x="1" s="1"/>
        <i x="4" s="1"/>
        <i x="5" s="1"/>
        <i x="7" s="1"/>
        <i x="3"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Order_Date" xr10:uid="{0D8AD824-FAC9-4377-8609-E21925F8B228}" sourceName="Months (Order Date)">
  <pivotTables>
    <pivotTable tabId="1" name="Total Sales by Region"/>
    <pivotTable tabId="1" name="Monthly SalesTrend"/>
    <pivotTable tabId="1" name="Profit by Product"/>
    <pivotTable tabId="1" name="Top 10 Customers"/>
    <pivotTable tabId="1" name="Total Sales by Product"/>
    <pivotTable tabId="1" name="Total Sales by Salesperson"/>
  </pivotTables>
  <data>
    <tabular pivotCacheId="1245135969">
      <items count="14">
        <i x="1" s="1"/>
        <i x="2" s="1"/>
        <i x="3" s="1"/>
        <i x="4" s="1"/>
        <i x="5" s="1"/>
        <i x="6" s="1"/>
        <i x="7" s="1"/>
        <i x="8" s="1"/>
        <i x="9" s="1"/>
        <i x="10" s="1"/>
        <i x="11" s="1"/>
        <i x="12" s="1"/>
        <i x="0" s="1" nd="1"/>
        <i x="13" s="1" nd="1"/>
      </items>
    </tabular>
  </data>
  <extLst>
    <x:ext xmlns:x15="http://schemas.microsoft.com/office/spreadsheetml/2010/11/main" uri="{470722E0-AACD-4C17-9CDC-17EF765DBC7E}">
      <x15:slicerCacheHideItemsWithNoData/>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person" xr10:uid="{99BA5014-19BA-44BF-A623-BC7101E5BBCD}" sourceName="Salesperson">
  <pivotTables>
    <pivotTable tabId="1" name="Total Sales by Region"/>
    <pivotTable tabId="1" name="Monthly SalesTrend"/>
    <pivotTable tabId="1" name="Profit by Product"/>
    <pivotTable tabId="1" name="Top 10 Customers"/>
    <pivotTable tabId="1" name="Total Sales by Product"/>
    <pivotTable tabId="1" name="Total Sales by Salesperson"/>
  </pivotTables>
  <data>
    <tabular pivotCacheId="1245135969">
      <items count="6">
        <i x="1" s="1"/>
        <i x="3" s="1"/>
        <i x="0" s="1"/>
        <i x="2" s="1"/>
        <i x="4" s="1"/>
        <i x="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07B0E2AA-92CF-471E-B0BC-B1605B7C196E}" cache="Slicer_Region" caption="Region" rowHeight="247650"/>
  <slicer name="Product" xr10:uid="{0A1F47CA-A6E3-4BD3-ACA7-EED836162F49}" cache="Slicer_Product" caption="Product" columnCount="2" rowHeight="247650"/>
  <slicer name="Months (Order Date)" xr10:uid="{F1652871-5345-4736-B81A-72D301244647}" cache="Slicer_Months__Order_Date" caption="Months (Order Date)" columnCount="3" rowHeight="247650"/>
  <slicer name="Salesperson" xr10:uid="{FFD26525-A3A8-4F8C-8998-E1D049C9CDB3}" cache="Slicer_Salesperson" caption="Salesperson" columnCount="2"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272AE2B-E046-41E0-96A8-A967F76D2A25}" name="tblProducts" displayName="tblProducts" ref="A1:C9" totalsRowShown="0">
  <autoFilter ref="A1:C9" xr:uid="{B272AE2B-E046-41E0-96A8-A967F76D2A25}"/>
  <tableColumns count="3">
    <tableColumn id="1" xr3:uid="{D728F5F3-955B-4386-ACCA-74F91078650E}" name="Product"/>
    <tableColumn id="2" xr3:uid="{DFFF1204-C11B-41BA-92EF-DBA03AD4F0EF}" name="Category"/>
    <tableColumn id="3" xr3:uid="{20CEAC63-081F-46D1-ACBA-CFD8CC6F238B}" name="Unit Cost" dataDxfId="15"/>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8103AE4-B739-44C5-9277-D74A74AF08A4}" name="tblRegion" displayName="tblRegion" ref="A11:A15" totalsRowShown="0">
  <autoFilter ref="A11:A15" xr:uid="{98103AE4-B739-44C5-9277-D74A74AF08A4}"/>
  <tableColumns count="1">
    <tableColumn id="1" xr3:uid="{3570217B-0305-4F4E-B772-1DC511081831}" name="Regio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774AC693-EA7E-4E60-9591-00A49C8AE850}" name="tblSalesperson" displayName="tblSalesperson" ref="C11:C17" totalsRowShown="0">
  <autoFilter ref="C11:C17" xr:uid="{774AC693-EA7E-4E60-9591-00A49C8AE850}"/>
  <tableColumns count="1">
    <tableColumn id="1" xr3:uid="{539F0675-A99D-4628-B790-F214ED4A85A7}" name="Salesperson"/>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9F5891C-6CF8-4060-8FF2-2F87DA37DE16}" name="tblSales" displayName="tblSales" ref="A1:N5002" totalsRowCount="1">
  <autoFilter ref="A1:N5001" xr:uid="{99F5891C-6CF8-4060-8FF2-2F87DA37DE16}"/>
  <tableColumns count="14">
    <tableColumn id="1" xr3:uid="{594570F7-3A9A-4720-99A5-B33F50179FD0}" name="Order Date" totalsRowLabel="Total" dataDxfId="14"/>
    <tableColumn id="2" xr3:uid="{C3508EBD-9447-425F-B753-5B1758576467}" name="Order ID" dataDxfId="13" totalsRowDxfId="4"/>
    <tableColumn id="3" xr3:uid="{89B93454-19C0-4C18-97B5-D1B1F2091099}" name="Region" dataDxfId="12" totalsRowDxfId="3"/>
    <tableColumn id="4" xr3:uid="{04C54C11-E538-42EF-BDCB-07BF82D71375}" name="Salesperson"/>
    <tableColumn id="5" xr3:uid="{5DF885BE-A721-4BBF-A292-C9F05FEA9239}" name="Customer Name"/>
    <tableColumn id="6" xr3:uid="{B1E1134D-27E4-4332-837B-5241EE24692E}" name="Product"/>
    <tableColumn id="7" xr3:uid="{C7ECFC01-80A7-4300-BB9C-8EE8349DDAB3}" name="Category"/>
    <tableColumn id="8" xr3:uid="{4323D05D-0210-4621-8299-7FBBC639B4DE}" name="Quantity" totalsRowFunction="sum" dataDxfId="11"/>
    <tableColumn id="9" xr3:uid="{0742A558-505A-4C6C-99DA-F8741468C9F0}" name="Unit Price" dataDxfId="10" totalsRowDxfId="1"/>
    <tableColumn id="10" xr3:uid="{61A0E555-7154-455D-9EC9-8AC4A0051C28}" name="Sales" totalsRowFunction="sum" dataDxfId="9"/>
    <tableColumn id="11" xr3:uid="{A2A9BF74-70E0-4547-93C4-44F917B345F3}" name="Unit Cost" dataDxfId="8" totalsRowDxfId="0"/>
    <tableColumn id="12" xr3:uid="{69A4ABC2-3475-4D91-92F0-496FAF90453B}" name="Cost" totalsRowFunction="sum" dataDxfId="7"/>
    <tableColumn id="13" xr3:uid="{CD6F4A9D-7328-4E19-BD77-661F4C1EBD51}" name="Profit" totalsRowFunction="sum" dataDxfId="6"/>
    <tableColumn id="14" xr3:uid="{D9E9B5DA-8D42-4DA7-A868-8BC78F59BA0F}" name="Profit Margin %" dataDxfId="5" totalsRowDxfId="2"/>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2" Type="http://schemas.microsoft.com/office/2011/relationships/webextension" Target="webextension2.xml"/><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6">
    <wetp:webextensionref xmlns:r="http://schemas.openxmlformats.org/officeDocument/2006/relationships" r:id="rId1"/>
  </wetp:taskpane>
  <wetp:taskpane dockstate="right" visibility="0" width="438" row="7">
    <wetp:webextensionref xmlns:r="http://schemas.openxmlformats.org/officeDocument/2006/relationships" r:id="rId2"/>
  </wetp:taskpane>
</wetp:taskpanes>
</file>

<file path=xl/webextensions/webextension1.xml><?xml version="1.0" encoding="utf-8"?>
<we:webextension xmlns:we="http://schemas.microsoft.com/office/webextensions/webextension/2010/11" id="{69609F30-CCE7-4D92-A6B1-9066CABD463C}">
  <we:reference id="wa200009404" version="1.0.0.8" store="en-US" storeType="OMEX"/>
  <we:alternateReferences>
    <we:reference id="wa200009404" version="1.0.0.8" store="en-US" storeType="OMEX"/>
  </we:alternateReferences>
  <we:properties>
    <we:property name="claude.fileId" value="&quot;d52b07eb-d643-40f1-8c5f-c414b194ad22&quot;"/>
  </we:properties>
  <we:bindings/>
  <we:snapshot xmlns:r="http://schemas.openxmlformats.org/officeDocument/2006/relationships"/>
</we:webextension>
</file>

<file path=xl/webextensions/webextension2.xml><?xml version="1.0" encoding="utf-8"?>
<we:webextension xmlns:we="http://schemas.microsoft.com/office/webextensions/webextension/2010/11" id="{47B07A8D-C6A8-488E-8BA0-26B43F239728}">
  <we:reference id="wa200005281" version="1.0.0.0" store="en-GB" storeType="OMEX"/>
  <we:alternateReferences>
    <we:reference id="WA200005281" version="1.0.0.0" store="" storeType="OMEX"/>
  </we:alternateReferences>
  <we:properties/>
  <we:bindings/>
  <we:snapshot xmlns:r="http://schemas.openxmlformats.org/officeDocument/2006/relationships"/>
  <we:extLst>
    <a:ext xmlns:a="http://schemas.openxmlformats.org/drawingml/2006/main" uri="{7C84B067-C214-45C3-A712-C9D94CD141B2}">
      <we:customFunctionIdList>
        <we:customFunctionIds>_xldudf_NUM_AI</we:customFunctionIds>
        <we:customFunctionIds>_xldudf_NUM_WRITE</we:customFunctionIds>
        <we:customFunctionIds>_xldudf_NUM_INFER</we:customFunctionIds>
      </we:customFunctionIdList>
    </a:ext>
  </we:extLst>
</we:webextension>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E073A6-6F97-4671-9BB3-D40F3979AB5B}">
  <dimension ref="A1:P4"/>
  <sheetViews>
    <sheetView showGridLines="0" topLeftCell="A2" zoomScale="70" zoomScaleNormal="70" workbookViewId="0">
      <selection activeCell="T27" sqref="T27"/>
    </sheetView>
  </sheetViews>
  <sheetFormatPr defaultRowHeight="14.4" x14ac:dyDescent="0.3"/>
  <cols>
    <col min="2" max="2" width="8.88671875" customWidth="1"/>
    <col min="4" max="4" width="8.88671875" customWidth="1"/>
  </cols>
  <sheetData>
    <row r="1" spans="1:16" ht="36.6" x14ac:dyDescent="0.7">
      <c r="A1" s="13" t="s">
        <v>5214</v>
      </c>
      <c r="B1" s="13"/>
      <c r="C1" s="13"/>
      <c r="D1" s="13"/>
      <c r="E1" s="13"/>
      <c r="F1" s="13"/>
      <c r="G1" s="13"/>
      <c r="H1" s="13"/>
      <c r="I1" s="13"/>
      <c r="J1" s="13"/>
      <c r="K1" s="13"/>
      <c r="L1" s="13"/>
      <c r="M1" s="13"/>
      <c r="N1" s="13"/>
      <c r="O1" s="13"/>
      <c r="P1" s="13"/>
    </row>
    <row r="2" spans="1:16" ht="37.200000000000003" thickBot="1" x14ac:dyDescent="0.75">
      <c r="A2" s="14" t="s">
        <v>5216</v>
      </c>
      <c r="B2" s="13"/>
      <c r="C2" s="13"/>
      <c r="D2" s="13"/>
      <c r="E2" s="13"/>
      <c r="F2" s="13"/>
      <c r="G2" s="13"/>
      <c r="H2" s="13"/>
      <c r="I2" s="13"/>
      <c r="J2" s="13"/>
      <c r="K2" s="13"/>
      <c r="L2" s="13"/>
      <c r="M2" s="13"/>
      <c r="N2" s="13"/>
      <c r="O2" s="13"/>
      <c r="P2" s="13"/>
    </row>
    <row r="3" spans="1:16" x14ac:dyDescent="0.3">
      <c r="A3" s="15" t="s">
        <v>5210</v>
      </c>
      <c r="B3" s="23"/>
      <c r="C3" s="23"/>
      <c r="D3" s="16"/>
      <c r="E3" s="15" t="s">
        <v>5211</v>
      </c>
      <c r="F3" s="23"/>
      <c r="G3" s="23"/>
      <c r="H3" s="16"/>
      <c r="I3" s="15" t="s">
        <v>5212</v>
      </c>
      <c r="J3" s="23"/>
      <c r="K3" s="23"/>
      <c r="L3" s="16"/>
      <c r="M3" s="15" t="s">
        <v>5213</v>
      </c>
      <c r="N3" s="23"/>
      <c r="O3" s="23"/>
      <c r="P3" s="16"/>
    </row>
    <row r="4" spans="1:16" ht="29.4" thickBot="1" x14ac:dyDescent="0.6">
      <c r="A4" s="17">
        <f>Calculations!B19</f>
        <v>504336223</v>
      </c>
      <c r="B4" s="26"/>
      <c r="C4" s="26"/>
      <c r="D4" s="18"/>
      <c r="E4" s="17">
        <f>Calculations!B20</f>
        <v>123249223</v>
      </c>
      <c r="F4" s="26"/>
      <c r="G4" s="26"/>
      <c r="H4" s="18"/>
      <c r="I4" s="19">
        <f>Calculations!B21</f>
        <v>5000</v>
      </c>
      <c r="J4" s="25"/>
      <c r="K4" s="25"/>
      <c r="L4" s="20"/>
      <c r="M4" s="21">
        <f>Calculations!B22</f>
        <v>0.24437908161119767</v>
      </c>
      <c r="N4" s="24"/>
      <c r="O4" s="24"/>
      <c r="P4" s="22"/>
    </row>
  </sheetData>
  <mergeCells count="10">
    <mergeCell ref="I4:L4"/>
    <mergeCell ref="E3:H3"/>
    <mergeCell ref="E4:H4"/>
    <mergeCell ref="A3:D3"/>
    <mergeCell ref="A4:D4"/>
    <mergeCell ref="A1:P1"/>
    <mergeCell ref="A2:P2"/>
    <mergeCell ref="M3:P3"/>
    <mergeCell ref="M4:P4"/>
    <mergeCell ref="I3:L3"/>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4204DD-58AB-417B-A027-EBB540F65B46}">
  <dimension ref="A3:Q17"/>
  <sheetViews>
    <sheetView workbookViewId="0">
      <selection activeCell="P6" sqref="P4:P13"/>
      <pivotSelection pane="bottomRight" showHeader="1" activeRow="5" activeCol="15" click="1" r:id="rId1">
        <pivotArea dataOnly="0" labelOnly="1" fieldPosition="0">
          <references count="1">
            <reference field="4" count="0"/>
          </references>
        </pivotArea>
      </pivotSelection>
    </sheetView>
  </sheetViews>
  <sheetFormatPr defaultRowHeight="14.4" x14ac:dyDescent="0.3"/>
  <cols>
    <col min="1" max="1" width="10.5546875" bestFit="1" customWidth="1"/>
    <col min="2" max="2" width="11.6640625" bestFit="1" customWidth="1"/>
    <col min="3" max="3" width="9.109375" bestFit="1" customWidth="1"/>
    <col min="4" max="4" width="10.5546875" bestFit="1" customWidth="1"/>
    <col min="5" max="5" width="11.6640625" bestFit="1" customWidth="1"/>
    <col min="6" max="6" width="9.109375" bestFit="1" customWidth="1"/>
    <col min="7" max="7" width="13.44140625" bestFit="1" customWidth="1"/>
    <col min="8" max="8" width="11.6640625" bestFit="1" customWidth="1"/>
    <col min="9" max="9" width="10.6640625" bestFit="1" customWidth="1"/>
    <col min="10" max="10" width="14.6640625" bestFit="1" customWidth="1"/>
    <col min="11" max="11" width="12.33203125" bestFit="1" customWidth="1"/>
    <col min="13" max="13" width="10.5546875" bestFit="1" customWidth="1"/>
    <col min="14" max="14" width="11.6640625" bestFit="1" customWidth="1"/>
    <col min="16" max="16" width="12.21875" bestFit="1" customWidth="1"/>
    <col min="17" max="17" width="11.5546875" bestFit="1" customWidth="1"/>
    <col min="18" max="18" width="8.109375" bestFit="1" customWidth="1"/>
    <col min="19" max="21" width="9.109375" bestFit="1" customWidth="1"/>
    <col min="22" max="22" width="11.6640625" bestFit="1" customWidth="1"/>
  </cols>
  <sheetData>
    <row r="3" spans="1:17" x14ac:dyDescent="0.3">
      <c r="A3" s="9" t="s">
        <v>2</v>
      </c>
      <c r="B3" t="s">
        <v>5191</v>
      </c>
      <c r="D3" s="9" t="s">
        <v>5</v>
      </c>
      <c r="E3" t="s">
        <v>5191</v>
      </c>
      <c r="G3" s="9" t="s">
        <v>3</v>
      </c>
      <c r="H3" t="s">
        <v>5191</v>
      </c>
      <c r="J3" s="9" t="s">
        <v>5206</v>
      </c>
      <c r="K3" t="s">
        <v>5191</v>
      </c>
      <c r="M3" s="9" t="s">
        <v>5</v>
      </c>
      <c r="N3" t="s">
        <v>5207</v>
      </c>
      <c r="P3" s="9" t="s">
        <v>5208</v>
      </c>
      <c r="Q3" t="s">
        <v>5191</v>
      </c>
    </row>
    <row r="4" spans="1:17" x14ac:dyDescent="0.3">
      <c r="A4" s="10" t="s">
        <v>28</v>
      </c>
      <c r="B4" s="3">
        <v>130146740</v>
      </c>
      <c r="D4" s="10" t="s">
        <v>14</v>
      </c>
      <c r="E4" s="3">
        <v>217582200</v>
      </c>
      <c r="G4" s="10" t="s">
        <v>33</v>
      </c>
      <c r="H4" s="3">
        <v>87439775</v>
      </c>
      <c r="J4" s="10" t="s">
        <v>5205</v>
      </c>
      <c r="K4" s="12">
        <v>504336223</v>
      </c>
      <c r="M4" s="10" t="s">
        <v>14</v>
      </c>
      <c r="N4" s="3">
        <v>53152200</v>
      </c>
      <c r="P4" s="10" t="s">
        <v>108</v>
      </c>
      <c r="Q4" s="3">
        <v>6748684</v>
      </c>
    </row>
    <row r="5" spans="1:17" x14ac:dyDescent="0.3">
      <c r="A5" s="10" t="s">
        <v>29</v>
      </c>
      <c r="B5" s="3">
        <v>129838857</v>
      </c>
      <c r="D5" s="10" t="s">
        <v>16</v>
      </c>
      <c r="E5" s="3">
        <v>184773100</v>
      </c>
      <c r="G5" s="10" t="s">
        <v>30</v>
      </c>
      <c r="H5" s="3">
        <v>86796666</v>
      </c>
      <c r="J5" s="11" t="s">
        <v>5193</v>
      </c>
      <c r="K5" s="12">
        <v>41650427</v>
      </c>
      <c r="M5" s="10" t="s">
        <v>16</v>
      </c>
      <c r="N5" s="3">
        <v>45199100</v>
      </c>
      <c r="P5" s="10" t="s">
        <v>424</v>
      </c>
      <c r="Q5" s="3">
        <v>6026428</v>
      </c>
    </row>
    <row r="6" spans="1:17" x14ac:dyDescent="0.3">
      <c r="A6" s="10" t="s">
        <v>27</v>
      </c>
      <c r="B6" s="3">
        <v>126742357</v>
      </c>
      <c r="D6" s="10" t="s">
        <v>17</v>
      </c>
      <c r="E6" s="3">
        <v>36216970</v>
      </c>
      <c r="G6" s="10" t="s">
        <v>35</v>
      </c>
      <c r="H6" s="3">
        <v>86078048</v>
      </c>
      <c r="J6" s="11" t="s">
        <v>5194</v>
      </c>
      <c r="K6" s="12">
        <v>40013397</v>
      </c>
      <c r="M6" s="10" t="s">
        <v>17</v>
      </c>
      <c r="N6" s="3">
        <v>8829970</v>
      </c>
      <c r="P6" s="10" t="s">
        <v>126</v>
      </c>
      <c r="Q6" s="3">
        <v>5973199</v>
      </c>
    </row>
    <row r="7" spans="1:17" x14ac:dyDescent="0.3">
      <c r="A7" s="10" t="s">
        <v>26</v>
      </c>
      <c r="B7" s="3">
        <v>117608269</v>
      </c>
      <c r="D7" s="10" t="s">
        <v>22</v>
      </c>
      <c r="E7" s="3">
        <v>33166350</v>
      </c>
      <c r="G7" s="10" t="s">
        <v>34</v>
      </c>
      <c r="H7" s="3">
        <v>85963323</v>
      </c>
      <c r="J7" s="11" t="s">
        <v>5195</v>
      </c>
      <c r="K7" s="12">
        <v>48926680</v>
      </c>
      <c r="M7" s="10" t="s">
        <v>22</v>
      </c>
      <c r="N7" s="3">
        <v>8057350</v>
      </c>
      <c r="P7" s="10" t="s">
        <v>427</v>
      </c>
      <c r="Q7" s="3">
        <v>5935821</v>
      </c>
    </row>
    <row r="8" spans="1:17" x14ac:dyDescent="0.3">
      <c r="A8" s="10" t="s">
        <v>5192</v>
      </c>
      <c r="B8" s="3">
        <v>504336223</v>
      </c>
      <c r="D8" s="10" t="s">
        <v>23</v>
      </c>
      <c r="E8" s="3">
        <v>14091168</v>
      </c>
      <c r="G8" s="10" t="s">
        <v>31</v>
      </c>
      <c r="H8" s="3">
        <v>81016208</v>
      </c>
      <c r="J8" s="11" t="s">
        <v>5196</v>
      </c>
      <c r="K8" s="12">
        <v>41773493</v>
      </c>
      <c r="M8" s="10" t="s">
        <v>23</v>
      </c>
      <c r="N8" s="3">
        <v>3470368</v>
      </c>
      <c r="P8" s="10" t="s">
        <v>548</v>
      </c>
      <c r="Q8" s="3">
        <v>5680290</v>
      </c>
    </row>
    <row r="9" spans="1:17" x14ac:dyDescent="0.3">
      <c r="D9" s="10" t="s">
        <v>24</v>
      </c>
      <c r="E9" s="3">
        <v>11713775</v>
      </c>
      <c r="G9" s="10" t="s">
        <v>32</v>
      </c>
      <c r="H9" s="3">
        <v>77042203</v>
      </c>
      <c r="J9" s="11" t="s">
        <v>5197</v>
      </c>
      <c r="K9" s="12">
        <v>42188315</v>
      </c>
      <c r="M9" s="10" t="s">
        <v>24</v>
      </c>
      <c r="N9" s="3">
        <v>2893775</v>
      </c>
      <c r="P9" s="10" t="s">
        <v>280</v>
      </c>
      <c r="Q9" s="3">
        <v>5082726</v>
      </c>
    </row>
    <row r="10" spans="1:17" x14ac:dyDescent="0.3">
      <c r="D10" s="10" t="s">
        <v>19</v>
      </c>
      <c r="E10" s="3">
        <v>4046670</v>
      </c>
      <c r="G10" s="10" t="s">
        <v>5192</v>
      </c>
      <c r="H10" s="3">
        <v>504336223</v>
      </c>
      <c r="J10" s="11" t="s">
        <v>5198</v>
      </c>
      <c r="K10" s="12">
        <v>35067681</v>
      </c>
      <c r="M10" s="10" t="s">
        <v>19</v>
      </c>
      <c r="N10" s="3">
        <v>988470</v>
      </c>
      <c r="P10" s="10" t="s">
        <v>228</v>
      </c>
      <c r="Q10" s="3">
        <v>4832134</v>
      </c>
    </row>
    <row r="11" spans="1:17" x14ac:dyDescent="0.3">
      <c r="D11" s="10" t="s">
        <v>21</v>
      </c>
      <c r="E11" s="3">
        <v>2745990</v>
      </c>
      <c r="J11" s="11" t="s">
        <v>5199</v>
      </c>
      <c r="K11" s="12">
        <v>42995416</v>
      </c>
      <c r="M11" s="10" t="s">
        <v>21</v>
      </c>
      <c r="N11" s="3">
        <v>657990</v>
      </c>
      <c r="P11" s="10" t="s">
        <v>249</v>
      </c>
      <c r="Q11" s="3">
        <v>4828632</v>
      </c>
    </row>
    <row r="12" spans="1:17" x14ac:dyDescent="0.3">
      <c r="D12" s="10" t="s">
        <v>5192</v>
      </c>
      <c r="E12" s="3">
        <v>504336223</v>
      </c>
      <c r="J12" s="11" t="s">
        <v>5200</v>
      </c>
      <c r="K12" s="12">
        <v>43982280</v>
      </c>
      <c r="M12" s="10" t="s">
        <v>5192</v>
      </c>
      <c r="N12" s="3">
        <v>123249223</v>
      </c>
      <c r="P12" s="10" t="s">
        <v>243</v>
      </c>
      <c r="Q12" s="3">
        <v>4753987</v>
      </c>
    </row>
    <row r="13" spans="1:17" x14ac:dyDescent="0.3">
      <c r="J13" s="11" t="s">
        <v>5201</v>
      </c>
      <c r="K13" s="12">
        <v>44691400</v>
      </c>
      <c r="P13" s="10" t="s">
        <v>92</v>
      </c>
      <c r="Q13" s="3">
        <v>4673148</v>
      </c>
    </row>
    <row r="14" spans="1:17" x14ac:dyDescent="0.3">
      <c r="J14" s="11" t="s">
        <v>5202</v>
      </c>
      <c r="K14" s="12">
        <v>48485294</v>
      </c>
      <c r="P14" s="10" t="s">
        <v>5192</v>
      </c>
      <c r="Q14" s="3">
        <v>54535049</v>
      </c>
    </row>
    <row r="15" spans="1:17" x14ac:dyDescent="0.3">
      <c r="J15" s="11" t="s">
        <v>5203</v>
      </c>
      <c r="K15" s="12">
        <v>44924233</v>
      </c>
    </row>
    <row r="16" spans="1:17" x14ac:dyDescent="0.3">
      <c r="J16" s="11" t="s">
        <v>5204</v>
      </c>
      <c r="K16" s="12">
        <v>29637607</v>
      </c>
    </row>
    <row r="17" spans="10:11" x14ac:dyDescent="0.3">
      <c r="J17" s="10" t="s">
        <v>5192</v>
      </c>
      <c r="K17" s="12">
        <v>504336223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C24600-5AF7-43C7-9574-D3C2FC057FE6}">
  <dimension ref="A1:C22"/>
  <sheetViews>
    <sheetView workbookViewId="0">
      <selection activeCell="B1" sqref="B1"/>
    </sheetView>
  </sheetViews>
  <sheetFormatPr defaultRowHeight="14.4" x14ac:dyDescent="0.3"/>
  <cols>
    <col min="1" max="1" width="12.44140625" customWidth="1"/>
    <col min="2" max="2" width="11.6640625" bestFit="1" customWidth="1"/>
  </cols>
  <sheetData>
    <row r="1" spans="1:3" x14ac:dyDescent="0.3">
      <c r="A1" s="2" t="s">
        <v>5186</v>
      </c>
      <c r="B1" s="2" t="s">
        <v>5187</v>
      </c>
    </row>
    <row r="2" spans="1:3" x14ac:dyDescent="0.3">
      <c r="A2" s="1" t="s">
        <v>5</v>
      </c>
      <c r="B2" s="1" t="s">
        <v>14</v>
      </c>
    </row>
    <row r="3" spans="1:3" x14ac:dyDescent="0.3">
      <c r="A3" s="1" t="s">
        <v>2</v>
      </c>
      <c r="B3" s="1" t="s">
        <v>27</v>
      </c>
    </row>
    <row r="4" spans="1:3" x14ac:dyDescent="0.3">
      <c r="A4" s="1" t="s">
        <v>5188</v>
      </c>
      <c r="B4" s="7">
        <f>COUNTIFS(tblSales[Product],B2,tblSales[Region],B3)</f>
        <v>172</v>
      </c>
      <c r="C4" t="str">
        <f ca="1">_xlfn.FORMULATEXT(B4)</f>
        <v>=COUNTIFS(tblSales[Product],B2,tblSales[Region],B3)</v>
      </c>
    </row>
    <row r="6" spans="1:3" x14ac:dyDescent="0.3">
      <c r="A6" s="1" t="s">
        <v>5</v>
      </c>
      <c r="B6" t="s">
        <v>23</v>
      </c>
    </row>
    <row r="7" spans="1:3" x14ac:dyDescent="0.3">
      <c r="A7" s="1" t="s">
        <v>2</v>
      </c>
      <c r="B7" t="s">
        <v>26</v>
      </c>
    </row>
    <row r="8" spans="1:3" x14ac:dyDescent="0.3">
      <c r="A8" s="1" t="s">
        <v>5189</v>
      </c>
      <c r="B8" s="8">
        <f>AVERAGEIFS(tblSales[Sales],tblSales[Product],B6,tblSales[Region],B7)</f>
        <v>23099.076923076922</v>
      </c>
      <c r="C8" t="str">
        <f ca="1">_xlfn.FORMULATEXT(B8)</f>
        <v>=AVERAGEIFS(tblSales[Sales],tblSales[Product],B6,tblSales[Region],B7)</v>
      </c>
    </row>
    <row r="10" spans="1:3" x14ac:dyDescent="0.3">
      <c r="A10" s="1" t="s">
        <v>5</v>
      </c>
      <c r="B10" t="s">
        <v>5190</v>
      </c>
    </row>
    <row r="11" spans="1:3" x14ac:dyDescent="0.3">
      <c r="A11" s="1" t="s">
        <v>2</v>
      </c>
      <c r="B11" t="s">
        <v>26</v>
      </c>
    </row>
    <row r="12" spans="1:3" x14ac:dyDescent="0.3">
      <c r="A12" s="1" t="s">
        <v>5189</v>
      </c>
      <c r="B12" s="8" t="str">
        <f>IFERROR(AVERAGEIFS(tblSales[Sales],tblSales[Product],B10,tblSales[Region],B11),"Error")</f>
        <v>Error</v>
      </c>
      <c r="C12" t="str">
        <f ca="1">_xlfn.FORMULATEXT(B12)</f>
        <v>=IFERROR(AVERAGEIFS(tblSales[Sales],tblSales[Product],B10,tblSales[Region],B11),"Error")</v>
      </c>
    </row>
    <row r="14" spans="1:3" x14ac:dyDescent="0.3">
      <c r="B14" s="3">
        <f>SUM(tblSales[Sales])</f>
        <v>504336223</v>
      </c>
      <c r="C14" t="str">
        <f ca="1">_xlfn.FORMULATEXT(B14)</f>
        <v>=SUM(tblSales[Sales])</v>
      </c>
    </row>
    <row r="15" spans="1:3" x14ac:dyDescent="0.3">
      <c r="B15" s="3">
        <f>SUMPRODUCT(tblSales[Quantity],tblSales[Unit Price])</f>
        <v>504336223</v>
      </c>
      <c r="C15" t="str">
        <f ca="1">_xlfn.FORMULATEXT(B15)</f>
        <v>=SUMPRODUCT(tblSales[Quantity],tblSales[Unit Price])</v>
      </c>
    </row>
    <row r="18" spans="1:2" x14ac:dyDescent="0.3">
      <c r="A18" t="s">
        <v>5215</v>
      </c>
    </row>
    <row r="19" spans="1:2" x14ac:dyDescent="0.3">
      <c r="A19" t="s">
        <v>5210</v>
      </c>
      <c r="B19" s="3">
        <f>SUM(tblSales[Sales])</f>
        <v>504336223</v>
      </c>
    </row>
    <row r="20" spans="1:2" x14ac:dyDescent="0.3">
      <c r="A20" t="s">
        <v>5211</v>
      </c>
      <c r="B20" s="3">
        <f>SUM(tblSales[Profit])</f>
        <v>123249223</v>
      </c>
    </row>
    <row r="21" spans="1:2" x14ac:dyDescent="0.3">
      <c r="A21" t="s">
        <v>5212</v>
      </c>
      <c r="B21">
        <f>COUNTA(tblSales[Order ID])</f>
        <v>5000</v>
      </c>
    </row>
    <row r="22" spans="1:2" x14ac:dyDescent="0.3">
      <c r="A22" t="s">
        <v>5213</v>
      </c>
      <c r="B22" cm="1">
        <f t="array" ref="B22">SUM(tblSales[Profit]/SUM(tblSales[Sales]))</f>
        <v>0.24437908161119767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DD6E68-4BA5-446F-8626-033BAE5E4621}">
  <dimension ref="A1:C17"/>
  <sheetViews>
    <sheetView workbookViewId="0">
      <selection activeCell="C12" sqref="C12"/>
    </sheetView>
  </sheetViews>
  <sheetFormatPr defaultRowHeight="14.4" x14ac:dyDescent="0.3"/>
  <cols>
    <col min="1" max="1" width="9.44140625" customWidth="1"/>
    <col min="2" max="2" width="10.21875" customWidth="1"/>
    <col min="3" max="3" width="13.109375" customWidth="1"/>
  </cols>
  <sheetData>
    <row r="1" spans="1:3" x14ac:dyDescent="0.3">
      <c r="A1" t="s">
        <v>5</v>
      </c>
      <c r="B1" t="s">
        <v>6</v>
      </c>
      <c r="C1" t="s">
        <v>10</v>
      </c>
    </row>
    <row r="2" spans="1:3" x14ac:dyDescent="0.3">
      <c r="A2" t="s">
        <v>14</v>
      </c>
      <c r="B2" t="s">
        <v>15</v>
      </c>
      <c r="C2" s="3">
        <v>45000</v>
      </c>
    </row>
    <row r="3" spans="1:3" x14ac:dyDescent="0.3">
      <c r="A3" t="s">
        <v>16</v>
      </c>
      <c r="B3" t="s">
        <v>15</v>
      </c>
      <c r="C3" s="3">
        <v>38000</v>
      </c>
    </row>
    <row r="4" spans="1:3" x14ac:dyDescent="0.3">
      <c r="A4" t="s">
        <v>17</v>
      </c>
      <c r="B4" t="s">
        <v>18</v>
      </c>
      <c r="C4" s="3">
        <v>8500</v>
      </c>
    </row>
    <row r="5" spans="1:3" x14ac:dyDescent="0.3">
      <c r="A5" t="s">
        <v>19</v>
      </c>
      <c r="B5" t="s">
        <v>20</v>
      </c>
      <c r="C5" s="3">
        <v>900</v>
      </c>
    </row>
    <row r="6" spans="1:3" x14ac:dyDescent="0.3">
      <c r="A6" t="s">
        <v>21</v>
      </c>
      <c r="B6" t="s">
        <v>20</v>
      </c>
      <c r="C6" s="3">
        <v>600</v>
      </c>
    </row>
    <row r="7" spans="1:3" x14ac:dyDescent="0.3">
      <c r="A7" t="s">
        <v>22</v>
      </c>
      <c r="B7" t="s">
        <v>18</v>
      </c>
      <c r="C7" s="3">
        <v>7000</v>
      </c>
    </row>
    <row r="8" spans="1:3" x14ac:dyDescent="0.3">
      <c r="A8" t="s">
        <v>23</v>
      </c>
      <c r="B8" t="s">
        <v>25</v>
      </c>
      <c r="C8" s="3">
        <v>3200</v>
      </c>
    </row>
    <row r="9" spans="1:3" x14ac:dyDescent="0.3">
      <c r="A9" t="s">
        <v>24</v>
      </c>
      <c r="B9" t="s">
        <v>25</v>
      </c>
      <c r="C9" s="3">
        <v>2500</v>
      </c>
    </row>
    <row r="11" spans="1:3" x14ac:dyDescent="0.3">
      <c r="A11" t="s">
        <v>2</v>
      </c>
      <c r="C11" t="s">
        <v>3</v>
      </c>
    </row>
    <row r="12" spans="1:3" x14ac:dyDescent="0.3">
      <c r="A12" t="s">
        <v>26</v>
      </c>
      <c r="C12" t="s">
        <v>30</v>
      </c>
    </row>
    <row r="13" spans="1:3" x14ac:dyDescent="0.3">
      <c r="A13" t="s">
        <v>27</v>
      </c>
      <c r="C13" t="s">
        <v>31</v>
      </c>
    </row>
    <row r="14" spans="1:3" x14ac:dyDescent="0.3">
      <c r="A14" t="s">
        <v>29</v>
      </c>
      <c r="C14" t="s">
        <v>32</v>
      </c>
    </row>
    <row r="15" spans="1:3" x14ac:dyDescent="0.3">
      <c r="A15" t="s">
        <v>28</v>
      </c>
      <c r="C15" t="s">
        <v>33</v>
      </c>
    </row>
    <row r="16" spans="1:3" x14ac:dyDescent="0.3">
      <c r="C16" t="s">
        <v>34</v>
      </c>
    </row>
    <row r="17" spans="3:3" x14ac:dyDescent="0.3">
      <c r="C17" t="s">
        <v>35</v>
      </c>
    </row>
  </sheetData>
  <pageMargins left="0.7" right="0.7" top="0.75" bottom="0.75" header="0.3" footer="0.3"/>
  <tableParts count="3">
    <tablePart r:id="rId1"/>
    <tablePart r:id="rId2"/>
    <tablePart r:id="rId3"/>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051D79-B6F6-4155-BDB2-51D025BE8B86}">
  <dimension ref="A1:Q5002"/>
  <sheetViews>
    <sheetView tabSelected="1" workbookViewId="0">
      <selection activeCell="L1" sqref="L1"/>
    </sheetView>
  </sheetViews>
  <sheetFormatPr defaultRowHeight="14.4" x14ac:dyDescent="0.3"/>
  <cols>
    <col min="1" max="1" width="12.77734375" bestFit="1" customWidth="1"/>
    <col min="2" max="2" width="14.88671875" customWidth="1"/>
    <col min="4" max="4" width="13.109375" customWidth="1"/>
    <col min="5" max="5" width="16.33203125" customWidth="1"/>
    <col min="6" max="6" width="9.44140625" customWidth="1"/>
    <col min="7" max="7" width="10.21875" customWidth="1"/>
    <col min="8" max="8" width="10" customWidth="1"/>
    <col min="9" max="9" width="11" customWidth="1"/>
    <col min="10" max="10" width="11.6640625" bestFit="1" customWidth="1"/>
    <col min="11" max="11" width="10.44140625" customWidth="1"/>
    <col min="12" max="13" width="11.6640625" bestFit="1" customWidth="1"/>
    <col min="14" max="14" width="15.21875" customWidth="1"/>
    <col min="17" max="17" width="10" bestFit="1" customWidth="1"/>
  </cols>
  <sheetData>
    <row r="1" spans="1:17" x14ac:dyDescent="0.3">
      <c r="A1" t="s">
        <v>0</v>
      </c>
      <c r="B1" s="1" t="s">
        <v>1</v>
      </c>
      <c r="C1" s="1" t="s">
        <v>2</v>
      </c>
      <c r="D1" t="s">
        <v>3</v>
      </c>
      <c r="E1" t="s">
        <v>4</v>
      </c>
      <c r="F1" t="s">
        <v>5</v>
      </c>
      <c r="G1" t="s">
        <v>6</v>
      </c>
      <c r="H1" t="s">
        <v>7</v>
      </c>
      <c r="I1" t="s">
        <v>8</v>
      </c>
      <c r="J1" t="s">
        <v>9</v>
      </c>
      <c r="K1" t="s">
        <v>10</v>
      </c>
      <c r="L1" t="s">
        <v>11</v>
      </c>
      <c r="M1" t="s">
        <v>12</v>
      </c>
      <c r="N1" t="s">
        <v>13</v>
      </c>
    </row>
    <row r="2" spans="1:17" x14ac:dyDescent="0.3">
      <c r="A2" s="6">
        <v>45658</v>
      </c>
      <c r="B2" s="1" t="s">
        <v>36</v>
      </c>
      <c r="C2" s="1" t="s">
        <v>29</v>
      </c>
      <c r="D2" t="s">
        <v>35</v>
      </c>
      <c r="E2" t="s">
        <v>114</v>
      </c>
      <c r="F2" t="s">
        <v>23</v>
      </c>
      <c r="G2" t="s">
        <v>25</v>
      </c>
      <c r="H2" s="3">
        <v>6</v>
      </c>
      <c r="I2" s="3">
        <v>4096</v>
      </c>
      <c r="J2" s="3">
        <v>24576</v>
      </c>
      <c r="K2" s="3">
        <v>3200</v>
      </c>
      <c r="L2" s="3">
        <v>19200</v>
      </c>
      <c r="M2" s="3">
        <v>5376</v>
      </c>
      <c r="N2" s="4">
        <v>0.21875</v>
      </c>
      <c r="P2" s="5">
        <f>DATE(2025,1,1)+INT(ROW()/14)</f>
        <v>45658</v>
      </c>
      <c r="Q2" t="str">
        <f ca="1">"Customer "&amp;TEXT(RANDBETWEEN(1,150),"000")</f>
        <v>Customer 118</v>
      </c>
    </row>
    <row r="3" spans="1:17" x14ac:dyDescent="0.3">
      <c r="A3" s="6">
        <v>45658</v>
      </c>
      <c r="B3" s="1" t="s">
        <v>38</v>
      </c>
      <c r="C3" s="1" t="s">
        <v>27</v>
      </c>
      <c r="D3" t="s">
        <v>34</v>
      </c>
      <c r="E3" t="s">
        <v>548</v>
      </c>
      <c r="F3" t="s">
        <v>14</v>
      </c>
      <c r="G3" t="s">
        <v>15</v>
      </c>
      <c r="H3" s="3">
        <v>9</v>
      </c>
      <c r="I3" s="3">
        <v>60300</v>
      </c>
      <c r="J3" s="3">
        <v>542700</v>
      </c>
      <c r="K3" s="3">
        <v>45000</v>
      </c>
      <c r="L3" s="3">
        <v>405000</v>
      </c>
      <c r="M3" s="3">
        <v>137700</v>
      </c>
      <c r="N3" s="4">
        <v>0.2537313432835821</v>
      </c>
      <c r="P3" t="str">
        <f>"ORD-"&amp;TEXT(ROW()-2,"00000")</f>
        <v>ORD-00001</v>
      </c>
      <c r="Q3">
        <f ca="1">K2*(1+RANDBETWEEN(20,45)/100)</f>
        <v>4384</v>
      </c>
    </row>
    <row r="4" spans="1:17" x14ac:dyDescent="0.3">
      <c r="A4" s="6">
        <v>45658</v>
      </c>
      <c r="B4" s="1" t="s">
        <v>40</v>
      </c>
      <c r="C4" s="1" t="s">
        <v>26</v>
      </c>
      <c r="D4" t="s">
        <v>34</v>
      </c>
      <c r="E4" t="s">
        <v>134</v>
      </c>
      <c r="F4" t="s">
        <v>16</v>
      </c>
      <c r="G4" t="s">
        <v>15</v>
      </c>
      <c r="H4" s="3">
        <v>8</v>
      </c>
      <c r="I4" s="3">
        <v>51679.999999999993</v>
      </c>
      <c r="J4" s="3">
        <v>413439.99999999994</v>
      </c>
      <c r="K4" s="3">
        <v>38000</v>
      </c>
      <c r="L4" s="3">
        <v>304000</v>
      </c>
      <c r="M4" s="3">
        <v>109439.99999999994</v>
      </c>
      <c r="N4" s="4">
        <v>0.26470588235294107</v>
      </c>
      <c r="P4" t="str" cm="1">
        <f t="array" aca="1" ref="P4" ca="1">INDEX(tblRegion[Region],RANDBETWEEN(1,ROWS(tblRegion[Region])))</f>
        <v>North</v>
      </c>
    </row>
    <row r="5" spans="1:17" x14ac:dyDescent="0.3">
      <c r="A5" s="6">
        <v>45658</v>
      </c>
      <c r="B5" s="1" t="s">
        <v>42</v>
      </c>
      <c r="C5" s="1" t="s">
        <v>26</v>
      </c>
      <c r="D5" t="s">
        <v>31</v>
      </c>
      <c r="E5" t="s">
        <v>153</v>
      </c>
      <c r="F5" t="s">
        <v>24</v>
      </c>
      <c r="G5" t="s">
        <v>25</v>
      </c>
      <c r="H5" s="3">
        <v>1</v>
      </c>
      <c r="I5" s="3">
        <v>3175</v>
      </c>
      <c r="J5" s="3">
        <v>3175</v>
      </c>
      <c r="K5" s="3">
        <v>2500</v>
      </c>
      <c r="L5" s="3">
        <v>2500</v>
      </c>
      <c r="M5" s="3">
        <v>675</v>
      </c>
      <c r="N5" s="4">
        <v>0.2125984251968504</v>
      </c>
      <c r="P5" t="str" cm="1">
        <f t="array" aca="1" ref="P5" ca="1">INDEX(tblRegion[Region],RANDBETWEEN(1,ROWS(tblRegion[Region])))</f>
        <v>East</v>
      </c>
      <c r="Q5">
        <f>AVERAGEIFS(tblSales[Sales],tblSales[Salesperson],"Neha Verma",tblSales[Product],"Laptop")</f>
        <v>333922.0588235294</v>
      </c>
    </row>
    <row r="6" spans="1:17" x14ac:dyDescent="0.3">
      <c r="A6" s="6">
        <v>45658</v>
      </c>
      <c r="B6" s="1" t="s">
        <v>44</v>
      </c>
      <c r="C6" s="1" t="s">
        <v>26</v>
      </c>
      <c r="D6" t="s">
        <v>34</v>
      </c>
      <c r="E6" t="s">
        <v>81</v>
      </c>
      <c r="F6" t="s">
        <v>24</v>
      </c>
      <c r="G6" t="s">
        <v>25</v>
      </c>
      <c r="H6" s="3">
        <v>6</v>
      </c>
      <c r="I6" s="3">
        <v>3500</v>
      </c>
      <c r="J6" s="3">
        <v>21000</v>
      </c>
      <c r="K6" s="3">
        <v>2500</v>
      </c>
      <c r="L6" s="3">
        <v>15000</v>
      </c>
      <c r="M6" s="3">
        <v>6000</v>
      </c>
      <c r="N6" s="4">
        <v>0.2857142857142857</v>
      </c>
      <c r="P6" t="str" cm="1">
        <f t="array" aca="1" ref="P6" ca="1">INDEX(tblRegion[Region],RANDBETWEEN(1,ROWS(tblRegion[Region])))</f>
        <v>South</v>
      </c>
      <c r="Q6">
        <f ca="1">COUNTIFS(tblSales[Product],"SSD",tblSales[Region],P7)</f>
        <v>163</v>
      </c>
    </row>
    <row r="7" spans="1:17" x14ac:dyDescent="0.3">
      <c r="A7" s="6">
        <v>45658</v>
      </c>
      <c r="B7" s="1" t="s">
        <v>46</v>
      </c>
      <c r="C7" s="1" t="s">
        <v>28</v>
      </c>
      <c r="D7" t="s">
        <v>32</v>
      </c>
      <c r="E7" t="s">
        <v>574</v>
      </c>
      <c r="F7" t="s">
        <v>17</v>
      </c>
      <c r="G7" t="s">
        <v>18</v>
      </c>
      <c r="H7" s="3">
        <v>2</v>
      </c>
      <c r="I7" s="3">
        <v>12155</v>
      </c>
      <c r="J7" s="3">
        <v>24310</v>
      </c>
      <c r="K7" s="3">
        <v>8500</v>
      </c>
      <c r="L7" s="3">
        <v>17000</v>
      </c>
      <c r="M7" s="3">
        <v>7310</v>
      </c>
      <c r="N7" s="4">
        <v>0.30069930069930068</v>
      </c>
      <c r="P7" t="str" cm="1">
        <f t="array" aca="1" ref="P7" ca="1">INDEX(tblRegion[Region],RANDBETWEEN(1,ROWS(tblRegion[Region])))</f>
        <v>West</v>
      </c>
    </row>
    <row r="8" spans="1:17" x14ac:dyDescent="0.3">
      <c r="A8" s="6">
        <v>45658</v>
      </c>
      <c r="B8" s="1" t="s">
        <v>48</v>
      </c>
      <c r="C8" s="1" t="s">
        <v>29</v>
      </c>
      <c r="D8" t="s">
        <v>32</v>
      </c>
      <c r="E8" t="s">
        <v>166</v>
      </c>
      <c r="F8" t="s">
        <v>23</v>
      </c>
      <c r="G8" t="s">
        <v>25</v>
      </c>
      <c r="H8" s="3">
        <v>1</v>
      </c>
      <c r="I8" s="3">
        <v>4384</v>
      </c>
      <c r="J8" s="3">
        <v>4384</v>
      </c>
      <c r="K8" s="3">
        <v>3200</v>
      </c>
      <c r="L8" s="3">
        <v>3200</v>
      </c>
      <c r="M8" s="3">
        <v>1184</v>
      </c>
      <c r="N8" s="4">
        <v>0.27007299270072993</v>
      </c>
      <c r="P8" t="str" cm="1">
        <f t="array" aca="1" ref="P8" ca="1">INDEX(tblRegion[Region],RANDBETWEEN(1,ROWS(tblRegion[Region])))</f>
        <v>South</v>
      </c>
      <c r="Q8">
        <f>SUMPRODUCT(tblSales[Quantity],tblSales[Unit Price])</f>
        <v>504336223</v>
      </c>
    </row>
    <row r="9" spans="1:17" x14ac:dyDescent="0.3">
      <c r="A9" s="6">
        <v>45658</v>
      </c>
      <c r="B9" s="1" t="s">
        <v>50</v>
      </c>
      <c r="C9" s="1" t="s">
        <v>29</v>
      </c>
      <c r="D9" t="s">
        <v>32</v>
      </c>
      <c r="E9" t="s">
        <v>98</v>
      </c>
      <c r="F9" t="s">
        <v>21</v>
      </c>
      <c r="G9" t="s">
        <v>20</v>
      </c>
      <c r="H9" s="3">
        <v>5</v>
      </c>
      <c r="I9" s="3">
        <v>834.00000000000011</v>
      </c>
      <c r="J9" s="3">
        <v>4170.0000000000009</v>
      </c>
      <c r="K9" s="3">
        <v>600</v>
      </c>
      <c r="L9" s="3">
        <v>3000</v>
      </c>
      <c r="M9" s="3">
        <v>1170.0000000000009</v>
      </c>
      <c r="N9" s="4">
        <v>0.28057553956834547</v>
      </c>
    </row>
    <row r="10" spans="1:17" x14ac:dyDescent="0.3">
      <c r="A10" s="6">
        <v>45658</v>
      </c>
      <c r="B10" s="1" t="s">
        <v>52</v>
      </c>
      <c r="C10" s="1" t="s">
        <v>29</v>
      </c>
      <c r="D10" t="s">
        <v>32</v>
      </c>
      <c r="E10" t="s">
        <v>231</v>
      </c>
      <c r="F10" t="s">
        <v>23</v>
      </c>
      <c r="G10" t="s">
        <v>25</v>
      </c>
      <c r="H10" s="3">
        <v>7</v>
      </c>
      <c r="I10" s="3">
        <v>4096</v>
      </c>
      <c r="J10" s="3">
        <v>28672</v>
      </c>
      <c r="K10" s="3">
        <v>3200</v>
      </c>
      <c r="L10" s="3">
        <v>22400</v>
      </c>
      <c r="M10" s="3">
        <v>6272</v>
      </c>
      <c r="N10" s="4">
        <v>0.21875</v>
      </c>
    </row>
    <row r="11" spans="1:17" x14ac:dyDescent="0.3">
      <c r="A11" s="6">
        <v>45658</v>
      </c>
      <c r="B11" s="1" t="s">
        <v>54</v>
      </c>
      <c r="C11" s="1" t="s">
        <v>28</v>
      </c>
      <c r="D11" t="s">
        <v>30</v>
      </c>
      <c r="E11" t="s">
        <v>538</v>
      </c>
      <c r="F11" t="s">
        <v>23</v>
      </c>
      <c r="G11" t="s">
        <v>25</v>
      </c>
      <c r="H11" s="3">
        <v>9</v>
      </c>
      <c r="I11" s="3">
        <v>4096</v>
      </c>
      <c r="J11" s="3">
        <v>36864</v>
      </c>
      <c r="K11" s="3">
        <v>3200</v>
      </c>
      <c r="L11" s="3">
        <v>28800</v>
      </c>
      <c r="M11" s="3">
        <v>8064</v>
      </c>
      <c r="N11" s="4">
        <v>0.21875</v>
      </c>
    </row>
    <row r="12" spans="1:17" x14ac:dyDescent="0.3">
      <c r="A12" s="6">
        <v>45658</v>
      </c>
      <c r="B12" s="1" t="s">
        <v>56</v>
      </c>
      <c r="C12" s="1" t="s">
        <v>29</v>
      </c>
      <c r="D12" t="s">
        <v>31</v>
      </c>
      <c r="E12" t="s">
        <v>355</v>
      </c>
      <c r="F12" t="s">
        <v>23</v>
      </c>
      <c r="G12" t="s">
        <v>25</v>
      </c>
      <c r="H12" s="3">
        <v>9</v>
      </c>
      <c r="I12" s="3">
        <v>4096</v>
      </c>
      <c r="J12" s="3">
        <v>36864</v>
      </c>
      <c r="K12" s="3">
        <v>3200</v>
      </c>
      <c r="L12" s="3">
        <v>28800</v>
      </c>
      <c r="M12" s="3">
        <v>8064</v>
      </c>
      <c r="N12" s="4">
        <v>0.21875</v>
      </c>
    </row>
    <row r="13" spans="1:17" x14ac:dyDescent="0.3">
      <c r="A13" s="6">
        <v>45658</v>
      </c>
      <c r="B13" s="1" t="s">
        <v>58</v>
      </c>
      <c r="C13" s="1" t="s">
        <v>29</v>
      </c>
      <c r="D13" t="s">
        <v>30</v>
      </c>
      <c r="E13" t="s">
        <v>122</v>
      </c>
      <c r="F13" t="s">
        <v>23</v>
      </c>
      <c r="G13" t="s">
        <v>25</v>
      </c>
      <c r="H13" s="3">
        <v>2</v>
      </c>
      <c r="I13" s="3">
        <v>3936</v>
      </c>
      <c r="J13" s="3">
        <v>7872</v>
      </c>
      <c r="K13" s="3">
        <v>3200</v>
      </c>
      <c r="L13" s="3">
        <v>6400</v>
      </c>
      <c r="M13" s="3">
        <v>1472</v>
      </c>
      <c r="N13" s="4">
        <v>0.18699186991869918</v>
      </c>
    </row>
    <row r="14" spans="1:17" x14ac:dyDescent="0.3">
      <c r="A14" s="6">
        <v>45659</v>
      </c>
      <c r="B14" s="1" t="s">
        <v>60</v>
      </c>
      <c r="C14" s="1" t="s">
        <v>28</v>
      </c>
      <c r="D14" t="s">
        <v>35</v>
      </c>
      <c r="E14" t="s">
        <v>166</v>
      </c>
      <c r="F14" t="s">
        <v>17</v>
      </c>
      <c r="G14" t="s">
        <v>18</v>
      </c>
      <c r="H14" s="3">
        <v>8</v>
      </c>
      <c r="I14" s="3">
        <v>12240</v>
      </c>
      <c r="J14" s="3">
        <v>97920</v>
      </c>
      <c r="K14" s="3">
        <v>8500</v>
      </c>
      <c r="L14" s="3">
        <v>68000</v>
      </c>
      <c r="M14" s="3">
        <v>29920</v>
      </c>
      <c r="N14" s="4">
        <v>0.30555555555555558</v>
      </c>
    </row>
    <row r="15" spans="1:17" x14ac:dyDescent="0.3">
      <c r="A15" s="6">
        <v>45659</v>
      </c>
      <c r="B15" s="1" t="s">
        <v>62</v>
      </c>
      <c r="C15" s="1" t="s">
        <v>29</v>
      </c>
      <c r="D15" t="s">
        <v>35</v>
      </c>
      <c r="E15" t="s">
        <v>283</v>
      </c>
      <c r="F15" t="s">
        <v>24</v>
      </c>
      <c r="G15" t="s">
        <v>25</v>
      </c>
      <c r="H15" s="3">
        <v>9</v>
      </c>
      <c r="I15" s="3">
        <v>3250</v>
      </c>
      <c r="J15" s="3">
        <v>29250</v>
      </c>
      <c r="K15" s="3">
        <v>2500</v>
      </c>
      <c r="L15" s="3">
        <v>22500</v>
      </c>
      <c r="M15" s="3">
        <v>6750</v>
      </c>
      <c r="N15" s="4">
        <v>0.23076923076923078</v>
      </c>
    </row>
    <row r="16" spans="1:17" x14ac:dyDescent="0.3">
      <c r="A16" s="6">
        <v>45659</v>
      </c>
      <c r="B16" s="1" t="s">
        <v>64</v>
      </c>
      <c r="C16" s="1" t="s">
        <v>26</v>
      </c>
      <c r="D16" t="s">
        <v>34</v>
      </c>
      <c r="E16" t="s">
        <v>381</v>
      </c>
      <c r="F16" t="s">
        <v>14</v>
      </c>
      <c r="G16" t="s">
        <v>15</v>
      </c>
      <c r="H16" s="3">
        <v>2</v>
      </c>
      <c r="I16" s="3">
        <v>58950</v>
      </c>
      <c r="J16" s="3">
        <v>117900</v>
      </c>
      <c r="K16" s="3">
        <v>45000</v>
      </c>
      <c r="L16" s="3">
        <v>90000</v>
      </c>
      <c r="M16" s="3">
        <v>27900</v>
      </c>
      <c r="N16" s="4">
        <v>0.23664122137404581</v>
      </c>
    </row>
    <row r="17" spans="1:14" x14ac:dyDescent="0.3">
      <c r="A17" s="6">
        <v>45659</v>
      </c>
      <c r="B17" s="1" t="s">
        <v>66</v>
      </c>
      <c r="C17" s="1" t="s">
        <v>29</v>
      </c>
      <c r="D17" t="s">
        <v>31</v>
      </c>
      <c r="E17" t="s">
        <v>96</v>
      </c>
      <c r="F17" t="s">
        <v>23</v>
      </c>
      <c r="G17" t="s">
        <v>25</v>
      </c>
      <c r="H17" s="3">
        <v>6</v>
      </c>
      <c r="I17" s="3">
        <v>4512</v>
      </c>
      <c r="J17" s="3">
        <v>27072</v>
      </c>
      <c r="K17" s="3">
        <v>3200</v>
      </c>
      <c r="L17" s="3">
        <v>19200</v>
      </c>
      <c r="M17" s="3">
        <v>7872</v>
      </c>
      <c r="N17" s="4">
        <v>0.29078014184397161</v>
      </c>
    </row>
    <row r="18" spans="1:14" x14ac:dyDescent="0.3">
      <c r="A18" s="6">
        <v>45659</v>
      </c>
      <c r="B18" s="1" t="s">
        <v>68</v>
      </c>
      <c r="C18" s="1" t="s">
        <v>28</v>
      </c>
      <c r="D18" t="s">
        <v>35</v>
      </c>
      <c r="E18" t="s">
        <v>53</v>
      </c>
      <c r="F18" t="s">
        <v>19</v>
      </c>
      <c r="G18" t="s">
        <v>20</v>
      </c>
      <c r="H18" s="3">
        <v>6</v>
      </c>
      <c r="I18" s="3">
        <v>1152</v>
      </c>
      <c r="J18" s="3">
        <v>6912</v>
      </c>
      <c r="K18" s="3">
        <v>900</v>
      </c>
      <c r="L18" s="3">
        <v>5400</v>
      </c>
      <c r="M18" s="3">
        <v>1512</v>
      </c>
      <c r="N18" s="4">
        <v>0.21875</v>
      </c>
    </row>
    <row r="19" spans="1:14" x14ac:dyDescent="0.3">
      <c r="A19" s="6">
        <v>45659</v>
      </c>
      <c r="B19" s="1" t="s">
        <v>70</v>
      </c>
      <c r="C19" s="1" t="s">
        <v>26</v>
      </c>
      <c r="D19" t="s">
        <v>34</v>
      </c>
      <c r="E19" t="s">
        <v>319</v>
      </c>
      <c r="F19" t="s">
        <v>24</v>
      </c>
      <c r="G19" t="s">
        <v>25</v>
      </c>
      <c r="H19" s="3">
        <v>5</v>
      </c>
      <c r="I19" s="3">
        <v>3550</v>
      </c>
      <c r="J19" s="3">
        <v>17750</v>
      </c>
      <c r="K19" s="3">
        <v>2500</v>
      </c>
      <c r="L19" s="3">
        <v>12500</v>
      </c>
      <c r="M19" s="3">
        <v>5250</v>
      </c>
      <c r="N19" s="4">
        <v>0.29577464788732394</v>
      </c>
    </row>
    <row r="20" spans="1:14" x14ac:dyDescent="0.3">
      <c r="A20" s="6">
        <v>45659</v>
      </c>
      <c r="B20" s="1" t="s">
        <v>71</v>
      </c>
      <c r="C20" s="1" t="s">
        <v>28</v>
      </c>
      <c r="D20" t="s">
        <v>31</v>
      </c>
      <c r="E20" t="s">
        <v>90</v>
      </c>
      <c r="F20" t="s">
        <v>22</v>
      </c>
      <c r="G20" t="s">
        <v>18</v>
      </c>
      <c r="H20" s="3">
        <v>10</v>
      </c>
      <c r="I20" s="3">
        <v>8890</v>
      </c>
      <c r="J20" s="3">
        <v>88900</v>
      </c>
      <c r="K20" s="3">
        <v>7000</v>
      </c>
      <c r="L20" s="3">
        <v>70000</v>
      </c>
      <c r="M20" s="3">
        <v>18900</v>
      </c>
      <c r="N20" s="4">
        <v>0.2125984251968504</v>
      </c>
    </row>
    <row r="21" spans="1:14" x14ac:dyDescent="0.3">
      <c r="A21" s="6">
        <v>45659</v>
      </c>
      <c r="B21" s="1" t="s">
        <v>73</v>
      </c>
      <c r="C21" s="1" t="s">
        <v>28</v>
      </c>
      <c r="D21" t="s">
        <v>31</v>
      </c>
      <c r="E21" t="s">
        <v>92</v>
      </c>
      <c r="F21" t="s">
        <v>14</v>
      </c>
      <c r="G21" t="s">
        <v>15</v>
      </c>
      <c r="H21" s="3">
        <v>2</v>
      </c>
      <c r="I21" s="3">
        <v>58500</v>
      </c>
      <c r="J21" s="3">
        <v>117000</v>
      </c>
      <c r="K21" s="3">
        <v>45000</v>
      </c>
      <c r="L21" s="3">
        <v>90000</v>
      </c>
      <c r="M21" s="3">
        <v>27000</v>
      </c>
      <c r="N21" s="4">
        <v>0.23076923076923078</v>
      </c>
    </row>
    <row r="22" spans="1:14" x14ac:dyDescent="0.3">
      <c r="A22" s="6">
        <v>45659</v>
      </c>
      <c r="B22" s="1" t="s">
        <v>75</v>
      </c>
      <c r="C22" s="1" t="s">
        <v>28</v>
      </c>
      <c r="D22" t="s">
        <v>32</v>
      </c>
      <c r="E22" t="s">
        <v>436</v>
      </c>
      <c r="F22" t="s">
        <v>24</v>
      </c>
      <c r="G22" t="s">
        <v>25</v>
      </c>
      <c r="H22" s="3">
        <v>4</v>
      </c>
      <c r="I22" s="3">
        <v>3575</v>
      </c>
      <c r="J22" s="3">
        <v>14300</v>
      </c>
      <c r="K22" s="3">
        <v>2500</v>
      </c>
      <c r="L22" s="3">
        <v>10000</v>
      </c>
      <c r="M22" s="3">
        <v>4300</v>
      </c>
      <c r="N22" s="4">
        <v>0.30069930069930068</v>
      </c>
    </row>
    <row r="23" spans="1:14" x14ac:dyDescent="0.3">
      <c r="A23" s="6">
        <v>45659</v>
      </c>
      <c r="B23" s="1" t="s">
        <v>77</v>
      </c>
      <c r="C23" s="1" t="s">
        <v>26</v>
      </c>
      <c r="D23" t="s">
        <v>33</v>
      </c>
      <c r="E23" t="s">
        <v>280</v>
      </c>
      <c r="F23" t="s">
        <v>14</v>
      </c>
      <c r="G23" t="s">
        <v>15</v>
      </c>
      <c r="H23" s="3">
        <v>9</v>
      </c>
      <c r="I23" s="3">
        <v>61650.000000000007</v>
      </c>
      <c r="J23" s="3">
        <v>554850.00000000012</v>
      </c>
      <c r="K23" s="3">
        <v>45000</v>
      </c>
      <c r="L23" s="3">
        <v>405000</v>
      </c>
      <c r="M23" s="3">
        <v>149850.00000000012</v>
      </c>
      <c r="N23" s="4">
        <v>0.2700729927007301</v>
      </c>
    </row>
    <row r="24" spans="1:14" x14ac:dyDescent="0.3">
      <c r="A24" s="6">
        <v>45659</v>
      </c>
      <c r="B24" s="1" t="s">
        <v>79</v>
      </c>
      <c r="C24" s="1" t="s">
        <v>29</v>
      </c>
      <c r="D24" t="s">
        <v>34</v>
      </c>
      <c r="E24" t="s">
        <v>161</v>
      </c>
      <c r="F24" t="s">
        <v>17</v>
      </c>
      <c r="G24" t="s">
        <v>18</v>
      </c>
      <c r="H24" s="3">
        <v>4</v>
      </c>
      <c r="I24" s="3">
        <v>10795</v>
      </c>
      <c r="J24" s="3">
        <v>43180</v>
      </c>
      <c r="K24" s="3">
        <v>8500</v>
      </c>
      <c r="L24" s="3">
        <v>34000</v>
      </c>
      <c r="M24" s="3">
        <v>9180</v>
      </c>
      <c r="N24" s="4">
        <v>0.2125984251968504</v>
      </c>
    </row>
    <row r="25" spans="1:14" x14ac:dyDescent="0.3">
      <c r="A25" s="6">
        <v>45659</v>
      </c>
      <c r="B25" s="1" t="s">
        <v>80</v>
      </c>
      <c r="C25" s="1" t="s">
        <v>27</v>
      </c>
      <c r="D25" t="s">
        <v>30</v>
      </c>
      <c r="E25" t="s">
        <v>308</v>
      </c>
      <c r="F25" t="s">
        <v>16</v>
      </c>
      <c r="G25" t="s">
        <v>15</v>
      </c>
      <c r="H25" s="3">
        <v>6</v>
      </c>
      <c r="I25" s="3">
        <v>47120</v>
      </c>
      <c r="J25" s="3">
        <v>282720</v>
      </c>
      <c r="K25" s="3">
        <v>38000</v>
      </c>
      <c r="L25" s="3">
        <v>228000</v>
      </c>
      <c r="M25" s="3">
        <v>54720</v>
      </c>
      <c r="N25" s="4">
        <v>0.19354838709677419</v>
      </c>
    </row>
    <row r="26" spans="1:14" x14ac:dyDescent="0.3">
      <c r="A26" s="6">
        <v>45659</v>
      </c>
      <c r="B26" s="1" t="s">
        <v>82</v>
      </c>
      <c r="C26" s="1" t="s">
        <v>29</v>
      </c>
      <c r="D26" t="s">
        <v>30</v>
      </c>
      <c r="E26" t="s">
        <v>157</v>
      </c>
      <c r="F26" t="s">
        <v>22</v>
      </c>
      <c r="G26" t="s">
        <v>18</v>
      </c>
      <c r="H26" s="3">
        <v>8</v>
      </c>
      <c r="I26" s="3">
        <v>9380</v>
      </c>
      <c r="J26" s="3">
        <v>75040</v>
      </c>
      <c r="K26" s="3">
        <v>7000</v>
      </c>
      <c r="L26" s="3">
        <v>56000</v>
      </c>
      <c r="M26" s="3">
        <v>19040</v>
      </c>
      <c r="N26" s="4">
        <v>0.2537313432835821</v>
      </c>
    </row>
    <row r="27" spans="1:14" x14ac:dyDescent="0.3">
      <c r="A27" s="6">
        <v>45659</v>
      </c>
      <c r="B27" s="1" t="s">
        <v>84</v>
      </c>
      <c r="C27" s="1" t="s">
        <v>28</v>
      </c>
      <c r="D27" t="s">
        <v>32</v>
      </c>
      <c r="E27" t="s">
        <v>118</v>
      </c>
      <c r="F27" t="s">
        <v>23</v>
      </c>
      <c r="G27" t="s">
        <v>25</v>
      </c>
      <c r="H27" s="3">
        <v>9</v>
      </c>
      <c r="I27" s="3">
        <v>4128</v>
      </c>
      <c r="J27" s="3">
        <v>37152</v>
      </c>
      <c r="K27" s="3">
        <v>3200</v>
      </c>
      <c r="L27" s="3">
        <v>28800</v>
      </c>
      <c r="M27" s="3">
        <v>8352</v>
      </c>
      <c r="N27" s="4">
        <v>0.22480620155038761</v>
      </c>
    </row>
    <row r="28" spans="1:14" x14ac:dyDescent="0.3">
      <c r="A28" s="6">
        <v>45660</v>
      </c>
      <c r="B28" s="1" t="s">
        <v>86</v>
      </c>
      <c r="C28" s="1" t="s">
        <v>27</v>
      </c>
      <c r="D28" t="s">
        <v>33</v>
      </c>
      <c r="E28" t="s">
        <v>249</v>
      </c>
      <c r="F28" t="s">
        <v>14</v>
      </c>
      <c r="G28" t="s">
        <v>15</v>
      </c>
      <c r="H28" s="3">
        <v>6</v>
      </c>
      <c r="I28" s="3">
        <v>57150</v>
      </c>
      <c r="J28" s="3">
        <v>342900</v>
      </c>
      <c r="K28" s="3">
        <v>45000</v>
      </c>
      <c r="L28" s="3">
        <v>270000</v>
      </c>
      <c r="M28" s="3">
        <v>72900</v>
      </c>
      <c r="N28" s="4">
        <v>0.2125984251968504</v>
      </c>
    </row>
    <row r="29" spans="1:14" x14ac:dyDescent="0.3">
      <c r="A29" s="6">
        <v>45660</v>
      </c>
      <c r="B29" s="1" t="s">
        <v>87</v>
      </c>
      <c r="C29" s="1" t="s">
        <v>27</v>
      </c>
      <c r="D29" t="s">
        <v>31</v>
      </c>
      <c r="E29" t="s">
        <v>582</v>
      </c>
      <c r="F29" t="s">
        <v>23</v>
      </c>
      <c r="G29" t="s">
        <v>25</v>
      </c>
      <c r="H29" s="3">
        <v>10</v>
      </c>
      <c r="I29" s="3">
        <v>4320</v>
      </c>
      <c r="J29" s="3">
        <v>43200</v>
      </c>
      <c r="K29" s="3">
        <v>3200</v>
      </c>
      <c r="L29" s="3">
        <v>32000</v>
      </c>
      <c r="M29" s="3">
        <v>11200</v>
      </c>
      <c r="N29" s="4">
        <v>0.25925925925925924</v>
      </c>
    </row>
    <row r="30" spans="1:14" x14ac:dyDescent="0.3">
      <c r="A30" s="6">
        <v>45660</v>
      </c>
      <c r="B30" s="1" t="s">
        <v>89</v>
      </c>
      <c r="C30" s="1" t="s">
        <v>26</v>
      </c>
      <c r="D30" t="s">
        <v>30</v>
      </c>
      <c r="E30" t="s">
        <v>355</v>
      </c>
      <c r="F30" t="s">
        <v>24</v>
      </c>
      <c r="G30" t="s">
        <v>25</v>
      </c>
      <c r="H30" s="3">
        <v>3</v>
      </c>
      <c r="I30" s="3">
        <v>3550</v>
      </c>
      <c r="J30" s="3">
        <v>10650</v>
      </c>
      <c r="K30" s="3">
        <v>2500</v>
      </c>
      <c r="L30" s="3">
        <v>7500</v>
      </c>
      <c r="M30" s="3">
        <v>3150</v>
      </c>
      <c r="N30" s="4">
        <v>0.29577464788732394</v>
      </c>
    </row>
    <row r="31" spans="1:14" x14ac:dyDescent="0.3">
      <c r="A31" s="6">
        <v>45660</v>
      </c>
      <c r="B31" s="1" t="s">
        <v>91</v>
      </c>
      <c r="C31" s="1" t="s">
        <v>27</v>
      </c>
      <c r="D31" t="s">
        <v>32</v>
      </c>
      <c r="E31" t="s">
        <v>193</v>
      </c>
      <c r="F31" t="s">
        <v>24</v>
      </c>
      <c r="G31" t="s">
        <v>25</v>
      </c>
      <c r="H31" s="3">
        <v>9</v>
      </c>
      <c r="I31" s="3">
        <v>3075</v>
      </c>
      <c r="J31" s="3">
        <v>27675</v>
      </c>
      <c r="K31" s="3">
        <v>2500</v>
      </c>
      <c r="L31" s="3">
        <v>22500</v>
      </c>
      <c r="M31" s="3">
        <v>5175</v>
      </c>
      <c r="N31" s="4">
        <v>0.18699186991869918</v>
      </c>
    </row>
    <row r="32" spans="1:14" x14ac:dyDescent="0.3">
      <c r="A32" s="6">
        <v>45660</v>
      </c>
      <c r="B32" s="1" t="s">
        <v>93</v>
      </c>
      <c r="C32" s="1" t="s">
        <v>29</v>
      </c>
      <c r="D32" t="s">
        <v>31</v>
      </c>
      <c r="E32" t="s">
        <v>88</v>
      </c>
      <c r="F32" t="s">
        <v>19</v>
      </c>
      <c r="G32" t="s">
        <v>20</v>
      </c>
      <c r="H32" s="3">
        <v>8</v>
      </c>
      <c r="I32" s="3">
        <v>1089</v>
      </c>
      <c r="J32" s="3">
        <v>8712</v>
      </c>
      <c r="K32" s="3">
        <v>900</v>
      </c>
      <c r="L32" s="3">
        <v>7200</v>
      </c>
      <c r="M32" s="3">
        <v>1512</v>
      </c>
      <c r="N32" s="4">
        <v>0.17355371900826447</v>
      </c>
    </row>
    <row r="33" spans="1:14" x14ac:dyDescent="0.3">
      <c r="A33" s="6">
        <v>45660</v>
      </c>
      <c r="B33" s="1" t="s">
        <v>95</v>
      </c>
      <c r="C33" s="1" t="s">
        <v>28</v>
      </c>
      <c r="D33" t="s">
        <v>31</v>
      </c>
      <c r="E33" t="s">
        <v>193</v>
      </c>
      <c r="F33" t="s">
        <v>16</v>
      </c>
      <c r="G33" t="s">
        <v>15</v>
      </c>
      <c r="H33" s="3">
        <v>4</v>
      </c>
      <c r="I33" s="3">
        <v>45980</v>
      </c>
      <c r="J33" s="3">
        <v>183920</v>
      </c>
      <c r="K33" s="3">
        <v>38000</v>
      </c>
      <c r="L33" s="3">
        <v>152000</v>
      </c>
      <c r="M33" s="3">
        <v>31920</v>
      </c>
      <c r="N33" s="4">
        <v>0.17355371900826447</v>
      </c>
    </row>
    <row r="34" spans="1:14" x14ac:dyDescent="0.3">
      <c r="A34" s="6">
        <v>45660</v>
      </c>
      <c r="B34" s="1" t="s">
        <v>97</v>
      </c>
      <c r="C34" s="1" t="s">
        <v>27</v>
      </c>
      <c r="D34" t="s">
        <v>31</v>
      </c>
      <c r="E34" t="s">
        <v>112</v>
      </c>
      <c r="F34" t="s">
        <v>16</v>
      </c>
      <c r="G34" t="s">
        <v>15</v>
      </c>
      <c r="H34" s="3">
        <v>5</v>
      </c>
      <c r="I34" s="3">
        <v>51300</v>
      </c>
      <c r="J34" s="3">
        <v>256500</v>
      </c>
      <c r="K34" s="3">
        <v>38000</v>
      </c>
      <c r="L34" s="3">
        <v>190000</v>
      </c>
      <c r="M34" s="3">
        <v>66500</v>
      </c>
      <c r="N34" s="4">
        <v>0.25925925925925924</v>
      </c>
    </row>
    <row r="35" spans="1:14" x14ac:dyDescent="0.3">
      <c r="A35" s="6">
        <v>45660</v>
      </c>
      <c r="B35" s="1" t="s">
        <v>99</v>
      </c>
      <c r="C35" s="1" t="s">
        <v>27</v>
      </c>
      <c r="D35" t="s">
        <v>30</v>
      </c>
      <c r="E35" t="s">
        <v>363</v>
      </c>
      <c r="F35" t="s">
        <v>21</v>
      </c>
      <c r="G35" t="s">
        <v>20</v>
      </c>
      <c r="H35" s="3">
        <v>7</v>
      </c>
      <c r="I35" s="3">
        <v>858</v>
      </c>
      <c r="J35" s="3">
        <v>6006</v>
      </c>
      <c r="K35" s="3">
        <v>600</v>
      </c>
      <c r="L35" s="3">
        <v>4200</v>
      </c>
      <c r="M35" s="3">
        <v>1806</v>
      </c>
      <c r="N35" s="4">
        <v>0.30069930069930068</v>
      </c>
    </row>
    <row r="36" spans="1:14" x14ac:dyDescent="0.3">
      <c r="A36" s="6">
        <v>45660</v>
      </c>
      <c r="B36" s="1" t="s">
        <v>101</v>
      </c>
      <c r="C36" s="1" t="s">
        <v>26</v>
      </c>
      <c r="D36" t="s">
        <v>35</v>
      </c>
      <c r="E36" t="s">
        <v>935</v>
      </c>
      <c r="F36" t="s">
        <v>24</v>
      </c>
      <c r="G36" t="s">
        <v>25</v>
      </c>
      <c r="H36" s="3">
        <v>2</v>
      </c>
      <c r="I36" s="3">
        <v>3175</v>
      </c>
      <c r="J36" s="3">
        <v>6350</v>
      </c>
      <c r="K36" s="3">
        <v>2500</v>
      </c>
      <c r="L36" s="3">
        <v>5000</v>
      </c>
      <c r="M36" s="3">
        <v>1350</v>
      </c>
      <c r="N36" s="4">
        <v>0.2125984251968504</v>
      </c>
    </row>
    <row r="37" spans="1:14" x14ac:dyDescent="0.3">
      <c r="A37" s="6">
        <v>45660</v>
      </c>
      <c r="B37" s="1" t="s">
        <v>103</v>
      </c>
      <c r="C37" s="1" t="s">
        <v>28</v>
      </c>
      <c r="D37" t="s">
        <v>31</v>
      </c>
      <c r="E37" t="s">
        <v>442</v>
      </c>
      <c r="F37" t="s">
        <v>23</v>
      </c>
      <c r="G37" t="s">
        <v>25</v>
      </c>
      <c r="H37" s="3">
        <v>10</v>
      </c>
      <c r="I37" s="3">
        <v>4128</v>
      </c>
      <c r="J37" s="3">
        <v>41280</v>
      </c>
      <c r="K37" s="3">
        <v>3200</v>
      </c>
      <c r="L37" s="3">
        <v>32000</v>
      </c>
      <c r="M37" s="3">
        <v>9280</v>
      </c>
      <c r="N37" s="4">
        <v>0.22480620155038761</v>
      </c>
    </row>
    <row r="38" spans="1:14" x14ac:dyDescent="0.3">
      <c r="A38" s="6">
        <v>45660</v>
      </c>
      <c r="B38" s="1" t="s">
        <v>105</v>
      </c>
      <c r="C38" s="1" t="s">
        <v>29</v>
      </c>
      <c r="D38" t="s">
        <v>31</v>
      </c>
      <c r="E38" t="s">
        <v>365</v>
      </c>
      <c r="F38" t="s">
        <v>23</v>
      </c>
      <c r="G38" t="s">
        <v>25</v>
      </c>
      <c r="H38" s="3">
        <v>1</v>
      </c>
      <c r="I38" s="3">
        <v>4320</v>
      </c>
      <c r="J38" s="3">
        <v>4320</v>
      </c>
      <c r="K38" s="3">
        <v>3200</v>
      </c>
      <c r="L38" s="3">
        <v>3200</v>
      </c>
      <c r="M38" s="3">
        <v>1120</v>
      </c>
      <c r="N38" s="4">
        <v>0.25925925925925924</v>
      </c>
    </row>
    <row r="39" spans="1:14" x14ac:dyDescent="0.3">
      <c r="A39" s="6">
        <v>45660</v>
      </c>
      <c r="B39" s="1" t="s">
        <v>107</v>
      </c>
      <c r="C39" s="1" t="s">
        <v>29</v>
      </c>
      <c r="D39" t="s">
        <v>30</v>
      </c>
      <c r="E39" t="s">
        <v>935</v>
      </c>
      <c r="F39" t="s">
        <v>19</v>
      </c>
      <c r="G39" t="s">
        <v>20</v>
      </c>
      <c r="H39" s="3">
        <v>10</v>
      </c>
      <c r="I39" s="3">
        <v>1116</v>
      </c>
      <c r="J39" s="3">
        <v>11160</v>
      </c>
      <c r="K39" s="3">
        <v>900</v>
      </c>
      <c r="L39" s="3">
        <v>9000</v>
      </c>
      <c r="M39" s="3">
        <v>2160</v>
      </c>
      <c r="N39" s="4">
        <v>0.19354838709677419</v>
      </c>
    </row>
    <row r="40" spans="1:14" x14ac:dyDescent="0.3">
      <c r="A40" s="6">
        <v>45660</v>
      </c>
      <c r="B40" s="1" t="s">
        <v>109</v>
      </c>
      <c r="C40" s="1" t="s">
        <v>26</v>
      </c>
      <c r="D40" t="s">
        <v>35</v>
      </c>
      <c r="E40" t="s">
        <v>369</v>
      </c>
      <c r="F40" t="s">
        <v>16</v>
      </c>
      <c r="G40" t="s">
        <v>15</v>
      </c>
      <c r="H40" s="3">
        <v>9</v>
      </c>
      <c r="I40" s="3">
        <v>49020</v>
      </c>
      <c r="J40" s="3">
        <v>441180</v>
      </c>
      <c r="K40" s="3">
        <v>38000</v>
      </c>
      <c r="L40" s="3">
        <v>342000</v>
      </c>
      <c r="M40" s="3">
        <v>99180</v>
      </c>
      <c r="N40" s="4">
        <v>0.22480620155038761</v>
      </c>
    </row>
    <row r="41" spans="1:14" x14ac:dyDescent="0.3">
      <c r="A41" s="6">
        <v>45660</v>
      </c>
      <c r="B41" s="1" t="s">
        <v>111</v>
      </c>
      <c r="C41" s="1" t="s">
        <v>26</v>
      </c>
      <c r="D41" t="s">
        <v>32</v>
      </c>
      <c r="E41" t="s">
        <v>357</v>
      </c>
      <c r="F41" t="s">
        <v>23</v>
      </c>
      <c r="G41" t="s">
        <v>25</v>
      </c>
      <c r="H41" s="3">
        <v>3</v>
      </c>
      <c r="I41" s="3">
        <v>4096</v>
      </c>
      <c r="J41" s="3">
        <v>12288</v>
      </c>
      <c r="K41" s="3">
        <v>3200</v>
      </c>
      <c r="L41" s="3">
        <v>9600</v>
      </c>
      <c r="M41" s="3">
        <v>2688</v>
      </c>
      <c r="N41" s="4">
        <v>0.21875</v>
      </c>
    </row>
    <row r="42" spans="1:14" x14ac:dyDescent="0.3">
      <c r="A42" s="6">
        <v>45661</v>
      </c>
      <c r="B42" s="1" t="s">
        <v>113</v>
      </c>
      <c r="C42" s="1" t="s">
        <v>26</v>
      </c>
      <c r="D42" t="s">
        <v>35</v>
      </c>
      <c r="E42" t="s">
        <v>317</v>
      </c>
      <c r="F42" t="s">
        <v>22</v>
      </c>
      <c r="G42" t="s">
        <v>18</v>
      </c>
      <c r="H42" s="3">
        <v>8</v>
      </c>
      <c r="I42" s="3">
        <v>9170</v>
      </c>
      <c r="J42" s="3">
        <v>73360</v>
      </c>
      <c r="K42" s="3">
        <v>7000</v>
      </c>
      <c r="L42" s="3">
        <v>56000</v>
      </c>
      <c r="M42" s="3">
        <v>17360</v>
      </c>
      <c r="N42" s="4">
        <v>0.23664122137404581</v>
      </c>
    </row>
    <row r="43" spans="1:14" x14ac:dyDescent="0.3">
      <c r="A43" s="6">
        <v>45661</v>
      </c>
      <c r="B43" s="1" t="s">
        <v>115</v>
      </c>
      <c r="C43" s="1" t="s">
        <v>27</v>
      </c>
      <c r="D43" t="s">
        <v>30</v>
      </c>
      <c r="E43" t="s">
        <v>508</v>
      </c>
      <c r="F43" t="s">
        <v>14</v>
      </c>
      <c r="G43" t="s">
        <v>15</v>
      </c>
      <c r="H43" s="3">
        <v>3</v>
      </c>
      <c r="I43" s="3">
        <v>65250</v>
      </c>
      <c r="J43" s="3">
        <v>195750</v>
      </c>
      <c r="K43" s="3">
        <v>45000</v>
      </c>
      <c r="L43" s="3">
        <v>135000</v>
      </c>
      <c r="M43" s="3">
        <v>60750</v>
      </c>
      <c r="N43" s="4">
        <v>0.31034482758620691</v>
      </c>
    </row>
    <row r="44" spans="1:14" x14ac:dyDescent="0.3">
      <c r="A44" s="6">
        <v>45661</v>
      </c>
      <c r="B44" s="1" t="s">
        <v>117</v>
      </c>
      <c r="C44" s="1" t="s">
        <v>28</v>
      </c>
      <c r="D44" t="s">
        <v>35</v>
      </c>
      <c r="E44" t="s">
        <v>96</v>
      </c>
      <c r="F44" t="s">
        <v>23</v>
      </c>
      <c r="G44" t="s">
        <v>25</v>
      </c>
      <c r="H44" s="3">
        <v>3</v>
      </c>
      <c r="I44" s="3">
        <v>4576</v>
      </c>
      <c r="J44" s="3">
        <v>13728</v>
      </c>
      <c r="K44" s="3">
        <v>3200</v>
      </c>
      <c r="L44" s="3">
        <v>9600</v>
      </c>
      <c r="M44" s="3">
        <v>4128</v>
      </c>
      <c r="N44" s="4">
        <v>0.30069930069930068</v>
      </c>
    </row>
    <row r="45" spans="1:14" x14ac:dyDescent="0.3">
      <c r="A45" s="6">
        <v>45661</v>
      </c>
      <c r="B45" s="1" t="s">
        <v>119</v>
      </c>
      <c r="C45" s="1" t="s">
        <v>28</v>
      </c>
      <c r="D45" t="s">
        <v>30</v>
      </c>
      <c r="E45" t="s">
        <v>415</v>
      </c>
      <c r="F45" t="s">
        <v>14</v>
      </c>
      <c r="G45" t="s">
        <v>15</v>
      </c>
      <c r="H45" s="3">
        <v>3</v>
      </c>
      <c r="I45" s="3">
        <v>62550.000000000007</v>
      </c>
      <c r="J45" s="3">
        <v>187650.00000000003</v>
      </c>
      <c r="K45" s="3">
        <v>45000</v>
      </c>
      <c r="L45" s="3">
        <v>135000</v>
      </c>
      <c r="M45" s="3">
        <v>52650.000000000029</v>
      </c>
      <c r="N45" s="4">
        <v>0.28057553956834541</v>
      </c>
    </row>
    <row r="46" spans="1:14" x14ac:dyDescent="0.3">
      <c r="A46" s="6">
        <v>45661</v>
      </c>
      <c r="B46" s="1" t="s">
        <v>121</v>
      </c>
      <c r="C46" s="1" t="s">
        <v>27</v>
      </c>
      <c r="D46" t="s">
        <v>30</v>
      </c>
      <c r="E46" t="s">
        <v>390</v>
      </c>
      <c r="F46" t="s">
        <v>24</v>
      </c>
      <c r="G46" t="s">
        <v>25</v>
      </c>
      <c r="H46" s="3">
        <v>7</v>
      </c>
      <c r="I46" s="3">
        <v>3000</v>
      </c>
      <c r="J46" s="3">
        <v>21000</v>
      </c>
      <c r="K46" s="3">
        <v>2500</v>
      </c>
      <c r="L46" s="3">
        <v>17500</v>
      </c>
      <c r="M46" s="3">
        <v>3500</v>
      </c>
      <c r="N46" s="4">
        <v>0.16666666666666666</v>
      </c>
    </row>
    <row r="47" spans="1:14" x14ac:dyDescent="0.3">
      <c r="A47" s="6">
        <v>45661</v>
      </c>
      <c r="B47" s="1" t="s">
        <v>123</v>
      </c>
      <c r="C47" s="1" t="s">
        <v>27</v>
      </c>
      <c r="D47" t="s">
        <v>34</v>
      </c>
      <c r="E47" t="s">
        <v>134</v>
      </c>
      <c r="F47" t="s">
        <v>14</v>
      </c>
      <c r="G47" t="s">
        <v>15</v>
      </c>
      <c r="H47" s="3">
        <v>4</v>
      </c>
      <c r="I47" s="3">
        <v>55350</v>
      </c>
      <c r="J47" s="3">
        <v>221400</v>
      </c>
      <c r="K47" s="3">
        <v>45000</v>
      </c>
      <c r="L47" s="3">
        <v>180000</v>
      </c>
      <c r="M47" s="3">
        <v>41400</v>
      </c>
      <c r="N47" s="4">
        <v>0.18699186991869918</v>
      </c>
    </row>
    <row r="48" spans="1:14" x14ac:dyDescent="0.3">
      <c r="A48" s="6">
        <v>45661</v>
      </c>
      <c r="B48" s="1" t="s">
        <v>125</v>
      </c>
      <c r="C48" s="1" t="s">
        <v>27</v>
      </c>
      <c r="D48" t="s">
        <v>33</v>
      </c>
      <c r="E48" t="s">
        <v>47</v>
      </c>
      <c r="F48" t="s">
        <v>21</v>
      </c>
      <c r="G48" t="s">
        <v>20</v>
      </c>
      <c r="H48" s="3">
        <v>8</v>
      </c>
      <c r="I48" s="3">
        <v>792</v>
      </c>
      <c r="J48" s="3">
        <v>6336</v>
      </c>
      <c r="K48" s="3">
        <v>600</v>
      </c>
      <c r="L48" s="3">
        <v>4800</v>
      </c>
      <c r="M48" s="3">
        <v>1536</v>
      </c>
      <c r="N48" s="4">
        <v>0.24242424242424243</v>
      </c>
    </row>
    <row r="49" spans="1:14" x14ac:dyDescent="0.3">
      <c r="A49" s="6">
        <v>45661</v>
      </c>
      <c r="B49" s="1" t="s">
        <v>127</v>
      </c>
      <c r="C49" s="1" t="s">
        <v>28</v>
      </c>
      <c r="D49" t="s">
        <v>35</v>
      </c>
      <c r="E49" t="s">
        <v>90</v>
      </c>
      <c r="F49" t="s">
        <v>21</v>
      </c>
      <c r="G49" t="s">
        <v>20</v>
      </c>
      <c r="H49" s="3">
        <v>3</v>
      </c>
      <c r="I49" s="3">
        <v>864</v>
      </c>
      <c r="J49" s="3">
        <v>2592</v>
      </c>
      <c r="K49" s="3">
        <v>600</v>
      </c>
      <c r="L49" s="3">
        <v>1800</v>
      </c>
      <c r="M49" s="3">
        <v>792</v>
      </c>
      <c r="N49" s="4">
        <v>0.30555555555555558</v>
      </c>
    </row>
    <row r="50" spans="1:14" x14ac:dyDescent="0.3">
      <c r="A50" s="6">
        <v>45661</v>
      </c>
      <c r="B50" s="1" t="s">
        <v>128</v>
      </c>
      <c r="C50" s="1" t="s">
        <v>28</v>
      </c>
      <c r="D50" t="s">
        <v>30</v>
      </c>
      <c r="E50" t="s">
        <v>369</v>
      </c>
      <c r="F50" t="s">
        <v>24</v>
      </c>
      <c r="G50" t="s">
        <v>25</v>
      </c>
      <c r="H50" s="3">
        <v>8</v>
      </c>
      <c r="I50" s="3">
        <v>3225</v>
      </c>
      <c r="J50" s="3">
        <v>25800</v>
      </c>
      <c r="K50" s="3">
        <v>2500</v>
      </c>
      <c r="L50" s="3">
        <v>20000</v>
      </c>
      <c r="M50" s="3">
        <v>5800</v>
      </c>
      <c r="N50" s="4">
        <v>0.22480620155038761</v>
      </c>
    </row>
    <row r="51" spans="1:14" x14ac:dyDescent="0.3">
      <c r="A51" s="6">
        <v>45661</v>
      </c>
      <c r="B51" s="1" t="s">
        <v>130</v>
      </c>
      <c r="C51" s="1" t="s">
        <v>29</v>
      </c>
      <c r="D51" t="s">
        <v>32</v>
      </c>
      <c r="E51" t="s">
        <v>506</v>
      </c>
      <c r="F51" t="s">
        <v>21</v>
      </c>
      <c r="G51" t="s">
        <v>20</v>
      </c>
      <c r="H51" s="3">
        <v>4</v>
      </c>
      <c r="I51" s="3">
        <v>726</v>
      </c>
      <c r="J51" s="3">
        <v>2904</v>
      </c>
      <c r="K51" s="3">
        <v>600</v>
      </c>
      <c r="L51" s="3">
        <v>2400</v>
      </c>
      <c r="M51" s="3">
        <v>504</v>
      </c>
      <c r="N51" s="4">
        <v>0.17355371900826447</v>
      </c>
    </row>
    <row r="52" spans="1:14" x14ac:dyDescent="0.3">
      <c r="A52" s="6">
        <v>45661</v>
      </c>
      <c r="B52" s="1" t="s">
        <v>132</v>
      </c>
      <c r="C52" s="1" t="s">
        <v>27</v>
      </c>
      <c r="D52" t="s">
        <v>35</v>
      </c>
      <c r="E52" t="s">
        <v>74</v>
      </c>
      <c r="F52" t="s">
        <v>23</v>
      </c>
      <c r="G52" t="s">
        <v>25</v>
      </c>
      <c r="H52" s="3">
        <v>5</v>
      </c>
      <c r="I52" s="3">
        <v>4032</v>
      </c>
      <c r="J52" s="3">
        <v>20160</v>
      </c>
      <c r="K52" s="3">
        <v>3200</v>
      </c>
      <c r="L52" s="3">
        <v>16000</v>
      </c>
      <c r="M52" s="3">
        <v>4160</v>
      </c>
      <c r="N52" s="4">
        <v>0.20634920634920634</v>
      </c>
    </row>
    <row r="53" spans="1:14" x14ac:dyDescent="0.3">
      <c r="A53" s="6">
        <v>45661</v>
      </c>
      <c r="B53" s="1" t="s">
        <v>133</v>
      </c>
      <c r="C53" s="1" t="s">
        <v>29</v>
      </c>
      <c r="D53" t="s">
        <v>33</v>
      </c>
      <c r="E53" t="s">
        <v>336</v>
      </c>
      <c r="F53" t="s">
        <v>19</v>
      </c>
      <c r="G53" t="s">
        <v>20</v>
      </c>
      <c r="H53" s="3">
        <v>4</v>
      </c>
      <c r="I53" s="3">
        <v>1125</v>
      </c>
      <c r="J53" s="3">
        <v>4500</v>
      </c>
      <c r="K53" s="3">
        <v>900</v>
      </c>
      <c r="L53" s="3">
        <v>3600</v>
      </c>
      <c r="M53" s="3">
        <v>900</v>
      </c>
      <c r="N53" s="4">
        <v>0.2</v>
      </c>
    </row>
    <row r="54" spans="1:14" x14ac:dyDescent="0.3">
      <c r="A54" s="6">
        <v>45661</v>
      </c>
      <c r="B54" s="1" t="s">
        <v>135</v>
      </c>
      <c r="C54" s="1" t="s">
        <v>26</v>
      </c>
      <c r="D54" t="s">
        <v>31</v>
      </c>
      <c r="E54" t="s">
        <v>327</v>
      </c>
      <c r="F54" t="s">
        <v>16</v>
      </c>
      <c r="G54" t="s">
        <v>15</v>
      </c>
      <c r="H54" s="3">
        <v>6</v>
      </c>
      <c r="I54" s="3">
        <v>50540</v>
      </c>
      <c r="J54" s="3">
        <v>303240</v>
      </c>
      <c r="K54" s="3">
        <v>38000</v>
      </c>
      <c r="L54" s="3">
        <v>228000</v>
      </c>
      <c r="M54" s="3">
        <v>75240</v>
      </c>
      <c r="N54" s="4">
        <v>0.24812030075187969</v>
      </c>
    </row>
    <row r="55" spans="1:14" x14ac:dyDescent="0.3">
      <c r="A55" s="6">
        <v>45661</v>
      </c>
      <c r="B55" s="1" t="s">
        <v>136</v>
      </c>
      <c r="C55" s="1" t="s">
        <v>29</v>
      </c>
      <c r="D55" t="s">
        <v>32</v>
      </c>
      <c r="E55" t="s">
        <v>98</v>
      </c>
      <c r="F55" t="s">
        <v>21</v>
      </c>
      <c r="G55" t="s">
        <v>20</v>
      </c>
      <c r="H55" s="3">
        <v>6</v>
      </c>
      <c r="I55" s="3">
        <v>780</v>
      </c>
      <c r="J55" s="3">
        <v>4680</v>
      </c>
      <c r="K55" s="3">
        <v>600</v>
      </c>
      <c r="L55" s="3">
        <v>3600</v>
      </c>
      <c r="M55" s="3">
        <v>1080</v>
      </c>
      <c r="N55" s="4">
        <v>0.23076923076923078</v>
      </c>
    </row>
    <row r="56" spans="1:14" x14ac:dyDescent="0.3">
      <c r="A56" s="6">
        <v>45662</v>
      </c>
      <c r="B56" s="1" t="s">
        <v>138</v>
      </c>
      <c r="C56" s="1" t="s">
        <v>27</v>
      </c>
      <c r="D56" t="s">
        <v>33</v>
      </c>
      <c r="E56" t="s">
        <v>424</v>
      </c>
      <c r="F56" t="s">
        <v>21</v>
      </c>
      <c r="G56" t="s">
        <v>20</v>
      </c>
      <c r="H56" s="3">
        <v>7</v>
      </c>
      <c r="I56" s="3">
        <v>815.99999999999989</v>
      </c>
      <c r="J56" s="3">
        <v>5711.9999999999991</v>
      </c>
      <c r="K56" s="3">
        <v>600</v>
      </c>
      <c r="L56" s="3">
        <v>4200</v>
      </c>
      <c r="M56" s="3">
        <v>1511.9999999999991</v>
      </c>
      <c r="N56" s="4">
        <v>0.26470588235294107</v>
      </c>
    </row>
    <row r="57" spans="1:14" x14ac:dyDescent="0.3">
      <c r="A57" s="6">
        <v>45662</v>
      </c>
      <c r="B57" s="1" t="s">
        <v>140</v>
      </c>
      <c r="C57" s="1" t="s">
        <v>27</v>
      </c>
      <c r="D57" t="s">
        <v>33</v>
      </c>
      <c r="E57" t="s">
        <v>151</v>
      </c>
      <c r="F57" t="s">
        <v>21</v>
      </c>
      <c r="G57" t="s">
        <v>20</v>
      </c>
      <c r="H57" s="3">
        <v>2</v>
      </c>
      <c r="I57" s="3">
        <v>762</v>
      </c>
      <c r="J57" s="3">
        <v>1524</v>
      </c>
      <c r="K57" s="3">
        <v>600</v>
      </c>
      <c r="L57" s="3">
        <v>1200</v>
      </c>
      <c r="M57" s="3">
        <v>324</v>
      </c>
      <c r="N57" s="4">
        <v>0.2125984251968504</v>
      </c>
    </row>
    <row r="58" spans="1:14" x14ac:dyDescent="0.3">
      <c r="A58" s="6">
        <v>45662</v>
      </c>
      <c r="B58" s="1" t="s">
        <v>141</v>
      </c>
      <c r="C58" s="1" t="s">
        <v>26</v>
      </c>
      <c r="D58" t="s">
        <v>34</v>
      </c>
      <c r="E58" t="s">
        <v>390</v>
      </c>
      <c r="F58" t="s">
        <v>16</v>
      </c>
      <c r="G58" t="s">
        <v>15</v>
      </c>
      <c r="H58" s="3">
        <v>6</v>
      </c>
      <c r="I58" s="3">
        <v>49400</v>
      </c>
      <c r="J58" s="3">
        <v>296400</v>
      </c>
      <c r="K58" s="3">
        <v>38000</v>
      </c>
      <c r="L58" s="3">
        <v>228000</v>
      </c>
      <c r="M58" s="3">
        <v>68400</v>
      </c>
      <c r="N58" s="4">
        <v>0.23076923076923078</v>
      </c>
    </row>
    <row r="59" spans="1:14" x14ac:dyDescent="0.3">
      <c r="A59" s="6">
        <v>45662</v>
      </c>
      <c r="B59" s="1" t="s">
        <v>143</v>
      </c>
      <c r="C59" s="1" t="s">
        <v>27</v>
      </c>
      <c r="D59" t="s">
        <v>31</v>
      </c>
      <c r="E59" t="s">
        <v>72</v>
      </c>
      <c r="F59" t="s">
        <v>22</v>
      </c>
      <c r="G59" t="s">
        <v>18</v>
      </c>
      <c r="H59" s="3">
        <v>3</v>
      </c>
      <c r="I59" s="3">
        <v>9940</v>
      </c>
      <c r="J59" s="3">
        <v>29820</v>
      </c>
      <c r="K59" s="3">
        <v>7000</v>
      </c>
      <c r="L59" s="3">
        <v>21000</v>
      </c>
      <c r="M59" s="3">
        <v>8820</v>
      </c>
      <c r="N59" s="4">
        <v>0.29577464788732394</v>
      </c>
    </row>
    <row r="60" spans="1:14" x14ac:dyDescent="0.3">
      <c r="A60" s="6">
        <v>45662</v>
      </c>
      <c r="B60" s="1" t="s">
        <v>144</v>
      </c>
      <c r="C60" s="1" t="s">
        <v>27</v>
      </c>
      <c r="D60" t="s">
        <v>33</v>
      </c>
      <c r="E60" t="s">
        <v>149</v>
      </c>
      <c r="F60" t="s">
        <v>22</v>
      </c>
      <c r="G60" t="s">
        <v>18</v>
      </c>
      <c r="H60" s="3">
        <v>5</v>
      </c>
      <c r="I60" s="3">
        <v>9940</v>
      </c>
      <c r="J60" s="3">
        <v>49700</v>
      </c>
      <c r="K60" s="3">
        <v>7000</v>
      </c>
      <c r="L60" s="3">
        <v>35000</v>
      </c>
      <c r="M60" s="3">
        <v>14700</v>
      </c>
      <c r="N60" s="4">
        <v>0.29577464788732394</v>
      </c>
    </row>
    <row r="61" spans="1:14" x14ac:dyDescent="0.3">
      <c r="A61" s="6">
        <v>45662</v>
      </c>
      <c r="B61" s="1" t="s">
        <v>146</v>
      </c>
      <c r="C61" s="1" t="s">
        <v>28</v>
      </c>
      <c r="D61" t="s">
        <v>30</v>
      </c>
      <c r="E61" t="s">
        <v>388</v>
      </c>
      <c r="F61" t="s">
        <v>14</v>
      </c>
      <c r="G61" t="s">
        <v>15</v>
      </c>
      <c r="H61" s="3">
        <v>5</v>
      </c>
      <c r="I61" s="3">
        <v>54000</v>
      </c>
      <c r="J61" s="3">
        <v>270000</v>
      </c>
      <c r="K61" s="3">
        <v>45000</v>
      </c>
      <c r="L61" s="3">
        <v>225000</v>
      </c>
      <c r="M61" s="3">
        <v>45000</v>
      </c>
      <c r="N61" s="4">
        <v>0.16666666666666666</v>
      </c>
    </row>
    <row r="62" spans="1:14" x14ac:dyDescent="0.3">
      <c r="A62" s="6">
        <v>45662</v>
      </c>
      <c r="B62" s="1" t="s">
        <v>148</v>
      </c>
      <c r="C62" s="1" t="s">
        <v>29</v>
      </c>
      <c r="D62" t="s">
        <v>35</v>
      </c>
      <c r="E62" t="s">
        <v>359</v>
      </c>
      <c r="F62" t="s">
        <v>22</v>
      </c>
      <c r="G62" t="s">
        <v>18</v>
      </c>
      <c r="H62" s="3">
        <v>8</v>
      </c>
      <c r="I62" s="3">
        <v>9660</v>
      </c>
      <c r="J62" s="3">
        <v>77280</v>
      </c>
      <c r="K62" s="3">
        <v>7000</v>
      </c>
      <c r="L62" s="3">
        <v>56000</v>
      </c>
      <c r="M62" s="3">
        <v>21280</v>
      </c>
      <c r="N62" s="4">
        <v>0.27536231884057971</v>
      </c>
    </row>
    <row r="63" spans="1:14" x14ac:dyDescent="0.3">
      <c r="A63" s="6">
        <v>45662</v>
      </c>
      <c r="B63" s="1" t="s">
        <v>150</v>
      </c>
      <c r="C63" s="1" t="s">
        <v>26</v>
      </c>
      <c r="D63" t="s">
        <v>31</v>
      </c>
      <c r="E63" t="s">
        <v>108</v>
      </c>
      <c r="F63" t="s">
        <v>14</v>
      </c>
      <c r="G63" t="s">
        <v>15</v>
      </c>
      <c r="H63" s="3">
        <v>10</v>
      </c>
      <c r="I63" s="3">
        <v>64800</v>
      </c>
      <c r="J63" s="3">
        <v>648000</v>
      </c>
      <c r="K63" s="3">
        <v>45000</v>
      </c>
      <c r="L63" s="3">
        <v>450000</v>
      </c>
      <c r="M63" s="3">
        <v>198000</v>
      </c>
      <c r="N63" s="4">
        <v>0.30555555555555558</v>
      </c>
    </row>
    <row r="64" spans="1:14" x14ac:dyDescent="0.3">
      <c r="A64" s="6">
        <v>45662</v>
      </c>
      <c r="B64" s="1" t="s">
        <v>152</v>
      </c>
      <c r="C64" s="1" t="s">
        <v>29</v>
      </c>
      <c r="D64" t="s">
        <v>30</v>
      </c>
      <c r="E64" t="s">
        <v>351</v>
      </c>
      <c r="F64" t="s">
        <v>24</v>
      </c>
      <c r="G64" t="s">
        <v>25</v>
      </c>
      <c r="H64" s="3">
        <v>8</v>
      </c>
      <c r="I64" s="3">
        <v>3250</v>
      </c>
      <c r="J64" s="3">
        <v>26000</v>
      </c>
      <c r="K64" s="3">
        <v>2500</v>
      </c>
      <c r="L64" s="3">
        <v>20000</v>
      </c>
      <c r="M64" s="3">
        <v>6000</v>
      </c>
      <c r="N64" s="4">
        <v>0.23076923076923078</v>
      </c>
    </row>
    <row r="65" spans="1:14" x14ac:dyDescent="0.3">
      <c r="A65" s="6">
        <v>45662</v>
      </c>
      <c r="B65" s="1" t="s">
        <v>154</v>
      </c>
      <c r="C65" s="1" t="s">
        <v>29</v>
      </c>
      <c r="D65" t="s">
        <v>32</v>
      </c>
      <c r="E65" t="s">
        <v>81</v>
      </c>
      <c r="F65" t="s">
        <v>16</v>
      </c>
      <c r="G65" t="s">
        <v>15</v>
      </c>
      <c r="H65" s="3">
        <v>7</v>
      </c>
      <c r="I65" s="3">
        <v>46740</v>
      </c>
      <c r="J65" s="3">
        <v>327180</v>
      </c>
      <c r="K65" s="3">
        <v>38000</v>
      </c>
      <c r="L65" s="3">
        <v>266000</v>
      </c>
      <c r="M65" s="3">
        <v>61180</v>
      </c>
      <c r="N65" s="4">
        <v>0.18699186991869918</v>
      </c>
    </row>
    <row r="66" spans="1:14" x14ac:dyDescent="0.3">
      <c r="A66" s="6">
        <v>45662</v>
      </c>
      <c r="B66" s="1" t="s">
        <v>156</v>
      </c>
      <c r="C66" s="1" t="s">
        <v>28</v>
      </c>
      <c r="D66" t="s">
        <v>35</v>
      </c>
      <c r="E66" t="s">
        <v>400</v>
      </c>
      <c r="F66" t="s">
        <v>19</v>
      </c>
      <c r="G66" t="s">
        <v>20</v>
      </c>
      <c r="H66" s="3">
        <v>2</v>
      </c>
      <c r="I66" s="3">
        <v>1170</v>
      </c>
      <c r="J66" s="3">
        <v>2340</v>
      </c>
      <c r="K66" s="3">
        <v>900</v>
      </c>
      <c r="L66" s="3">
        <v>1800</v>
      </c>
      <c r="M66" s="3">
        <v>540</v>
      </c>
      <c r="N66" s="4">
        <v>0.23076923076923078</v>
      </c>
    </row>
    <row r="67" spans="1:14" x14ac:dyDescent="0.3">
      <c r="A67" s="6">
        <v>45662</v>
      </c>
      <c r="B67" s="1" t="s">
        <v>158</v>
      </c>
      <c r="C67" s="1" t="s">
        <v>28</v>
      </c>
      <c r="D67" t="s">
        <v>35</v>
      </c>
      <c r="E67" t="s">
        <v>186</v>
      </c>
      <c r="F67" t="s">
        <v>21</v>
      </c>
      <c r="G67" t="s">
        <v>20</v>
      </c>
      <c r="H67" s="3">
        <v>3</v>
      </c>
      <c r="I67" s="3">
        <v>744</v>
      </c>
      <c r="J67" s="3">
        <v>2232</v>
      </c>
      <c r="K67" s="3">
        <v>600</v>
      </c>
      <c r="L67" s="3">
        <v>1800</v>
      </c>
      <c r="M67" s="3">
        <v>432</v>
      </c>
      <c r="N67" s="4">
        <v>0.19354838709677419</v>
      </c>
    </row>
    <row r="68" spans="1:14" x14ac:dyDescent="0.3">
      <c r="A68" s="6">
        <v>45662</v>
      </c>
      <c r="B68" s="1" t="s">
        <v>160</v>
      </c>
      <c r="C68" s="1" t="s">
        <v>28</v>
      </c>
      <c r="D68" t="s">
        <v>31</v>
      </c>
      <c r="E68" t="s">
        <v>427</v>
      </c>
      <c r="F68" t="s">
        <v>19</v>
      </c>
      <c r="G68" t="s">
        <v>20</v>
      </c>
      <c r="H68" s="3">
        <v>4</v>
      </c>
      <c r="I68" s="3">
        <v>1179</v>
      </c>
      <c r="J68" s="3">
        <v>4716</v>
      </c>
      <c r="K68" s="3">
        <v>900</v>
      </c>
      <c r="L68" s="3">
        <v>3600</v>
      </c>
      <c r="M68" s="3">
        <v>1116</v>
      </c>
      <c r="N68" s="4">
        <v>0.23664122137404581</v>
      </c>
    </row>
    <row r="69" spans="1:14" x14ac:dyDescent="0.3">
      <c r="A69" s="6">
        <v>45662</v>
      </c>
      <c r="B69" s="1" t="s">
        <v>162</v>
      </c>
      <c r="C69" s="1" t="s">
        <v>27</v>
      </c>
      <c r="D69" t="s">
        <v>30</v>
      </c>
      <c r="E69" t="s">
        <v>100</v>
      </c>
      <c r="F69" t="s">
        <v>17</v>
      </c>
      <c r="G69" t="s">
        <v>18</v>
      </c>
      <c r="H69" s="3">
        <v>2</v>
      </c>
      <c r="I69" s="3">
        <v>10200</v>
      </c>
      <c r="J69" s="3">
        <v>20400</v>
      </c>
      <c r="K69" s="3">
        <v>8500</v>
      </c>
      <c r="L69" s="3">
        <v>17000</v>
      </c>
      <c r="M69" s="3">
        <v>3400</v>
      </c>
      <c r="N69" s="4">
        <v>0.16666666666666666</v>
      </c>
    </row>
    <row r="70" spans="1:14" x14ac:dyDescent="0.3">
      <c r="A70" s="6">
        <v>45663</v>
      </c>
      <c r="B70" s="1" t="s">
        <v>164</v>
      </c>
      <c r="C70" s="1" t="s">
        <v>29</v>
      </c>
      <c r="D70" t="s">
        <v>30</v>
      </c>
      <c r="E70" t="s">
        <v>231</v>
      </c>
      <c r="F70" t="s">
        <v>24</v>
      </c>
      <c r="G70" t="s">
        <v>25</v>
      </c>
      <c r="H70" s="3">
        <v>6</v>
      </c>
      <c r="I70" s="3">
        <v>3575</v>
      </c>
      <c r="J70" s="3">
        <v>21450</v>
      </c>
      <c r="K70" s="3">
        <v>2500</v>
      </c>
      <c r="L70" s="3">
        <v>15000</v>
      </c>
      <c r="M70" s="3">
        <v>6450</v>
      </c>
      <c r="N70" s="4">
        <v>0.30069930069930068</v>
      </c>
    </row>
    <row r="71" spans="1:14" x14ac:dyDescent="0.3">
      <c r="A71" s="6">
        <v>45663</v>
      </c>
      <c r="B71" s="1" t="s">
        <v>165</v>
      </c>
      <c r="C71" s="1" t="s">
        <v>28</v>
      </c>
      <c r="D71" t="s">
        <v>31</v>
      </c>
      <c r="E71" t="s">
        <v>317</v>
      </c>
      <c r="F71" t="s">
        <v>24</v>
      </c>
      <c r="G71" t="s">
        <v>25</v>
      </c>
      <c r="H71" s="3">
        <v>6</v>
      </c>
      <c r="I71" s="3">
        <v>3325</v>
      </c>
      <c r="J71" s="3">
        <v>19950</v>
      </c>
      <c r="K71" s="3">
        <v>2500</v>
      </c>
      <c r="L71" s="3">
        <v>15000</v>
      </c>
      <c r="M71" s="3">
        <v>4950</v>
      </c>
      <c r="N71" s="4">
        <v>0.24812030075187969</v>
      </c>
    </row>
    <row r="72" spans="1:14" x14ac:dyDescent="0.3">
      <c r="A72" s="6">
        <v>45663</v>
      </c>
      <c r="B72" s="1" t="s">
        <v>167</v>
      </c>
      <c r="C72" s="1" t="s">
        <v>28</v>
      </c>
      <c r="D72" t="s">
        <v>32</v>
      </c>
      <c r="E72" t="s">
        <v>72</v>
      </c>
      <c r="F72" t="s">
        <v>22</v>
      </c>
      <c r="G72" t="s">
        <v>18</v>
      </c>
      <c r="H72" s="3">
        <v>2</v>
      </c>
      <c r="I72" s="3">
        <v>8610</v>
      </c>
      <c r="J72" s="3">
        <v>17220</v>
      </c>
      <c r="K72" s="3">
        <v>7000</v>
      </c>
      <c r="L72" s="3">
        <v>14000</v>
      </c>
      <c r="M72" s="3">
        <v>3220</v>
      </c>
      <c r="N72" s="4">
        <v>0.18699186991869918</v>
      </c>
    </row>
    <row r="73" spans="1:14" x14ac:dyDescent="0.3">
      <c r="A73" s="6">
        <v>45663</v>
      </c>
      <c r="B73" s="1" t="s">
        <v>168</v>
      </c>
      <c r="C73" s="1" t="s">
        <v>26</v>
      </c>
      <c r="D73" t="s">
        <v>32</v>
      </c>
      <c r="E73" t="s">
        <v>447</v>
      </c>
      <c r="F73" t="s">
        <v>23</v>
      </c>
      <c r="G73" t="s">
        <v>25</v>
      </c>
      <c r="H73" s="3">
        <v>8</v>
      </c>
      <c r="I73" s="3">
        <v>4160</v>
      </c>
      <c r="J73" s="3">
        <v>33280</v>
      </c>
      <c r="K73" s="3">
        <v>3200</v>
      </c>
      <c r="L73" s="3">
        <v>25600</v>
      </c>
      <c r="M73" s="3">
        <v>7680</v>
      </c>
      <c r="N73" s="4">
        <v>0.23076923076923078</v>
      </c>
    </row>
    <row r="74" spans="1:14" x14ac:dyDescent="0.3">
      <c r="A74" s="6">
        <v>45663</v>
      </c>
      <c r="B74" s="1" t="s">
        <v>170</v>
      </c>
      <c r="C74" s="1" t="s">
        <v>26</v>
      </c>
      <c r="D74" t="s">
        <v>30</v>
      </c>
      <c r="E74" t="s">
        <v>47</v>
      </c>
      <c r="F74" t="s">
        <v>19</v>
      </c>
      <c r="G74" t="s">
        <v>20</v>
      </c>
      <c r="H74" s="3">
        <v>5</v>
      </c>
      <c r="I74" s="3">
        <v>1125</v>
      </c>
      <c r="J74" s="3">
        <v>5625</v>
      </c>
      <c r="K74" s="3">
        <v>900</v>
      </c>
      <c r="L74" s="3">
        <v>4500</v>
      </c>
      <c r="M74" s="3">
        <v>1125</v>
      </c>
      <c r="N74" s="4">
        <v>0.2</v>
      </c>
    </row>
    <row r="75" spans="1:14" x14ac:dyDescent="0.3">
      <c r="A75" s="6">
        <v>45663</v>
      </c>
      <c r="B75" s="1" t="s">
        <v>171</v>
      </c>
      <c r="C75" s="1" t="s">
        <v>26</v>
      </c>
      <c r="D75" t="s">
        <v>30</v>
      </c>
      <c r="E75" t="s">
        <v>126</v>
      </c>
      <c r="F75" t="s">
        <v>22</v>
      </c>
      <c r="G75" t="s">
        <v>18</v>
      </c>
      <c r="H75" s="3">
        <v>10</v>
      </c>
      <c r="I75" s="3">
        <v>8540</v>
      </c>
      <c r="J75" s="3">
        <v>85400</v>
      </c>
      <c r="K75" s="3">
        <v>7000</v>
      </c>
      <c r="L75" s="3">
        <v>70000</v>
      </c>
      <c r="M75" s="3">
        <v>15400</v>
      </c>
      <c r="N75" s="4">
        <v>0.18032786885245902</v>
      </c>
    </row>
    <row r="76" spans="1:14" x14ac:dyDescent="0.3">
      <c r="A76" s="6">
        <v>45663</v>
      </c>
      <c r="B76" s="1" t="s">
        <v>172</v>
      </c>
      <c r="C76" s="1" t="s">
        <v>28</v>
      </c>
      <c r="D76" t="s">
        <v>34</v>
      </c>
      <c r="E76" t="s">
        <v>292</v>
      </c>
      <c r="F76" t="s">
        <v>22</v>
      </c>
      <c r="G76" t="s">
        <v>18</v>
      </c>
      <c r="H76" s="3">
        <v>5</v>
      </c>
      <c r="I76" s="3">
        <v>9100</v>
      </c>
      <c r="J76" s="3">
        <v>45500</v>
      </c>
      <c r="K76" s="3">
        <v>7000</v>
      </c>
      <c r="L76" s="3">
        <v>35000</v>
      </c>
      <c r="M76" s="3">
        <v>10500</v>
      </c>
      <c r="N76" s="4">
        <v>0.23076923076923078</v>
      </c>
    </row>
    <row r="77" spans="1:14" x14ac:dyDescent="0.3">
      <c r="A77" s="6">
        <v>45663</v>
      </c>
      <c r="B77" s="1" t="s">
        <v>173</v>
      </c>
      <c r="C77" s="1" t="s">
        <v>27</v>
      </c>
      <c r="D77" t="s">
        <v>33</v>
      </c>
      <c r="E77" t="s">
        <v>169</v>
      </c>
      <c r="F77" t="s">
        <v>21</v>
      </c>
      <c r="G77" t="s">
        <v>20</v>
      </c>
      <c r="H77" s="3">
        <v>6</v>
      </c>
      <c r="I77" s="3">
        <v>810</v>
      </c>
      <c r="J77" s="3">
        <v>4860</v>
      </c>
      <c r="K77" s="3">
        <v>600</v>
      </c>
      <c r="L77" s="3">
        <v>3600</v>
      </c>
      <c r="M77" s="3">
        <v>1260</v>
      </c>
      <c r="N77" s="4">
        <v>0.25925925925925924</v>
      </c>
    </row>
    <row r="78" spans="1:14" x14ac:dyDescent="0.3">
      <c r="A78" s="6">
        <v>45663</v>
      </c>
      <c r="B78" s="1" t="s">
        <v>174</v>
      </c>
      <c r="C78" s="1" t="s">
        <v>29</v>
      </c>
      <c r="D78" t="s">
        <v>30</v>
      </c>
      <c r="E78" t="s">
        <v>175</v>
      </c>
      <c r="F78" t="s">
        <v>14</v>
      </c>
      <c r="G78" t="s">
        <v>15</v>
      </c>
      <c r="H78" s="3">
        <v>5</v>
      </c>
      <c r="I78" s="3">
        <v>56700</v>
      </c>
      <c r="J78" s="3">
        <v>283500</v>
      </c>
      <c r="K78" s="3">
        <v>45000</v>
      </c>
      <c r="L78" s="3">
        <v>225000</v>
      </c>
      <c r="M78" s="3">
        <v>58500</v>
      </c>
      <c r="N78" s="4">
        <v>0.20634920634920634</v>
      </c>
    </row>
    <row r="79" spans="1:14" x14ac:dyDescent="0.3">
      <c r="A79" s="6">
        <v>45663</v>
      </c>
      <c r="B79" s="1" t="s">
        <v>176</v>
      </c>
      <c r="C79" s="1" t="s">
        <v>29</v>
      </c>
      <c r="D79" t="s">
        <v>33</v>
      </c>
      <c r="E79" t="s">
        <v>427</v>
      </c>
      <c r="F79" t="s">
        <v>16</v>
      </c>
      <c r="G79" t="s">
        <v>15</v>
      </c>
      <c r="H79" s="3">
        <v>6</v>
      </c>
      <c r="I79" s="3">
        <v>53580</v>
      </c>
      <c r="J79" s="3">
        <v>321480</v>
      </c>
      <c r="K79" s="3">
        <v>38000</v>
      </c>
      <c r="L79" s="3">
        <v>228000</v>
      </c>
      <c r="M79" s="3">
        <v>93480</v>
      </c>
      <c r="N79" s="4">
        <v>0.29078014184397161</v>
      </c>
    </row>
    <row r="80" spans="1:14" x14ac:dyDescent="0.3">
      <c r="A80" s="6">
        <v>45663</v>
      </c>
      <c r="B80" s="1" t="s">
        <v>177</v>
      </c>
      <c r="C80" s="1" t="s">
        <v>29</v>
      </c>
      <c r="D80" t="s">
        <v>32</v>
      </c>
      <c r="E80" t="s">
        <v>39</v>
      </c>
      <c r="F80" t="s">
        <v>16</v>
      </c>
      <c r="G80" t="s">
        <v>15</v>
      </c>
      <c r="H80" s="3">
        <v>9</v>
      </c>
      <c r="I80" s="3">
        <v>50920</v>
      </c>
      <c r="J80" s="3">
        <v>458280</v>
      </c>
      <c r="K80" s="3">
        <v>38000</v>
      </c>
      <c r="L80" s="3">
        <v>342000</v>
      </c>
      <c r="M80" s="3">
        <v>116280</v>
      </c>
      <c r="N80" s="4">
        <v>0.2537313432835821</v>
      </c>
    </row>
    <row r="81" spans="1:14" x14ac:dyDescent="0.3">
      <c r="A81" s="6">
        <v>45663</v>
      </c>
      <c r="B81" s="1" t="s">
        <v>178</v>
      </c>
      <c r="C81" s="1" t="s">
        <v>29</v>
      </c>
      <c r="D81" t="s">
        <v>32</v>
      </c>
      <c r="E81" t="s">
        <v>112</v>
      </c>
      <c r="F81" t="s">
        <v>23</v>
      </c>
      <c r="G81" t="s">
        <v>25</v>
      </c>
      <c r="H81" s="3">
        <v>9</v>
      </c>
      <c r="I81" s="3">
        <v>4448</v>
      </c>
      <c r="J81" s="3">
        <v>40032</v>
      </c>
      <c r="K81" s="3">
        <v>3200</v>
      </c>
      <c r="L81" s="3">
        <v>28800</v>
      </c>
      <c r="M81" s="3">
        <v>11232</v>
      </c>
      <c r="N81" s="4">
        <v>0.2805755395683453</v>
      </c>
    </row>
    <row r="82" spans="1:14" x14ac:dyDescent="0.3">
      <c r="A82" s="6">
        <v>45663</v>
      </c>
      <c r="B82" s="1" t="s">
        <v>179</v>
      </c>
      <c r="C82" s="1" t="s">
        <v>27</v>
      </c>
      <c r="D82" t="s">
        <v>35</v>
      </c>
      <c r="E82" t="s">
        <v>508</v>
      </c>
      <c r="F82" t="s">
        <v>23</v>
      </c>
      <c r="G82" t="s">
        <v>25</v>
      </c>
      <c r="H82" s="3">
        <v>10</v>
      </c>
      <c r="I82" s="3">
        <v>4448</v>
      </c>
      <c r="J82" s="3">
        <v>44480</v>
      </c>
      <c r="K82" s="3">
        <v>3200</v>
      </c>
      <c r="L82" s="3">
        <v>32000</v>
      </c>
      <c r="M82" s="3">
        <v>12480</v>
      </c>
      <c r="N82" s="4">
        <v>0.2805755395683453</v>
      </c>
    </row>
    <row r="83" spans="1:14" x14ac:dyDescent="0.3">
      <c r="A83" s="6">
        <v>45663</v>
      </c>
      <c r="B83" s="1" t="s">
        <v>181</v>
      </c>
      <c r="C83" s="1" t="s">
        <v>29</v>
      </c>
      <c r="D83" t="s">
        <v>32</v>
      </c>
      <c r="E83" t="s">
        <v>807</v>
      </c>
      <c r="F83" t="s">
        <v>17</v>
      </c>
      <c r="G83" t="s">
        <v>18</v>
      </c>
      <c r="H83" s="3">
        <v>2</v>
      </c>
      <c r="I83" s="3">
        <v>10540</v>
      </c>
      <c r="J83" s="3">
        <v>21080</v>
      </c>
      <c r="K83" s="3">
        <v>8500</v>
      </c>
      <c r="L83" s="3">
        <v>17000</v>
      </c>
      <c r="M83" s="3">
        <v>4080</v>
      </c>
      <c r="N83" s="4">
        <v>0.19354838709677419</v>
      </c>
    </row>
    <row r="84" spans="1:14" x14ac:dyDescent="0.3">
      <c r="A84" s="6">
        <v>45664</v>
      </c>
      <c r="B84" s="1" t="s">
        <v>182</v>
      </c>
      <c r="C84" s="1" t="s">
        <v>29</v>
      </c>
      <c r="D84" t="s">
        <v>30</v>
      </c>
      <c r="E84" t="s">
        <v>321</v>
      </c>
      <c r="F84" t="s">
        <v>16</v>
      </c>
      <c r="G84" t="s">
        <v>15</v>
      </c>
      <c r="H84" s="3">
        <v>9</v>
      </c>
      <c r="I84" s="3">
        <v>47880</v>
      </c>
      <c r="J84" s="3">
        <v>430920</v>
      </c>
      <c r="K84" s="3">
        <v>38000</v>
      </c>
      <c r="L84" s="3">
        <v>342000</v>
      </c>
      <c r="M84" s="3">
        <v>88920</v>
      </c>
      <c r="N84" s="4">
        <v>0.20634920634920634</v>
      </c>
    </row>
    <row r="85" spans="1:14" x14ac:dyDescent="0.3">
      <c r="A85" s="6">
        <v>45664</v>
      </c>
      <c r="B85" s="1" t="s">
        <v>183</v>
      </c>
      <c r="C85" s="1" t="s">
        <v>26</v>
      </c>
      <c r="D85" t="s">
        <v>33</v>
      </c>
      <c r="E85" t="s">
        <v>98</v>
      </c>
      <c r="F85" t="s">
        <v>17</v>
      </c>
      <c r="G85" t="s">
        <v>18</v>
      </c>
      <c r="H85" s="3">
        <v>10</v>
      </c>
      <c r="I85" s="3">
        <v>11985</v>
      </c>
      <c r="J85" s="3">
        <v>119850</v>
      </c>
      <c r="K85" s="3">
        <v>8500</v>
      </c>
      <c r="L85" s="3">
        <v>85000</v>
      </c>
      <c r="M85" s="3">
        <v>34850</v>
      </c>
      <c r="N85" s="4">
        <v>0.29078014184397161</v>
      </c>
    </row>
    <row r="86" spans="1:14" x14ac:dyDescent="0.3">
      <c r="A86" s="6">
        <v>45664</v>
      </c>
      <c r="B86" s="1" t="s">
        <v>185</v>
      </c>
      <c r="C86" s="1" t="s">
        <v>28</v>
      </c>
      <c r="D86" t="s">
        <v>34</v>
      </c>
      <c r="E86" t="s">
        <v>228</v>
      </c>
      <c r="F86" t="s">
        <v>22</v>
      </c>
      <c r="G86" t="s">
        <v>18</v>
      </c>
      <c r="H86" s="3">
        <v>7</v>
      </c>
      <c r="I86" s="3">
        <v>8820</v>
      </c>
      <c r="J86" s="3">
        <v>61740</v>
      </c>
      <c r="K86" s="3">
        <v>7000</v>
      </c>
      <c r="L86" s="3">
        <v>49000</v>
      </c>
      <c r="M86" s="3">
        <v>12740</v>
      </c>
      <c r="N86" s="4">
        <v>0.20634920634920634</v>
      </c>
    </row>
    <row r="87" spans="1:14" x14ac:dyDescent="0.3">
      <c r="A87" s="6">
        <v>45664</v>
      </c>
      <c r="B87" s="1" t="s">
        <v>187</v>
      </c>
      <c r="C87" s="1" t="s">
        <v>29</v>
      </c>
      <c r="D87" t="s">
        <v>30</v>
      </c>
      <c r="E87" t="s">
        <v>453</v>
      </c>
      <c r="F87" t="s">
        <v>19</v>
      </c>
      <c r="G87" t="s">
        <v>20</v>
      </c>
      <c r="H87" s="3">
        <v>6</v>
      </c>
      <c r="I87" s="3">
        <v>1089</v>
      </c>
      <c r="J87" s="3">
        <v>6534</v>
      </c>
      <c r="K87" s="3">
        <v>900</v>
      </c>
      <c r="L87" s="3">
        <v>5400</v>
      </c>
      <c r="M87" s="3">
        <v>1134</v>
      </c>
      <c r="N87" s="4">
        <v>0.17355371900826447</v>
      </c>
    </row>
    <row r="88" spans="1:14" x14ac:dyDescent="0.3">
      <c r="A88" s="6">
        <v>45664</v>
      </c>
      <c r="B88" s="1" t="s">
        <v>188</v>
      </c>
      <c r="C88" s="1" t="s">
        <v>26</v>
      </c>
      <c r="D88" t="s">
        <v>35</v>
      </c>
      <c r="E88" t="s">
        <v>302</v>
      </c>
      <c r="F88" t="s">
        <v>23</v>
      </c>
      <c r="G88" t="s">
        <v>25</v>
      </c>
      <c r="H88" s="3">
        <v>7</v>
      </c>
      <c r="I88" s="3">
        <v>4288</v>
      </c>
      <c r="J88" s="3">
        <v>30016</v>
      </c>
      <c r="K88" s="3">
        <v>3200</v>
      </c>
      <c r="L88" s="3">
        <v>22400</v>
      </c>
      <c r="M88" s="3">
        <v>7616</v>
      </c>
      <c r="N88" s="4">
        <v>0.2537313432835821</v>
      </c>
    </row>
    <row r="89" spans="1:14" x14ac:dyDescent="0.3">
      <c r="A89" s="6">
        <v>45664</v>
      </c>
      <c r="B89" s="1" t="s">
        <v>190</v>
      </c>
      <c r="C89" s="1" t="s">
        <v>29</v>
      </c>
      <c r="D89" t="s">
        <v>30</v>
      </c>
      <c r="E89" t="s">
        <v>574</v>
      </c>
      <c r="F89" t="s">
        <v>19</v>
      </c>
      <c r="G89" t="s">
        <v>20</v>
      </c>
      <c r="H89" s="3">
        <v>9</v>
      </c>
      <c r="I89" s="3">
        <v>1269</v>
      </c>
      <c r="J89" s="3">
        <v>11421</v>
      </c>
      <c r="K89" s="3">
        <v>900</v>
      </c>
      <c r="L89" s="3">
        <v>8100</v>
      </c>
      <c r="M89" s="3">
        <v>3321</v>
      </c>
      <c r="N89" s="4">
        <v>0.29078014184397161</v>
      </c>
    </row>
    <row r="90" spans="1:14" x14ac:dyDescent="0.3">
      <c r="A90" s="6">
        <v>45664</v>
      </c>
      <c r="B90" s="1" t="s">
        <v>191</v>
      </c>
      <c r="C90" s="1" t="s">
        <v>26</v>
      </c>
      <c r="D90" t="s">
        <v>32</v>
      </c>
      <c r="E90" t="s">
        <v>169</v>
      </c>
      <c r="F90" t="s">
        <v>24</v>
      </c>
      <c r="G90" t="s">
        <v>25</v>
      </c>
      <c r="H90" s="3">
        <v>8</v>
      </c>
      <c r="I90" s="3">
        <v>3250</v>
      </c>
      <c r="J90" s="3">
        <v>26000</v>
      </c>
      <c r="K90" s="3">
        <v>2500</v>
      </c>
      <c r="L90" s="3">
        <v>20000</v>
      </c>
      <c r="M90" s="3">
        <v>6000</v>
      </c>
      <c r="N90" s="4">
        <v>0.23076923076923078</v>
      </c>
    </row>
    <row r="91" spans="1:14" x14ac:dyDescent="0.3">
      <c r="A91" s="6">
        <v>45664</v>
      </c>
      <c r="B91" s="1" t="s">
        <v>192</v>
      </c>
      <c r="C91" s="1" t="s">
        <v>28</v>
      </c>
      <c r="D91" t="s">
        <v>35</v>
      </c>
      <c r="E91" t="s">
        <v>538</v>
      </c>
      <c r="F91" t="s">
        <v>17</v>
      </c>
      <c r="G91" t="s">
        <v>18</v>
      </c>
      <c r="H91" s="3">
        <v>6</v>
      </c>
      <c r="I91" s="3">
        <v>11900</v>
      </c>
      <c r="J91" s="3">
        <v>71400</v>
      </c>
      <c r="K91" s="3">
        <v>8500</v>
      </c>
      <c r="L91" s="3">
        <v>51000</v>
      </c>
      <c r="M91" s="3">
        <v>20400</v>
      </c>
      <c r="N91" s="4">
        <v>0.2857142857142857</v>
      </c>
    </row>
    <row r="92" spans="1:14" x14ac:dyDescent="0.3">
      <c r="A92" s="6">
        <v>45664</v>
      </c>
      <c r="B92" s="1" t="s">
        <v>194</v>
      </c>
      <c r="C92" s="1" t="s">
        <v>26</v>
      </c>
      <c r="D92" t="s">
        <v>34</v>
      </c>
      <c r="E92" t="s">
        <v>336</v>
      </c>
      <c r="F92" t="s">
        <v>23</v>
      </c>
      <c r="G92" t="s">
        <v>25</v>
      </c>
      <c r="H92" s="3">
        <v>4</v>
      </c>
      <c r="I92" s="3">
        <v>4320</v>
      </c>
      <c r="J92" s="3">
        <v>17280</v>
      </c>
      <c r="K92" s="3">
        <v>3200</v>
      </c>
      <c r="L92" s="3">
        <v>12800</v>
      </c>
      <c r="M92" s="3">
        <v>4480</v>
      </c>
      <c r="N92" s="4">
        <v>0.25925925925925924</v>
      </c>
    </row>
    <row r="93" spans="1:14" x14ac:dyDescent="0.3">
      <c r="A93" s="6">
        <v>45664</v>
      </c>
      <c r="B93" s="1" t="s">
        <v>195</v>
      </c>
      <c r="C93" s="1" t="s">
        <v>29</v>
      </c>
      <c r="D93" t="s">
        <v>30</v>
      </c>
      <c r="E93" t="s">
        <v>59</v>
      </c>
      <c r="F93" t="s">
        <v>16</v>
      </c>
      <c r="G93" t="s">
        <v>15</v>
      </c>
      <c r="H93" s="3">
        <v>2</v>
      </c>
      <c r="I93" s="3">
        <v>52060.000000000007</v>
      </c>
      <c r="J93" s="3">
        <v>104120.00000000001</v>
      </c>
      <c r="K93" s="3">
        <v>38000</v>
      </c>
      <c r="L93" s="3">
        <v>76000</v>
      </c>
      <c r="M93" s="3">
        <v>28120.000000000015</v>
      </c>
      <c r="N93" s="4">
        <v>0.27007299270073004</v>
      </c>
    </row>
    <row r="94" spans="1:14" x14ac:dyDescent="0.3">
      <c r="A94" s="6">
        <v>45664</v>
      </c>
      <c r="B94" s="1" t="s">
        <v>197</v>
      </c>
      <c r="C94" s="1" t="s">
        <v>26</v>
      </c>
      <c r="D94" t="s">
        <v>33</v>
      </c>
      <c r="E94" t="s">
        <v>576</v>
      </c>
      <c r="F94" t="s">
        <v>16</v>
      </c>
      <c r="G94" t="s">
        <v>15</v>
      </c>
      <c r="H94" s="3">
        <v>9</v>
      </c>
      <c r="I94" s="3">
        <v>45980</v>
      </c>
      <c r="J94" s="3">
        <v>413820</v>
      </c>
      <c r="K94" s="3">
        <v>38000</v>
      </c>
      <c r="L94" s="3">
        <v>342000</v>
      </c>
      <c r="M94" s="3">
        <v>71820</v>
      </c>
      <c r="N94" s="4">
        <v>0.17355371900826447</v>
      </c>
    </row>
    <row r="95" spans="1:14" x14ac:dyDescent="0.3">
      <c r="A95" s="6">
        <v>45664</v>
      </c>
      <c r="B95" s="1" t="s">
        <v>199</v>
      </c>
      <c r="C95" s="1" t="s">
        <v>27</v>
      </c>
      <c r="D95" t="s">
        <v>34</v>
      </c>
      <c r="E95" t="s">
        <v>442</v>
      </c>
      <c r="F95" t="s">
        <v>24</v>
      </c>
      <c r="G95" t="s">
        <v>25</v>
      </c>
      <c r="H95" s="3">
        <v>2</v>
      </c>
      <c r="I95" s="3">
        <v>3350</v>
      </c>
      <c r="J95" s="3">
        <v>6700</v>
      </c>
      <c r="K95" s="3">
        <v>2500</v>
      </c>
      <c r="L95" s="3">
        <v>5000</v>
      </c>
      <c r="M95" s="3">
        <v>1700</v>
      </c>
      <c r="N95" s="4">
        <v>0.2537313432835821</v>
      </c>
    </row>
    <row r="96" spans="1:14" x14ac:dyDescent="0.3">
      <c r="A96" s="6">
        <v>45664</v>
      </c>
      <c r="B96" s="1" t="s">
        <v>200</v>
      </c>
      <c r="C96" s="1" t="s">
        <v>28</v>
      </c>
      <c r="D96" t="s">
        <v>35</v>
      </c>
      <c r="E96" t="s">
        <v>120</v>
      </c>
      <c r="F96" t="s">
        <v>19</v>
      </c>
      <c r="G96" t="s">
        <v>20</v>
      </c>
      <c r="H96" s="3">
        <v>3</v>
      </c>
      <c r="I96" s="3">
        <v>1269</v>
      </c>
      <c r="J96" s="3">
        <v>3807</v>
      </c>
      <c r="K96" s="3">
        <v>900</v>
      </c>
      <c r="L96" s="3">
        <v>2700</v>
      </c>
      <c r="M96" s="3">
        <v>1107</v>
      </c>
      <c r="N96" s="4">
        <v>0.29078014184397161</v>
      </c>
    </row>
    <row r="97" spans="1:14" x14ac:dyDescent="0.3">
      <c r="A97" s="6">
        <v>45664</v>
      </c>
      <c r="B97" s="1" t="s">
        <v>202</v>
      </c>
      <c r="C97" s="1" t="s">
        <v>27</v>
      </c>
      <c r="D97" t="s">
        <v>33</v>
      </c>
      <c r="E97" t="s">
        <v>96</v>
      </c>
      <c r="F97" t="s">
        <v>22</v>
      </c>
      <c r="G97" t="s">
        <v>18</v>
      </c>
      <c r="H97" s="3">
        <v>2</v>
      </c>
      <c r="I97" s="3">
        <v>9800</v>
      </c>
      <c r="J97" s="3">
        <v>19600</v>
      </c>
      <c r="K97" s="3">
        <v>7000</v>
      </c>
      <c r="L97" s="3">
        <v>14000</v>
      </c>
      <c r="M97" s="3">
        <v>5600</v>
      </c>
      <c r="N97" s="4">
        <v>0.2857142857142857</v>
      </c>
    </row>
    <row r="98" spans="1:14" x14ac:dyDescent="0.3">
      <c r="A98" s="6">
        <v>45665</v>
      </c>
      <c r="B98" s="1" t="s">
        <v>203</v>
      </c>
      <c r="C98" s="1" t="s">
        <v>28</v>
      </c>
      <c r="D98" t="s">
        <v>33</v>
      </c>
      <c r="E98" t="s">
        <v>306</v>
      </c>
      <c r="F98" t="s">
        <v>16</v>
      </c>
      <c r="G98" t="s">
        <v>15</v>
      </c>
      <c r="H98" s="3">
        <v>5</v>
      </c>
      <c r="I98" s="3">
        <v>46740</v>
      </c>
      <c r="J98" s="3">
        <v>233700</v>
      </c>
      <c r="K98" s="3">
        <v>38000</v>
      </c>
      <c r="L98" s="3">
        <v>190000</v>
      </c>
      <c r="M98" s="3">
        <v>43700</v>
      </c>
      <c r="N98" s="4">
        <v>0.18699186991869918</v>
      </c>
    </row>
    <row r="99" spans="1:14" x14ac:dyDescent="0.3">
      <c r="A99" s="6">
        <v>45665</v>
      </c>
      <c r="B99" s="1" t="s">
        <v>205</v>
      </c>
      <c r="C99" s="1" t="s">
        <v>28</v>
      </c>
      <c r="D99" t="s">
        <v>30</v>
      </c>
      <c r="E99" t="s">
        <v>411</v>
      </c>
      <c r="F99" t="s">
        <v>22</v>
      </c>
      <c r="G99" t="s">
        <v>18</v>
      </c>
      <c r="H99" s="3">
        <v>10</v>
      </c>
      <c r="I99" s="3">
        <v>8820</v>
      </c>
      <c r="J99" s="3">
        <v>88200</v>
      </c>
      <c r="K99" s="3">
        <v>7000</v>
      </c>
      <c r="L99" s="3">
        <v>70000</v>
      </c>
      <c r="M99" s="3">
        <v>18200</v>
      </c>
      <c r="N99" s="4">
        <v>0.20634920634920634</v>
      </c>
    </row>
    <row r="100" spans="1:14" x14ac:dyDescent="0.3">
      <c r="A100" s="6">
        <v>45665</v>
      </c>
      <c r="B100" s="1" t="s">
        <v>207</v>
      </c>
      <c r="C100" s="1" t="s">
        <v>27</v>
      </c>
      <c r="D100" t="s">
        <v>31</v>
      </c>
      <c r="E100" t="s">
        <v>61</v>
      </c>
      <c r="F100" t="s">
        <v>21</v>
      </c>
      <c r="G100" t="s">
        <v>20</v>
      </c>
      <c r="H100" s="3">
        <v>4</v>
      </c>
      <c r="I100" s="3">
        <v>827.99999999999989</v>
      </c>
      <c r="J100" s="3">
        <v>3311.9999999999995</v>
      </c>
      <c r="K100" s="3">
        <v>600</v>
      </c>
      <c r="L100" s="3">
        <v>2400</v>
      </c>
      <c r="M100" s="3">
        <v>911.99999999999955</v>
      </c>
      <c r="N100" s="4">
        <v>0.2753623188405796</v>
      </c>
    </row>
    <row r="101" spans="1:14" x14ac:dyDescent="0.3">
      <c r="A101" s="6">
        <v>45665</v>
      </c>
      <c r="B101" s="1" t="s">
        <v>209</v>
      </c>
      <c r="C101" s="1" t="s">
        <v>26</v>
      </c>
      <c r="D101" t="s">
        <v>35</v>
      </c>
      <c r="E101" t="s">
        <v>104</v>
      </c>
      <c r="F101" t="s">
        <v>21</v>
      </c>
      <c r="G101" t="s">
        <v>20</v>
      </c>
      <c r="H101" s="3">
        <v>4</v>
      </c>
      <c r="I101" s="3">
        <v>827.99999999999989</v>
      </c>
      <c r="J101" s="3">
        <v>3311.9999999999995</v>
      </c>
      <c r="K101" s="3">
        <v>600</v>
      </c>
      <c r="L101" s="3">
        <v>2400</v>
      </c>
      <c r="M101" s="3">
        <v>911.99999999999955</v>
      </c>
      <c r="N101" s="4">
        <v>0.2753623188405796</v>
      </c>
    </row>
    <row r="102" spans="1:14" x14ac:dyDescent="0.3">
      <c r="A102" s="6">
        <v>45665</v>
      </c>
      <c r="B102" s="1" t="s">
        <v>210</v>
      </c>
      <c r="C102" s="1" t="s">
        <v>28</v>
      </c>
      <c r="D102" t="s">
        <v>30</v>
      </c>
      <c r="E102" t="s">
        <v>239</v>
      </c>
      <c r="F102" t="s">
        <v>21</v>
      </c>
      <c r="G102" t="s">
        <v>20</v>
      </c>
      <c r="H102" s="3">
        <v>3</v>
      </c>
      <c r="I102" s="3">
        <v>744</v>
      </c>
      <c r="J102" s="3">
        <v>2232</v>
      </c>
      <c r="K102" s="3">
        <v>600</v>
      </c>
      <c r="L102" s="3">
        <v>1800</v>
      </c>
      <c r="M102" s="3">
        <v>432</v>
      </c>
      <c r="N102" s="4">
        <v>0.19354838709677419</v>
      </c>
    </row>
    <row r="103" spans="1:14" x14ac:dyDescent="0.3">
      <c r="A103" s="6">
        <v>45665</v>
      </c>
      <c r="B103" s="1" t="s">
        <v>211</v>
      </c>
      <c r="C103" s="1" t="s">
        <v>26</v>
      </c>
      <c r="D103" t="s">
        <v>35</v>
      </c>
      <c r="E103" t="s">
        <v>436</v>
      </c>
      <c r="F103" t="s">
        <v>16</v>
      </c>
      <c r="G103" t="s">
        <v>15</v>
      </c>
      <c r="H103" s="3">
        <v>5</v>
      </c>
      <c r="I103" s="3">
        <v>54340</v>
      </c>
      <c r="J103" s="3">
        <v>271700</v>
      </c>
      <c r="K103" s="3">
        <v>38000</v>
      </c>
      <c r="L103" s="3">
        <v>190000</v>
      </c>
      <c r="M103" s="3">
        <v>81700</v>
      </c>
      <c r="N103" s="4">
        <v>0.30069930069930068</v>
      </c>
    </row>
    <row r="104" spans="1:14" x14ac:dyDescent="0.3">
      <c r="A104" s="6">
        <v>45665</v>
      </c>
      <c r="B104" s="1" t="s">
        <v>212</v>
      </c>
      <c r="C104" s="1" t="s">
        <v>28</v>
      </c>
      <c r="D104" t="s">
        <v>35</v>
      </c>
      <c r="E104" t="s">
        <v>157</v>
      </c>
      <c r="F104" t="s">
        <v>24</v>
      </c>
      <c r="G104" t="s">
        <v>25</v>
      </c>
      <c r="H104" s="3">
        <v>1</v>
      </c>
      <c r="I104" s="3">
        <v>3550</v>
      </c>
      <c r="J104" s="3">
        <v>3550</v>
      </c>
      <c r="K104" s="3">
        <v>2500</v>
      </c>
      <c r="L104" s="3">
        <v>2500</v>
      </c>
      <c r="M104" s="3">
        <v>1050</v>
      </c>
      <c r="N104" s="4">
        <v>0.29577464788732394</v>
      </c>
    </row>
    <row r="105" spans="1:14" x14ac:dyDescent="0.3">
      <c r="A105" s="6">
        <v>45665</v>
      </c>
      <c r="B105" s="1" t="s">
        <v>213</v>
      </c>
      <c r="C105" s="1" t="s">
        <v>27</v>
      </c>
      <c r="D105" t="s">
        <v>32</v>
      </c>
      <c r="E105" t="s">
        <v>273</v>
      </c>
      <c r="F105" t="s">
        <v>21</v>
      </c>
      <c r="G105" t="s">
        <v>20</v>
      </c>
      <c r="H105" s="3">
        <v>6</v>
      </c>
      <c r="I105" s="3">
        <v>870</v>
      </c>
      <c r="J105" s="3">
        <v>5220</v>
      </c>
      <c r="K105" s="3">
        <v>600</v>
      </c>
      <c r="L105" s="3">
        <v>3600</v>
      </c>
      <c r="M105" s="3">
        <v>1620</v>
      </c>
      <c r="N105" s="4">
        <v>0.31034482758620691</v>
      </c>
    </row>
    <row r="106" spans="1:14" x14ac:dyDescent="0.3">
      <c r="A106" s="6">
        <v>45665</v>
      </c>
      <c r="B106" s="1" t="s">
        <v>215</v>
      </c>
      <c r="C106" s="1" t="s">
        <v>26</v>
      </c>
      <c r="D106" t="s">
        <v>31</v>
      </c>
      <c r="E106" t="s">
        <v>286</v>
      </c>
      <c r="F106" t="s">
        <v>23</v>
      </c>
      <c r="G106" t="s">
        <v>25</v>
      </c>
      <c r="H106" s="3">
        <v>1</v>
      </c>
      <c r="I106" s="3">
        <v>4512</v>
      </c>
      <c r="J106" s="3">
        <v>4512</v>
      </c>
      <c r="K106" s="3">
        <v>3200</v>
      </c>
      <c r="L106" s="3">
        <v>3200</v>
      </c>
      <c r="M106" s="3">
        <v>1312</v>
      </c>
      <c r="N106" s="4">
        <v>0.29078014184397161</v>
      </c>
    </row>
    <row r="107" spans="1:14" x14ac:dyDescent="0.3">
      <c r="A107" s="6">
        <v>45665</v>
      </c>
      <c r="B107" s="1" t="s">
        <v>217</v>
      </c>
      <c r="C107" s="1" t="s">
        <v>29</v>
      </c>
      <c r="D107" t="s">
        <v>34</v>
      </c>
      <c r="E107" t="s">
        <v>129</v>
      </c>
      <c r="F107" t="s">
        <v>24</v>
      </c>
      <c r="G107" t="s">
        <v>25</v>
      </c>
      <c r="H107" s="3">
        <v>8</v>
      </c>
      <c r="I107" s="3">
        <v>3225</v>
      </c>
      <c r="J107" s="3">
        <v>25800</v>
      </c>
      <c r="K107" s="3">
        <v>2500</v>
      </c>
      <c r="L107" s="3">
        <v>20000</v>
      </c>
      <c r="M107" s="3">
        <v>5800</v>
      </c>
      <c r="N107" s="4">
        <v>0.22480620155038761</v>
      </c>
    </row>
    <row r="108" spans="1:14" x14ac:dyDescent="0.3">
      <c r="A108" s="6">
        <v>45665</v>
      </c>
      <c r="B108" s="1" t="s">
        <v>219</v>
      </c>
      <c r="C108" s="1" t="s">
        <v>29</v>
      </c>
      <c r="D108" t="s">
        <v>32</v>
      </c>
      <c r="E108" t="s">
        <v>45</v>
      </c>
      <c r="F108" t="s">
        <v>21</v>
      </c>
      <c r="G108" t="s">
        <v>20</v>
      </c>
      <c r="H108" s="3">
        <v>4</v>
      </c>
      <c r="I108" s="3">
        <v>762</v>
      </c>
      <c r="J108" s="3">
        <v>3048</v>
      </c>
      <c r="K108" s="3">
        <v>600</v>
      </c>
      <c r="L108" s="3">
        <v>2400</v>
      </c>
      <c r="M108" s="3">
        <v>648</v>
      </c>
      <c r="N108" s="4">
        <v>0.2125984251968504</v>
      </c>
    </row>
    <row r="109" spans="1:14" x14ac:dyDescent="0.3">
      <c r="A109" s="6">
        <v>45665</v>
      </c>
      <c r="B109" s="1" t="s">
        <v>221</v>
      </c>
      <c r="C109" s="1" t="s">
        <v>26</v>
      </c>
      <c r="D109" t="s">
        <v>31</v>
      </c>
      <c r="E109" t="s">
        <v>317</v>
      </c>
      <c r="F109" t="s">
        <v>21</v>
      </c>
      <c r="G109" t="s">
        <v>20</v>
      </c>
      <c r="H109" s="3">
        <v>2</v>
      </c>
      <c r="I109" s="3">
        <v>744</v>
      </c>
      <c r="J109" s="3">
        <v>1488</v>
      </c>
      <c r="K109" s="3">
        <v>600</v>
      </c>
      <c r="L109" s="3">
        <v>1200</v>
      </c>
      <c r="M109" s="3">
        <v>288</v>
      </c>
      <c r="N109" s="4">
        <v>0.19354838709677419</v>
      </c>
    </row>
    <row r="110" spans="1:14" x14ac:dyDescent="0.3">
      <c r="A110" s="6">
        <v>45665</v>
      </c>
      <c r="B110" s="1" t="s">
        <v>223</v>
      </c>
      <c r="C110" s="1" t="s">
        <v>28</v>
      </c>
      <c r="D110" t="s">
        <v>32</v>
      </c>
      <c r="E110" t="s">
        <v>76</v>
      </c>
      <c r="F110" t="s">
        <v>17</v>
      </c>
      <c r="G110" t="s">
        <v>18</v>
      </c>
      <c r="H110" s="3">
        <v>9</v>
      </c>
      <c r="I110" s="3">
        <v>10710</v>
      </c>
      <c r="J110" s="3">
        <v>96390</v>
      </c>
      <c r="K110" s="3">
        <v>8500</v>
      </c>
      <c r="L110" s="3">
        <v>76500</v>
      </c>
      <c r="M110" s="3">
        <v>19890</v>
      </c>
      <c r="N110" s="4">
        <v>0.20634920634920634</v>
      </c>
    </row>
    <row r="111" spans="1:14" x14ac:dyDescent="0.3">
      <c r="A111" s="6">
        <v>45665</v>
      </c>
      <c r="B111" s="1" t="s">
        <v>224</v>
      </c>
      <c r="C111" s="1" t="s">
        <v>26</v>
      </c>
      <c r="D111" t="s">
        <v>35</v>
      </c>
      <c r="E111" t="s">
        <v>47</v>
      </c>
      <c r="F111" t="s">
        <v>17</v>
      </c>
      <c r="G111" t="s">
        <v>18</v>
      </c>
      <c r="H111" s="3">
        <v>10</v>
      </c>
      <c r="I111" s="3">
        <v>11135</v>
      </c>
      <c r="J111" s="3">
        <v>111350</v>
      </c>
      <c r="K111" s="3">
        <v>8500</v>
      </c>
      <c r="L111" s="3">
        <v>85000</v>
      </c>
      <c r="M111" s="3">
        <v>26350</v>
      </c>
      <c r="N111" s="4">
        <v>0.23664122137404581</v>
      </c>
    </row>
    <row r="112" spans="1:14" x14ac:dyDescent="0.3">
      <c r="A112" s="6">
        <v>45666</v>
      </c>
      <c r="B112" s="1" t="s">
        <v>225</v>
      </c>
      <c r="C112" s="1" t="s">
        <v>26</v>
      </c>
      <c r="D112" t="s">
        <v>32</v>
      </c>
      <c r="E112" t="s">
        <v>220</v>
      </c>
      <c r="F112" t="s">
        <v>24</v>
      </c>
      <c r="G112" t="s">
        <v>25</v>
      </c>
      <c r="H112" s="3">
        <v>10</v>
      </c>
      <c r="I112" s="3">
        <v>3175</v>
      </c>
      <c r="J112" s="3">
        <v>31750</v>
      </c>
      <c r="K112" s="3">
        <v>2500</v>
      </c>
      <c r="L112" s="3">
        <v>25000</v>
      </c>
      <c r="M112" s="3">
        <v>6750</v>
      </c>
      <c r="N112" s="4">
        <v>0.2125984251968504</v>
      </c>
    </row>
    <row r="113" spans="1:14" x14ac:dyDescent="0.3">
      <c r="A113" s="6">
        <v>45666</v>
      </c>
      <c r="B113" s="1" t="s">
        <v>227</v>
      </c>
      <c r="C113" s="1" t="s">
        <v>26</v>
      </c>
      <c r="D113" t="s">
        <v>33</v>
      </c>
      <c r="E113" t="s">
        <v>78</v>
      </c>
      <c r="F113" t="s">
        <v>16</v>
      </c>
      <c r="G113" t="s">
        <v>15</v>
      </c>
      <c r="H113" s="3">
        <v>2</v>
      </c>
      <c r="I113" s="3">
        <v>48640</v>
      </c>
      <c r="J113" s="3">
        <v>97280</v>
      </c>
      <c r="K113" s="3">
        <v>38000</v>
      </c>
      <c r="L113" s="3">
        <v>76000</v>
      </c>
      <c r="M113" s="3">
        <v>21280</v>
      </c>
      <c r="N113" s="4">
        <v>0.21875</v>
      </c>
    </row>
    <row r="114" spans="1:14" x14ac:dyDescent="0.3">
      <c r="A114" s="6">
        <v>45666</v>
      </c>
      <c r="B114" s="1" t="s">
        <v>229</v>
      </c>
      <c r="C114" s="1" t="s">
        <v>26</v>
      </c>
      <c r="D114" t="s">
        <v>32</v>
      </c>
      <c r="E114" t="s">
        <v>236</v>
      </c>
      <c r="F114" t="s">
        <v>24</v>
      </c>
      <c r="G114" t="s">
        <v>25</v>
      </c>
      <c r="H114" s="3">
        <v>1</v>
      </c>
      <c r="I114" s="3">
        <v>3600</v>
      </c>
      <c r="J114" s="3">
        <v>3600</v>
      </c>
      <c r="K114" s="3">
        <v>2500</v>
      </c>
      <c r="L114" s="3">
        <v>2500</v>
      </c>
      <c r="M114" s="3">
        <v>1100</v>
      </c>
      <c r="N114" s="4">
        <v>0.30555555555555558</v>
      </c>
    </row>
    <row r="115" spans="1:14" x14ac:dyDescent="0.3">
      <c r="A115" s="6">
        <v>45666</v>
      </c>
      <c r="B115" s="1" t="s">
        <v>230</v>
      </c>
      <c r="C115" s="1" t="s">
        <v>26</v>
      </c>
      <c r="D115" t="s">
        <v>30</v>
      </c>
      <c r="E115" t="s">
        <v>43</v>
      </c>
      <c r="F115" t="s">
        <v>14</v>
      </c>
      <c r="G115" t="s">
        <v>15</v>
      </c>
      <c r="H115" s="3">
        <v>4</v>
      </c>
      <c r="I115" s="3">
        <v>65250</v>
      </c>
      <c r="J115" s="3">
        <v>261000</v>
      </c>
      <c r="K115" s="3">
        <v>45000</v>
      </c>
      <c r="L115" s="3">
        <v>180000</v>
      </c>
      <c r="M115" s="3">
        <v>81000</v>
      </c>
      <c r="N115" s="4">
        <v>0.31034482758620691</v>
      </c>
    </row>
    <row r="116" spans="1:14" x14ac:dyDescent="0.3">
      <c r="A116" s="6">
        <v>45666</v>
      </c>
      <c r="B116" s="1" t="s">
        <v>232</v>
      </c>
      <c r="C116" s="1" t="s">
        <v>28</v>
      </c>
      <c r="D116" t="s">
        <v>30</v>
      </c>
      <c r="E116" t="s">
        <v>72</v>
      </c>
      <c r="F116" t="s">
        <v>21</v>
      </c>
      <c r="G116" t="s">
        <v>20</v>
      </c>
      <c r="H116" s="3">
        <v>4</v>
      </c>
      <c r="I116" s="3">
        <v>792</v>
      </c>
      <c r="J116" s="3">
        <v>3168</v>
      </c>
      <c r="K116" s="3">
        <v>600</v>
      </c>
      <c r="L116" s="3">
        <v>2400</v>
      </c>
      <c r="M116" s="3">
        <v>768</v>
      </c>
      <c r="N116" s="4">
        <v>0.24242424242424243</v>
      </c>
    </row>
    <row r="117" spans="1:14" x14ac:dyDescent="0.3">
      <c r="A117" s="6">
        <v>45666</v>
      </c>
      <c r="B117" s="1" t="s">
        <v>234</v>
      </c>
      <c r="C117" s="1" t="s">
        <v>26</v>
      </c>
      <c r="D117" t="s">
        <v>35</v>
      </c>
      <c r="E117" t="s">
        <v>275</v>
      </c>
      <c r="F117" t="s">
        <v>19</v>
      </c>
      <c r="G117" t="s">
        <v>20</v>
      </c>
      <c r="H117" s="3">
        <v>1</v>
      </c>
      <c r="I117" s="3">
        <v>1242</v>
      </c>
      <c r="J117" s="3">
        <v>1242</v>
      </c>
      <c r="K117" s="3">
        <v>900</v>
      </c>
      <c r="L117" s="3">
        <v>900</v>
      </c>
      <c r="M117" s="3">
        <v>342</v>
      </c>
      <c r="N117" s="4">
        <v>0.27536231884057971</v>
      </c>
    </row>
    <row r="118" spans="1:14" x14ac:dyDescent="0.3">
      <c r="A118" s="6">
        <v>45666</v>
      </c>
      <c r="B118" s="1" t="s">
        <v>235</v>
      </c>
      <c r="C118" s="1" t="s">
        <v>26</v>
      </c>
      <c r="D118" t="s">
        <v>35</v>
      </c>
      <c r="E118" t="s">
        <v>427</v>
      </c>
      <c r="F118" t="s">
        <v>24</v>
      </c>
      <c r="G118" t="s">
        <v>25</v>
      </c>
      <c r="H118" s="3">
        <v>2</v>
      </c>
      <c r="I118" s="3">
        <v>3625</v>
      </c>
      <c r="J118" s="3">
        <v>7250</v>
      </c>
      <c r="K118" s="3">
        <v>2500</v>
      </c>
      <c r="L118" s="3">
        <v>5000</v>
      </c>
      <c r="M118" s="3">
        <v>2250</v>
      </c>
      <c r="N118" s="4">
        <v>0.31034482758620691</v>
      </c>
    </row>
    <row r="119" spans="1:14" x14ac:dyDescent="0.3">
      <c r="A119" s="6">
        <v>45666</v>
      </c>
      <c r="B119" s="1" t="s">
        <v>237</v>
      </c>
      <c r="C119" s="1" t="s">
        <v>28</v>
      </c>
      <c r="D119" t="s">
        <v>33</v>
      </c>
      <c r="E119" t="s">
        <v>226</v>
      </c>
      <c r="F119" t="s">
        <v>21</v>
      </c>
      <c r="G119" t="s">
        <v>20</v>
      </c>
      <c r="H119" s="3">
        <v>7</v>
      </c>
      <c r="I119" s="3">
        <v>858</v>
      </c>
      <c r="J119" s="3">
        <v>6006</v>
      </c>
      <c r="K119" s="3">
        <v>600</v>
      </c>
      <c r="L119" s="3">
        <v>4200</v>
      </c>
      <c r="M119" s="3">
        <v>1806</v>
      </c>
      <c r="N119" s="4">
        <v>0.30069930069930068</v>
      </c>
    </row>
    <row r="120" spans="1:14" x14ac:dyDescent="0.3">
      <c r="A120" s="6">
        <v>45666</v>
      </c>
      <c r="B120" s="1" t="s">
        <v>238</v>
      </c>
      <c r="C120" s="1" t="s">
        <v>29</v>
      </c>
      <c r="D120" t="s">
        <v>30</v>
      </c>
      <c r="E120" t="s">
        <v>415</v>
      </c>
      <c r="F120" t="s">
        <v>17</v>
      </c>
      <c r="G120" t="s">
        <v>18</v>
      </c>
      <c r="H120" s="3">
        <v>5</v>
      </c>
      <c r="I120" s="3">
        <v>10710</v>
      </c>
      <c r="J120" s="3">
        <v>53550</v>
      </c>
      <c r="K120" s="3">
        <v>8500</v>
      </c>
      <c r="L120" s="3">
        <v>42500</v>
      </c>
      <c r="M120" s="3">
        <v>11050</v>
      </c>
      <c r="N120" s="4">
        <v>0.20634920634920634</v>
      </c>
    </row>
    <row r="121" spans="1:14" x14ac:dyDescent="0.3">
      <c r="A121" s="6">
        <v>45666</v>
      </c>
      <c r="B121" s="1" t="s">
        <v>240</v>
      </c>
      <c r="C121" s="1" t="s">
        <v>28</v>
      </c>
      <c r="D121" t="s">
        <v>31</v>
      </c>
      <c r="E121" t="s">
        <v>273</v>
      </c>
      <c r="F121" t="s">
        <v>19</v>
      </c>
      <c r="G121" t="s">
        <v>20</v>
      </c>
      <c r="H121" s="3">
        <v>5</v>
      </c>
      <c r="I121" s="3">
        <v>1305</v>
      </c>
      <c r="J121" s="3">
        <v>6525</v>
      </c>
      <c r="K121" s="3">
        <v>900</v>
      </c>
      <c r="L121" s="3">
        <v>4500</v>
      </c>
      <c r="M121" s="3">
        <v>2025</v>
      </c>
      <c r="N121" s="4">
        <v>0.31034482758620691</v>
      </c>
    </row>
    <row r="122" spans="1:14" x14ac:dyDescent="0.3">
      <c r="A122" s="6">
        <v>45666</v>
      </c>
      <c r="B122" s="1" t="s">
        <v>241</v>
      </c>
      <c r="C122" s="1" t="s">
        <v>26</v>
      </c>
      <c r="D122" t="s">
        <v>31</v>
      </c>
      <c r="E122" t="s">
        <v>76</v>
      </c>
      <c r="F122" t="s">
        <v>21</v>
      </c>
      <c r="G122" t="s">
        <v>20</v>
      </c>
      <c r="H122" s="3">
        <v>7</v>
      </c>
      <c r="I122" s="3">
        <v>720</v>
      </c>
      <c r="J122" s="3">
        <v>5040</v>
      </c>
      <c r="K122" s="3">
        <v>600</v>
      </c>
      <c r="L122" s="3">
        <v>4200</v>
      </c>
      <c r="M122" s="3">
        <v>840</v>
      </c>
      <c r="N122" s="4">
        <v>0.16666666666666666</v>
      </c>
    </row>
    <row r="123" spans="1:14" x14ac:dyDescent="0.3">
      <c r="A123" s="6">
        <v>45666</v>
      </c>
      <c r="B123" s="1" t="s">
        <v>242</v>
      </c>
      <c r="C123" s="1" t="s">
        <v>28</v>
      </c>
      <c r="D123" t="s">
        <v>32</v>
      </c>
      <c r="E123" t="s">
        <v>57</v>
      </c>
      <c r="F123" t="s">
        <v>19</v>
      </c>
      <c r="G123" t="s">
        <v>20</v>
      </c>
      <c r="H123" s="3">
        <v>7</v>
      </c>
      <c r="I123" s="3">
        <v>1143</v>
      </c>
      <c r="J123" s="3">
        <v>8001</v>
      </c>
      <c r="K123" s="3">
        <v>900</v>
      </c>
      <c r="L123" s="3">
        <v>6300</v>
      </c>
      <c r="M123" s="3">
        <v>1701</v>
      </c>
      <c r="N123" s="4">
        <v>0.2125984251968504</v>
      </c>
    </row>
    <row r="124" spans="1:14" x14ac:dyDescent="0.3">
      <c r="A124" s="6">
        <v>45666</v>
      </c>
      <c r="B124" s="1" t="s">
        <v>244</v>
      </c>
      <c r="C124" s="1" t="s">
        <v>28</v>
      </c>
      <c r="D124" t="s">
        <v>34</v>
      </c>
      <c r="E124" t="s">
        <v>126</v>
      </c>
      <c r="F124" t="s">
        <v>24</v>
      </c>
      <c r="G124" t="s">
        <v>25</v>
      </c>
      <c r="H124" s="3">
        <v>5</v>
      </c>
      <c r="I124" s="3">
        <v>3225</v>
      </c>
      <c r="J124" s="3">
        <v>16125</v>
      </c>
      <c r="K124" s="3">
        <v>2500</v>
      </c>
      <c r="L124" s="3">
        <v>12500</v>
      </c>
      <c r="M124" s="3">
        <v>3625</v>
      </c>
      <c r="N124" s="4">
        <v>0.22480620155038761</v>
      </c>
    </row>
    <row r="125" spans="1:14" x14ac:dyDescent="0.3">
      <c r="A125" s="6">
        <v>45666</v>
      </c>
      <c r="B125" s="1" t="s">
        <v>245</v>
      </c>
      <c r="C125" s="1" t="s">
        <v>28</v>
      </c>
      <c r="D125" t="s">
        <v>33</v>
      </c>
      <c r="E125" t="s">
        <v>37</v>
      </c>
      <c r="F125" t="s">
        <v>24</v>
      </c>
      <c r="G125" t="s">
        <v>25</v>
      </c>
      <c r="H125" s="3">
        <v>10</v>
      </c>
      <c r="I125" s="3">
        <v>3600</v>
      </c>
      <c r="J125" s="3">
        <v>36000</v>
      </c>
      <c r="K125" s="3">
        <v>2500</v>
      </c>
      <c r="L125" s="3">
        <v>25000</v>
      </c>
      <c r="M125" s="3">
        <v>11000</v>
      </c>
      <c r="N125" s="4">
        <v>0.30555555555555558</v>
      </c>
    </row>
    <row r="126" spans="1:14" x14ac:dyDescent="0.3">
      <c r="A126" s="6">
        <v>45667</v>
      </c>
      <c r="B126" s="1" t="s">
        <v>246</v>
      </c>
      <c r="C126" s="1" t="s">
        <v>26</v>
      </c>
      <c r="D126" t="s">
        <v>34</v>
      </c>
      <c r="E126" t="s">
        <v>118</v>
      </c>
      <c r="F126" t="s">
        <v>23</v>
      </c>
      <c r="G126" t="s">
        <v>25</v>
      </c>
      <c r="H126" s="3">
        <v>6</v>
      </c>
      <c r="I126" s="3">
        <v>3904</v>
      </c>
      <c r="J126" s="3">
        <v>23424</v>
      </c>
      <c r="K126" s="3">
        <v>3200</v>
      </c>
      <c r="L126" s="3">
        <v>19200</v>
      </c>
      <c r="M126" s="3">
        <v>4224</v>
      </c>
      <c r="N126" s="4">
        <v>0.18032786885245902</v>
      </c>
    </row>
    <row r="127" spans="1:14" x14ac:dyDescent="0.3">
      <c r="A127" s="6">
        <v>45667</v>
      </c>
      <c r="B127" s="1" t="s">
        <v>247</v>
      </c>
      <c r="C127" s="1" t="s">
        <v>26</v>
      </c>
      <c r="D127" t="s">
        <v>35</v>
      </c>
      <c r="E127" t="s">
        <v>431</v>
      </c>
      <c r="F127" t="s">
        <v>22</v>
      </c>
      <c r="G127" t="s">
        <v>18</v>
      </c>
      <c r="H127" s="3">
        <v>8</v>
      </c>
      <c r="I127" s="3">
        <v>9940</v>
      </c>
      <c r="J127" s="3">
        <v>79520</v>
      </c>
      <c r="K127" s="3">
        <v>7000</v>
      </c>
      <c r="L127" s="3">
        <v>56000</v>
      </c>
      <c r="M127" s="3">
        <v>23520</v>
      </c>
      <c r="N127" s="4">
        <v>0.29577464788732394</v>
      </c>
    </row>
    <row r="128" spans="1:14" x14ac:dyDescent="0.3">
      <c r="A128" s="6">
        <v>45667</v>
      </c>
      <c r="B128" s="1" t="s">
        <v>248</v>
      </c>
      <c r="C128" s="1" t="s">
        <v>28</v>
      </c>
      <c r="D128" t="s">
        <v>35</v>
      </c>
      <c r="E128" t="s">
        <v>196</v>
      </c>
      <c r="F128" t="s">
        <v>16</v>
      </c>
      <c r="G128" t="s">
        <v>15</v>
      </c>
      <c r="H128" s="3">
        <v>7</v>
      </c>
      <c r="I128" s="3">
        <v>46360</v>
      </c>
      <c r="J128" s="3">
        <v>324520</v>
      </c>
      <c r="K128" s="3">
        <v>38000</v>
      </c>
      <c r="L128" s="3">
        <v>266000</v>
      </c>
      <c r="M128" s="3">
        <v>58520</v>
      </c>
      <c r="N128" s="4">
        <v>0.18032786885245902</v>
      </c>
    </row>
    <row r="129" spans="1:14" x14ac:dyDescent="0.3">
      <c r="A129" s="6">
        <v>45667</v>
      </c>
      <c r="B129" s="1" t="s">
        <v>250</v>
      </c>
      <c r="C129" s="1" t="s">
        <v>27</v>
      </c>
      <c r="D129" t="s">
        <v>31</v>
      </c>
      <c r="E129" t="s">
        <v>129</v>
      </c>
      <c r="F129" t="s">
        <v>17</v>
      </c>
      <c r="G129" t="s">
        <v>18</v>
      </c>
      <c r="H129" s="3">
        <v>2</v>
      </c>
      <c r="I129" s="3">
        <v>11645</v>
      </c>
      <c r="J129" s="3">
        <v>23290</v>
      </c>
      <c r="K129" s="3">
        <v>8500</v>
      </c>
      <c r="L129" s="3">
        <v>17000</v>
      </c>
      <c r="M129" s="3">
        <v>6290</v>
      </c>
      <c r="N129" s="4">
        <v>0.27007299270072993</v>
      </c>
    </row>
    <row r="130" spans="1:14" x14ac:dyDescent="0.3">
      <c r="A130" s="6">
        <v>45667</v>
      </c>
      <c r="B130" s="1" t="s">
        <v>251</v>
      </c>
      <c r="C130" s="1" t="s">
        <v>28</v>
      </c>
      <c r="D130" t="s">
        <v>30</v>
      </c>
      <c r="E130" t="s">
        <v>409</v>
      </c>
      <c r="F130" t="s">
        <v>21</v>
      </c>
      <c r="G130" t="s">
        <v>20</v>
      </c>
      <c r="H130" s="3">
        <v>10</v>
      </c>
      <c r="I130" s="3">
        <v>815.99999999999989</v>
      </c>
      <c r="J130" s="3">
        <v>8159.9999999999991</v>
      </c>
      <c r="K130" s="3">
        <v>600</v>
      </c>
      <c r="L130" s="3">
        <v>6000</v>
      </c>
      <c r="M130" s="3">
        <v>2159.9999999999991</v>
      </c>
      <c r="N130" s="4">
        <v>0.26470588235294107</v>
      </c>
    </row>
    <row r="131" spans="1:14" x14ac:dyDescent="0.3">
      <c r="A131" s="6">
        <v>45667</v>
      </c>
      <c r="B131" s="1" t="s">
        <v>252</v>
      </c>
      <c r="C131" s="1" t="s">
        <v>27</v>
      </c>
      <c r="D131" t="s">
        <v>34</v>
      </c>
      <c r="E131" t="s">
        <v>407</v>
      </c>
      <c r="F131" t="s">
        <v>22</v>
      </c>
      <c r="G131" t="s">
        <v>18</v>
      </c>
      <c r="H131" s="3">
        <v>7</v>
      </c>
      <c r="I131" s="3">
        <v>9450</v>
      </c>
      <c r="J131" s="3">
        <v>66150</v>
      </c>
      <c r="K131" s="3">
        <v>7000</v>
      </c>
      <c r="L131" s="3">
        <v>49000</v>
      </c>
      <c r="M131" s="3">
        <v>17150</v>
      </c>
      <c r="N131" s="4">
        <v>0.25925925925925924</v>
      </c>
    </row>
    <row r="132" spans="1:14" x14ac:dyDescent="0.3">
      <c r="A132" s="6">
        <v>45667</v>
      </c>
      <c r="B132" s="1" t="s">
        <v>253</v>
      </c>
      <c r="C132" s="1" t="s">
        <v>29</v>
      </c>
      <c r="D132" t="s">
        <v>35</v>
      </c>
      <c r="E132" t="s">
        <v>222</v>
      </c>
      <c r="F132" t="s">
        <v>19</v>
      </c>
      <c r="G132" t="s">
        <v>20</v>
      </c>
      <c r="H132" s="3">
        <v>10</v>
      </c>
      <c r="I132" s="3">
        <v>1215</v>
      </c>
      <c r="J132" s="3">
        <v>12150</v>
      </c>
      <c r="K132" s="3">
        <v>900</v>
      </c>
      <c r="L132" s="3">
        <v>9000</v>
      </c>
      <c r="M132" s="3">
        <v>3150</v>
      </c>
      <c r="N132" s="4">
        <v>0.25925925925925924</v>
      </c>
    </row>
    <row r="133" spans="1:14" x14ac:dyDescent="0.3">
      <c r="A133" s="6">
        <v>45667</v>
      </c>
      <c r="B133" s="1" t="s">
        <v>254</v>
      </c>
      <c r="C133" s="1" t="s">
        <v>26</v>
      </c>
      <c r="D133" t="s">
        <v>32</v>
      </c>
      <c r="E133" t="s">
        <v>193</v>
      </c>
      <c r="F133" t="s">
        <v>24</v>
      </c>
      <c r="G133" t="s">
        <v>25</v>
      </c>
      <c r="H133" s="3">
        <v>4</v>
      </c>
      <c r="I133" s="3">
        <v>3325</v>
      </c>
      <c r="J133" s="3">
        <v>13300</v>
      </c>
      <c r="K133" s="3">
        <v>2500</v>
      </c>
      <c r="L133" s="3">
        <v>10000</v>
      </c>
      <c r="M133" s="3">
        <v>3300</v>
      </c>
      <c r="N133" s="4">
        <v>0.24812030075187969</v>
      </c>
    </row>
    <row r="134" spans="1:14" x14ac:dyDescent="0.3">
      <c r="A134" s="6">
        <v>45667</v>
      </c>
      <c r="B134" s="1" t="s">
        <v>256</v>
      </c>
      <c r="C134" s="1" t="s">
        <v>29</v>
      </c>
      <c r="D134" t="s">
        <v>35</v>
      </c>
      <c r="E134" t="s">
        <v>388</v>
      </c>
      <c r="F134" t="s">
        <v>14</v>
      </c>
      <c r="G134" t="s">
        <v>15</v>
      </c>
      <c r="H134" s="3">
        <v>6</v>
      </c>
      <c r="I134" s="3">
        <v>56700</v>
      </c>
      <c r="J134" s="3">
        <v>340200</v>
      </c>
      <c r="K134" s="3">
        <v>45000</v>
      </c>
      <c r="L134" s="3">
        <v>270000</v>
      </c>
      <c r="M134" s="3">
        <v>70200</v>
      </c>
      <c r="N134" s="4">
        <v>0.20634920634920634</v>
      </c>
    </row>
    <row r="135" spans="1:14" x14ac:dyDescent="0.3">
      <c r="A135" s="6">
        <v>45667</v>
      </c>
      <c r="B135" s="1" t="s">
        <v>257</v>
      </c>
      <c r="C135" s="1" t="s">
        <v>28</v>
      </c>
      <c r="D135" t="s">
        <v>34</v>
      </c>
      <c r="E135" t="s">
        <v>126</v>
      </c>
      <c r="F135" t="s">
        <v>19</v>
      </c>
      <c r="G135" t="s">
        <v>20</v>
      </c>
      <c r="H135" s="3">
        <v>7</v>
      </c>
      <c r="I135" s="3">
        <v>1233</v>
      </c>
      <c r="J135" s="3">
        <v>8631</v>
      </c>
      <c r="K135" s="3">
        <v>900</v>
      </c>
      <c r="L135" s="3">
        <v>6300</v>
      </c>
      <c r="M135" s="3">
        <v>2331</v>
      </c>
      <c r="N135" s="4">
        <v>0.27007299270072993</v>
      </c>
    </row>
    <row r="136" spans="1:14" x14ac:dyDescent="0.3">
      <c r="A136" s="6">
        <v>45667</v>
      </c>
      <c r="B136" s="1" t="s">
        <v>258</v>
      </c>
      <c r="C136" s="1" t="s">
        <v>27</v>
      </c>
      <c r="D136" t="s">
        <v>31</v>
      </c>
      <c r="E136" t="s">
        <v>283</v>
      </c>
      <c r="F136" t="s">
        <v>24</v>
      </c>
      <c r="G136" t="s">
        <v>25</v>
      </c>
      <c r="H136" s="3">
        <v>2</v>
      </c>
      <c r="I136" s="3">
        <v>3050</v>
      </c>
      <c r="J136" s="3">
        <v>6100</v>
      </c>
      <c r="K136" s="3">
        <v>2500</v>
      </c>
      <c r="L136" s="3">
        <v>5000</v>
      </c>
      <c r="M136" s="3">
        <v>1100</v>
      </c>
      <c r="N136" s="4">
        <v>0.18032786885245902</v>
      </c>
    </row>
    <row r="137" spans="1:14" x14ac:dyDescent="0.3">
      <c r="A137" s="6">
        <v>45667</v>
      </c>
      <c r="B137" s="1" t="s">
        <v>259</v>
      </c>
      <c r="C137" s="1" t="s">
        <v>26</v>
      </c>
      <c r="D137" t="s">
        <v>33</v>
      </c>
      <c r="E137" t="s">
        <v>582</v>
      </c>
      <c r="F137" t="s">
        <v>19</v>
      </c>
      <c r="G137" t="s">
        <v>20</v>
      </c>
      <c r="H137" s="3">
        <v>10</v>
      </c>
      <c r="I137" s="3">
        <v>1296</v>
      </c>
      <c r="J137" s="3">
        <v>12960</v>
      </c>
      <c r="K137" s="3">
        <v>900</v>
      </c>
      <c r="L137" s="3">
        <v>9000</v>
      </c>
      <c r="M137" s="3">
        <v>3960</v>
      </c>
      <c r="N137" s="4">
        <v>0.30555555555555558</v>
      </c>
    </row>
    <row r="138" spans="1:14" x14ac:dyDescent="0.3">
      <c r="A138" s="6">
        <v>45667</v>
      </c>
      <c r="B138" s="1" t="s">
        <v>260</v>
      </c>
      <c r="C138" s="1" t="s">
        <v>29</v>
      </c>
      <c r="D138" t="s">
        <v>32</v>
      </c>
      <c r="E138" t="s">
        <v>427</v>
      </c>
      <c r="F138" t="s">
        <v>21</v>
      </c>
      <c r="G138" t="s">
        <v>20</v>
      </c>
      <c r="H138" s="3">
        <v>6</v>
      </c>
      <c r="I138" s="3">
        <v>738</v>
      </c>
      <c r="J138" s="3">
        <v>4428</v>
      </c>
      <c r="K138" s="3">
        <v>600</v>
      </c>
      <c r="L138" s="3">
        <v>3600</v>
      </c>
      <c r="M138" s="3">
        <v>828</v>
      </c>
      <c r="N138" s="4">
        <v>0.18699186991869918</v>
      </c>
    </row>
    <row r="139" spans="1:14" x14ac:dyDescent="0.3">
      <c r="A139" s="6">
        <v>45667</v>
      </c>
      <c r="B139" s="1" t="s">
        <v>261</v>
      </c>
      <c r="C139" s="1" t="s">
        <v>29</v>
      </c>
      <c r="D139" t="s">
        <v>31</v>
      </c>
      <c r="E139" t="s">
        <v>548</v>
      </c>
      <c r="F139" t="s">
        <v>16</v>
      </c>
      <c r="G139" t="s">
        <v>15</v>
      </c>
      <c r="H139" s="3">
        <v>6</v>
      </c>
      <c r="I139" s="3">
        <v>47500</v>
      </c>
      <c r="J139" s="3">
        <v>285000</v>
      </c>
      <c r="K139" s="3">
        <v>38000</v>
      </c>
      <c r="L139" s="3">
        <v>228000</v>
      </c>
      <c r="M139" s="3">
        <v>57000</v>
      </c>
      <c r="N139" s="4">
        <v>0.2</v>
      </c>
    </row>
    <row r="140" spans="1:14" x14ac:dyDescent="0.3">
      <c r="A140" s="6">
        <v>45668</v>
      </c>
      <c r="B140" s="1" t="s">
        <v>262</v>
      </c>
      <c r="C140" s="1" t="s">
        <v>28</v>
      </c>
      <c r="D140" t="s">
        <v>33</v>
      </c>
      <c r="E140" t="s">
        <v>180</v>
      </c>
      <c r="F140" t="s">
        <v>23</v>
      </c>
      <c r="G140" t="s">
        <v>25</v>
      </c>
      <c r="H140" s="3">
        <v>1</v>
      </c>
      <c r="I140" s="3">
        <v>4352</v>
      </c>
      <c r="J140" s="3">
        <v>4352</v>
      </c>
      <c r="K140" s="3">
        <v>3200</v>
      </c>
      <c r="L140" s="3">
        <v>3200</v>
      </c>
      <c r="M140" s="3">
        <v>1152</v>
      </c>
      <c r="N140" s="4">
        <v>0.26470588235294118</v>
      </c>
    </row>
    <row r="141" spans="1:14" x14ac:dyDescent="0.3">
      <c r="A141" s="6">
        <v>45668</v>
      </c>
      <c r="B141" s="1" t="s">
        <v>264</v>
      </c>
      <c r="C141" s="1" t="s">
        <v>27</v>
      </c>
      <c r="D141" t="s">
        <v>34</v>
      </c>
      <c r="E141" t="s">
        <v>226</v>
      </c>
      <c r="F141" t="s">
        <v>21</v>
      </c>
      <c r="G141" t="s">
        <v>20</v>
      </c>
      <c r="H141" s="3">
        <v>2</v>
      </c>
      <c r="I141" s="3">
        <v>810</v>
      </c>
      <c r="J141" s="3">
        <v>1620</v>
      </c>
      <c r="K141" s="3">
        <v>600</v>
      </c>
      <c r="L141" s="3">
        <v>1200</v>
      </c>
      <c r="M141" s="3">
        <v>420</v>
      </c>
      <c r="N141" s="4">
        <v>0.25925925925925924</v>
      </c>
    </row>
    <row r="142" spans="1:14" x14ac:dyDescent="0.3">
      <c r="A142" s="6">
        <v>45668</v>
      </c>
      <c r="B142" s="1" t="s">
        <v>266</v>
      </c>
      <c r="C142" s="1" t="s">
        <v>29</v>
      </c>
      <c r="D142" t="s">
        <v>30</v>
      </c>
      <c r="E142" t="s">
        <v>351</v>
      </c>
      <c r="F142" t="s">
        <v>22</v>
      </c>
      <c r="G142" t="s">
        <v>18</v>
      </c>
      <c r="H142" s="3">
        <v>7</v>
      </c>
      <c r="I142" s="3">
        <v>8470</v>
      </c>
      <c r="J142" s="3">
        <v>59290</v>
      </c>
      <c r="K142" s="3">
        <v>7000</v>
      </c>
      <c r="L142" s="3">
        <v>49000</v>
      </c>
      <c r="M142" s="3">
        <v>10290</v>
      </c>
      <c r="N142" s="4">
        <v>0.17355371900826447</v>
      </c>
    </row>
    <row r="143" spans="1:14" x14ac:dyDescent="0.3">
      <c r="A143" s="6">
        <v>45668</v>
      </c>
      <c r="B143" s="1" t="s">
        <v>267</v>
      </c>
      <c r="C143" s="1" t="s">
        <v>27</v>
      </c>
      <c r="D143" t="s">
        <v>31</v>
      </c>
      <c r="E143" t="s">
        <v>304</v>
      </c>
      <c r="F143" t="s">
        <v>23</v>
      </c>
      <c r="G143" t="s">
        <v>25</v>
      </c>
      <c r="H143" s="3">
        <v>2</v>
      </c>
      <c r="I143" s="3">
        <v>3840</v>
      </c>
      <c r="J143" s="3">
        <v>7680</v>
      </c>
      <c r="K143" s="3">
        <v>3200</v>
      </c>
      <c r="L143" s="3">
        <v>6400</v>
      </c>
      <c r="M143" s="3">
        <v>1280</v>
      </c>
      <c r="N143" s="4">
        <v>0.16666666666666666</v>
      </c>
    </row>
    <row r="144" spans="1:14" x14ac:dyDescent="0.3">
      <c r="A144" s="6">
        <v>45668</v>
      </c>
      <c r="B144" s="1" t="s">
        <v>269</v>
      </c>
      <c r="C144" s="1" t="s">
        <v>26</v>
      </c>
      <c r="D144" t="s">
        <v>34</v>
      </c>
      <c r="E144" t="s">
        <v>390</v>
      </c>
      <c r="F144" t="s">
        <v>14</v>
      </c>
      <c r="G144" t="s">
        <v>15</v>
      </c>
      <c r="H144" s="3">
        <v>2</v>
      </c>
      <c r="I144" s="3">
        <v>54450</v>
      </c>
      <c r="J144" s="3">
        <v>108900</v>
      </c>
      <c r="K144" s="3">
        <v>45000</v>
      </c>
      <c r="L144" s="3">
        <v>90000</v>
      </c>
      <c r="M144" s="3">
        <v>18900</v>
      </c>
      <c r="N144" s="4">
        <v>0.17355371900826447</v>
      </c>
    </row>
    <row r="145" spans="1:14" x14ac:dyDescent="0.3">
      <c r="A145" s="6">
        <v>45668</v>
      </c>
      <c r="B145" s="1" t="s">
        <v>270</v>
      </c>
      <c r="C145" s="1" t="s">
        <v>26</v>
      </c>
      <c r="D145" t="s">
        <v>30</v>
      </c>
      <c r="E145" t="s">
        <v>108</v>
      </c>
      <c r="F145" t="s">
        <v>23</v>
      </c>
      <c r="G145" t="s">
        <v>25</v>
      </c>
      <c r="H145" s="3">
        <v>9</v>
      </c>
      <c r="I145" s="3">
        <v>4608</v>
      </c>
      <c r="J145" s="3">
        <v>41472</v>
      </c>
      <c r="K145" s="3">
        <v>3200</v>
      </c>
      <c r="L145" s="3">
        <v>28800</v>
      </c>
      <c r="M145" s="3">
        <v>12672</v>
      </c>
      <c r="N145" s="4">
        <v>0.30555555555555558</v>
      </c>
    </row>
    <row r="146" spans="1:14" x14ac:dyDescent="0.3">
      <c r="A146" s="6">
        <v>45668</v>
      </c>
      <c r="B146" s="1" t="s">
        <v>271</v>
      </c>
      <c r="C146" s="1" t="s">
        <v>28</v>
      </c>
      <c r="D146" t="s">
        <v>30</v>
      </c>
      <c r="E146" t="s">
        <v>108</v>
      </c>
      <c r="F146" t="s">
        <v>17</v>
      </c>
      <c r="G146" t="s">
        <v>18</v>
      </c>
      <c r="H146" s="3">
        <v>5</v>
      </c>
      <c r="I146" s="3">
        <v>12155</v>
      </c>
      <c r="J146" s="3">
        <v>60775</v>
      </c>
      <c r="K146" s="3">
        <v>8500</v>
      </c>
      <c r="L146" s="3">
        <v>42500</v>
      </c>
      <c r="M146" s="3">
        <v>18275</v>
      </c>
      <c r="N146" s="4">
        <v>0.30069930069930068</v>
      </c>
    </row>
    <row r="147" spans="1:14" x14ac:dyDescent="0.3">
      <c r="A147" s="6">
        <v>45668</v>
      </c>
      <c r="B147" s="1" t="s">
        <v>272</v>
      </c>
      <c r="C147" s="1" t="s">
        <v>27</v>
      </c>
      <c r="D147" t="s">
        <v>34</v>
      </c>
      <c r="E147" t="s">
        <v>255</v>
      </c>
      <c r="F147" t="s">
        <v>21</v>
      </c>
      <c r="G147" t="s">
        <v>20</v>
      </c>
      <c r="H147" s="3">
        <v>6</v>
      </c>
      <c r="I147" s="3">
        <v>738</v>
      </c>
      <c r="J147" s="3">
        <v>4428</v>
      </c>
      <c r="K147" s="3">
        <v>600</v>
      </c>
      <c r="L147" s="3">
        <v>3600</v>
      </c>
      <c r="M147" s="3">
        <v>828</v>
      </c>
      <c r="N147" s="4">
        <v>0.18699186991869918</v>
      </c>
    </row>
    <row r="148" spans="1:14" x14ac:dyDescent="0.3">
      <c r="A148" s="6">
        <v>45668</v>
      </c>
      <c r="B148" s="1" t="s">
        <v>274</v>
      </c>
      <c r="C148" s="1" t="s">
        <v>29</v>
      </c>
      <c r="D148" t="s">
        <v>30</v>
      </c>
      <c r="E148" t="s">
        <v>96</v>
      </c>
      <c r="F148" t="s">
        <v>24</v>
      </c>
      <c r="G148" t="s">
        <v>25</v>
      </c>
      <c r="H148" s="3">
        <v>1</v>
      </c>
      <c r="I148" s="3">
        <v>3225</v>
      </c>
      <c r="J148" s="3">
        <v>3225</v>
      </c>
      <c r="K148" s="3">
        <v>2500</v>
      </c>
      <c r="L148" s="3">
        <v>2500</v>
      </c>
      <c r="M148" s="3">
        <v>725</v>
      </c>
      <c r="N148" s="4">
        <v>0.22480620155038761</v>
      </c>
    </row>
    <row r="149" spans="1:14" x14ac:dyDescent="0.3">
      <c r="A149" s="6">
        <v>45668</v>
      </c>
      <c r="B149" s="1" t="s">
        <v>276</v>
      </c>
      <c r="C149" s="1" t="s">
        <v>28</v>
      </c>
      <c r="D149" t="s">
        <v>31</v>
      </c>
      <c r="E149" t="s">
        <v>239</v>
      </c>
      <c r="F149" t="s">
        <v>21</v>
      </c>
      <c r="G149" t="s">
        <v>20</v>
      </c>
      <c r="H149" s="3">
        <v>4</v>
      </c>
      <c r="I149" s="3">
        <v>798</v>
      </c>
      <c r="J149" s="3">
        <v>3192</v>
      </c>
      <c r="K149" s="3">
        <v>600</v>
      </c>
      <c r="L149" s="3">
        <v>2400</v>
      </c>
      <c r="M149" s="3">
        <v>792</v>
      </c>
      <c r="N149" s="4">
        <v>0.24812030075187969</v>
      </c>
    </row>
    <row r="150" spans="1:14" x14ac:dyDescent="0.3">
      <c r="A150" s="6">
        <v>45668</v>
      </c>
      <c r="B150" s="1" t="s">
        <v>277</v>
      </c>
      <c r="C150" s="1" t="s">
        <v>27</v>
      </c>
      <c r="D150" t="s">
        <v>35</v>
      </c>
      <c r="E150" t="s">
        <v>249</v>
      </c>
      <c r="F150" t="s">
        <v>23</v>
      </c>
      <c r="G150" t="s">
        <v>25</v>
      </c>
      <c r="H150" s="3">
        <v>9</v>
      </c>
      <c r="I150" s="3">
        <v>4256</v>
      </c>
      <c r="J150" s="3">
        <v>38304</v>
      </c>
      <c r="K150" s="3">
        <v>3200</v>
      </c>
      <c r="L150" s="3">
        <v>28800</v>
      </c>
      <c r="M150" s="3">
        <v>9504</v>
      </c>
      <c r="N150" s="4">
        <v>0.24812030075187969</v>
      </c>
    </row>
    <row r="151" spans="1:14" x14ac:dyDescent="0.3">
      <c r="A151" s="6">
        <v>45668</v>
      </c>
      <c r="B151" s="1" t="s">
        <v>278</v>
      </c>
      <c r="C151" s="1" t="s">
        <v>28</v>
      </c>
      <c r="D151" t="s">
        <v>30</v>
      </c>
      <c r="E151" t="s">
        <v>698</v>
      </c>
      <c r="F151" t="s">
        <v>16</v>
      </c>
      <c r="G151" t="s">
        <v>15</v>
      </c>
      <c r="H151" s="3">
        <v>2</v>
      </c>
      <c r="I151" s="3">
        <v>50160</v>
      </c>
      <c r="J151" s="3">
        <v>100320</v>
      </c>
      <c r="K151" s="3">
        <v>38000</v>
      </c>
      <c r="L151" s="3">
        <v>76000</v>
      </c>
      <c r="M151" s="3">
        <v>24320</v>
      </c>
      <c r="N151" s="4">
        <v>0.24242424242424243</v>
      </c>
    </row>
    <row r="152" spans="1:14" x14ac:dyDescent="0.3">
      <c r="A152" s="6">
        <v>45668</v>
      </c>
      <c r="B152" s="1" t="s">
        <v>279</v>
      </c>
      <c r="C152" s="1" t="s">
        <v>27</v>
      </c>
      <c r="D152" t="s">
        <v>30</v>
      </c>
      <c r="E152" t="s">
        <v>236</v>
      </c>
      <c r="F152" t="s">
        <v>17</v>
      </c>
      <c r="G152" t="s">
        <v>18</v>
      </c>
      <c r="H152" s="3">
        <v>10</v>
      </c>
      <c r="I152" s="3">
        <v>11390</v>
      </c>
      <c r="J152" s="3">
        <v>113900</v>
      </c>
      <c r="K152" s="3">
        <v>8500</v>
      </c>
      <c r="L152" s="3">
        <v>85000</v>
      </c>
      <c r="M152" s="3">
        <v>28900</v>
      </c>
      <c r="N152" s="4">
        <v>0.2537313432835821</v>
      </c>
    </row>
    <row r="153" spans="1:14" x14ac:dyDescent="0.3">
      <c r="A153" s="6">
        <v>45668</v>
      </c>
      <c r="B153" s="1" t="s">
        <v>281</v>
      </c>
      <c r="C153" s="1" t="s">
        <v>26</v>
      </c>
      <c r="D153" t="s">
        <v>32</v>
      </c>
      <c r="E153" t="s">
        <v>47</v>
      </c>
      <c r="F153" t="s">
        <v>22</v>
      </c>
      <c r="G153" t="s">
        <v>18</v>
      </c>
      <c r="H153" s="3">
        <v>7</v>
      </c>
      <c r="I153" s="3">
        <v>9240</v>
      </c>
      <c r="J153" s="3">
        <v>64680</v>
      </c>
      <c r="K153" s="3">
        <v>7000</v>
      </c>
      <c r="L153" s="3">
        <v>49000</v>
      </c>
      <c r="M153" s="3">
        <v>15680</v>
      </c>
      <c r="N153" s="4">
        <v>0.24242424242424243</v>
      </c>
    </row>
    <row r="154" spans="1:14" x14ac:dyDescent="0.3">
      <c r="A154" s="6">
        <v>45669</v>
      </c>
      <c r="B154" s="1" t="s">
        <v>282</v>
      </c>
      <c r="C154" s="1" t="s">
        <v>27</v>
      </c>
      <c r="D154" t="s">
        <v>33</v>
      </c>
      <c r="E154" t="s">
        <v>126</v>
      </c>
      <c r="F154" t="s">
        <v>22</v>
      </c>
      <c r="G154" t="s">
        <v>18</v>
      </c>
      <c r="H154" s="3">
        <v>2</v>
      </c>
      <c r="I154" s="3">
        <v>10150</v>
      </c>
      <c r="J154" s="3">
        <v>20300</v>
      </c>
      <c r="K154" s="3">
        <v>7000</v>
      </c>
      <c r="L154" s="3">
        <v>14000</v>
      </c>
      <c r="M154" s="3">
        <v>6300</v>
      </c>
      <c r="N154" s="4">
        <v>0.31034482758620691</v>
      </c>
    </row>
    <row r="155" spans="1:14" x14ac:dyDescent="0.3">
      <c r="A155" s="6">
        <v>45669</v>
      </c>
      <c r="B155" s="1" t="s">
        <v>284</v>
      </c>
      <c r="C155" s="1" t="s">
        <v>27</v>
      </c>
      <c r="D155" t="s">
        <v>35</v>
      </c>
      <c r="E155" t="s">
        <v>310</v>
      </c>
      <c r="F155" t="s">
        <v>21</v>
      </c>
      <c r="G155" t="s">
        <v>20</v>
      </c>
      <c r="H155" s="3">
        <v>1</v>
      </c>
      <c r="I155" s="3">
        <v>756</v>
      </c>
      <c r="J155" s="3">
        <v>756</v>
      </c>
      <c r="K155" s="3">
        <v>600</v>
      </c>
      <c r="L155" s="3">
        <v>600</v>
      </c>
      <c r="M155" s="3">
        <v>156</v>
      </c>
      <c r="N155" s="4">
        <v>0.20634920634920634</v>
      </c>
    </row>
    <row r="156" spans="1:14" x14ac:dyDescent="0.3">
      <c r="A156" s="6">
        <v>45669</v>
      </c>
      <c r="B156" s="1" t="s">
        <v>285</v>
      </c>
      <c r="C156" s="1" t="s">
        <v>28</v>
      </c>
      <c r="D156" t="s">
        <v>30</v>
      </c>
      <c r="E156" t="s">
        <v>336</v>
      </c>
      <c r="F156" t="s">
        <v>24</v>
      </c>
      <c r="G156" t="s">
        <v>25</v>
      </c>
      <c r="H156" s="3">
        <v>10</v>
      </c>
      <c r="I156" s="3">
        <v>3250</v>
      </c>
      <c r="J156" s="3">
        <v>32500</v>
      </c>
      <c r="K156" s="3">
        <v>2500</v>
      </c>
      <c r="L156" s="3">
        <v>25000</v>
      </c>
      <c r="M156" s="3">
        <v>7500</v>
      </c>
      <c r="N156" s="4">
        <v>0.23076923076923078</v>
      </c>
    </row>
    <row r="157" spans="1:14" x14ac:dyDescent="0.3">
      <c r="A157" s="6">
        <v>45669</v>
      </c>
      <c r="B157" s="1" t="s">
        <v>287</v>
      </c>
      <c r="C157" s="1" t="s">
        <v>27</v>
      </c>
      <c r="D157" t="s">
        <v>35</v>
      </c>
      <c r="E157" t="s">
        <v>302</v>
      </c>
      <c r="F157" t="s">
        <v>24</v>
      </c>
      <c r="G157" t="s">
        <v>25</v>
      </c>
      <c r="H157" s="3">
        <v>9</v>
      </c>
      <c r="I157" s="3">
        <v>3275</v>
      </c>
      <c r="J157" s="3">
        <v>29475</v>
      </c>
      <c r="K157" s="3">
        <v>2500</v>
      </c>
      <c r="L157" s="3">
        <v>22500</v>
      </c>
      <c r="M157" s="3">
        <v>6975</v>
      </c>
      <c r="N157" s="4">
        <v>0.23664122137404581</v>
      </c>
    </row>
    <row r="158" spans="1:14" x14ac:dyDescent="0.3">
      <c r="A158" s="6">
        <v>45669</v>
      </c>
      <c r="B158" s="1" t="s">
        <v>288</v>
      </c>
      <c r="C158" s="1" t="s">
        <v>27</v>
      </c>
      <c r="D158" t="s">
        <v>30</v>
      </c>
      <c r="E158" t="s">
        <v>83</v>
      </c>
      <c r="F158" t="s">
        <v>17</v>
      </c>
      <c r="G158" t="s">
        <v>18</v>
      </c>
      <c r="H158" s="3">
        <v>5</v>
      </c>
      <c r="I158" s="3">
        <v>11900</v>
      </c>
      <c r="J158" s="3">
        <v>59500</v>
      </c>
      <c r="K158" s="3">
        <v>8500</v>
      </c>
      <c r="L158" s="3">
        <v>42500</v>
      </c>
      <c r="M158" s="3">
        <v>17000</v>
      </c>
      <c r="N158" s="4">
        <v>0.2857142857142857</v>
      </c>
    </row>
    <row r="159" spans="1:14" x14ac:dyDescent="0.3">
      <c r="A159" s="6">
        <v>45669</v>
      </c>
      <c r="B159" s="1" t="s">
        <v>289</v>
      </c>
      <c r="C159" s="1" t="s">
        <v>29</v>
      </c>
      <c r="D159" t="s">
        <v>33</v>
      </c>
      <c r="E159" t="s">
        <v>120</v>
      </c>
      <c r="F159" t="s">
        <v>21</v>
      </c>
      <c r="G159" t="s">
        <v>20</v>
      </c>
      <c r="H159" s="3">
        <v>4</v>
      </c>
      <c r="I159" s="3">
        <v>768</v>
      </c>
      <c r="J159" s="3">
        <v>3072</v>
      </c>
      <c r="K159" s="3">
        <v>600</v>
      </c>
      <c r="L159" s="3">
        <v>2400</v>
      </c>
      <c r="M159" s="3">
        <v>672</v>
      </c>
      <c r="N159" s="4">
        <v>0.21875</v>
      </c>
    </row>
    <row r="160" spans="1:14" x14ac:dyDescent="0.3">
      <c r="A160" s="6">
        <v>45669</v>
      </c>
      <c r="B160" s="1" t="s">
        <v>290</v>
      </c>
      <c r="C160" s="1" t="s">
        <v>28</v>
      </c>
      <c r="D160" t="s">
        <v>31</v>
      </c>
      <c r="E160" t="s">
        <v>228</v>
      </c>
      <c r="F160" t="s">
        <v>16</v>
      </c>
      <c r="G160" t="s">
        <v>15</v>
      </c>
      <c r="H160" s="3">
        <v>10</v>
      </c>
      <c r="I160" s="3">
        <v>47880</v>
      </c>
      <c r="J160" s="3">
        <v>478800</v>
      </c>
      <c r="K160" s="3">
        <v>38000</v>
      </c>
      <c r="L160" s="3">
        <v>380000</v>
      </c>
      <c r="M160" s="3">
        <v>98800</v>
      </c>
      <c r="N160" s="4">
        <v>0.20634920634920634</v>
      </c>
    </row>
    <row r="161" spans="1:14" x14ac:dyDescent="0.3">
      <c r="A161" s="6">
        <v>45669</v>
      </c>
      <c r="B161" s="1" t="s">
        <v>291</v>
      </c>
      <c r="C161" s="1" t="s">
        <v>28</v>
      </c>
      <c r="D161" t="s">
        <v>34</v>
      </c>
      <c r="E161" t="s">
        <v>369</v>
      </c>
      <c r="F161" t="s">
        <v>16</v>
      </c>
      <c r="G161" t="s">
        <v>15</v>
      </c>
      <c r="H161" s="3">
        <v>10</v>
      </c>
      <c r="I161" s="3">
        <v>55100</v>
      </c>
      <c r="J161" s="3">
        <v>551000</v>
      </c>
      <c r="K161" s="3">
        <v>38000</v>
      </c>
      <c r="L161" s="3">
        <v>380000</v>
      </c>
      <c r="M161" s="3">
        <v>171000</v>
      </c>
      <c r="N161" s="4">
        <v>0.31034482758620691</v>
      </c>
    </row>
    <row r="162" spans="1:14" x14ac:dyDescent="0.3">
      <c r="A162" s="6">
        <v>45669</v>
      </c>
      <c r="B162" s="1" t="s">
        <v>293</v>
      </c>
      <c r="C162" s="1" t="s">
        <v>28</v>
      </c>
      <c r="D162" t="s">
        <v>32</v>
      </c>
      <c r="E162" t="s">
        <v>53</v>
      </c>
      <c r="F162" t="s">
        <v>23</v>
      </c>
      <c r="G162" t="s">
        <v>25</v>
      </c>
      <c r="H162" s="3">
        <v>8</v>
      </c>
      <c r="I162" s="3">
        <v>4640</v>
      </c>
      <c r="J162" s="3">
        <v>37120</v>
      </c>
      <c r="K162" s="3">
        <v>3200</v>
      </c>
      <c r="L162" s="3">
        <v>25600</v>
      </c>
      <c r="M162" s="3">
        <v>11520</v>
      </c>
      <c r="N162" s="4">
        <v>0.31034482758620691</v>
      </c>
    </row>
    <row r="163" spans="1:14" x14ac:dyDescent="0.3">
      <c r="A163" s="6">
        <v>45669</v>
      </c>
      <c r="B163" s="1" t="s">
        <v>294</v>
      </c>
      <c r="C163" s="1" t="s">
        <v>28</v>
      </c>
      <c r="D163" t="s">
        <v>32</v>
      </c>
      <c r="E163" t="s">
        <v>411</v>
      </c>
      <c r="F163" t="s">
        <v>21</v>
      </c>
      <c r="G163" t="s">
        <v>20</v>
      </c>
      <c r="H163" s="3">
        <v>3</v>
      </c>
      <c r="I163" s="3">
        <v>804</v>
      </c>
      <c r="J163" s="3">
        <v>2412</v>
      </c>
      <c r="K163" s="3">
        <v>600</v>
      </c>
      <c r="L163" s="3">
        <v>1800</v>
      </c>
      <c r="M163" s="3">
        <v>612</v>
      </c>
      <c r="N163" s="4">
        <v>0.2537313432835821</v>
      </c>
    </row>
    <row r="164" spans="1:14" x14ac:dyDescent="0.3">
      <c r="A164" s="6">
        <v>45669</v>
      </c>
      <c r="B164" s="1" t="s">
        <v>295</v>
      </c>
      <c r="C164" s="1" t="s">
        <v>27</v>
      </c>
      <c r="D164" t="s">
        <v>33</v>
      </c>
      <c r="E164" t="s">
        <v>74</v>
      </c>
      <c r="F164" t="s">
        <v>22</v>
      </c>
      <c r="G164" t="s">
        <v>18</v>
      </c>
      <c r="H164" s="3">
        <v>9</v>
      </c>
      <c r="I164" s="3">
        <v>9450</v>
      </c>
      <c r="J164" s="3">
        <v>85050</v>
      </c>
      <c r="K164" s="3">
        <v>7000</v>
      </c>
      <c r="L164" s="3">
        <v>63000</v>
      </c>
      <c r="M164" s="3">
        <v>22050</v>
      </c>
      <c r="N164" s="4">
        <v>0.25925925925925924</v>
      </c>
    </row>
    <row r="165" spans="1:14" x14ac:dyDescent="0.3">
      <c r="A165" s="6">
        <v>45669</v>
      </c>
      <c r="B165" s="1" t="s">
        <v>296</v>
      </c>
      <c r="C165" s="1" t="s">
        <v>26</v>
      </c>
      <c r="D165" t="s">
        <v>34</v>
      </c>
      <c r="E165" t="s">
        <v>78</v>
      </c>
      <c r="F165" t="s">
        <v>16</v>
      </c>
      <c r="G165" t="s">
        <v>15</v>
      </c>
      <c r="H165" s="3">
        <v>9</v>
      </c>
      <c r="I165" s="3">
        <v>53580</v>
      </c>
      <c r="J165" s="3">
        <v>482220</v>
      </c>
      <c r="K165" s="3">
        <v>38000</v>
      </c>
      <c r="L165" s="3">
        <v>342000</v>
      </c>
      <c r="M165" s="3">
        <v>140220</v>
      </c>
      <c r="N165" s="4">
        <v>0.29078014184397161</v>
      </c>
    </row>
    <row r="166" spans="1:14" x14ac:dyDescent="0.3">
      <c r="A166" s="6">
        <v>45669</v>
      </c>
      <c r="B166" s="1" t="s">
        <v>297</v>
      </c>
      <c r="C166" s="1" t="s">
        <v>26</v>
      </c>
      <c r="D166" t="s">
        <v>31</v>
      </c>
      <c r="E166" t="s">
        <v>67</v>
      </c>
      <c r="F166" t="s">
        <v>21</v>
      </c>
      <c r="G166" t="s">
        <v>20</v>
      </c>
      <c r="H166" s="3">
        <v>3</v>
      </c>
      <c r="I166" s="3">
        <v>732</v>
      </c>
      <c r="J166" s="3">
        <v>2196</v>
      </c>
      <c r="K166" s="3">
        <v>600</v>
      </c>
      <c r="L166" s="3">
        <v>1800</v>
      </c>
      <c r="M166" s="3">
        <v>396</v>
      </c>
      <c r="N166" s="4">
        <v>0.18032786885245902</v>
      </c>
    </row>
    <row r="167" spans="1:14" x14ac:dyDescent="0.3">
      <c r="A167" s="6">
        <v>45669</v>
      </c>
      <c r="B167" s="1" t="s">
        <v>298</v>
      </c>
      <c r="C167" s="1" t="s">
        <v>26</v>
      </c>
      <c r="D167" t="s">
        <v>30</v>
      </c>
      <c r="E167" t="s">
        <v>273</v>
      </c>
      <c r="F167" t="s">
        <v>22</v>
      </c>
      <c r="G167" t="s">
        <v>18</v>
      </c>
      <c r="H167" s="3">
        <v>6</v>
      </c>
      <c r="I167" s="3">
        <v>9380</v>
      </c>
      <c r="J167" s="3">
        <v>56280</v>
      </c>
      <c r="K167" s="3">
        <v>7000</v>
      </c>
      <c r="L167" s="3">
        <v>42000</v>
      </c>
      <c r="M167" s="3">
        <v>14280</v>
      </c>
      <c r="N167" s="4">
        <v>0.2537313432835821</v>
      </c>
    </row>
    <row r="168" spans="1:14" x14ac:dyDescent="0.3">
      <c r="A168" s="6">
        <v>45670</v>
      </c>
      <c r="B168" s="1" t="s">
        <v>299</v>
      </c>
      <c r="C168" s="1" t="s">
        <v>26</v>
      </c>
      <c r="D168" t="s">
        <v>31</v>
      </c>
      <c r="E168" t="s">
        <v>137</v>
      </c>
      <c r="F168" t="s">
        <v>19</v>
      </c>
      <c r="G168" t="s">
        <v>20</v>
      </c>
      <c r="H168" s="3">
        <v>5</v>
      </c>
      <c r="I168" s="3">
        <v>1143</v>
      </c>
      <c r="J168" s="3">
        <v>5715</v>
      </c>
      <c r="K168" s="3">
        <v>900</v>
      </c>
      <c r="L168" s="3">
        <v>4500</v>
      </c>
      <c r="M168" s="3">
        <v>1215</v>
      </c>
      <c r="N168" s="4">
        <v>0.2125984251968504</v>
      </c>
    </row>
    <row r="169" spans="1:14" x14ac:dyDescent="0.3">
      <c r="A169" s="6">
        <v>45670</v>
      </c>
      <c r="B169" s="1" t="s">
        <v>300</v>
      </c>
      <c r="C169" s="1" t="s">
        <v>29</v>
      </c>
      <c r="D169" t="s">
        <v>30</v>
      </c>
      <c r="E169" t="s">
        <v>698</v>
      </c>
      <c r="F169" t="s">
        <v>23</v>
      </c>
      <c r="G169" t="s">
        <v>25</v>
      </c>
      <c r="H169" s="3">
        <v>6</v>
      </c>
      <c r="I169" s="3">
        <v>3936</v>
      </c>
      <c r="J169" s="3">
        <v>23616</v>
      </c>
      <c r="K169" s="3">
        <v>3200</v>
      </c>
      <c r="L169" s="3">
        <v>19200</v>
      </c>
      <c r="M169" s="3">
        <v>4416</v>
      </c>
      <c r="N169" s="4">
        <v>0.18699186991869918</v>
      </c>
    </row>
    <row r="170" spans="1:14" x14ac:dyDescent="0.3">
      <c r="A170" s="6">
        <v>45670</v>
      </c>
      <c r="B170" s="1" t="s">
        <v>301</v>
      </c>
      <c r="C170" s="1" t="s">
        <v>26</v>
      </c>
      <c r="D170" t="s">
        <v>33</v>
      </c>
      <c r="E170" t="s">
        <v>204</v>
      </c>
      <c r="F170" t="s">
        <v>23</v>
      </c>
      <c r="G170" t="s">
        <v>25</v>
      </c>
      <c r="H170" s="3">
        <v>5</v>
      </c>
      <c r="I170" s="3">
        <v>4608</v>
      </c>
      <c r="J170" s="3">
        <v>23040</v>
      </c>
      <c r="K170" s="3">
        <v>3200</v>
      </c>
      <c r="L170" s="3">
        <v>16000</v>
      </c>
      <c r="M170" s="3">
        <v>7040</v>
      </c>
      <c r="N170" s="4">
        <v>0.30555555555555558</v>
      </c>
    </row>
    <row r="171" spans="1:14" x14ac:dyDescent="0.3">
      <c r="A171" s="6">
        <v>45670</v>
      </c>
      <c r="B171" s="1" t="s">
        <v>303</v>
      </c>
      <c r="C171" s="1" t="s">
        <v>28</v>
      </c>
      <c r="D171" t="s">
        <v>35</v>
      </c>
      <c r="E171" t="s">
        <v>548</v>
      </c>
      <c r="F171" t="s">
        <v>22</v>
      </c>
      <c r="G171" t="s">
        <v>18</v>
      </c>
      <c r="H171" s="3">
        <v>8</v>
      </c>
      <c r="I171" s="3">
        <v>9450</v>
      </c>
      <c r="J171" s="3">
        <v>75600</v>
      </c>
      <c r="K171" s="3">
        <v>7000</v>
      </c>
      <c r="L171" s="3">
        <v>56000</v>
      </c>
      <c r="M171" s="3">
        <v>19600</v>
      </c>
      <c r="N171" s="4">
        <v>0.25925925925925924</v>
      </c>
    </row>
    <row r="172" spans="1:14" x14ac:dyDescent="0.3">
      <c r="A172" s="6">
        <v>45670</v>
      </c>
      <c r="B172" s="1" t="s">
        <v>305</v>
      </c>
      <c r="C172" s="1" t="s">
        <v>29</v>
      </c>
      <c r="D172" t="s">
        <v>32</v>
      </c>
      <c r="E172" t="s">
        <v>108</v>
      </c>
      <c r="F172" t="s">
        <v>17</v>
      </c>
      <c r="G172" t="s">
        <v>18</v>
      </c>
      <c r="H172" s="3">
        <v>3</v>
      </c>
      <c r="I172" s="3">
        <v>11645</v>
      </c>
      <c r="J172" s="3">
        <v>34935</v>
      </c>
      <c r="K172" s="3">
        <v>8500</v>
      </c>
      <c r="L172" s="3">
        <v>25500</v>
      </c>
      <c r="M172" s="3">
        <v>9435</v>
      </c>
      <c r="N172" s="4">
        <v>0.27007299270072993</v>
      </c>
    </row>
    <row r="173" spans="1:14" x14ac:dyDescent="0.3">
      <c r="A173" s="6">
        <v>45670</v>
      </c>
      <c r="B173" s="1" t="s">
        <v>307</v>
      </c>
      <c r="C173" s="1" t="s">
        <v>28</v>
      </c>
      <c r="D173" t="s">
        <v>31</v>
      </c>
      <c r="E173" t="s">
        <v>327</v>
      </c>
      <c r="F173" t="s">
        <v>19</v>
      </c>
      <c r="G173" t="s">
        <v>20</v>
      </c>
      <c r="H173" s="3">
        <v>8</v>
      </c>
      <c r="I173" s="3">
        <v>1296</v>
      </c>
      <c r="J173" s="3">
        <v>10368</v>
      </c>
      <c r="K173" s="3">
        <v>900</v>
      </c>
      <c r="L173" s="3">
        <v>7200</v>
      </c>
      <c r="M173" s="3">
        <v>3168</v>
      </c>
      <c r="N173" s="4">
        <v>0.30555555555555558</v>
      </c>
    </row>
    <row r="174" spans="1:14" x14ac:dyDescent="0.3">
      <c r="A174" s="6">
        <v>45670</v>
      </c>
      <c r="B174" s="1" t="s">
        <v>309</v>
      </c>
      <c r="C174" s="1" t="s">
        <v>28</v>
      </c>
      <c r="D174" t="s">
        <v>33</v>
      </c>
      <c r="E174" t="s">
        <v>41</v>
      </c>
      <c r="F174" t="s">
        <v>24</v>
      </c>
      <c r="G174" t="s">
        <v>25</v>
      </c>
      <c r="H174" s="3">
        <v>2</v>
      </c>
      <c r="I174" s="3">
        <v>3325</v>
      </c>
      <c r="J174" s="3">
        <v>6650</v>
      </c>
      <c r="K174" s="3">
        <v>2500</v>
      </c>
      <c r="L174" s="3">
        <v>5000</v>
      </c>
      <c r="M174" s="3">
        <v>1650</v>
      </c>
      <c r="N174" s="4">
        <v>0.24812030075187969</v>
      </c>
    </row>
    <row r="175" spans="1:14" x14ac:dyDescent="0.3">
      <c r="A175" s="6">
        <v>45670</v>
      </c>
      <c r="B175" s="1" t="s">
        <v>311</v>
      </c>
      <c r="C175" s="1" t="s">
        <v>29</v>
      </c>
      <c r="D175" t="s">
        <v>32</v>
      </c>
      <c r="E175" t="s">
        <v>263</v>
      </c>
      <c r="F175" t="s">
        <v>24</v>
      </c>
      <c r="G175" t="s">
        <v>25</v>
      </c>
      <c r="H175" s="3">
        <v>8</v>
      </c>
      <c r="I175" s="3">
        <v>3100</v>
      </c>
      <c r="J175" s="3">
        <v>24800</v>
      </c>
      <c r="K175" s="3">
        <v>2500</v>
      </c>
      <c r="L175" s="3">
        <v>20000</v>
      </c>
      <c r="M175" s="3">
        <v>4800</v>
      </c>
      <c r="N175" s="4">
        <v>0.19354838709677419</v>
      </c>
    </row>
    <row r="176" spans="1:14" x14ac:dyDescent="0.3">
      <c r="A176" s="6">
        <v>45670</v>
      </c>
      <c r="B176" s="1" t="s">
        <v>312</v>
      </c>
      <c r="C176" s="1" t="s">
        <v>27</v>
      </c>
      <c r="D176" t="s">
        <v>32</v>
      </c>
      <c r="E176" t="s">
        <v>196</v>
      </c>
      <c r="F176" t="s">
        <v>21</v>
      </c>
      <c r="G176" t="s">
        <v>20</v>
      </c>
      <c r="H176" s="3">
        <v>2</v>
      </c>
      <c r="I176" s="3">
        <v>792</v>
      </c>
      <c r="J176" s="3">
        <v>1584</v>
      </c>
      <c r="K176" s="3">
        <v>600</v>
      </c>
      <c r="L176" s="3">
        <v>1200</v>
      </c>
      <c r="M176" s="3">
        <v>384</v>
      </c>
      <c r="N176" s="4">
        <v>0.24242424242424243</v>
      </c>
    </row>
    <row r="177" spans="1:14" x14ac:dyDescent="0.3">
      <c r="A177" s="6">
        <v>45670</v>
      </c>
      <c r="B177" s="1" t="s">
        <v>313</v>
      </c>
      <c r="C177" s="1" t="s">
        <v>26</v>
      </c>
      <c r="D177" t="s">
        <v>34</v>
      </c>
      <c r="E177" t="s">
        <v>424</v>
      </c>
      <c r="F177" t="s">
        <v>19</v>
      </c>
      <c r="G177" t="s">
        <v>20</v>
      </c>
      <c r="H177" s="3">
        <v>5</v>
      </c>
      <c r="I177" s="3">
        <v>1134</v>
      </c>
      <c r="J177" s="3">
        <v>5670</v>
      </c>
      <c r="K177" s="3">
        <v>900</v>
      </c>
      <c r="L177" s="3">
        <v>4500</v>
      </c>
      <c r="M177" s="3">
        <v>1170</v>
      </c>
      <c r="N177" s="4">
        <v>0.20634920634920634</v>
      </c>
    </row>
    <row r="178" spans="1:14" x14ac:dyDescent="0.3">
      <c r="A178" s="6">
        <v>45670</v>
      </c>
      <c r="B178" s="1" t="s">
        <v>314</v>
      </c>
      <c r="C178" s="1" t="s">
        <v>28</v>
      </c>
      <c r="D178" t="s">
        <v>34</v>
      </c>
      <c r="E178" t="s">
        <v>145</v>
      </c>
      <c r="F178" t="s">
        <v>19</v>
      </c>
      <c r="G178" t="s">
        <v>20</v>
      </c>
      <c r="H178" s="3">
        <v>2</v>
      </c>
      <c r="I178" s="3">
        <v>1305</v>
      </c>
      <c r="J178" s="3">
        <v>2610</v>
      </c>
      <c r="K178" s="3">
        <v>900</v>
      </c>
      <c r="L178" s="3">
        <v>1800</v>
      </c>
      <c r="M178" s="3">
        <v>810</v>
      </c>
      <c r="N178" s="4">
        <v>0.31034482758620691</v>
      </c>
    </row>
    <row r="179" spans="1:14" x14ac:dyDescent="0.3">
      <c r="A179" s="6">
        <v>45670</v>
      </c>
      <c r="B179" s="1" t="s">
        <v>315</v>
      </c>
      <c r="C179" s="1" t="s">
        <v>28</v>
      </c>
      <c r="D179" t="s">
        <v>30</v>
      </c>
      <c r="E179" t="s">
        <v>524</v>
      </c>
      <c r="F179" t="s">
        <v>19</v>
      </c>
      <c r="G179" t="s">
        <v>20</v>
      </c>
      <c r="H179" s="3">
        <v>10</v>
      </c>
      <c r="I179" s="3">
        <v>1287</v>
      </c>
      <c r="J179" s="3">
        <v>12870</v>
      </c>
      <c r="K179" s="3">
        <v>900</v>
      </c>
      <c r="L179" s="3">
        <v>9000</v>
      </c>
      <c r="M179" s="3">
        <v>3870</v>
      </c>
      <c r="N179" s="4">
        <v>0.30069930069930068</v>
      </c>
    </row>
    <row r="180" spans="1:14" x14ac:dyDescent="0.3">
      <c r="A180" s="6">
        <v>45670</v>
      </c>
      <c r="B180" s="1" t="s">
        <v>316</v>
      </c>
      <c r="C180" s="1" t="s">
        <v>26</v>
      </c>
      <c r="D180" t="s">
        <v>34</v>
      </c>
      <c r="E180" t="s">
        <v>390</v>
      </c>
      <c r="F180" t="s">
        <v>14</v>
      </c>
      <c r="G180" t="s">
        <v>15</v>
      </c>
      <c r="H180" s="3">
        <v>7</v>
      </c>
      <c r="I180" s="3">
        <v>60300</v>
      </c>
      <c r="J180" s="3">
        <v>422100</v>
      </c>
      <c r="K180" s="3">
        <v>45000</v>
      </c>
      <c r="L180" s="3">
        <v>315000</v>
      </c>
      <c r="M180" s="3">
        <v>107100</v>
      </c>
      <c r="N180" s="4">
        <v>0.2537313432835821</v>
      </c>
    </row>
    <row r="181" spans="1:14" x14ac:dyDescent="0.3">
      <c r="A181" s="6">
        <v>45670</v>
      </c>
      <c r="B181" s="1" t="s">
        <v>318</v>
      </c>
      <c r="C181" s="1" t="s">
        <v>29</v>
      </c>
      <c r="D181" t="s">
        <v>35</v>
      </c>
      <c r="E181" t="s">
        <v>112</v>
      </c>
      <c r="F181" t="s">
        <v>17</v>
      </c>
      <c r="G181" t="s">
        <v>18</v>
      </c>
      <c r="H181" s="3">
        <v>6</v>
      </c>
      <c r="I181" s="3">
        <v>11050</v>
      </c>
      <c r="J181" s="3">
        <v>66300</v>
      </c>
      <c r="K181" s="3">
        <v>8500</v>
      </c>
      <c r="L181" s="3">
        <v>51000</v>
      </c>
      <c r="M181" s="3">
        <v>15300</v>
      </c>
      <c r="N181" s="4">
        <v>0.23076923076923078</v>
      </c>
    </row>
    <row r="182" spans="1:14" x14ac:dyDescent="0.3">
      <c r="A182" s="6">
        <v>45671</v>
      </c>
      <c r="B182" s="1" t="s">
        <v>320</v>
      </c>
      <c r="C182" s="1" t="s">
        <v>26</v>
      </c>
      <c r="D182" t="s">
        <v>33</v>
      </c>
      <c r="E182" t="s">
        <v>92</v>
      </c>
      <c r="F182" t="s">
        <v>16</v>
      </c>
      <c r="G182" t="s">
        <v>15</v>
      </c>
      <c r="H182" s="3">
        <v>10</v>
      </c>
      <c r="I182" s="3">
        <v>54340</v>
      </c>
      <c r="J182" s="3">
        <v>543400</v>
      </c>
      <c r="K182" s="3">
        <v>38000</v>
      </c>
      <c r="L182" s="3">
        <v>380000</v>
      </c>
      <c r="M182" s="3">
        <v>163400</v>
      </c>
      <c r="N182" s="4">
        <v>0.30069930069930068</v>
      </c>
    </row>
    <row r="183" spans="1:14" x14ac:dyDescent="0.3">
      <c r="A183" s="6">
        <v>45671</v>
      </c>
      <c r="B183" s="1" t="s">
        <v>322</v>
      </c>
      <c r="C183" s="1" t="s">
        <v>28</v>
      </c>
      <c r="D183" t="s">
        <v>33</v>
      </c>
      <c r="E183" t="s">
        <v>233</v>
      </c>
      <c r="F183" t="s">
        <v>21</v>
      </c>
      <c r="G183" t="s">
        <v>20</v>
      </c>
      <c r="H183" s="3">
        <v>10</v>
      </c>
      <c r="I183" s="3">
        <v>726</v>
      </c>
      <c r="J183" s="3">
        <v>7260</v>
      </c>
      <c r="K183" s="3">
        <v>600</v>
      </c>
      <c r="L183" s="3">
        <v>6000</v>
      </c>
      <c r="M183" s="3">
        <v>1260</v>
      </c>
      <c r="N183" s="4">
        <v>0.17355371900826447</v>
      </c>
    </row>
    <row r="184" spans="1:14" x14ac:dyDescent="0.3">
      <c r="A184" s="6">
        <v>45671</v>
      </c>
      <c r="B184" s="1" t="s">
        <v>323</v>
      </c>
      <c r="C184" s="1" t="s">
        <v>28</v>
      </c>
      <c r="D184" t="s">
        <v>33</v>
      </c>
      <c r="E184" t="s">
        <v>342</v>
      </c>
      <c r="F184" t="s">
        <v>24</v>
      </c>
      <c r="G184" t="s">
        <v>25</v>
      </c>
      <c r="H184" s="3">
        <v>2</v>
      </c>
      <c r="I184" s="3">
        <v>3475.0000000000005</v>
      </c>
      <c r="J184" s="3">
        <v>6950.0000000000009</v>
      </c>
      <c r="K184" s="3">
        <v>2500</v>
      </c>
      <c r="L184" s="3">
        <v>5000</v>
      </c>
      <c r="M184" s="3">
        <v>1950.0000000000009</v>
      </c>
      <c r="N184" s="4">
        <v>0.28057553956834541</v>
      </c>
    </row>
    <row r="185" spans="1:14" x14ac:dyDescent="0.3">
      <c r="A185" s="6">
        <v>45671</v>
      </c>
      <c r="B185" s="1" t="s">
        <v>324</v>
      </c>
      <c r="C185" s="1" t="s">
        <v>27</v>
      </c>
      <c r="D185" t="s">
        <v>35</v>
      </c>
      <c r="E185" t="s">
        <v>222</v>
      </c>
      <c r="F185" t="s">
        <v>22</v>
      </c>
      <c r="G185" t="s">
        <v>18</v>
      </c>
      <c r="H185" s="3">
        <v>7</v>
      </c>
      <c r="I185" s="3">
        <v>8750</v>
      </c>
      <c r="J185" s="3">
        <v>61250</v>
      </c>
      <c r="K185" s="3">
        <v>7000</v>
      </c>
      <c r="L185" s="3">
        <v>49000</v>
      </c>
      <c r="M185" s="3">
        <v>12250</v>
      </c>
      <c r="N185" s="4">
        <v>0.2</v>
      </c>
    </row>
    <row r="186" spans="1:14" x14ac:dyDescent="0.3">
      <c r="A186" s="6">
        <v>45671</v>
      </c>
      <c r="B186" s="1" t="s">
        <v>325</v>
      </c>
      <c r="C186" s="1" t="s">
        <v>28</v>
      </c>
      <c r="D186" t="s">
        <v>35</v>
      </c>
      <c r="E186" t="s">
        <v>83</v>
      </c>
      <c r="F186" t="s">
        <v>19</v>
      </c>
      <c r="G186" t="s">
        <v>20</v>
      </c>
      <c r="H186" s="3">
        <v>5</v>
      </c>
      <c r="I186" s="3">
        <v>1260</v>
      </c>
      <c r="J186" s="3">
        <v>6300</v>
      </c>
      <c r="K186" s="3">
        <v>900</v>
      </c>
      <c r="L186" s="3">
        <v>4500</v>
      </c>
      <c r="M186" s="3">
        <v>1800</v>
      </c>
      <c r="N186" s="4">
        <v>0.2857142857142857</v>
      </c>
    </row>
    <row r="187" spans="1:14" x14ac:dyDescent="0.3">
      <c r="A187" s="6">
        <v>45671</v>
      </c>
      <c r="B187" s="1" t="s">
        <v>326</v>
      </c>
      <c r="C187" s="1" t="s">
        <v>26</v>
      </c>
      <c r="D187" t="s">
        <v>33</v>
      </c>
      <c r="E187" t="s">
        <v>292</v>
      </c>
      <c r="F187" t="s">
        <v>16</v>
      </c>
      <c r="G187" t="s">
        <v>15</v>
      </c>
      <c r="H187" s="3">
        <v>8</v>
      </c>
      <c r="I187" s="3">
        <v>54340</v>
      </c>
      <c r="J187" s="3">
        <v>434720</v>
      </c>
      <c r="K187" s="3">
        <v>38000</v>
      </c>
      <c r="L187" s="3">
        <v>304000</v>
      </c>
      <c r="M187" s="3">
        <v>130720</v>
      </c>
      <c r="N187" s="4">
        <v>0.30069930069930068</v>
      </c>
    </row>
    <row r="188" spans="1:14" x14ac:dyDescent="0.3">
      <c r="A188" s="6">
        <v>45671</v>
      </c>
      <c r="B188" s="1" t="s">
        <v>328</v>
      </c>
      <c r="C188" s="1" t="s">
        <v>26</v>
      </c>
      <c r="D188" t="s">
        <v>32</v>
      </c>
      <c r="E188" t="s">
        <v>214</v>
      </c>
      <c r="F188" t="s">
        <v>19</v>
      </c>
      <c r="G188" t="s">
        <v>20</v>
      </c>
      <c r="H188" s="3">
        <v>10</v>
      </c>
      <c r="I188" s="3">
        <v>1296</v>
      </c>
      <c r="J188" s="3">
        <v>12960</v>
      </c>
      <c r="K188" s="3">
        <v>900</v>
      </c>
      <c r="L188" s="3">
        <v>9000</v>
      </c>
      <c r="M188" s="3">
        <v>3960</v>
      </c>
      <c r="N188" s="4">
        <v>0.30555555555555558</v>
      </c>
    </row>
    <row r="189" spans="1:14" x14ac:dyDescent="0.3">
      <c r="A189" s="6">
        <v>45671</v>
      </c>
      <c r="B189" s="1" t="s">
        <v>330</v>
      </c>
      <c r="C189" s="1" t="s">
        <v>27</v>
      </c>
      <c r="D189" t="s">
        <v>32</v>
      </c>
      <c r="E189" t="s">
        <v>409</v>
      </c>
      <c r="F189" t="s">
        <v>16</v>
      </c>
      <c r="G189" t="s">
        <v>15</v>
      </c>
      <c r="H189" s="3">
        <v>3</v>
      </c>
      <c r="I189" s="3">
        <v>53960</v>
      </c>
      <c r="J189" s="3">
        <v>161880</v>
      </c>
      <c r="K189" s="3">
        <v>38000</v>
      </c>
      <c r="L189" s="3">
        <v>114000</v>
      </c>
      <c r="M189" s="3">
        <v>47880</v>
      </c>
      <c r="N189" s="4">
        <v>0.29577464788732394</v>
      </c>
    </row>
    <row r="190" spans="1:14" x14ac:dyDescent="0.3">
      <c r="A190" s="6">
        <v>45671</v>
      </c>
      <c r="B190" s="1" t="s">
        <v>332</v>
      </c>
      <c r="C190" s="1" t="s">
        <v>26</v>
      </c>
      <c r="D190" t="s">
        <v>34</v>
      </c>
      <c r="E190" t="s">
        <v>698</v>
      </c>
      <c r="F190" t="s">
        <v>14</v>
      </c>
      <c r="G190" t="s">
        <v>15</v>
      </c>
      <c r="H190" s="3">
        <v>1</v>
      </c>
      <c r="I190" s="3">
        <v>55800</v>
      </c>
      <c r="J190" s="3">
        <v>55800</v>
      </c>
      <c r="K190" s="3">
        <v>45000</v>
      </c>
      <c r="L190" s="3">
        <v>45000</v>
      </c>
      <c r="M190" s="3">
        <v>10800</v>
      </c>
      <c r="N190" s="4">
        <v>0.19354838709677419</v>
      </c>
    </row>
    <row r="191" spans="1:14" x14ac:dyDescent="0.3">
      <c r="A191" s="6">
        <v>45671</v>
      </c>
      <c r="B191" s="1" t="s">
        <v>333</v>
      </c>
      <c r="C191" s="1" t="s">
        <v>28</v>
      </c>
      <c r="D191" t="s">
        <v>33</v>
      </c>
      <c r="E191" t="s">
        <v>118</v>
      </c>
      <c r="F191" t="s">
        <v>19</v>
      </c>
      <c r="G191" t="s">
        <v>20</v>
      </c>
      <c r="H191" s="3">
        <v>6</v>
      </c>
      <c r="I191" s="3">
        <v>1269</v>
      </c>
      <c r="J191" s="3">
        <v>7614</v>
      </c>
      <c r="K191" s="3">
        <v>900</v>
      </c>
      <c r="L191" s="3">
        <v>5400</v>
      </c>
      <c r="M191" s="3">
        <v>2214</v>
      </c>
      <c r="N191" s="4">
        <v>0.29078014184397161</v>
      </c>
    </row>
    <row r="192" spans="1:14" x14ac:dyDescent="0.3">
      <c r="A192" s="6">
        <v>45671</v>
      </c>
      <c r="B192" s="1" t="s">
        <v>334</v>
      </c>
      <c r="C192" s="1" t="s">
        <v>27</v>
      </c>
      <c r="D192" t="s">
        <v>33</v>
      </c>
      <c r="E192" t="s">
        <v>88</v>
      </c>
      <c r="F192" t="s">
        <v>24</v>
      </c>
      <c r="G192" t="s">
        <v>25</v>
      </c>
      <c r="H192" s="3">
        <v>6</v>
      </c>
      <c r="I192" s="3">
        <v>3325</v>
      </c>
      <c r="J192" s="3">
        <v>19950</v>
      </c>
      <c r="K192" s="3">
        <v>2500</v>
      </c>
      <c r="L192" s="3">
        <v>15000</v>
      </c>
      <c r="M192" s="3">
        <v>4950</v>
      </c>
      <c r="N192" s="4">
        <v>0.24812030075187969</v>
      </c>
    </row>
    <row r="193" spans="1:14" x14ac:dyDescent="0.3">
      <c r="A193" s="6">
        <v>45671</v>
      </c>
      <c r="B193" s="1" t="s">
        <v>335</v>
      </c>
      <c r="C193" s="1" t="s">
        <v>28</v>
      </c>
      <c r="D193" t="s">
        <v>35</v>
      </c>
      <c r="E193" t="s">
        <v>329</v>
      </c>
      <c r="F193" t="s">
        <v>14</v>
      </c>
      <c r="G193" t="s">
        <v>15</v>
      </c>
      <c r="H193" s="3">
        <v>7</v>
      </c>
      <c r="I193" s="3">
        <v>59850</v>
      </c>
      <c r="J193" s="3">
        <v>418950</v>
      </c>
      <c r="K193" s="3">
        <v>45000</v>
      </c>
      <c r="L193" s="3">
        <v>315000</v>
      </c>
      <c r="M193" s="3">
        <v>103950</v>
      </c>
      <c r="N193" s="4">
        <v>0.24812030075187969</v>
      </c>
    </row>
    <row r="194" spans="1:14" x14ac:dyDescent="0.3">
      <c r="A194" s="6">
        <v>45671</v>
      </c>
      <c r="B194" s="1" t="s">
        <v>337</v>
      </c>
      <c r="C194" s="1" t="s">
        <v>28</v>
      </c>
      <c r="D194" t="s">
        <v>32</v>
      </c>
      <c r="E194" t="s">
        <v>216</v>
      </c>
      <c r="F194" t="s">
        <v>14</v>
      </c>
      <c r="G194" t="s">
        <v>15</v>
      </c>
      <c r="H194" s="3">
        <v>4</v>
      </c>
      <c r="I194" s="3">
        <v>58950</v>
      </c>
      <c r="J194" s="3">
        <v>235800</v>
      </c>
      <c r="K194" s="3">
        <v>45000</v>
      </c>
      <c r="L194" s="3">
        <v>180000</v>
      </c>
      <c r="M194" s="3">
        <v>55800</v>
      </c>
      <c r="N194" s="4">
        <v>0.23664122137404581</v>
      </c>
    </row>
    <row r="195" spans="1:14" x14ac:dyDescent="0.3">
      <c r="A195" s="6">
        <v>45671</v>
      </c>
      <c r="B195" s="1" t="s">
        <v>338</v>
      </c>
      <c r="C195" s="1" t="s">
        <v>26</v>
      </c>
      <c r="D195" t="s">
        <v>30</v>
      </c>
      <c r="E195" t="s">
        <v>142</v>
      </c>
      <c r="F195" t="s">
        <v>19</v>
      </c>
      <c r="G195" t="s">
        <v>20</v>
      </c>
      <c r="H195" s="3">
        <v>6</v>
      </c>
      <c r="I195" s="3">
        <v>1251</v>
      </c>
      <c r="J195" s="3">
        <v>7506</v>
      </c>
      <c r="K195" s="3">
        <v>900</v>
      </c>
      <c r="L195" s="3">
        <v>5400</v>
      </c>
      <c r="M195" s="3">
        <v>2106</v>
      </c>
      <c r="N195" s="4">
        <v>0.2805755395683453</v>
      </c>
    </row>
    <row r="196" spans="1:14" x14ac:dyDescent="0.3">
      <c r="A196" s="6">
        <v>45672</v>
      </c>
      <c r="B196" s="1" t="s">
        <v>339</v>
      </c>
      <c r="C196" s="1" t="s">
        <v>29</v>
      </c>
      <c r="D196" t="s">
        <v>33</v>
      </c>
      <c r="E196" t="s">
        <v>304</v>
      </c>
      <c r="F196" t="s">
        <v>21</v>
      </c>
      <c r="G196" t="s">
        <v>20</v>
      </c>
      <c r="H196" s="3">
        <v>8</v>
      </c>
      <c r="I196" s="3">
        <v>834.00000000000011</v>
      </c>
      <c r="J196" s="3">
        <v>6672.0000000000009</v>
      </c>
      <c r="K196" s="3">
        <v>600</v>
      </c>
      <c r="L196" s="3">
        <v>4800</v>
      </c>
      <c r="M196" s="3">
        <v>1872.0000000000009</v>
      </c>
      <c r="N196" s="4">
        <v>0.28057553956834541</v>
      </c>
    </row>
    <row r="197" spans="1:14" x14ac:dyDescent="0.3">
      <c r="A197" s="6">
        <v>45672</v>
      </c>
      <c r="B197" s="1" t="s">
        <v>340</v>
      </c>
      <c r="C197" s="1" t="s">
        <v>27</v>
      </c>
      <c r="D197" t="s">
        <v>34</v>
      </c>
      <c r="E197" t="s">
        <v>189</v>
      </c>
      <c r="F197" t="s">
        <v>16</v>
      </c>
      <c r="G197" t="s">
        <v>15</v>
      </c>
      <c r="H197" s="3">
        <v>9</v>
      </c>
      <c r="I197" s="3">
        <v>47500</v>
      </c>
      <c r="J197" s="3">
        <v>427500</v>
      </c>
      <c r="K197" s="3">
        <v>38000</v>
      </c>
      <c r="L197" s="3">
        <v>342000</v>
      </c>
      <c r="M197" s="3">
        <v>85500</v>
      </c>
      <c r="N197" s="4">
        <v>0.2</v>
      </c>
    </row>
    <row r="198" spans="1:14" x14ac:dyDescent="0.3">
      <c r="A198" s="6">
        <v>45672</v>
      </c>
      <c r="B198" s="1" t="s">
        <v>341</v>
      </c>
      <c r="C198" s="1" t="s">
        <v>26</v>
      </c>
      <c r="D198" t="s">
        <v>32</v>
      </c>
      <c r="E198" t="s">
        <v>193</v>
      </c>
      <c r="F198" t="s">
        <v>21</v>
      </c>
      <c r="G198" t="s">
        <v>20</v>
      </c>
      <c r="H198" s="3">
        <v>4</v>
      </c>
      <c r="I198" s="3">
        <v>804</v>
      </c>
      <c r="J198" s="3">
        <v>3216</v>
      </c>
      <c r="K198" s="3">
        <v>600</v>
      </c>
      <c r="L198" s="3">
        <v>2400</v>
      </c>
      <c r="M198" s="3">
        <v>816</v>
      </c>
      <c r="N198" s="4">
        <v>0.2537313432835821</v>
      </c>
    </row>
    <row r="199" spans="1:14" x14ac:dyDescent="0.3">
      <c r="A199" s="6">
        <v>45672</v>
      </c>
      <c r="B199" s="1" t="s">
        <v>343</v>
      </c>
      <c r="C199" s="1" t="s">
        <v>26</v>
      </c>
      <c r="D199" t="s">
        <v>35</v>
      </c>
      <c r="E199" t="s">
        <v>506</v>
      </c>
      <c r="F199" t="s">
        <v>14</v>
      </c>
      <c r="G199" t="s">
        <v>15</v>
      </c>
      <c r="H199" s="3">
        <v>1</v>
      </c>
      <c r="I199" s="3">
        <v>64350</v>
      </c>
      <c r="J199" s="3">
        <v>64350</v>
      </c>
      <c r="K199" s="3">
        <v>45000</v>
      </c>
      <c r="L199" s="3">
        <v>45000</v>
      </c>
      <c r="M199" s="3">
        <v>19350</v>
      </c>
      <c r="N199" s="4">
        <v>0.30069930069930068</v>
      </c>
    </row>
    <row r="200" spans="1:14" x14ac:dyDescent="0.3">
      <c r="A200" s="6">
        <v>45672</v>
      </c>
      <c r="B200" s="1" t="s">
        <v>344</v>
      </c>
      <c r="C200" s="1" t="s">
        <v>29</v>
      </c>
      <c r="D200" t="s">
        <v>32</v>
      </c>
      <c r="E200" t="s">
        <v>342</v>
      </c>
      <c r="F200" t="s">
        <v>22</v>
      </c>
      <c r="G200" t="s">
        <v>18</v>
      </c>
      <c r="H200" s="3">
        <v>9</v>
      </c>
      <c r="I200" s="3">
        <v>9940</v>
      </c>
      <c r="J200" s="3">
        <v>89460</v>
      </c>
      <c r="K200" s="3">
        <v>7000</v>
      </c>
      <c r="L200" s="3">
        <v>63000</v>
      </c>
      <c r="M200" s="3">
        <v>26460</v>
      </c>
      <c r="N200" s="4">
        <v>0.29577464788732394</v>
      </c>
    </row>
    <row r="201" spans="1:14" x14ac:dyDescent="0.3">
      <c r="A201" s="6">
        <v>45672</v>
      </c>
      <c r="B201" s="1" t="s">
        <v>345</v>
      </c>
      <c r="C201" s="1" t="s">
        <v>28</v>
      </c>
      <c r="D201" t="s">
        <v>34</v>
      </c>
      <c r="E201" t="s">
        <v>53</v>
      </c>
      <c r="F201" t="s">
        <v>23</v>
      </c>
      <c r="G201" t="s">
        <v>25</v>
      </c>
      <c r="H201" s="3">
        <v>2</v>
      </c>
      <c r="I201" s="3">
        <v>3840</v>
      </c>
      <c r="J201" s="3">
        <v>7680</v>
      </c>
      <c r="K201" s="3">
        <v>3200</v>
      </c>
      <c r="L201" s="3">
        <v>6400</v>
      </c>
      <c r="M201" s="3">
        <v>1280</v>
      </c>
      <c r="N201" s="4">
        <v>0.16666666666666666</v>
      </c>
    </row>
    <row r="202" spans="1:14" x14ac:dyDescent="0.3">
      <c r="A202" s="6">
        <v>45672</v>
      </c>
      <c r="B202" s="1" t="s">
        <v>346</v>
      </c>
      <c r="C202" s="1" t="s">
        <v>28</v>
      </c>
      <c r="D202" t="s">
        <v>30</v>
      </c>
      <c r="E202" t="s">
        <v>166</v>
      </c>
      <c r="F202" t="s">
        <v>14</v>
      </c>
      <c r="G202" t="s">
        <v>15</v>
      </c>
      <c r="H202" s="3">
        <v>4</v>
      </c>
      <c r="I202" s="3">
        <v>58500</v>
      </c>
      <c r="J202" s="3">
        <v>234000</v>
      </c>
      <c r="K202" s="3">
        <v>45000</v>
      </c>
      <c r="L202" s="3">
        <v>180000</v>
      </c>
      <c r="M202" s="3">
        <v>54000</v>
      </c>
      <c r="N202" s="4">
        <v>0.23076923076923078</v>
      </c>
    </row>
    <row r="203" spans="1:14" x14ac:dyDescent="0.3">
      <c r="A203" s="6">
        <v>45672</v>
      </c>
      <c r="B203" s="1" t="s">
        <v>347</v>
      </c>
      <c r="C203" s="1" t="s">
        <v>27</v>
      </c>
      <c r="D203" t="s">
        <v>33</v>
      </c>
      <c r="E203" t="s">
        <v>273</v>
      </c>
      <c r="F203" t="s">
        <v>14</v>
      </c>
      <c r="G203" t="s">
        <v>15</v>
      </c>
      <c r="H203" s="3">
        <v>9</v>
      </c>
      <c r="I203" s="3">
        <v>56250</v>
      </c>
      <c r="J203" s="3">
        <v>506250</v>
      </c>
      <c r="K203" s="3">
        <v>45000</v>
      </c>
      <c r="L203" s="3">
        <v>405000</v>
      </c>
      <c r="M203" s="3">
        <v>101250</v>
      </c>
      <c r="N203" s="4">
        <v>0.2</v>
      </c>
    </row>
    <row r="204" spans="1:14" x14ac:dyDescent="0.3">
      <c r="A204" s="6">
        <v>45672</v>
      </c>
      <c r="B204" s="1" t="s">
        <v>348</v>
      </c>
      <c r="C204" s="1" t="s">
        <v>28</v>
      </c>
      <c r="D204" t="s">
        <v>33</v>
      </c>
      <c r="E204" t="s">
        <v>351</v>
      </c>
      <c r="F204" t="s">
        <v>24</v>
      </c>
      <c r="G204" t="s">
        <v>25</v>
      </c>
      <c r="H204" s="3">
        <v>3</v>
      </c>
      <c r="I204" s="3">
        <v>3125</v>
      </c>
      <c r="J204" s="3">
        <v>9375</v>
      </c>
      <c r="K204" s="3">
        <v>2500</v>
      </c>
      <c r="L204" s="3">
        <v>7500</v>
      </c>
      <c r="M204" s="3">
        <v>1875</v>
      </c>
      <c r="N204" s="4">
        <v>0.2</v>
      </c>
    </row>
    <row r="205" spans="1:14" x14ac:dyDescent="0.3">
      <c r="A205" s="6">
        <v>45672</v>
      </c>
      <c r="B205" s="1" t="s">
        <v>350</v>
      </c>
      <c r="C205" s="1" t="s">
        <v>29</v>
      </c>
      <c r="D205" t="s">
        <v>35</v>
      </c>
      <c r="E205" t="s">
        <v>236</v>
      </c>
      <c r="F205" t="s">
        <v>14</v>
      </c>
      <c r="G205" t="s">
        <v>15</v>
      </c>
      <c r="H205" s="3">
        <v>3</v>
      </c>
      <c r="I205" s="3">
        <v>63450</v>
      </c>
      <c r="J205" s="3">
        <v>190350</v>
      </c>
      <c r="K205" s="3">
        <v>45000</v>
      </c>
      <c r="L205" s="3">
        <v>135000</v>
      </c>
      <c r="M205" s="3">
        <v>55350</v>
      </c>
      <c r="N205" s="4">
        <v>0.29078014184397161</v>
      </c>
    </row>
    <row r="206" spans="1:14" x14ac:dyDescent="0.3">
      <c r="A206" s="6">
        <v>45672</v>
      </c>
      <c r="B206" s="1" t="s">
        <v>352</v>
      </c>
      <c r="C206" s="1" t="s">
        <v>29</v>
      </c>
      <c r="D206" t="s">
        <v>33</v>
      </c>
      <c r="E206" t="s">
        <v>442</v>
      </c>
      <c r="F206" t="s">
        <v>21</v>
      </c>
      <c r="G206" t="s">
        <v>20</v>
      </c>
      <c r="H206" s="3">
        <v>3</v>
      </c>
      <c r="I206" s="3">
        <v>768</v>
      </c>
      <c r="J206" s="3">
        <v>2304</v>
      </c>
      <c r="K206" s="3">
        <v>600</v>
      </c>
      <c r="L206" s="3">
        <v>1800</v>
      </c>
      <c r="M206" s="3">
        <v>504</v>
      </c>
      <c r="N206" s="4">
        <v>0.21875</v>
      </c>
    </row>
    <row r="207" spans="1:14" x14ac:dyDescent="0.3">
      <c r="A207" s="6">
        <v>45672</v>
      </c>
      <c r="B207" s="1" t="s">
        <v>353</v>
      </c>
      <c r="C207" s="1" t="s">
        <v>27</v>
      </c>
      <c r="D207" t="s">
        <v>35</v>
      </c>
      <c r="E207" t="s">
        <v>935</v>
      </c>
      <c r="F207" t="s">
        <v>24</v>
      </c>
      <c r="G207" t="s">
        <v>25</v>
      </c>
      <c r="H207" s="3">
        <v>4</v>
      </c>
      <c r="I207" s="3">
        <v>3175</v>
      </c>
      <c r="J207" s="3">
        <v>12700</v>
      </c>
      <c r="K207" s="3">
        <v>2500</v>
      </c>
      <c r="L207" s="3">
        <v>10000</v>
      </c>
      <c r="M207" s="3">
        <v>2700</v>
      </c>
      <c r="N207" s="4">
        <v>0.2125984251968504</v>
      </c>
    </row>
    <row r="208" spans="1:14" x14ac:dyDescent="0.3">
      <c r="A208" s="6">
        <v>45672</v>
      </c>
      <c r="B208" s="1" t="s">
        <v>354</v>
      </c>
      <c r="C208" s="1" t="s">
        <v>26</v>
      </c>
      <c r="D208" t="s">
        <v>33</v>
      </c>
      <c r="E208" t="s">
        <v>388</v>
      </c>
      <c r="F208" t="s">
        <v>24</v>
      </c>
      <c r="G208" t="s">
        <v>25</v>
      </c>
      <c r="H208" s="3">
        <v>2</v>
      </c>
      <c r="I208" s="3">
        <v>3225</v>
      </c>
      <c r="J208" s="3">
        <v>6450</v>
      </c>
      <c r="K208" s="3">
        <v>2500</v>
      </c>
      <c r="L208" s="3">
        <v>5000</v>
      </c>
      <c r="M208" s="3">
        <v>1450</v>
      </c>
      <c r="N208" s="4">
        <v>0.22480620155038761</v>
      </c>
    </row>
    <row r="209" spans="1:14" x14ac:dyDescent="0.3">
      <c r="A209" s="6">
        <v>45672</v>
      </c>
      <c r="B209" s="1" t="s">
        <v>356</v>
      </c>
      <c r="C209" s="1" t="s">
        <v>26</v>
      </c>
      <c r="D209" t="s">
        <v>31</v>
      </c>
      <c r="E209" t="s">
        <v>231</v>
      </c>
      <c r="F209" t="s">
        <v>16</v>
      </c>
      <c r="G209" t="s">
        <v>15</v>
      </c>
      <c r="H209" s="3">
        <v>9</v>
      </c>
      <c r="I209" s="3">
        <v>50540</v>
      </c>
      <c r="J209" s="3">
        <v>454860</v>
      </c>
      <c r="K209" s="3">
        <v>38000</v>
      </c>
      <c r="L209" s="3">
        <v>342000</v>
      </c>
      <c r="M209" s="3">
        <v>112860</v>
      </c>
      <c r="N209" s="4">
        <v>0.24812030075187969</v>
      </c>
    </row>
    <row r="210" spans="1:14" x14ac:dyDescent="0.3">
      <c r="A210" s="6">
        <v>45673</v>
      </c>
      <c r="B210" s="1" t="s">
        <v>358</v>
      </c>
      <c r="C210" s="1" t="s">
        <v>26</v>
      </c>
      <c r="D210" t="s">
        <v>31</v>
      </c>
      <c r="E210" t="s">
        <v>359</v>
      </c>
      <c r="F210" t="s">
        <v>23</v>
      </c>
      <c r="G210" t="s">
        <v>25</v>
      </c>
      <c r="H210" s="3">
        <v>3</v>
      </c>
      <c r="I210" s="3">
        <v>4384</v>
      </c>
      <c r="J210" s="3">
        <v>13152</v>
      </c>
      <c r="K210" s="3">
        <v>3200</v>
      </c>
      <c r="L210" s="3">
        <v>9600</v>
      </c>
      <c r="M210" s="3">
        <v>3552</v>
      </c>
      <c r="N210" s="4">
        <v>0.27007299270072993</v>
      </c>
    </row>
    <row r="211" spans="1:14" x14ac:dyDescent="0.3">
      <c r="A211" s="6">
        <v>45673</v>
      </c>
      <c r="B211" s="1" t="s">
        <v>360</v>
      </c>
      <c r="C211" s="1" t="s">
        <v>26</v>
      </c>
      <c r="D211" t="s">
        <v>30</v>
      </c>
      <c r="E211" t="s">
        <v>59</v>
      </c>
      <c r="F211" t="s">
        <v>24</v>
      </c>
      <c r="G211" t="s">
        <v>25</v>
      </c>
      <c r="H211" s="3">
        <v>4</v>
      </c>
      <c r="I211" s="3">
        <v>3300</v>
      </c>
      <c r="J211" s="3">
        <v>13200</v>
      </c>
      <c r="K211" s="3">
        <v>2500</v>
      </c>
      <c r="L211" s="3">
        <v>10000</v>
      </c>
      <c r="M211" s="3">
        <v>3200</v>
      </c>
      <c r="N211" s="4">
        <v>0.24242424242424243</v>
      </c>
    </row>
    <row r="212" spans="1:14" x14ac:dyDescent="0.3">
      <c r="A212" s="6">
        <v>45673</v>
      </c>
      <c r="B212" s="1" t="s">
        <v>362</v>
      </c>
      <c r="C212" s="1" t="s">
        <v>29</v>
      </c>
      <c r="D212" t="s">
        <v>35</v>
      </c>
      <c r="E212" t="s">
        <v>336</v>
      </c>
      <c r="F212" t="s">
        <v>22</v>
      </c>
      <c r="G212" t="s">
        <v>18</v>
      </c>
      <c r="H212" s="3">
        <v>10</v>
      </c>
      <c r="I212" s="3">
        <v>8400</v>
      </c>
      <c r="J212" s="3">
        <v>84000</v>
      </c>
      <c r="K212" s="3">
        <v>7000</v>
      </c>
      <c r="L212" s="3">
        <v>70000</v>
      </c>
      <c r="M212" s="3">
        <v>14000</v>
      </c>
      <c r="N212" s="4">
        <v>0.16666666666666666</v>
      </c>
    </row>
    <row r="213" spans="1:14" x14ac:dyDescent="0.3">
      <c r="A213" s="6">
        <v>45673</v>
      </c>
      <c r="B213" s="1" t="s">
        <v>364</v>
      </c>
      <c r="C213" s="1" t="s">
        <v>28</v>
      </c>
      <c r="D213" t="s">
        <v>31</v>
      </c>
      <c r="E213" t="s">
        <v>69</v>
      </c>
      <c r="F213" t="s">
        <v>23</v>
      </c>
      <c r="G213" t="s">
        <v>25</v>
      </c>
      <c r="H213" s="3">
        <v>10</v>
      </c>
      <c r="I213" s="3">
        <v>4064</v>
      </c>
      <c r="J213" s="3">
        <v>40640</v>
      </c>
      <c r="K213" s="3">
        <v>3200</v>
      </c>
      <c r="L213" s="3">
        <v>32000</v>
      </c>
      <c r="M213" s="3">
        <v>8640</v>
      </c>
      <c r="N213" s="4">
        <v>0.2125984251968504</v>
      </c>
    </row>
    <row r="214" spans="1:14" x14ac:dyDescent="0.3">
      <c r="A214" s="6">
        <v>45673</v>
      </c>
      <c r="B214" s="1" t="s">
        <v>366</v>
      </c>
      <c r="C214" s="1" t="s">
        <v>26</v>
      </c>
      <c r="D214" t="s">
        <v>30</v>
      </c>
      <c r="E214" t="s">
        <v>233</v>
      </c>
      <c r="F214" t="s">
        <v>14</v>
      </c>
      <c r="G214" t="s">
        <v>15</v>
      </c>
      <c r="H214" s="3">
        <v>6</v>
      </c>
      <c r="I214" s="3">
        <v>64350</v>
      </c>
      <c r="J214" s="3">
        <v>386100</v>
      </c>
      <c r="K214" s="3">
        <v>45000</v>
      </c>
      <c r="L214" s="3">
        <v>270000</v>
      </c>
      <c r="M214" s="3">
        <v>116100</v>
      </c>
      <c r="N214" s="4">
        <v>0.30069930069930068</v>
      </c>
    </row>
    <row r="215" spans="1:14" x14ac:dyDescent="0.3">
      <c r="A215" s="6">
        <v>45673</v>
      </c>
      <c r="B215" s="1" t="s">
        <v>367</v>
      </c>
      <c r="C215" s="1" t="s">
        <v>28</v>
      </c>
      <c r="D215" t="s">
        <v>30</v>
      </c>
      <c r="E215" t="s">
        <v>263</v>
      </c>
      <c r="F215" t="s">
        <v>24</v>
      </c>
      <c r="G215" t="s">
        <v>25</v>
      </c>
      <c r="H215" s="3">
        <v>9</v>
      </c>
      <c r="I215" s="3">
        <v>3350</v>
      </c>
      <c r="J215" s="3">
        <v>30150</v>
      </c>
      <c r="K215" s="3">
        <v>2500</v>
      </c>
      <c r="L215" s="3">
        <v>22500</v>
      </c>
      <c r="M215" s="3">
        <v>7650</v>
      </c>
      <c r="N215" s="4">
        <v>0.2537313432835821</v>
      </c>
    </row>
    <row r="216" spans="1:14" x14ac:dyDescent="0.3">
      <c r="A216" s="6">
        <v>45673</v>
      </c>
      <c r="B216" s="1" t="s">
        <v>368</v>
      </c>
      <c r="C216" s="1" t="s">
        <v>29</v>
      </c>
      <c r="D216" t="s">
        <v>31</v>
      </c>
      <c r="E216" t="s">
        <v>74</v>
      </c>
      <c r="F216" t="s">
        <v>24</v>
      </c>
      <c r="G216" t="s">
        <v>25</v>
      </c>
      <c r="H216" s="3">
        <v>2</v>
      </c>
      <c r="I216" s="3">
        <v>3025</v>
      </c>
      <c r="J216" s="3">
        <v>6050</v>
      </c>
      <c r="K216" s="3">
        <v>2500</v>
      </c>
      <c r="L216" s="3">
        <v>5000</v>
      </c>
      <c r="M216" s="3">
        <v>1050</v>
      </c>
      <c r="N216" s="4">
        <v>0.17355371900826447</v>
      </c>
    </row>
    <row r="217" spans="1:14" x14ac:dyDescent="0.3">
      <c r="A217" s="6">
        <v>45673</v>
      </c>
      <c r="B217" s="1" t="s">
        <v>370</v>
      </c>
      <c r="C217" s="1" t="s">
        <v>27</v>
      </c>
      <c r="D217" t="s">
        <v>30</v>
      </c>
      <c r="E217" t="s">
        <v>317</v>
      </c>
      <c r="F217" t="s">
        <v>23</v>
      </c>
      <c r="G217" t="s">
        <v>25</v>
      </c>
      <c r="H217" s="3">
        <v>3</v>
      </c>
      <c r="I217" s="3">
        <v>4480</v>
      </c>
      <c r="J217" s="3">
        <v>13440</v>
      </c>
      <c r="K217" s="3">
        <v>3200</v>
      </c>
      <c r="L217" s="3">
        <v>9600</v>
      </c>
      <c r="M217" s="3">
        <v>3840</v>
      </c>
      <c r="N217" s="4">
        <v>0.2857142857142857</v>
      </c>
    </row>
    <row r="218" spans="1:14" x14ac:dyDescent="0.3">
      <c r="A218" s="6">
        <v>45673</v>
      </c>
      <c r="B218" s="1" t="s">
        <v>372</v>
      </c>
      <c r="C218" s="1" t="s">
        <v>29</v>
      </c>
      <c r="D218" t="s">
        <v>34</v>
      </c>
      <c r="E218" t="s">
        <v>319</v>
      </c>
      <c r="F218" t="s">
        <v>23</v>
      </c>
      <c r="G218" t="s">
        <v>25</v>
      </c>
      <c r="H218" s="3">
        <v>9</v>
      </c>
      <c r="I218" s="3">
        <v>4608</v>
      </c>
      <c r="J218" s="3">
        <v>41472</v>
      </c>
      <c r="K218" s="3">
        <v>3200</v>
      </c>
      <c r="L218" s="3">
        <v>28800</v>
      </c>
      <c r="M218" s="3">
        <v>12672</v>
      </c>
      <c r="N218" s="4">
        <v>0.30555555555555558</v>
      </c>
    </row>
    <row r="219" spans="1:14" x14ac:dyDescent="0.3">
      <c r="A219" s="6">
        <v>45673</v>
      </c>
      <c r="B219" s="1" t="s">
        <v>373</v>
      </c>
      <c r="C219" s="1" t="s">
        <v>26</v>
      </c>
      <c r="D219" t="s">
        <v>34</v>
      </c>
      <c r="E219" t="s">
        <v>506</v>
      </c>
      <c r="F219" t="s">
        <v>17</v>
      </c>
      <c r="G219" t="s">
        <v>18</v>
      </c>
      <c r="H219" s="3">
        <v>9</v>
      </c>
      <c r="I219" s="3">
        <v>11220</v>
      </c>
      <c r="J219" s="3">
        <v>100980</v>
      </c>
      <c r="K219" s="3">
        <v>8500</v>
      </c>
      <c r="L219" s="3">
        <v>76500</v>
      </c>
      <c r="M219" s="3">
        <v>24480</v>
      </c>
      <c r="N219" s="4">
        <v>0.24242424242424243</v>
      </c>
    </row>
    <row r="220" spans="1:14" x14ac:dyDescent="0.3">
      <c r="A220" s="6">
        <v>45673</v>
      </c>
      <c r="B220" s="1" t="s">
        <v>374</v>
      </c>
      <c r="C220" s="1" t="s">
        <v>27</v>
      </c>
      <c r="D220" t="s">
        <v>31</v>
      </c>
      <c r="E220" t="s">
        <v>574</v>
      </c>
      <c r="F220" t="s">
        <v>16</v>
      </c>
      <c r="G220" t="s">
        <v>15</v>
      </c>
      <c r="H220" s="3">
        <v>10</v>
      </c>
      <c r="I220" s="3">
        <v>53580</v>
      </c>
      <c r="J220" s="3">
        <v>535800</v>
      </c>
      <c r="K220" s="3">
        <v>38000</v>
      </c>
      <c r="L220" s="3">
        <v>380000</v>
      </c>
      <c r="M220" s="3">
        <v>155800</v>
      </c>
      <c r="N220" s="4">
        <v>0.29078014184397161</v>
      </c>
    </row>
    <row r="221" spans="1:14" x14ac:dyDescent="0.3">
      <c r="A221" s="6">
        <v>45673</v>
      </c>
      <c r="B221" s="1" t="s">
        <v>375</v>
      </c>
      <c r="C221" s="1" t="s">
        <v>26</v>
      </c>
      <c r="D221" t="s">
        <v>35</v>
      </c>
      <c r="E221" t="s">
        <v>308</v>
      </c>
      <c r="F221" t="s">
        <v>19</v>
      </c>
      <c r="G221" t="s">
        <v>20</v>
      </c>
      <c r="H221" s="3">
        <v>2</v>
      </c>
      <c r="I221" s="3">
        <v>1152</v>
      </c>
      <c r="J221" s="3">
        <v>2304</v>
      </c>
      <c r="K221" s="3">
        <v>900</v>
      </c>
      <c r="L221" s="3">
        <v>1800</v>
      </c>
      <c r="M221" s="3">
        <v>504</v>
      </c>
      <c r="N221" s="4">
        <v>0.21875</v>
      </c>
    </row>
    <row r="222" spans="1:14" x14ac:dyDescent="0.3">
      <c r="A222" s="6">
        <v>45673</v>
      </c>
      <c r="B222" s="1" t="s">
        <v>376</v>
      </c>
      <c r="C222" s="1" t="s">
        <v>28</v>
      </c>
      <c r="D222" t="s">
        <v>30</v>
      </c>
      <c r="E222" t="s">
        <v>409</v>
      </c>
      <c r="F222" t="s">
        <v>23</v>
      </c>
      <c r="G222" t="s">
        <v>25</v>
      </c>
      <c r="H222" s="3">
        <v>8</v>
      </c>
      <c r="I222" s="3">
        <v>4288</v>
      </c>
      <c r="J222" s="3">
        <v>34304</v>
      </c>
      <c r="K222" s="3">
        <v>3200</v>
      </c>
      <c r="L222" s="3">
        <v>25600</v>
      </c>
      <c r="M222" s="3">
        <v>8704</v>
      </c>
      <c r="N222" s="4">
        <v>0.2537313432835821</v>
      </c>
    </row>
    <row r="223" spans="1:14" x14ac:dyDescent="0.3">
      <c r="A223" s="6">
        <v>45673</v>
      </c>
      <c r="B223" s="1" t="s">
        <v>377</v>
      </c>
      <c r="C223" s="1" t="s">
        <v>29</v>
      </c>
      <c r="D223" t="s">
        <v>32</v>
      </c>
      <c r="E223" t="s">
        <v>78</v>
      </c>
      <c r="F223" t="s">
        <v>24</v>
      </c>
      <c r="G223" t="s">
        <v>25</v>
      </c>
      <c r="H223" s="3">
        <v>3</v>
      </c>
      <c r="I223" s="3">
        <v>3375</v>
      </c>
      <c r="J223" s="3">
        <v>10125</v>
      </c>
      <c r="K223" s="3">
        <v>2500</v>
      </c>
      <c r="L223" s="3">
        <v>7500</v>
      </c>
      <c r="M223" s="3">
        <v>2625</v>
      </c>
      <c r="N223" s="4">
        <v>0.25925925925925924</v>
      </c>
    </row>
    <row r="224" spans="1:14" x14ac:dyDescent="0.3">
      <c r="A224" s="6">
        <v>45674</v>
      </c>
      <c r="B224" s="1" t="s">
        <v>378</v>
      </c>
      <c r="C224" s="1" t="s">
        <v>28</v>
      </c>
      <c r="D224" t="s">
        <v>33</v>
      </c>
      <c r="E224" t="s">
        <v>43</v>
      </c>
      <c r="F224" t="s">
        <v>14</v>
      </c>
      <c r="G224" t="s">
        <v>15</v>
      </c>
      <c r="H224" s="3">
        <v>2</v>
      </c>
      <c r="I224" s="3">
        <v>58950</v>
      </c>
      <c r="J224" s="3">
        <v>117900</v>
      </c>
      <c r="K224" s="3">
        <v>45000</v>
      </c>
      <c r="L224" s="3">
        <v>90000</v>
      </c>
      <c r="M224" s="3">
        <v>27900</v>
      </c>
      <c r="N224" s="4">
        <v>0.23664122137404581</v>
      </c>
    </row>
    <row r="225" spans="1:14" x14ac:dyDescent="0.3">
      <c r="A225" s="6">
        <v>45674</v>
      </c>
      <c r="B225" s="1" t="s">
        <v>380</v>
      </c>
      <c r="C225" s="1" t="s">
        <v>28</v>
      </c>
      <c r="D225" t="s">
        <v>35</v>
      </c>
      <c r="E225" t="s">
        <v>193</v>
      </c>
      <c r="F225" t="s">
        <v>14</v>
      </c>
      <c r="G225" t="s">
        <v>15</v>
      </c>
      <c r="H225" s="3">
        <v>10</v>
      </c>
      <c r="I225" s="3">
        <v>54000</v>
      </c>
      <c r="J225" s="3">
        <v>540000</v>
      </c>
      <c r="K225" s="3">
        <v>45000</v>
      </c>
      <c r="L225" s="3">
        <v>450000</v>
      </c>
      <c r="M225" s="3">
        <v>90000</v>
      </c>
      <c r="N225" s="4">
        <v>0.16666666666666666</v>
      </c>
    </row>
    <row r="226" spans="1:14" x14ac:dyDescent="0.3">
      <c r="A226" s="6">
        <v>45674</v>
      </c>
      <c r="B226" s="1" t="s">
        <v>382</v>
      </c>
      <c r="C226" s="1" t="s">
        <v>26</v>
      </c>
      <c r="D226" t="s">
        <v>31</v>
      </c>
      <c r="E226" t="s">
        <v>142</v>
      </c>
      <c r="F226" t="s">
        <v>22</v>
      </c>
      <c r="G226" t="s">
        <v>18</v>
      </c>
      <c r="H226" s="3">
        <v>10</v>
      </c>
      <c r="I226" s="3">
        <v>9240</v>
      </c>
      <c r="J226" s="3">
        <v>92400</v>
      </c>
      <c r="K226" s="3">
        <v>7000</v>
      </c>
      <c r="L226" s="3">
        <v>70000</v>
      </c>
      <c r="M226" s="3">
        <v>22400</v>
      </c>
      <c r="N226" s="4">
        <v>0.24242424242424243</v>
      </c>
    </row>
    <row r="227" spans="1:14" x14ac:dyDescent="0.3">
      <c r="A227" s="6">
        <v>45674</v>
      </c>
      <c r="B227" s="1" t="s">
        <v>383</v>
      </c>
      <c r="C227" s="1" t="s">
        <v>28</v>
      </c>
      <c r="D227" t="s">
        <v>34</v>
      </c>
      <c r="E227" t="s">
        <v>129</v>
      </c>
      <c r="F227" t="s">
        <v>22</v>
      </c>
      <c r="G227" t="s">
        <v>18</v>
      </c>
      <c r="H227" s="3">
        <v>7</v>
      </c>
      <c r="I227" s="3">
        <v>9100</v>
      </c>
      <c r="J227" s="3">
        <v>63700</v>
      </c>
      <c r="K227" s="3">
        <v>7000</v>
      </c>
      <c r="L227" s="3">
        <v>49000</v>
      </c>
      <c r="M227" s="3">
        <v>14700</v>
      </c>
      <c r="N227" s="4">
        <v>0.23076923076923078</v>
      </c>
    </row>
    <row r="228" spans="1:14" x14ac:dyDescent="0.3">
      <c r="A228" s="6">
        <v>45674</v>
      </c>
      <c r="B228" s="1" t="s">
        <v>384</v>
      </c>
      <c r="C228" s="1" t="s">
        <v>27</v>
      </c>
      <c r="D228" t="s">
        <v>30</v>
      </c>
      <c r="E228" t="s">
        <v>88</v>
      </c>
      <c r="F228" t="s">
        <v>21</v>
      </c>
      <c r="G228" t="s">
        <v>20</v>
      </c>
      <c r="H228" s="3">
        <v>7</v>
      </c>
      <c r="I228" s="3">
        <v>792</v>
      </c>
      <c r="J228" s="3">
        <v>5544</v>
      </c>
      <c r="K228" s="3">
        <v>600</v>
      </c>
      <c r="L228" s="3">
        <v>4200</v>
      </c>
      <c r="M228" s="3">
        <v>1344</v>
      </c>
      <c r="N228" s="4">
        <v>0.24242424242424243</v>
      </c>
    </row>
    <row r="229" spans="1:14" x14ac:dyDescent="0.3">
      <c r="A229" s="6">
        <v>45674</v>
      </c>
      <c r="B229" s="1" t="s">
        <v>385</v>
      </c>
      <c r="C229" s="1" t="s">
        <v>28</v>
      </c>
      <c r="D229" t="s">
        <v>34</v>
      </c>
      <c r="E229" t="s">
        <v>96</v>
      </c>
      <c r="F229" t="s">
        <v>14</v>
      </c>
      <c r="G229" t="s">
        <v>15</v>
      </c>
      <c r="H229" s="3">
        <v>2</v>
      </c>
      <c r="I229" s="3">
        <v>55800</v>
      </c>
      <c r="J229" s="3">
        <v>111600</v>
      </c>
      <c r="K229" s="3">
        <v>45000</v>
      </c>
      <c r="L229" s="3">
        <v>90000</v>
      </c>
      <c r="M229" s="3">
        <v>21600</v>
      </c>
      <c r="N229" s="4">
        <v>0.19354838709677419</v>
      </c>
    </row>
    <row r="230" spans="1:14" x14ac:dyDescent="0.3">
      <c r="A230" s="6">
        <v>45674</v>
      </c>
      <c r="B230" s="1" t="s">
        <v>386</v>
      </c>
      <c r="C230" s="1" t="s">
        <v>29</v>
      </c>
      <c r="D230" t="s">
        <v>31</v>
      </c>
      <c r="E230" t="s">
        <v>698</v>
      </c>
      <c r="F230" t="s">
        <v>24</v>
      </c>
      <c r="G230" t="s">
        <v>25</v>
      </c>
      <c r="H230" s="3">
        <v>5</v>
      </c>
      <c r="I230" s="3">
        <v>3250</v>
      </c>
      <c r="J230" s="3">
        <v>16250</v>
      </c>
      <c r="K230" s="3">
        <v>2500</v>
      </c>
      <c r="L230" s="3">
        <v>12500</v>
      </c>
      <c r="M230" s="3">
        <v>3750</v>
      </c>
      <c r="N230" s="4">
        <v>0.23076923076923078</v>
      </c>
    </row>
    <row r="231" spans="1:14" x14ac:dyDescent="0.3">
      <c r="A231" s="6">
        <v>45674</v>
      </c>
      <c r="B231" s="1" t="s">
        <v>387</v>
      </c>
      <c r="C231" s="1" t="s">
        <v>26</v>
      </c>
      <c r="D231" t="s">
        <v>35</v>
      </c>
      <c r="E231" t="s">
        <v>233</v>
      </c>
      <c r="F231" t="s">
        <v>21</v>
      </c>
      <c r="G231" t="s">
        <v>20</v>
      </c>
      <c r="H231" s="3">
        <v>8</v>
      </c>
      <c r="I231" s="3">
        <v>738</v>
      </c>
      <c r="J231" s="3">
        <v>5904</v>
      </c>
      <c r="K231" s="3">
        <v>600</v>
      </c>
      <c r="L231" s="3">
        <v>4800</v>
      </c>
      <c r="M231" s="3">
        <v>1104</v>
      </c>
      <c r="N231" s="4">
        <v>0.18699186991869918</v>
      </c>
    </row>
    <row r="232" spans="1:14" x14ac:dyDescent="0.3">
      <c r="A232" s="6">
        <v>45674</v>
      </c>
      <c r="B232" s="1" t="s">
        <v>389</v>
      </c>
      <c r="C232" s="1" t="s">
        <v>28</v>
      </c>
      <c r="D232" t="s">
        <v>34</v>
      </c>
      <c r="E232" t="s">
        <v>565</v>
      </c>
      <c r="F232" t="s">
        <v>21</v>
      </c>
      <c r="G232" t="s">
        <v>20</v>
      </c>
      <c r="H232" s="3">
        <v>4</v>
      </c>
      <c r="I232" s="3">
        <v>815.99999999999989</v>
      </c>
      <c r="J232" s="3">
        <v>3263.9999999999995</v>
      </c>
      <c r="K232" s="3">
        <v>600</v>
      </c>
      <c r="L232" s="3">
        <v>2400</v>
      </c>
      <c r="M232" s="3">
        <v>863.99999999999955</v>
      </c>
      <c r="N232" s="4">
        <v>0.26470588235294107</v>
      </c>
    </row>
    <row r="233" spans="1:14" x14ac:dyDescent="0.3">
      <c r="A233" s="6">
        <v>45674</v>
      </c>
      <c r="B233" s="1" t="s">
        <v>391</v>
      </c>
      <c r="C233" s="1" t="s">
        <v>29</v>
      </c>
      <c r="D233" t="s">
        <v>34</v>
      </c>
      <c r="E233" t="s">
        <v>114</v>
      </c>
      <c r="F233" t="s">
        <v>22</v>
      </c>
      <c r="G233" t="s">
        <v>18</v>
      </c>
      <c r="H233" s="3">
        <v>9</v>
      </c>
      <c r="I233" s="3">
        <v>9380</v>
      </c>
      <c r="J233" s="3">
        <v>84420</v>
      </c>
      <c r="K233" s="3">
        <v>7000</v>
      </c>
      <c r="L233" s="3">
        <v>63000</v>
      </c>
      <c r="M233" s="3">
        <v>21420</v>
      </c>
      <c r="N233" s="4">
        <v>0.2537313432835821</v>
      </c>
    </row>
    <row r="234" spans="1:14" x14ac:dyDescent="0.3">
      <c r="A234" s="6">
        <v>45674</v>
      </c>
      <c r="B234" s="1" t="s">
        <v>392</v>
      </c>
      <c r="C234" s="1" t="s">
        <v>29</v>
      </c>
      <c r="D234" t="s">
        <v>31</v>
      </c>
      <c r="E234" t="s">
        <v>196</v>
      </c>
      <c r="F234" t="s">
        <v>16</v>
      </c>
      <c r="G234" t="s">
        <v>15</v>
      </c>
      <c r="H234" s="3">
        <v>9</v>
      </c>
      <c r="I234" s="3">
        <v>51679.999999999993</v>
      </c>
      <c r="J234" s="3">
        <v>465119.99999999994</v>
      </c>
      <c r="K234" s="3">
        <v>38000</v>
      </c>
      <c r="L234" s="3">
        <v>342000</v>
      </c>
      <c r="M234" s="3">
        <v>123119.99999999994</v>
      </c>
      <c r="N234" s="4">
        <v>0.26470588235294107</v>
      </c>
    </row>
    <row r="235" spans="1:14" x14ac:dyDescent="0.3">
      <c r="A235" s="6">
        <v>45674</v>
      </c>
      <c r="B235" s="1" t="s">
        <v>393</v>
      </c>
      <c r="C235" s="1" t="s">
        <v>27</v>
      </c>
      <c r="D235" t="s">
        <v>34</v>
      </c>
      <c r="E235" t="s">
        <v>220</v>
      </c>
      <c r="F235" t="s">
        <v>24</v>
      </c>
      <c r="G235" t="s">
        <v>25</v>
      </c>
      <c r="H235" s="3">
        <v>4</v>
      </c>
      <c r="I235" s="3">
        <v>3600</v>
      </c>
      <c r="J235" s="3">
        <v>14400</v>
      </c>
      <c r="K235" s="3">
        <v>2500</v>
      </c>
      <c r="L235" s="3">
        <v>10000</v>
      </c>
      <c r="M235" s="3">
        <v>4400</v>
      </c>
      <c r="N235" s="4">
        <v>0.30555555555555558</v>
      </c>
    </row>
    <row r="236" spans="1:14" x14ac:dyDescent="0.3">
      <c r="A236" s="6">
        <v>45674</v>
      </c>
      <c r="B236" s="1" t="s">
        <v>394</v>
      </c>
      <c r="C236" s="1" t="s">
        <v>27</v>
      </c>
      <c r="D236" t="s">
        <v>30</v>
      </c>
      <c r="E236" t="s">
        <v>807</v>
      </c>
      <c r="F236" t="s">
        <v>22</v>
      </c>
      <c r="G236" t="s">
        <v>18</v>
      </c>
      <c r="H236" s="3">
        <v>5</v>
      </c>
      <c r="I236" s="3">
        <v>9170</v>
      </c>
      <c r="J236" s="3">
        <v>45850</v>
      </c>
      <c r="K236" s="3">
        <v>7000</v>
      </c>
      <c r="L236" s="3">
        <v>35000</v>
      </c>
      <c r="M236" s="3">
        <v>10850</v>
      </c>
      <c r="N236" s="4">
        <v>0.23664122137404581</v>
      </c>
    </row>
    <row r="237" spans="1:14" x14ac:dyDescent="0.3">
      <c r="A237" s="6">
        <v>45674</v>
      </c>
      <c r="B237" s="1" t="s">
        <v>395</v>
      </c>
      <c r="C237" s="1" t="s">
        <v>29</v>
      </c>
      <c r="D237" t="s">
        <v>30</v>
      </c>
      <c r="E237" t="s">
        <v>147</v>
      </c>
      <c r="F237" t="s">
        <v>19</v>
      </c>
      <c r="G237" t="s">
        <v>20</v>
      </c>
      <c r="H237" s="3">
        <v>2</v>
      </c>
      <c r="I237" s="3">
        <v>1206</v>
      </c>
      <c r="J237" s="3">
        <v>2412</v>
      </c>
      <c r="K237" s="3">
        <v>900</v>
      </c>
      <c r="L237" s="3">
        <v>1800</v>
      </c>
      <c r="M237" s="3">
        <v>612</v>
      </c>
      <c r="N237" s="4">
        <v>0.2537313432835821</v>
      </c>
    </row>
    <row r="238" spans="1:14" x14ac:dyDescent="0.3">
      <c r="A238" s="6">
        <v>45675</v>
      </c>
      <c r="B238" s="1" t="s">
        <v>396</v>
      </c>
      <c r="C238" s="1" t="s">
        <v>27</v>
      </c>
      <c r="D238" t="s">
        <v>34</v>
      </c>
      <c r="E238" t="s">
        <v>521</v>
      </c>
      <c r="F238" t="s">
        <v>17</v>
      </c>
      <c r="G238" t="s">
        <v>18</v>
      </c>
      <c r="H238" s="3">
        <v>9</v>
      </c>
      <c r="I238" s="3">
        <v>10285</v>
      </c>
      <c r="J238" s="3">
        <v>92565</v>
      </c>
      <c r="K238" s="3">
        <v>8500</v>
      </c>
      <c r="L238" s="3">
        <v>76500</v>
      </c>
      <c r="M238" s="3">
        <v>16065</v>
      </c>
      <c r="N238" s="4">
        <v>0.17355371900826447</v>
      </c>
    </row>
    <row r="239" spans="1:14" x14ac:dyDescent="0.3">
      <c r="A239" s="6">
        <v>45675</v>
      </c>
      <c r="B239" s="1" t="s">
        <v>397</v>
      </c>
      <c r="C239" s="1" t="s">
        <v>29</v>
      </c>
      <c r="D239" t="s">
        <v>35</v>
      </c>
      <c r="E239" t="s">
        <v>249</v>
      </c>
      <c r="F239" t="s">
        <v>14</v>
      </c>
      <c r="G239" t="s">
        <v>15</v>
      </c>
      <c r="H239" s="3">
        <v>5</v>
      </c>
      <c r="I239" s="3">
        <v>63900</v>
      </c>
      <c r="J239" s="3">
        <v>319500</v>
      </c>
      <c r="K239" s="3">
        <v>45000</v>
      </c>
      <c r="L239" s="3">
        <v>225000</v>
      </c>
      <c r="M239" s="3">
        <v>94500</v>
      </c>
      <c r="N239" s="4">
        <v>0.29577464788732394</v>
      </c>
    </row>
    <row r="240" spans="1:14" x14ac:dyDescent="0.3">
      <c r="A240" s="6">
        <v>45675</v>
      </c>
      <c r="B240" s="1" t="s">
        <v>398</v>
      </c>
      <c r="C240" s="1" t="s">
        <v>27</v>
      </c>
      <c r="D240" t="s">
        <v>33</v>
      </c>
      <c r="E240" t="s">
        <v>112</v>
      </c>
      <c r="F240" t="s">
        <v>19</v>
      </c>
      <c r="G240" t="s">
        <v>20</v>
      </c>
      <c r="H240" s="3">
        <v>4</v>
      </c>
      <c r="I240" s="3">
        <v>1089</v>
      </c>
      <c r="J240" s="3">
        <v>4356</v>
      </c>
      <c r="K240" s="3">
        <v>900</v>
      </c>
      <c r="L240" s="3">
        <v>3600</v>
      </c>
      <c r="M240" s="3">
        <v>756</v>
      </c>
      <c r="N240" s="4">
        <v>0.17355371900826447</v>
      </c>
    </row>
    <row r="241" spans="1:14" x14ac:dyDescent="0.3">
      <c r="A241" s="6">
        <v>45675</v>
      </c>
      <c r="B241" s="1" t="s">
        <v>399</v>
      </c>
      <c r="C241" s="1" t="s">
        <v>28</v>
      </c>
      <c r="D241" t="s">
        <v>32</v>
      </c>
      <c r="E241" t="s">
        <v>63</v>
      </c>
      <c r="F241" t="s">
        <v>16</v>
      </c>
      <c r="G241" t="s">
        <v>15</v>
      </c>
      <c r="H241" s="3">
        <v>10</v>
      </c>
      <c r="I241" s="3">
        <v>47880</v>
      </c>
      <c r="J241" s="3">
        <v>478800</v>
      </c>
      <c r="K241" s="3">
        <v>38000</v>
      </c>
      <c r="L241" s="3">
        <v>380000</v>
      </c>
      <c r="M241" s="3">
        <v>98800</v>
      </c>
      <c r="N241" s="4">
        <v>0.20634920634920634</v>
      </c>
    </row>
    <row r="242" spans="1:14" x14ac:dyDescent="0.3">
      <c r="A242" s="6">
        <v>45675</v>
      </c>
      <c r="B242" s="1" t="s">
        <v>401</v>
      </c>
      <c r="C242" s="1" t="s">
        <v>26</v>
      </c>
      <c r="D242" t="s">
        <v>33</v>
      </c>
      <c r="E242" t="s">
        <v>349</v>
      </c>
      <c r="F242" t="s">
        <v>17</v>
      </c>
      <c r="G242" t="s">
        <v>18</v>
      </c>
      <c r="H242" s="3">
        <v>9</v>
      </c>
      <c r="I242" s="3">
        <v>10200</v>
      </c>
      <c r="J242" s="3">
        <v>91800</v>
      </c>
      <c r="K242" s="3">
        <v>8500</v>
      </c>
      <c r="L242" s="3">
        <v>76500</v>
      </c>
      <c r="M242" s="3">
        <v>15300</v>
      </c>
      <c r="N242" s="4">
        <v>0.16666666666666666</v>
      </c>
    </row>
    <row r="243" spans="1:14" x14ac:dyDescent="0.3">
      <c r="A243" s="6">
        <v>45675</v>
      </c>
      <c r="B243" s="1" t="s">
        <v>402</v>
      </c>
      <c r="C243" s="1" t="s">
        <v>27</v>
      </c>
      <c r="D243" t="s">
        <v>35</v>
      </c>
      <c r="E243" t="s">
        <v>45</v>
      </c>
      <c r="F243" t="s">
        <v>16</v>
      </c>
      <c r="G243" t="s">
        <v>15</v>
      </c>
      <c r="H243" s="3">
        <v>3</v>
      </c>
      <c r="I243" s="3">
        <v>50160</v>
      </c>
      <c r="J243" s="3">
        <v>150480</v>
      </c>
      <c r="K243" s="3">
        <v>38000</v>
      </c>
      <c r="L243" s="3">
        <v>114000</v>
      </c>
      <c r="M243" s="3">
        <v>36480</v>
      </c>
      <c r="N243" s="4">
        <v>0.24242424242424243</v>
      </c>
    </row>
    <row r="244" spans="1:14" x14ac:dyDescent="0.3">
      <c r="A244" s="6">
        <v>45675</v>
      </c>
      <c r="B244" s="1" t="s">
        <v>403</v>
      </c>
      <c r="C244" s="1" t="s">
        <v>29</v>
      </c>
      <c r="D244" t="s">
        <v>35</v>
      </c>
      <c r="E244" t="s">
        <v>72</v>
      </c>
      <c r="F244" t="s">
        <v>22</v>
      </c>
      <c r="G244" t="s">
        <v>18</v>
      </c>
      <c r="H244" s="3">
        <v>5</v>
      </c>
      <c r="I244" s="3">
        <v>9450</v>
      </c>
      <c r="J244" s="3">
        <v>47250</v>
      </c>
      <c r="K244" s="3">
        <v>7000</v>
      </c>
      <c r="L244" s="3">
        <v>35000</v>
      </c>
      <c r="M244" s="3">
        <v>12250</v>
      </c>
      <c r="N244" s="4">
        <v>0.25925925925925924</v>
      </c>
    </row>
    <row r="245" spans="1:14" x14ac:dyDescent="0.3">
      <c r="A245" s="6">
        <v>45675</v>
      </c>
      <c r="B245" s="1" t="s">
        <v>404</v>
      </c>
      <c r="C245" s="1" t="s">
        <v>27</v>
      </c>
      <c r="D245" t="s">
        <v>33</v>
      </c>
      <c r="E245" t="s">
        <v>201</v>
      </c>
      <c r="F245" t="s">
        <v>24</v>
      </c>
      <c r="G245" t="s">
        <v>25</v>
      </c>
      <c r="H245" s="3">
        <v>5</v>
      </c>
      <c r="I245" s="3">
        <v>3575</v>
      </c>
      <c r="J245" s="3">
        <v>17875</v>
      </c>
      <c r="K245" s="3">
        <v>2500</v>
      </c>
      <c r="L245" s="3">
        <v>12500</v>
      </c>
      <c r="M245" s="3">
        <v>5375</v>
      </c>
      <c r="N245" s="4">
        <v>0.30069930069930068</v>
      </c>
    </row>
    <row r="246" spans="1:14" x14ac:dyDescent="0.3">
      <c r="A246" s="6">
        <v>45675</v>
      </c>
      <c r="B246" s="1" t="s">
        <v>405</v>
      </c>
      <c r="C246" s="1" t="s">
        <v>26</v>
      </c>
      <c r="D246" t="s">
        <v>32</v>
      </c>
      <c r="E246" t="s">
        <v>159</v>
      </c>
      <c r="F246" t="s">
        <v>19</v>
      </c>
      <c r="G246" t="s">
        <v>20</v>
      </c>
      <c r="H246" s="3">
        <v>6</v>
      </c>
      <c r="I246" s="3">
        <v>1143</v>
      </c>
      <c r="J246" s="3">
        <v>6858</v>
      </c>
      <c r="K246" s="3">
        <v>900</v>
      </c>
      <c r="L246" s="3">
        <v>5400</v>
      </c>
      <c r="M246" s="3">
        <v>1458</v>
      </c>
      <c r="N246" s="4">
        <v>0.2125984251968504</v>
      </c>
    </row>
    <row r="247" spans="1:14" x14ac:dyDescent="0.3">
      <c r="A247" s="6">
        <v>45675</v>
      </c>
      <c r="B247" s="1" t="s">
        <v>406</v>
      </c>
      <c r="C247" s="1" t="s">
        <v>26</v>
      </c>
      <c r="D247" t="s">
        <v>33</v>
      </c>
      <c r="E247" t="s">
        <v>145</v>
      </c>
      <c r="F247" t="s">
        <v>22</v>
      </c>
      <c r="G247" t="s">
        <v>18</v>
      </c>
      <c r="H247" s="3">
        <v>9</v>
      </c>
      <c r="I247" s="3">
        <v>9870</v>
      </c>
      <c r="J247" s="3">
        <v>88830</v>
      </c>
      <c r="K247" s="3">
        <v>7000</v>
      </c>
      <c r="L247" s="3">
        <v>63000</v>
      </c>
      <c r="M247" s="3">
        <v>25830</v>
      </c>
      <c r="N247" s="4">
        <v>0.29078014184397161</v>
      </c>
    </row>
    <row r="248" spans="1:14" x14ac:dyDescent="0.3">
      <c r="A248" s="6">
        <v>45675</v>
      </c>
      <c r="B248" s="1" t="s">
        <v>408</v>
      </c>
      <c r="C248" s="1" t="s">
        <v>29</v>
      </c>
      <c r="D248" t="s">
        <v>33</v>
      </c>
      <c r="E248" t="s">
        <v>329</v>
      </c>
      <c r="F248" t="s">
        <v>24</v>
      </c>
      <c r="G248" t="s">
        <v>25</v>
      </c>
      <c r="H248" s="3">
        <v>1</v>
      </c>
      <c r="I248" s="3">
        <v>3075</v>
      </c>
      <c r="J248" s="3">
        <v>3075</v>
      </c>
      <c r="K248" s="3">
        <v>2500</v>
      </c>
      <c r="L248" s="3">
        <v>2500</v>
      </c>
      <c r="M248" s="3">
        <v>575</v>
      </c>
      <c r="N248" s="4">
        <v>0.18699186991869918</v>
      </c>
    </row>
    <row r="249" spans="1:14" x14ac:dyDescent="0.3">
      <c r="A249" s="6">
        <v>45675</v>
      </c>
      <c r="B249" s="1" t="s">
        <v>410</v>
      </c>
      <c r="C249" s="1" t="s">
        <v>29</v>
      </c>
      <c r="D249" t="s">
        <v>30</v>
      </c>
      <c r="E249" t="s">
        <v>72</v>
      </c>
      <c r="F249" t="s">
        <v>21</v>
      </c>
      <c r="G249" t="s">
        <v>20</v>
      </c>
      <c r="H249" s="3">
        <v>1</v>
      </c>
      <c r="I249" s="3">
        <v>768</v>
      </c>
      <c r="J249" s="3">
        <v>768</v>
      </c>
      <c r="K249" s="3">
        <v>600</v>
      </c>
      <c r="L249" s="3">
        <v>600</v>
      </c>
      <c r="M249" s="3">
        <v>168</v>
      </c>
      <c r="N249" s="4">
        <v>0.21875</v>
      </c>
    </row>
    <row r="250" spans="1:14" x14ac:dyDescent="0.3">
      <c r="A250" s="6">
        <v>45675</v>
      </c>
      <c r="B250" s="1" t="s">
        <v>412</v>
      </c>
      <c r="C250" s="1" t="s">
        <v>29</v>
      </c>
      <c r="D250" t="s">
        <v>34</v>
      </c>
      <c r="E250" t="s">
        <v>155</v>
      </c>
      <c r="F250" t="s">
        <v>22</v>
      </c>
      <c r="G250" t="s">
        <v>18</v>
      </c>
      <c r="H250" s="3">
        <v>3</v>
      </c>
      <c r="I250" s="3">
        <v>9870</v>
      </c>
      <c r="J250" s="3">
        <v>29610</v>
      </c>
      <c r="K250" s="3">
        <v>7000</v>
      </c>
      <c r="L250" s="3">
        <v>21000</v>
      </c>
      <c r="M250" s="3">
        <v>8610</v>
      </c>
      <c r="N250" s="4">
        <v>0.29078014184397161</v>
      </c>
    </row>
    <row r="251" spans="1:14" x14ac:dyDescent="0.3">
      <c r="A251" s="6">
        <v>45675</v>
      </c>
      <c r="B251" s="1" t="s">
        <v>413</v>
      </c>
      <c r="C251" s="1" t="s">
        <v>29</v>
      </c>
      <c r="D251" t="s">
        <v>32</v>
      </c>
      <c r="E251" t="s">
        <v>110</v>
      </c>
      <c r="F251" t="s">
        <v>22</v>
      </c>
      <c r="G251" t="s">
        <v>18</v>
      </c>
      <c r="H251" s="3">
        <v>1</v>
      </c>
      <c r="I251" s="3">
        <v>9100</v>
      </c>
      <c r="J251" s="3">
        <v>9100</v>
      </c>
      <c r="K251" s="3">
        <v>7000</v>
      </c>
      <c r="L251" s="3">
        <v>7000</v>
      </c>
      <c r="M251" s="3">
        <v>2100</v>
      </c>
      <c r="N251" s="4">
        <v>0.23076923076923078</v>
      </c>
    </row>
    <row r="252" spans="1:14" x14ac:dyDescent="0.3">
      <c r="A252" s="6">
        <v>45676</v>
      </c>
      <c r="B252" s="1" t="s">
        <v>414</v>
      </c>
      <c r="C252" s="1" t="s">
        <v>27</v>
      </c>
      <c r="D252" t="s">
        <v>33</v>
      </c>
      <c r="E252" t="s">
        <v>255</v>
      </c>
      <c r="F252" t="s">
        <v>16</v>
      </c>
      <c r="G252" t="s">
        <v>15</v>
      </c>
      <c r="H252" s="3">
        <v>8</v>
      </c>
      <c r="I252" s="3">
        <v>47120</v>
      </c>
      <c r="J252" s="3">
        <v>376960</v>
      </c>
      <c r="K252" s="3">
        <v>38000</v>
      </c>
      <c r="L252" s="3">
        <v>304000</v>
      </c>
      <c r="M252" s="3">
        <v>72960</v>
      </c>
      <c r="N252" s="4">
        <v>0.19354838709677419</v>
      </c>
    </row>
    <row r="253" spans="1:14" x14ac:dyDescent="0.3">
      <c r="A253" s="6">
        <v>45676</v>
      </c>
      <c r="B253" s="1" t="s">
        <v>416</v>
      </c>
      <c r="C253" s="1" t="s">
        <v>26</v>
      </c>
      <c r="D253" t="s">
        <v>32</v>
      </c>
      <c r="E253" t="s">
        <v>166</v>
      </c>
      <c r="F253" t="s">
        <v>21</v>
      </c>
      <c r="G253" t="s">
        <v>20</v>
      </c>
      <c r="H253" s="3">
        <v>8</v>
      </c>
      <c r="I253" s="3">
        <v>774</v>
      </c>
      <c r="J253" s="3">
        <v>6192</v>
      </c>
      <c r="K253" s="3">
        <v>600</v>
      </c>
      <c r="L253" s="3">
        <v>4800</v>
      </c>
      <c r="M253" s="3">
        <v>1392</v>
      </c>
      <c r="N253" s="4">
        <v>0.22480620155038761</v>
      </c>
    </row>
    <row r="254" spans="1:14" x14ac:dyDescent="0.3">
      <c r="A254" s="6">
        <v>45676</v>
      </c>
      <c r="B254" s="1" t="s">
        <v>417</v>
      </c>
      <c r="C254" s="1" t="s">
        <v>28</v>
      </c>
      <c r="D254" t="s">
        <v>35</v>
      </c>
      <c r="E254" t="s">
        <v>88</v>
      </c>
      <c r="F254" t="s">
        <v>14</v>
      </c>
      <c r="G254" t="s">
        <v>15</v>
      </c>
      <c r="H254" s="3">
        <v>6</v>
      </c>
      <c r="I254" s="3">
        <v>54900</v>
      </c>
      <c r="J254" s="3">
        <v>329400</v>
      </c>
      <c r="K254" s="3">
        <v>45000</v>
      </c>
      <c r="L254" s="3">
        <v>270000</v>
      </c>
      <c r="M254" s="3">
        <v>59400</v>
      </c>
      <c r="N254" s="4">
        <v>0.18032786885245902</v>
      </c>
    </row>
    <row r="255" spans="1:14" x14ac:dyDescent="0.3">
      <c r="A255" s="6">
        <v>45676</v>
      </c>
      <c r="B255" s="1" t="s">
        <v>418</v>
      </c>
      <c r="C255" s="1" t="s">
        <v>29</v>
      </c>
      <c r="D255" t="s">
        <v>33</v>
      </c>
      <c r="E255" t="s">
        <v>124</v>
      </c>
      <c r="F255" t="s">
        <v>17</v>
      </c>
      <c r="G255" t="s">
        <v>18</v>
      </c>
      <c r="H255" s="3">
        <v>10</v>
      </c>
      <c r="I255" s="3">
        <v>11475</v>
      </c>
      <c r="J255" s="3">
        <v>114750</v>
      </c>
      <c r="K255" s="3">
        <v>8500</v>
      </c>
      <c r="L255" s="3">
        <v>85000</v>
      </c>
      <c r="M255" s="3">
        <v>29750</v>
      </c>
      <c r="N255" s="4">
        <v>0.25925925925925924</v>
      </c>
    </row>
    <row r="256" spans="1:14" x14ac:dyDescent="0.3">
      <c r="A256" s="6">
        <v>45676</v>
      </c>
      <c r="B256" s="1" t="s">
        <v>419</v>
      </c>
      <c r="C256" s="1" t="s">
        <v>29</v>
      </c>
      <c r="D256" t="s">
        <v>31</v>
      </c>
      <c r="E256" t="s">
        <v>286</v>
      </c>
      <c r="F256" t="s">
        <v>22</v>
      </c>
      <c r="G256" t="s">
        <v>18</v>
      </c>
      <c r="H256" s="3">
        <v>5</v>
      </c>
      <c r="I256" s="3">
        <v>10010</v>
      </c>
      <c r="J256" s="3">
        <v>50050</v>
      </c>
      <c r="K256" s="3">
        <v>7000</v>
      </c>
      <c r="L256" s="3">
        <v>35000</v>
      </c>
      <c r="M256" s="3">
        <v>15050</v>
      </c>
      <c r="N256" s="4">
        <v>0.30069930069930068</v>
      </c>
    </row>
    <row r="257" spans="1:14" x14ac:dyDescent="0.3">
      <c r="A257" s="6">
        <v>45676</v>
      </c>
      <c r="B257" s="1" t="s">
        <v>420</v>
      </c>
      <c r="C257" s="1" t="s">
        <v>29</v>
      </c>
      <c r="D257" t="s">
        <v>35</v>
      </c>
      <c r="E257" t="s">
        <v>275</v>
      </c>
      <c r="F257" t="s">
        <v>21</v>
      </c>
      <c r="G257" t="s">
        <v>20</v>
      </c>
      <c r="H257" s="3">
        <v>7</v>
      </c>
      <c r="I257" s="3">
        <v>815.99999999999989</v>
      </c>
      <c r="J257" s="3">
        <v>5711.9999999999991</v>
      </c>
      <c r="K257" s="3">
        <v>600</v>
      </c>
      <c r="L257" s="3">
        <v>4200</v>
      </c>
      <c r="M257" s="3">
        <v>1511.9999999999991</v>
      </c>
      <c r="N257" s="4">
        <v>0.26470588235294107</v>
      </c>
    </row>
    <row r="258" spans="1:14" x14ac:dyDescent="0.3">
      <c r="A258" s="6">
        <v>45676</v>
      </c>
      <c r="B258" s="1" t="s">
        <v>421</v>
      </c>
      <c r="C258" s="1" t="s">
        <v>29</v>
      </c>
      <c r="D258" t="s">
        <v>32</v>
      </c>
      <c r="E258" t="s">
        <v>169</v>
      </c>
      <c r="F258" t="s">
        <v>21</v>
      </c>
      <c r="G258" t="s">
        <v>20</v>
      </c>
      <c r="H258" s="3">
        <v>2</v>
      </c>
      <c r="I258" s="3">
        <v>858</v>
      </c>
      <c r="J258" s="3">
        <v>1716</v>
      </c>
      <c r="K258" s="3">
        <v>600</v>
      </c>
      <c r="L258" s="3">
        <v>1200</v>
      </c>
      <c r="M258" s="3">
        <v>516</v>
      </c>
      <c r="N258" s="4">
        <v>0.30069930069930068</v>
      </c>
    </row>
    <row r="259" spans="1:14" x14ac:dyDescent="0.3">
      <c r="A259" s="6">
        <v>45676</v>
      </c>
      <c r="B259" s="1" t="s">
        <v>422</v>
      </c>
      <c r="C259" s="1" t="s">
        <v>26</v>
      </c>
      <c r="D259" t="s">
        <v>32</v>
      </c>
      <c r="E259" t="s">
        <v>81</v>
      </c>
      <c r="F259" t="s">
        <v>17</v>
      </c>
      <c r="G259" t="s">
        <v>18</v>
      </c>
      <c r="H259" s="3">
        <v>8</v>
      </c>
      <c r="I259" s="3">
        <v>10625</v>
      </c>
      <c r="J259" s="3">
        <v>85000</v>
      </c>
      <c r="K259" s="3">
        <v>8500</v>
      </c>
      <c r="L259" s="3">
        <v>68000</v>
      </c>
      <c r="M259" s="3">
        <v>17000</v>
      </c>
      <c r="N259" s="4">
        <v>0.2</v>
      </c>
    </row>
    <row r="260" spans="1:14" x14ac:dyDescent="0.3">
      <c r="A260" s="6">
        <v>45676</v>
      </c>
      <c r="B260" s="1" t="s">
        <v>423</v>
      </c>
      <c r="C260" s="1" t="s">
        <v>26</v>
      </c>
      <c r="D260" t="s">
        <v>35</v>
      </c>
      <c r="E260" t="s">
        <v>166</v>
      </c>
      <c r="F260" t="s">
        <v>21</v>
      </c>
      <c r="G260" t="s">
        <v>20</v>
      </c>
      <c r="H260" s="3">
        <v>1</v>
      </c>
      <c r="I260" s="3">
        <v>750</v>
      </c>
      <c r="J260" s="3">
        <v>750</v>
      </c>
      <c r="K260" s="3">
        <v>600</v>
      </c>
      <c r="L260" s="3">
        <v>600</v>
      </c>
      <c r="M260" s="3">
        <v>150</v>
      </c>
      <c r="N260" s="4">
        <v>0.2</v>
      </c>
    </row>
    <row r="261" spans="1:14" x14ac:dyDescent="0.3">
      <c r="A261" s="6">
        <v>45676</v>
      </c>
      <c r="B261" s="1" t="s">
        <v>425</v>
      </c>
      <c r="C261" s="1" t="s">
        <v>27</v>
      </c>
      <c r="D261" t="s">
        <v>33</v>
      </c>
      <c r="E261" t="s">
        <v>53</v>
      </c>
      <c r="F261" t="s">
        <v>22</v>
      </c>
      <c r="G261" t="s">
        <v>18</v>
      </c>
      <c r="H261" s="3">
        <v>6</v>
      </c>
      <c r="I261" s="3">
        <v>9030</v>
      </c>
      <c r="J261" s="3">
        <v>54180</v>
      </c>
      <c r="K261" s="3">
        <v>7000</v>
      </c>
      <c r="L261" s="3">
        <v>42000</v>
      </c>
      <c r="M261" s="3">
        <v>12180</v>
      </c>
      <c r="N261" s="4">
        <v>0.22480620155038761</v>
      </c>
    </row>
    <row r="262" spans="1:14" x14ac:dyDescent="0.3">
      <c r="A262" s="6">
        <v>45676</v>
      </c>
      <c r="B262" s="1" t="s">
        <v>426</v>
      </c>
      <c r="C262" s="1" t="s">
        <v>27</v>
      </c>
      <c r="D262" t="s">
        <v>35</v>
      </c>
      <c r="E262" t="s">
        <v>321</v>
      </c>
      <c r="F262" t="s">
        <v>17</v>
      </c>
      <c r="G262" t="s">
        <v>18</v>
      </c>
      <c r="H262" s="3">
        <v>2</v>
      </c>
      <c r="I262" s="3">
        <v>11135</v>
      </c>
      <c r="J262" s="3">
        <v>22270</v>
      </c>
      <c r="K262" s="3">
        <v>8500</v>
      </c>
      <c r="L262" s="3">
        <v>17000</v>
      </c>
      <c r="M262" s="3">
        <v>5270</v>
      </c>
      <c r="N262" s="4">
        <v>0.23664122137404581</v>
      </c>
    </row>
    <row r="263" spans="1:14" x14ac:dyDescent="0.3">
      <c r="A263" s="6">
        <v>45676</v>
      </c>
      <c r="B263" s="1" t="s">
        <v>428</v>
      </c>
      <c r="C263" s="1" t="s">
        <v>28</v>
      </c>
      <c r="D263" t="s">
        <v>32</v>
      </c>
      <c r="E263" t="s">
        <v>292</v>
      </c>
      <c r="F263" t="s">
        <v>24</v>
      </c>
      <c r="G263" t="s">
        <v>25</v>
      </c>
      <c r="H263" s="3">
        <v>4</v>
      </c>
      <c r="I263" s="3">
        <v>3525</v>
      </c>
      <c r="J263" s="3">
        <v>14100</v>
      </c>
      <c r="K263" s="3">
        <v>2500</v>
      </c>
      <c r="L263" s="3">
        <v>10000</v>
      </c>
      <c r="M263" s="3">
        <v>4100</v>
      </c>
      <c r="N263" s="4">
        <v>0.29078014184397161</v>
      </c>
    </row>
    <row r="264" spans="1:14" x14ac:dyDescent="0.3">
      <c r="A264" s="6">
        <v>45676</v>
      </c>
      <c r="B264" s="1" t="s">
        <v>429</v>
      </c>
      <c r="C264" s="1" t="s">
        <v>27</v>
      </c>
      <c r="D264" t="s">
        <v>30</v>
      </c>
      <c r="E264" t="s">
        <v>321</v>
      </c>
      <c r="F264" t="s">
        <v>17</v>
      </c>
      <c r="G264" t="s">
        <v>18</v>
      </c>
      <c r="H264" s="3">
        <v>10</v>
      </c>
      <c r="I264" s="3">
        <v>12070</v>
      </c>
      <c r="J264" s="3">
        <v>120700</v>
      </c>
      <c r="K264" s="3">
        <v>8500</v>
      </c>
      <c r="L264" s="3">
        <v>85000</v>
      </c>
      <c r="M264" s="3">
        <v>35700</v>
      </c>
      <c r="N264" s="4">
        <v>0.29577464788732394</v>
      </c>
    </row>
    <row r="265" spans="1:14" x14ac:dyDescent="0.3">
      <c r="A265" s="6">
        <v>45676</v>
      </c>
      <c r="B265" s="1" t="s">
        <v>430</v>
      </c>
      <c r="C265" s="1" t="s">
        <v>26</v>
      </c>
      <c r="D265" t="s">
        <v>31</v>
      </c>
      <c r="E265" t="s">
        <v>321</v>
      </c>
      <c r="F265" t="s">
        <v>17</v>
      </c>
      <c r="G265" t="s">
        <v>18</v>
      </c>
      <c r="H265" s="3">
        <v>1</v>
      </c>
      <c r="I265" s="3">
        <v>11305</v>
      </c>
      <c r="J265" s="3">
        <v>11305</v>
      </c>
      <c r="K265" s="3">
        <v>8500</v>
      </c>
      <c r="L265" s="3">
        <v>8500</v>
      </c>
      <c r="M265" s="3">
        <v>2805</v>
      </c>
      <c r="N265" s="4">
        <v>0.24812030075187969</v>
      </c>
    </row>
    <row r="266" spans="1:14" x14ac:dyDescent="0.3">
      <c r="A266" s="6">
        <v>45677</v>
      </c>
      <c r="B266" s="1" t="s">
        <v>432</v>
      </c>
      <c r="C266" s="1" t="s">
        <v>26</v>
      </c>
      <c r="D266" t="s">
        <v>33</v>
      </c>
      <c r="E266" t="s">
        <v>342</v>
      </c>
      <c r="F266" t="s">
        <v>21</v>
      </c>
      <c r="G266" t="s">
        <v>20</v>
      </c>
      <c r="H266" s="3">
        <v>9</v>
      </c>
      <c r="I266" s="3">
        <v>786</v>
      </c>
      <c r="J266" s="3">
        <v>7074</v>
      </c>
      <c r="K266" s="3">
        <v>600</v>
      </c>
      <c r="L266" s="3">
        <v>5400</v>
      </c>
      <c r="M266" s="3">
        <v>1674</v>
      </c>
      <c r="N266" s="4">
        <v>0.23664122137404581</v>
      </c>
    </row>
    <row r="267" spans="1:14" x14ac:dyDescent="0.3">
      <c r="A267" s="6">
        <v>45677</v>
      </c>
      <c r="B267" s="1" t="s">
        <v>433</v>
      </c>
      <c r="C267" s="1" t="s">
        <v>29</v>
      </c>
      <c r="D267" t="s">
        <v>34</v>
      </c>
      <c r="E267" t="s">
        <v>161</v>
      </c>
      <c r="F267" t="s">
        <v>22</v>
      </c>
      <c r="G267" t="s">
        <v>18</v>
      </c>
      <c r="H267" s="3">
        <v>1</v>
      </c>
      <c r="I267" s="3">
        <v>9800</v>
      </c>
      <c r="J267" s="3">
        <v>9800</v>
      </c>
      <c r="K267" s="3">
        <v>7000</v>
      </c>
      <c r="L267" s="3">
        <v>7000</v>
      </c>
      <c r="M267" s="3">
        <v>2800</v>
      </c>
      <c r="N267" s="4">
        <v>0.2857142857142857</v>
      </c>
    </row>
    <row r="268" spans="1:14" x14ac:dyDescent="0.3">
      <c r="A268" s="6">
        <v>45677</v>
      </c>
      <c r="B268" s="1" t="s">
        <v>434</v>
      </c>
      <c r="C268" s="1" t="s">
        <v>27</v>
      </c>
      <c r="D268" t="s">
        <v>32</v>
      </c>
      <c r="E268" t="s">
        <v>442</v>
      </c>
      <c r="F268" t="s">
        <v>17</v>
      </c>
      <c r="G268" t="s">
        <v>18</v>
      </c>
      <c r="H268" s="3">
        <v>4</v>
      </c>
      <c r="I268" s="3">
        <v>12325</v>
      </c>
      <c r="J268" s="3">
        <v>49300</v>
      </c>
      <c r="K268" s="3">
        <v>8500</v>
      </c>
      <c r="L268" s="3">
        <v>34000</v>
      </c>
      <c r="M268" s="3">
        <v>15300</v>
      </c>
      <c r="N268" s="4">
        <v>0.31034482758620691</v>
      </c>
    </row>
    <row r="269" spans="1:14" x14ac:dyDescent="0.3">
      <c r="A269" s="6">
        <v>45677</v>
      </c>
      <c r="B269" s="1" t="s">
        <v>435</v>
      </c>
      <c r="C269" s="1" t="s">
        <v>28</v>
      </c>
      <c r="D269" t="s">
        <v>32</v>
      </c>
      <c r="E269" t="s">
        <v>411</v>
      </c>
      <c r="F269" t="s">
        <v>23</v>
      </c>
      <c r="G269" t="s">
        <v>25</v>
      </c>
      <c r="H269" s="3">
        <v>1</v>
      </c>
      <c r="I269" s="3">
        <v>3872</v>
      </c>
      <c r="J269" s="3">
        <v>3872</v>
      </c>
      <c r="K269" s="3">
        <v>3200</v>
      </c>
      <c r="L269" s="3">
        <v>3200</v>
      </c>
      <c r="M269" s="3">
        <v>672</v>
      </c>
      <c r="N269" s="4">
        <v>0.17355371900826447</v>
      </c>
    </row>
    <row r="270" spans="1:14" x14ac:dyDescent="0.3">
      <c r="A270" s="6">
        <v>45677</v>
      </c>
      <c r="B270" s="1" t="s">
        <v>437</v>
      </c>
      <c r="C270" s="1" t="s">
        <v>28</v>
      </c>
      <c r="D270" t="s">
        <v>35</v>
      </c>
      <c r="E270" t="s">
        <v>153</v>
      </c>
      <c r="F270" t="s">
        <v>16</v>
      </c>
      <c r="G270" t="s">
        <v>15</v>
      </c>
      <c r="H270" s="3">
        <v>4</v>
      </c>
      <c r="I270" s="3">
        <v>50160</v>
      </c>
      <c r="J270" s="3">
        <v>200640</v>
      </c>
      <c r="K270" s="3">
        <v>38000</v>
      </c>
      <c r="L270" s="3">
        <v>152000</v>
      </c>
      <c r="M270" s="3">
        <v>48640</v>
      </c>
      <c r="N270" s="4">
        <v>0.24242424242424243</v>
      </c>
    </row>
    <row r="271" spans="1:14" x14ac:dyDescent="0.3">
      <c r="A271" s="6">
        <v>45677</v>
      </c>
      <c r="B271" s="1" t="s">
        <v>438</v>
      </c>
      <c r="C271" s="1" t="s">
        <v>28</v>
      </c>
      <c r="D271" t="s">
        <v>32</v>
      </c>
      <c r="E271" t="s">
        <v>265</v>
      </c>
      <c r="F271" t="s">
        <v>21</v>
      </c>
      <c r="G271" t="s">
        <v>20</v>
      </c>
      <c r="H271" s="3">
        <v>1</v>
      </c>
      <c r="I271" s="3">
        <v>792</v>
      </c>
      <c r="J271" s="3">
        <v>792</v>
      </c>
      <c r="K271" s="3">
        <v>600</v>
      </c>
      <c r="L271" s="3">
        <v>600</v>
      </c>
      <c r="M271" s="3">
        <v>192</v>
      </c>
      <c r="N271" s="4">
        <v>0.24242424242424243</v>
      </c>
    </row>
    <row r="272" spans="1:14" x14ac:dyDescent="0.3">
      <c r="A272" s="6">
        <v>45677</v>
      </c>
      <c r="B272" s="1" t="s">
        <v>439</v>
      </c>
      <c r="C272" s="1" t="s">
        <v>27</v>
      </c>
      <c r="D272" t="s">
        <v>32</v>
      </c>
      <c r="E272" t="s">
        <v>85</v>
      </c>
      <c r="F272" t="s">
        <v>19</v>
      </c>
      <c r="G272" t="s">
        <v>20</v>
      </c>
      <c r="H272" s="3">
        <v>10</v>
      </c>
      <c r="I272" s="3">
        <v>1107</v>
      </c>
      <c r="J272" s="3">
        <v>11070</v>
      </c>
      <c r="K272" s="3">
        <v>900</v>
      </c>
      <c r="L272" s="3">
        <v>9000</v>
      </c>
      <c r="M272" s="3">
        <v>2070</v>
      </c>
      <c r="N272" s="4">
        <v>0.18699186991869918</v>
      </c>
    </row>
    <row r="273" spans="1:14" x14ac:dyDescent="0.3">
      <c r="A273" s="6">
        <v>45677</v>
      </c>
      <c r="B273" s="1" t="s">
        <v>440</v>
      </c>
      <c r="C273" s="1" t="s">
        <v>29</v>
      </c>
      <c r="D273" t="s">
        <v>30</v>
      </c>
      <c r="E273" t="s">
        <v>321</v>
      </c>
      <c r="F273" t="s">
        <v>21</v>
      </c>
      <c r="G273" t="s">
        <v>20</v>
      </c>
      <c r="H273" s="3">
        <v>6</v>
      </c>
      <c r="I273" s="3">
        <v>732</v>
      </c>
      <c r="J273" s="3">
        <v>4392</v>
      </c>
      <c r="K273" s="3">
        <v>600</v>
      </c>
      <c r="L273" s="3">
        <v>3600</v>
      </c>
      <c r="M273" s="3">
        <v>792</v>
      </c>
      <c r="N273" s="4">
        <v>0.18032786885245902</v>
      </c>
    </row>
    <row r="274" spans="1:14" x14ac:dyDescent="0.3">
      <c r="A274" s="6">
        <v>45677</v>
      </c>
      <c r="B274" s="1" t="s">
        <v>441</v>
      </c>
      <c r="C274" s="1" t="s">
        <v>26</v>
      </c>
      <c r="D274" t="s">
        <v>32</v>
      </c>
      <c r="E274" t="s">
        <v>236</v>
      </c>
      <c r="F274" t="s">
        <v>19</v>
      </c>
      <c r="G274" t="s">
        <v>20</v>
      </c>
      <c r="H274" s="3">
        <v>10</v>
      </c>
      <c r="I274" s="3">
        <v>1170</v>
      </c>
      <c r="J274" s="3">
        <v>11700</v>
      </c>
      <c r="K274" s="3">
        <v>900</v>
      </c>
      <c r="L274" s="3">
        <v>9000</v>
      </c>
      <c r="M274" s="3">
        <v>2700</v>
      </c>
      <c r="N274" s="4">
        <v>0.23076923076923078</v>
      </c>
    </row>
    <row r="275" spans="1:14" x14ac:dyDescent="0.3">
      <c r="A275" s="6">
        <v>45677</v>
      </c>
      <c r="B275" s="1" t="s">
        <v>443</v>
      </c>
      <c r="C275" s="1" t="s">
        <v>27</v>
      </c>
      <c r="D275" t="s">
        <v>31</v>
      </c>
      <c r="E275" t="s">
        <v>76</v>
      </c>
      <c r="F275" t="s">
        <v>19</v>
      </c>
      <c r="G275" t="s">
        <v>20</v>
      </c>
      <c r="H275" s="3">
        <v>9</v>
      </c>
      <c r="I275" s="3">
        <v>1269</v>
      </c>
      <c r="J275" s="3">
        <v>11421</v>
      </c>
      <c r="K275" s="3">
        <v>900</v>
      </c>
      <c r="L275" s="3">
        <v>8100</v>
      </c>
      <c r="M275" s="3">
        <v>3321</v>
      </c>
      <c r="N275" s="4">
        <v>0.29078014184397161</v>
      </c>
    </row>
    <row r="276" spans="1:14" x14ac:dyDescent="0.3">
      <c r="A276" s="6">
        <v>45677</v>
      </c>
      <c r="B276" s="1" t="s">
        <v>444</v>
      </c>
      <c r="C276" s="1" t="s">
        <v>26</v>
      </c>
      <c r="D276" t="s">
        <v>35</v>
      </c>
      <c r="E276" t="s">
        <v>142</v>
      </c>
      <c r="F276" t="s">
        <v>16</v>
      </c>
      <c r="G276" t="s">
        <v>15</v>
      </c>
      <c r="H276" s="3">
        <v>9</v>
      </c>
      <c r="I276" s="3">
        <v>49020</v>
      </c>
      <c r="J276" s="3">
        <v>441180</v>
      </c>
      <c r="K276" s="3">
        <v>38000</v>
      </c>
      <c r="L276" s="3">
        <v>342000</v>
      </c>
      <c r="M276" s="3">
        <v>99180</v>
      </c>
      <c r="N276" s="4">
        <v>0.22480620155038761</v>
      </c>
    </row>
    <row r="277" spans="1:14" x14ac:dyDescent="0.3">
      <c r="A277" s="6">
        <v>45677</v>
      </c>
      <c r="B277" s="1" t="s">
        <v>445</v>
      </c>
      <c r="C277" s="1" t="s">
        <v>28</v>
      </c>
      <c r="D277" t="s">
        <v>32</v>
      </c>
      <c r="E277" t="s">
        <v>574</v>
      </c>
      <c r="F277" t="s">
        <v>14</v>
      </c>
      <c r="G277" t="s">
        <v>15</v>
      </c>
      <c r="H277" s="3">
        <v>6</v>
      </c>
      <c r="I277" s="3">
        <v>63900</v>
      </c>
      <c r="J277" s="3">
        <v>383400</v>
      </c>
      <c r="K277" s="3">
        <v>45000</v>
      </c>
      <c r="L277" s="3">
        <v>270000</v>
      </c>
      <c r="M277" s="3">
        <v>113400</v>
      </c>
      <c r="N277" s="4">
        <v>0.29577464788732394</v>
      </c>
    </row>
    <row r="278" spans="1:14" x14ac:dyDescent="0.3">
      <c r="A278" s="6">
        <v>45677</v>
      </c>
      <c r="B278" s="1" t="s">
        <v>446</v>
      </c>
      <c r="C278" s="1" t="s">
        <v>26</v>
      </c>
      <c r="D278" t="s">
        <v>32</v>
      </c>
      <c r="E278" t="s">
        <v>102</v>
      </c>
      <c r="F278" t="s">
        <v>23</v>
      </c>
      <c r="G278" t="s">
        <v>25</v>
      </c>
      <c r="H278" s="3">
        <v>2</v>
      </c>
      <c r="I278" s="3">
        <v>3936</v>
      </c>
      <c r="J278" s="3">
        <v>7872</v>
      </c>
      <c r="K278" s="3">
        <v>3200</v>
      </c>
      <c r="L278" s="3">
        <v>6400</v>
      </c>
      <c r="M278" s="3">
        <v>1472</v>
      </c>
      <c r="N278" s="4">
        <v>0.18699186991869918</v>
      </c>
    </row>
    <row r="279" spans="1:14" x14ac:dyDescent="0.3">
      <c r="A279" s="6">
        <v>45677</v>
      </c>
      <c r="B279" s="1" t="s">
        <v>448</v>
      </c>
      <c r="C279" s="1" t="s">
        <v>28</v>
      </c>
      <c r="D279" t="s">
        <v>31</v>
      </c>
      <c r="E279" t="s">
        <v>321</v>
      </c>
      <c r="F279" t="s">
        <v>16</v>
      </c>
      <c r="G279" t="s">
        <v>15</v>
      </c>
      <c r="H279" s="3">
        <v>8</v>
      </c>
      <c r="I279" s="3">
        <v>47880</v>
      </c>
      <c r="J279" s="3">
        <v>383040</v>
      </c>
      <c r="K279" s="3">
        <v>38000</v>
      </c>
      <c r="L279" s="3">
        <v>304000</v>
      </c>
      <c r="M279" s="3">
        <v>79040</v>
      </c>
      <c r="N279" s="4">
        <v>0.20634920634920634</v>
      </c>
    </row>
    <row r="280" spans="1:14" x14ac:dyDescent="0.3">
      <c r="A280" s="6">
        <v>45678</v>
      </c>
      <c r="B280" s="1" t="s">
        <v>449</v>
      </c>
      <c r="C280" s="1" t="s">
        <v>29</v>
      </c>
      <c r="D280" t="s">
        <v>34</v>
      </c>
      <c r="E280" t="s">
        <v>363</v>
      </c>
      <c r="F280" t="s">
        <v>17</v>
      </c>
      <c r="G280" t="s">
        <v>18</v>
      </c>
      <c r="H280" s="3">
        <v>9</v>
      </c>
      <c r="I280" s="3">
        <v>12240</v>
      </c>
      <c r="J280" s="3">
        <v>110160</v>
      </c>
      <c r="K280" s="3">
        <v>8500</v>
      </c>
      <c r="L280" s="3">
        <v>76500</v>
      </c>
      <c r="M280" s="3">
        <v>33660</v>
      </c>
      <c r="N280" s="4">
        <v>0.30555555555555558</v>
      </c>
    </row>
    <row r="281" spans="1:14" x14ac:dyDescent="0.3">
      <c r="A281" s="6">
        <v>45678</v>
      </c>
      <c r="B281" s="1" t="s">
        <v>450</v>
      </c>
      <c r="C281" s="1" t="s">
        <v>26</v>
      </c>
      <c r="D281" t="s">
        <v>31</v>
      </c>
      <c r="E281" t="s">
        <v>218</v>
      </c>
      <c r="F281" t="s">
        <v>17</v>
      </c>
      <c r="G281" t="s">
        <v>18</v>
      </c>
      <c r="H281" s="3">
        <v>10</v>
      </c>
      <c r="I281" s="3">
        <v>11305</v>
      </c>
      <c r="J281" s="3">
        <v>113050</v>
      </c>
      <c r="K281" s="3">
        <v>8500</v>
      </c>
      <c r="L281" s="3">
        <v>85000</v>
      </c>
      <c r="M281" s="3">
        <v>28050</v>
      </c>
      <c r="N281" s="4">
        <v>0.24812030075187969</v>
      </c>
    </row>
    <row r="282" spans="1:14" x14ac:dyDescent="0.3">
      <c r="A282" s="6">
        <v>45678</v>
      </c>
      <c r="B282" s="1" t="s">
        <v>451</v>
      </c>
      <c r="C282" s="1" t="s">
        <v>26</v>
      </c>
      <c r="D282" t="s">
        <v>32</v>
      </c>
      <c r="E282" t="s">
        <v>166</v>
      </c>
      <c r="F282" t="s">
        <v>23</v>
      </c>
      <c r="G282" t="s">
        <v>25</v>
      </c>
      <c r="H282" s="3">
        <v>6</v>
      </c>
      <c r="I282" s="3">
        <v>4064</v>
      </c>
      <c r="J282" s="3">
        <v>24384</v>
      </c>
      <c r="K282" s="3">
        <v>3200</v>
      </c>
      <c r="L282" s="3">
        <v>19200</v>
      </c>
      <c r="M282" s="3">
        <v>5184</v>
      </c>
      <c r="N282" s="4">
        <v>0.2125984251968504</v>
      </c>
    </row>
    <row r="283" spans="1:14" x14ac:dyDescent="0.3">
      <c r="A283" s="6">
        <v>45678</v>
      </c>
      <c r="B283" s="1" t="s">
        <v>452</v>
      </c>
      <c r="C283" s="1" t="s">
        <v>27</v>
      </c>
      <c r="D283" t="s">
        <v>33</v>
      </c>
      <c r="E283" t="s">
        <v>102</v>
      </c>
      <c r="F283" t="s">
        <v>22</v>
      </c>
      <c r="G283" t="s">
        <v>18</v>
      </c>
      <c r="H283" s="3">
        <v>1</v>
      </c>
      <c r="I283" s="3">
        <v>8820</v>
      </c>
      <c r="J283" s="3">
        <v>8820</v>
      </c>
      <c r="K283" s="3">
        <v>7000</v>
      </c>
      <c r="L283" s="3">
        <v>7000</v>
      </c>
      <c r="M283" s="3">
        <v>1820</v>
      </c>
      <c r="N283" s="4">
        <v>0.20634920634920634</v>
      </c>
    </row>
    <row r="284" spans="1:14" x14ac:dyDescent="0.3">
      <c r="A284" s="6">
        <v>45678</v>
      </c>
      <c r="B284" s="1" t="s">
        <v>454</v>
      </c>
      <c r="C284" s="1" t="s">
        <v>28</v>
      </c>
      <c r="D284" t="s">
        <v>35</v>
      </c>
      <c r="E284" t="s">
        <v>116</v>
      </c>
      <c r="F284" t="s">
        <v>16</v>
      </c>
      <c r="G284" t="s">
        <v>15</v>
      </c>
      <c r="H284" s="3">
        <v>2</v>
      </c>
      <c r="I284" s="3">
        <v>48260</v>
      </c>
      <c r="J284" s="3">
        <v>96520</v>
      </c>
      <c r="K284" s="3">
        <v>38000</v>
      </c>
      <c r="L284" s="3">
        <v>76000</v>
      </c>
      <c r="M284" s="3">
        <v>20520</v>
      </c>
      <c r="N284" s="4">
        <v>0.2125984251968504</v>
      </c>
    </row>
    <row r="285" spans="1:14" x14ac:dyDescent="0.3">
      <c r="A285" s="6">
        <v>45678</v>
      </c>
      <c r="B285" s="1" t="s">
        <v>455</v>
      </c>
      <c r="C285" s="1" t="s">
        <v>26</v>
      </c>
      <c r="D285" t="s">
        <v>30</v>
      </c>
      <c r="E285" t="s">
        <v>134</v>
      </c>
      <c r="F285" t="s">
        <v>22</v>
      </c>
      <c r="G285" t="s">
        <v>18</v>
      </c>
      <c r="H285" s="3">
        <v>7</v>
      </c>
      <c r="I285" s="3">
        <v>8470</v>
      </c>
      <c r="J285" s="3">
        <v>59290</v>
      </c>
      <c r="K285" s="3">
        <v>7000</v>
      </c>
      <c r="L285" s="3">
        <v>49000</v>
      </c>
      <c r="M285" s="3">
        <v>10290</v>
      </c>
      <c r="N285" s="4">
        <v>0.17355371900826447</v>
      </c>
    </row>
    <row r="286" spans="1:14" x14ac:dyDescent="0.3">
      <c r="A286" s="6">
        <v>45678</v>
      </c>
      <c r="B286" s="1" t="s">
        <v>456</v>
      </c>
      <c r="C286" s="1" t="s">
        <v>27</v>
      </c>
      <c r="D286" t="s">
        <v>35</v>
      </c>
      <c r="E286" t="s">
        <v>47</v>
      </c>
      <c r="F286" t="s">
        <v>22</v>
      </c>
      <c r="G286" t="s">
        <v>18</v>
      </c>
      <c r="H286" s="3">
        <v>3</v>
      </c>
      <c r="I286" s="3">
        <v>8470</v>
      </c>
      <c r="J286" s="3">
        <v>25410</v>
      </c>
      <c r="K286" s="3">
        <v>7000</v>
      </c>
      <c r="L286" s="3">
        <v>21000</v>
      </c>
      <c r="M286" s="3">
        <v>4410</v>
      </c>
      <c r="N286" s="4">
        <v>0.17355371900826447</v>
      </c>
    </row>
    <row r="287" spans="1:14" x14ac:dyDescent="0.3">
      <c r="A287" s="6">
        <v>45678</v>
      </c>
      <c r="B287" s="1" t="s">
        <v>457</v>
      </c>
      <c r="C287" s="1" t="s">
        <v>27</v>
      </c>
      <c r="D287" t="s">
        <v>31</v>
      </c>
      <c r="E287" t="s">
        <v>239</v>
      </c>
      <c r="F287" t="s">
        <v>22</v>
      </c>
      <c r="G287" t="s">
        <v>18</v>
      </c>
      <c r="H287" s="3">
        <v>10</v>
      </c>
      <c r="I287" s="3">
        <v>9450</v>
      </c>
      <c r="J287" s="3">
        <v>94500</v>
      </c>
      <c r="K287" s="3">
        <v>7000</v>
      </c>
      <c r="L287" s="3">
        <v>70000</v>
      </c>
      <c r="M287" s="3">
        <v>24500</v>
      </c>
      <c r="N287" s="4">
        <v>0.25925925925925924</v>
      </c>
    </row>
    <row r="288" spans="1:14" x14ac:dyDescent="0.3">
      <c r="A288" s="6">
        <v>45678</v>
      </c>
      <c r="B288" s="1" t="s">
        <v>458</v>
      </c>
      <c r="C288" s="1" t="s">
        <v>29</v>
      </c>
      <c r="D288" t="s">
        <v>32</v>
      </c>
      <c r="E288" t="s">
        <v>204</v>
      </c>
      <c r="F288" t="s">
        <v>23</v>
      </c>
      <c r="G288" t="s">
        <v>25</v>
      </c>
      <c r="H288" s="3">
        <v>8</v>
      </c>
      <c r="I288" s="3">
        <v>4320</v>
      </c>
      <c r="J288" s="3">
        <v>34560</v>
      </c>
      <c r="K288" s="3">
        <v>3200</v>
      </c>
      <c r="L288" s="3">
        <v>25600</v>
      </c>
      <c r="M288" s="3">
        <v>8960</v>
      </c>
      <c r="N288" s="4">
        <v>0.25925925925925924</v>
      </c>
    </row>
    <row r="289" spans="1:14" x14ac:dyDescent="0.3">
      <c r="A289" s="6">
        <v>45678</v>
      </c>
      <c r="B289" s="1" t="s">
        <v>459</v>
      </c>
      <c r="C289" s="1" t="s">
        <v>26</v>
      </c>
      <c r="D289" t="s">
        <v>31</v>
      </c>
      <c r="E289" t="s">
        <v>118</v>
      </c>
      <c r="F289" t="s">
        <v>23</v>
      </c>
      <c r="G289" t="s">
        <v>25</v>
      </c>
      <c r="H289" s="3">
        <v>2</v>
      </c>
      <c r="I289" s="3">
        <v>3872</v>
      </c>
      <c r="J289" s="3">
        <v>7744</v>
      </c>
      <c r="K289" s="3">
        <v>3200</v>
      </c>
      <c r="L289" s="3">
        <v>6400</v>
      </c>
      <c r="M289" s="3">
        <v>1344</v>
      </c>
      <c r="N289" s="4">
        <v>0.17355371900826447</v>
      </c>
    </row>
    <row r="290" spans="1:14" x14ac:dyDescent="0.3">
      <c r="A290" s="6">
        <v>45678</v>
      </c>
      <c r="B290" s="1" t="s">
        <v>460</v>
      </c>
      <c r="C290" s="1" t="s">
        <v>28</v>
      </c>
      <c r="D290" t="s">
        <v>33</v>
      </c>
      <c r="E290" t="s">
        <v>137</v>
      </c>
      <c r="F290" t="s">
        <v>24</v>
      </c>
      <c r="G290" t="s">
        <v>25</v>
      </c>
      <c r="H290" s="3">
        <v>2</v>
      </c>
      <c r="I290" s="3">
        <v>3175</v>
      </c>
      <c r="J290" s="3">
        <v>6350</v>
      </c>
      <c r="K290" s="3">
        <v>2500</v>
      </c>
      <c r="L290" s="3">
        <v>5000</v>
      </c>
      <c r="M290" s="3">
        <v>1350</v>
      </c>
      <c r="N290" s="4">
        <v>0.2125984251968504</v>
      </c>
    </row>
    <row r="291" spans="1:14" x14ac:dyDescent="0.3">
      <c r="A291" s="6">
        <v>45678</v>
      </c>
      <c r="B291" s="1" t="s">
        <v>461</v>
      </c>
      <c r="C291" s="1" t="s">
        <v>29</v>
      </c>
      <c r="D291" t="s">
        <v>35</v>
      </c>
      <c r="E291" t="s">
        <v>201</v>
      </c>
      <c r="F291" t="s">
        <v>21</v>
      </c>
      <c r="G291" t="s">
        <v>20</v>
      </c>
      <c r="H291" s="3">
        <v>2</v>
      </c>
      <c r="I291" s="3">
        <v>827.99999999999989</v>
      </c>
      <c r="J291" s="3">
        <v>1655.9999999999998</v>
      </c>
      <c r="K291" s="3">
        <v>600</v>
      </c>
      <c r="L291" s="3">
        <v>1200</v>
      </c>
      <c r="M291" s="3">
        <v>455.99999999999977</v>
      </c>
      <c r="N291" s="4">
        <v>0.2753623188405796</v>
      </c>
    </row>
    <row r="292" spans="1:14" x14ac:dyDescent="0.3">
      <c r="A292" s="6">
        <v>45678</v>
      </c>
      <c r="B292" s="1" t="s">
        <v>462</v>
      </c>
      <c r="C292" s="1" t="s">
        <v>26</v>
      </c>
      <c r="D292" t="s">
        <v>30</v>
      </c>
      <c r="E292" t="s">
        <v>96</v>
      </c>
      <c r="F292" t="s">
        <v>21</v>
      </c>
      <c r="G292" t="s">
        <v>20</v>
      </c>
      <c r="H292" s="3">
        <v>8</v>
      </c>
      <c r="I292" s="3">
        <v>726</v>
      </c>
      <c r="J292" s="3">
        <v>5808</v>
      </c>
      <c r="K292" s="3">
        <v>600</v>
      </c>
      <c r="L292" s="3">
        <v>4800</v>
      </c>
      <c r="M292" s="3">
        <v>1008</v>
      </c>
      <c r="N292" s="4">
        <v>0.17355371900826447</v>
      </c>
    </row>
    <row r="293" spans="1:14" x14ac:dyDescent="0.3">
      <c r="A293" s="6">
        <v>45678</v>
      </c>
      <c r="B293" s="1" t="s">
        <v>463</v>
      </c>
      <c r="C293" s="1" t="s">
        <v>27</v>
      </c>
      <c r="D293" t="s">
        <v>33</v>
      </c>
      <c r="E293" t="s">
        <v>365</v>
      </c>
      <c r="F293" t="s">
        <v>14</v>
      </c>
      <c r="G293" t="s">
        <v>15</v>
      </c>
      <c r="H293" s="3">
        <v>7</v>
      </c>
      <c r="I293" s="3">
        <v>58500</v>
      </c>
      <c r="J293" s="3">
        <v>409500</v>
      </c>
      <c r="K293" s="3">
        <v>45000</v>
      </c>
      <c r="L293" s="3">
        <v>315000</v>
      </c>
      <c r="M293" s="3">
        <v>94500</v>
      </c>
      <c r="N293" s="4">
        <v>0.23076923076923078</v>
      </c>
    </row>
    <row r="294" spans="1:14" x14ac:dyDescent="0.3">
      <c r="A294" s="6">
        <v>45679</v>
      </c>
      <c r="B294" s="1" t="s">
        <v>464</v>
      </c>
      <c r="C294" s="1" t="s">
        <v>28</v>
      </c>
      <c r="D294" t="s">
        <v>31</v>
      </c>
      <c r="E294" t="s">
        <v>431</v>
      </c>
      <c r="F294" t="s">
        <v>22</v>
      </c>
      <c r="G294" t="s">
        <v>18</v>
      </c>
      <c r="H294" s="3">
        <v>1</v>
      </c>
      <c r="I294" s="3">
        <v>8890</v>
      </c>
      <c r="J294" s="3">
        <v>8890</v>
      </c>
      <c r="K294" s="3">
        <v>7000</v>
      </c>
      <c r="L294" s="3">
        <v>7000</v>
      </c>
      <c r="M294" s="3">
        <v>1890</v>
      </c>
      <c r="N294" s="4">
        <v>0.2125984251968504</v>
      </c>
    </row>
    <row r="295" spans="1:14" x14ac:dyDescent="0.3">
      <c r="A295" s="6">
        <v>45679</v>
      </c>
      <c r="B295" s="1" t="s">
        <v>465</v>
      </c>
      <c r="C295" s="1" t="s">
        <v>29</v>
      </c>
      <c r="D295" t="s">
        <v>34</v>
      </c>
      <c r="E295" t="s">
        <v>336</v>
      </c>
      <c r="F295" t="s">
        <v>19</v>
      </c>
      <c r="G295" t="s">
        <v>20</v>
      </c>
      <c r="H295" s="3">
        <v>4</v>
      </c>
      <c r="I295" s="3">
        <v>1197</v>
      </c>
      <c r="J295" s="3">
        <v>4788</v>
      </c>
      <c r="K295" s="3">
        <v>900</v>
      </c>
      <c r="L295" s="3">
        <v>3600</v>
      </c>
      <c r="M295" s="3">
        <v>1188</v>
      </c>
      <c r="N295" s="4">
        <v>0.24812030075187969</v>
      </c>
    </row>
    <row r="296" spans="1:14" x14ac:dyDescent="0.3">
      <c r="A296" s="6">
        <v>45679</v>
      </c>
      <c r="B296" s="1" t="s">
        <v>466</v>
      </c>
      <c r="C296" s="1" t="s">
        <v>26</v>
      </c>
      <c r="D296" t="s">
        <v>31</v>
      </c>
      <c r="E296" t="s">
        <v>431</v>
      </c>
      <c r="F296" t="s">
        <v>24</v>
      </c>
      <c r="G296" t="s">
        <v>25</v>
      </c>
      <c r="H296" s="3">
        <v>10</v>
      </c>
      <c r="I296" s="3">
        <v>3525</v>
      </c>
      <c r="J296" s="3">
        <v>35250</v>
      </c>
      <c r="K296" s="3">
        <v>2500</v>
      </c>
      <c r="L296" s="3">
        <v>25000</v>
      </c>
      <c r="M296" s="3">
        <v>10250</v>
      </c>
      <c r="N296" s="4">
        <v>0.29078014184397161</v>
      </c>
    </row>
    <row r="297" spans="1:14" x14ac:dyDescent="0.3">
      <c r="A297" s="6">
        <v>45679</v>
      </c>
      <c r="B297" s="1" t="s">
        <v>467</v>
      </c>
      <c r="C297" s="1" t="s">
        <v>29</v>
      </c>
      <c r="D297" t="s">
        <v>34</v>
      </c>
      <c r="E297" t="s">
        <v>243</v>
      </c>
      <c r="F297" t="s">
        <v>23</v>
      </c>
      <c r="G297" t="s">
        <v>25</v>
      </c>
      <c r="H297" s="3">
        <v>5</v>
      </c>
      <c r="I297" s="3">
        <v>4608</v>
      </c>
      <c r="J297" s="3">
        <v>23040</v>
      </c>
      <c r="K297" s="3">
        <v>3200</v>
      </c>
      <c r="L297" s="3">
        <v>16000</v>
      </c>
      <c r="M297" s="3">
        <v>7040</v>
      </c>
      <c r="N297" s="4">
        <v>0.30555555555555558</v>
      </c>
    </row>
    <row r="298" spans="1:14" x14ac:dyDescent="0.3">
      <c r="A298" s="6">
        <v>45679</v>
      </c>
      <c r="B298" s="1" t="s">
        <v>468</v>
      </c>
      <c r="C298" s="1" t="s">
        <v>28</v>
      </c>
      <c r="D298" t="s">
        <v>30</v>
      </c>
      <c r="E298" t="s">
        <v>222</v>
      </c>
      <c r="F298" t="s">
        <v>14</v>
      </c>
      <c r="G298" t="s">
        <v>15</v>
      </c>
      <c r="H298" s="3">
        <v>10</v>
      </c>
      <c r="I298" s="3">
        <v>63900</v>
      </c>
      <c r="J298" s="3">
        <v>639000</v>
      </c>
      <c r="K298" s="3">
        <v>45000</v>
      </c>
      <c r="L298" s="3">
        <v>450000</v>
      </c>
      <c r="M298" s="3">
        <v>189000</v>
      </c>
      <c r="N298" s="4">
        <v>0.29577464788732394</v>
      </c>
    </row>
    <row r="299" spans="1:14" x14ac:dyDescent="0.3">
      <c r="A299" s="6">
        <v>45679</v>
      </c>
      <c r="B299" s="1" t="s">
        <v>469</v>
      </c>
      <c r="C299" s="1" t="s">
        <v>27</v>
      </c>
      <c r="D299" t="s">
        <v>35</v>
      </c>
      <c r="E299" t="s">
        <v>134</v>
      </c>
      <c r="F299" t="s">
        <v>21</v>
      </c>
      <c r="G299" t="s">
        <v>20</v>
      </c>
      <c r="H299" s="3">
        <v>5</v>
      </c>
      <c r="I299" s="3">
        <v>768</v>
      </c>
      <c r="J299" s="3">
        <v>3840</v>
      </c>
      <c r="K299" s="3">
        <v>600</v>
      </c>
      <c r="L299" s="3">
        <v>3000</v>
      </c>
      <c r="M299" s="3">
        <v>840</v>
      </c>
      <c r="N299" s="4">
        <v>0.21875</v>
      </c>
    </row>
    <row r="300" spans="1:14" x14ac:dyDescent="0.3">
      <c r="A300" s="6">
        <v>45679</v>
      </c>
      <c r="B300" s="1" t="s">
        <v>470</v>
      </c>
      <c r="C300" s="1" t="s">
        <v>27</v>
      </c>
      <c r="D300" t="s">
        <v>35</v>
      </c>
      <c r="E300" t="s">
        <v>55</v>
      </c>
      <c r="F300" t="s">
        <v>14</v>
      </c>
      <c r="G300" t="s">
        <v>15</v>
      </c>
      <c r="H300" s="3">
        <v>8</v>
      </c>
      <c r="I300" s="3">
        <v>58950</v>
      </c>
      <c r="J300" s="3">
        <v>471600</v>
      </c>
      <c r="K300" s="3">
        <v>45000</v>
      </c>
      <c r="L300" s="3">
        <v>360000</v>
      </c>
      <c r="M300" s="3">
        <v>111600</v>
      </c>
      <c r="N300" s="4">
        <v>0.23664122137404581</v>
      </c>
    </row>
    <row r="301" spans="1:14" x14ac:dyDescent="0.3">
      <c r="A301" s="6">
        <v>45679</v>
      </c>
      <c r="B301" s="1" t="s">
        <v>471</v>
      </c>
      <c r="C301" s="1" t="s">
        <v>29</v>
      </c>
      <c r="D301" t="s">
        <v>35</v>
      </c>
      <c r="E301" t="s">
        <v>118</v>
      </c>
      <c r="F301" t="s">
        <v>22</v>
      </c>
      <c r="G301" t="s">
        <v>18</v>
      </c>
      <c r="H301" s="3">
        <v>5</v>
      </c>
      <c r="I301" s="3">
        <v>8400</v>
      </c>
      <c r="J301" s="3">
        <v>42000</v>
      </c>
      <c r="K301" s="3">
        <v>7000</v>
      </c>
      <c r="L301" s="3">
        <v>35000</v>
      </c>
      <c r="M301" s="3">
        <v>7000</v>
      </c>
      <c r="N301" s="4">
        <v>0.16666666666666666</v>
      </c>
    </row>
    <row r="302" spans="1:14" x14ac:dyDescent="0.3">
      <c r="A302" s="6">
        <v>45679</v>
      </c>
      <c r="B302" s="1" t="s">
        <v>472</v>
      </c>
      <c r="C302" s="1" t="s">
        <v>29</v>
      </c>
      <c r="D302" t="s">
        <v>33</v>
      </c>
      <c r="E302" t="s">
        <v>92</v>
      </c>
      <c r="F302" t="s">
        <v>16</v>
      </c>
      <c r="G302" t="s">
        <v>15</v>
      </c>
      <c r="H302" s="3">
        <v>4</v>
      </c>
      <c r="I302" s="3">
        <v>54720</v>
      </c>
      <c r="J302" s="3">
        <v>218880</v>
      </c>
      <c r="K302" s="3">
        <v>38000</v>
      </c>
      <c r="L302" s="3">
        <v>152000</v>
      </c>
      <c r="M302" s="3">
        <v>66880</v>
      </c>
      <c r="N302" s="4">
        <v>0.30555555555555558</v>
      </c>
    </row>
    <row r="303" spans="1:14" x14ac:dyDescent="0.3">
      <c r="A303" s="6">
        <v>45679</v>
      </c>
      <c r="B303" s="1" t="s">
        <v>473</v>
      </c>
      <c r="C303" s="1" t="s">
        <v>27</v>
      </c>
      <c r="D303" t="s">
        <v>32</v>
      </c>
      <c r="E303" t="s">
        <v>411</v>
      </c>
      <c r="F303" t="s">
        <v>23</v>
      </c>
      <c r="G303" t="s">
        <v>25</v>
      </c>
      <c r="H303" s="3">
        <v>6</v>
      </c>
      <c r="I303" s="3">
        <v>4256</v>
      </c>
      <c r="J303" s="3">
        <v>25536</v>
      </c>
      <c r="K303" s="3">
        <v>3200</v>
      </c>
      <c r="L303" s="3">
        <v>19200</v>
      </c>
      <c r="M303" s="3">
        <v>6336</v>
      </c>
      <c r="N303" s="4">
        <v>0.24812030075187969</v>
      </c>
    </row>
    <row r="304" spans="1:14" x14ac:dyDescent="0.3">
      <c r="A304" s="6">
        <v>45679</v>
      </c>
      <c r="B304" s="1" t="s">
        <v>474</v>
      </c>
      <c r="C304" s="1" t="s">
        <v>28</v>
      </c>
      <c r="D304" t="s">
        <v>31</v>
      </c>
      <c r="E304" t="s">
        <v>149</v>
      </c>
      <c r="F304" t="s">
        <v>22</v>
      </c>
      <c r="G304" t="s">
        <v>18</v>
      </c>
      <c r="H304" s="3">
        <v>7</v>
      </c>
      <c r="I304" s="3">
        <v>8400</v>
      </c>
      <c r="J304" s="3">
        <v>58800</v>
      </c>
      <c r="K304" s="3">
        <v>7000</v>
      </c>
      <c r="L304" s="3">
        <v>49000</v>
      </c>
      <c r="M304" s="3">
        <v>9800</v>
      </c>
      <c r="N304" s="4">
        <v>0.16666666666666666</v>
      </c>
    </row>
    <row r="305" spans="1:14" x14ac:dyDescent="0.3">
      <c r="A305" s="6">
        <v>45679</v>
      </c>
      <c r="B305" s="1" t="s">
        <v>475</v>
      </c>
      <c r="C305" s="1" t="s">
        <v>28</v>
      </c>
      <c r="D305" t="s">
        <v>31</v>
      </c>
      <c r="E305" t="s">
        <v>149</v>
      </c>
      <c r="F305" t="s">
        <v>17</v>
      </c>
      <c r="G305" t="s">
        <v>18</v>
      </c>
      <c r="H305" s="3">
        <v>5</v>
      </c>
      <c r="I305" s="3">
        <v>10200</v>
      </c>
      <c r="J305" s="3">
        <v>51000</v>
      </c>
      <c r="K305" s="3">
        <v>8500</v>
      </c>
      <c r="L305" s="3">
        <v>42500</v>
      </c>
      <c r="M305" s="3">
        <v>8500</v>
      </c>
      <c r="N305" s="4">
        <v>0.16666666666666666</v>
      </c>
    </row>
    <row r="306" spans="1:14" x14ac:dyDescent="0.3">
      <c r="A306" s="6">
        <v>45679</v>
      </c>
      <c r="B306" s="1" t="s">
        <v>476</v>
      </c>
      <c r="C306" s="1" t="s">
        <v>28</v>
      </c>
      <c r="D306" t="s">
        <v>31</v>
      </c>
      <c r="E306" t="s">
        <v>415</v>
      </c>
      <c r="F306" t="s">
        <v>23</v>
      </c>
      <c r="G306" t="s">
        <v>25</v>
      </c>
      <c r="H306" s="3">
        <v>3</v>
      </c>
      <c r="I306" s="3">
        <v>4320</v>
      </c>
      <c r="J306" s="3">
        <v>12960</v>
      </c>
      <c r="K306" s="3">
        <v>3200</v>
      </c>
      <c r="L306" s="3">
        <v>9600</v>
      </c>
      <c r="M306" s="3">
        <v>3360</v>
      </c>
      <c r="N306" s="4">
        <v>0.25925925925925924</v>
      </c>
    </row>
    <row r="307" spans="1:14" x14ac:dyDescent="0.3">
      <c r="A307" s="6">
        <v>45679</v>
      </c>
      <c r="B307" s="1" t="s">
        <v>477</v>
      </c>
      <c r="C307" s="1" t="s">
        <v>29</v>
      </c>
      <c r="D307" t="s">
        <v>34</v>
      </c>
      <c r="E307" t="s">
        <v>134</v>
      </c>
      <c r="F307" t="s">
        <v>19</v>
      </c>
      <c r="G307" t="s">
        <v>20</v>
      </c>
      <c r="H307" s="3">
        <v>4</v>
      </c>
      <c r="I307" s="3">
        <v>1215</v>
      </c>
      <c r="J307" s="3">
        <v>4860</v>
      </c>
      <c r="K307" s="3">
        <v>900</v>
      </c>
      <c r="L307" s="3">
        <v>3600</v>
      </c>
      <c r="M307" s="3">
        <v>1260</v>
      </c>
      <c r="N307" s="4">
        <v>0.25925925925925924</v>
      </c>
    </row>
    <row r="308" spans="1:14" x14ac:dyDescent="0.3">
      <c r="A308" s="6">
        <v>45680</v>
      </c>
      <c r="B308" s="1" t="s">
        <v>478</v>
      </c>
      <c r="C308" s="1" t="s">
        <v>26</v>
      </c>
      <c r="D308" t="s">
        <v>34</v>
      </c>
      <c r="E308" t="s">
        <v>506</v>
      </c>
      <c r="F308" t="s">
        <v>23</v>
      </c>
      <c r="G308" t="s">
        <v>25</v>
      </c>
      <c r="H308" s="3">
        <v>6</v>
      </c>
      <c r="I308" s="3">
        <v>4448</v>
      </c>
      <c r="J308" s="3">
        <v>26688</v>
      </c>
      <c r="K308" s="3">
        <v>3200</v>
      </c>
      <c r="L308" s="3">
        <v>19200</v>
      </c>
      <c r="M308" s="3">
        <v>7488</v>
      </c>
      <c r="N308" s="4">
        <v>0.2805755395683453</v>
      </c>
    </row>
    <row r="309" spans="1:14" x14ac:dyDescent="0.3">
      <c r="A309" s="6">
        <v>45680</v>
      </c>
      <c r="B309" s="1" t="s">
        <v>479</v>
      </c>
      <c r="C309" s="1" t="s">
        <v>27</v>
      </c>
      <c r="D309" t="s">
        <v>35</v>
      </c>
      <c r="E309" t="s">
        <v>342</v>
      </c>
      <c r="F309" t="s">
        <v>14</v>
      </c>
      <c r="G309" t="s">
        <v>15</v>
      </c>
      <c r="H309" s="3">
        <v>5</v>
      </c>
      <c r="I309" s="3">
        <v>57150</v>
      </c>
      <c r="J309" s="3">
        <v>285750</v>
      </c>
      <c r="K309" s="3">
        <v>45000</v>
      </c>
      <c r="L309" s="3">
        <v>225000</v>
      </c>
      <c r="M309" s="3">
        <v>60750</v>
      </c>
      <c r="N309" s="4">
        <v>0.2125984251968504</v>
      </c>
    </row>
    <row r="310" spans="1:14" x14ac:dyDescent="0.3">
      <c r="A310" s="6">
        <v>45680</v>
      </c>
      <c r="B310" s="1" t="s">
        <v>480</v>
      </c>
      <c r="C310" s="1" t="s">
        <v>26</v>
      </c>
      <c r="D310" t="s">
        <v>34</v>
      </c>
      <c r="E310" t="s">
        <v>447</v>
      </c>
      <c r="F310" t="s">
        <v>22</v>
      </c>
      <c r="G310" t="s">
        <v>18</v>
      </c>
      <c r="H310" s="3">
        <v>6</v>
      </c>
      <c r="I310" s="3">
        <v>9170</v>
      </c>
      <c r="J310" s="3">
        <v>55020</v>
      </c>
      <c r="K310" s="3">
        <v>7000</v>
      </c>
      <c r="L310" s="3">
        <v>42000</v>
      </c>
      <c r="M310" s="3">
        <v>13020</v>
      </c>
      <c r="N310" s="4">
        <v>0.23664122137404581</v>
      </c>
    </row>
    <row r="311" spans="1:14" x14ac:dyDescent="0.3">
      <c r="A311" s="6">
        <v>45680</v>
      </c>
      <c r="B311" s="1" t="s">
        <v>481</v>
      </c>
      <c r="C311" s="1" t="s">
        <v>27</v>
      </c>
      <c r="D311" t="s">
        <v>31</v>
      </c>
      <c r="E311" t="s">
        <v>236</v>
      </c>
      <c r="F311" t="s">
        <v>21</v>
      </c>
      <c r="G311" t="s">
        <v>20</v>
      </c>
      <c r="H311" s="3">
        <v>2</v>
      </c>
      <c r="I311" s="3">
        <v>846</v>
      </c>
      <c r="J311" s="3">
        <v>1692</v>
      </c>
      <c r="K311" s="3">
        <v>600</v>
      </c>
      <c r="L311" s="3">
        <v>1200</v>
      </c>
      <c r="M311" s="3">
        <v>492</v>
      </c>
      <c r="N311" s="4">
        <v>0.29078014184397161</v>
      </c>
    </row>
    <row r="312" spans="1:14" x14ac:dyDescent="0.3">
      <c r="A312" s="6">
        <v>45680</v>
      </c>
      <c r="B312" s="1" t="s">
        <v>482</v>
      </c>
      <c r="C312" s="1" t="s">
        <v>26</v>
      </c>
      <c r="D312" t="s">
        <v>34</v>
      </c>
      <c r="E312" t="s">
        <v>74</v>
      </c>
      <c r="F312" t="s">
        <v>21</v>
      </c>
      <c r="G312" t="s">
        <v>20</v>
      </c>
      <c r="H312" s="3">
        <v>8</v>
      </c>
      <c r="I312" s="3">
        <v>864</v>
      </c>
      <c r="J312" s="3">
        <v>6912</v>
      </c>
      <c r="K312" s="3">
        <v>600</v>
      </c>
      <c r="L312" s="3">
        <v>4800</v>
      </c>
      <c r="M312" s="3">
        <v>2112</v>
      </c>
      <c r="N312" s="4">
        <v>0.30555555555555558</v>
      </c>
    </row>
    <row r="313" spans="1:14" x14ac:dyDescent="0.3">
      <c r="A313" s="6">
        <v>45680</v>
      </c>
      <c r="B313" s="1" t="s">
        <v>483</v>
      </c>
      <c r="C313" s="1" t="s">
        <v>26</v>
      </c>
      <c r="D313" t="s">
        <v>31</v>
      </c>
      <c r="E313" t="s">
        <v>379</v>
      </c>
      <c r="F313" t="s">
        <v>17</v>
      </c>
      <c r="G313" t="s">
        <v>18</v>
      </c>
      <c r="H313" s="3">
        <v>8</v>
      </c>
      <c r="I313" s="3">
        <v>11135</v>
      </c>
      <c r="J313" s="3">
        <v>89080</v>
      </c>
      <c r="K313" s="3">
        <v>8500</v>
      </c>
      <c r="L313" s="3">
        <v>68000</v>
      </c>
      <c r="M313" s="3">
        <v>21080</v>
      </c>
      <c r="N313" s="4">
        <v>0.23664122137404581</v>
      </c>
    </row>
    <row r="314" spans="1:14" x14ac:dyDescent="0.3">
      <c r="A314" s="6">
        <v>45680</v>
      </c>
      <c r="B314" s="1" t="s">
        <v>484</v>
      </c>
      <c r="C314" s="1" t="s">
        <v>26</v>
      </c>
      <c r="D314" t="s">
        <v>32</v>
      </c>
      <c r="E314" t="s">
        <v>193</v>
      </c>
      <c r="F314" t="s">
        <v>21</v>
      </c>
      <c r="G314" t="s">
        <v>20</v>
      </c>
      <c r="H314" s="3">
        <v>7</v>
      </c>
      <c r="I314" s="3">
        <v>774</v>
      </c>
      <c r="J314" s="3">
        <v>5418</v>
      </c>
      <c r="K314" s="3">
        <v>600</v>
      </c>
      <c r="L314" s="3">
        <v>4200</v>
      </c>
      <c r="M314" s="3">
        <v>1218</v>
      </c>
      <c r="N314" s="4">
        <v>0.22480620155038761</v>
      </c>
    </row>
    <row r="315" spans="1:14" x14ac:dyDescent="0.3">
      <c r="A315" s="6">
        <v>45680</v>
      </c>
      <c r="B315" s="1" t="s">
        <v>485</v>
      </c>
      <c r="C315" s="1" t="s">
        <v>26</v>
      </c>
      <c r="D315" t="s">
        <v>34</v>
      </c>
      <c r="E315" t="s">
        <v>263</v>
      </c>
      <c r="F315" t="s">
        <v>21</v>
      </c>
      <c r="G315" t="s">
        <v>20</v>
      </c>
      <c r="H315" s="3">
        <v>6</v>
      </c>
      <c r="I315" s="3">
        <v>744</v>
      </c>
      <c r="J315" s="3">
        <v>4464</v>
      </c>
      <c r="K315" s="3">
        <v>600</v>
      </c>
      <c r="L315" s="3">
        <v>3600</v>
      </c>
      <c r="M315" s="3">
        <v>864</v>
      </c>
      <c r="N315" s="4">
        <v>0.19354838709677419</v>
      </c>
    </row>
    <row r="316" spans="1:14" x14ac:dyDescent="0.3">
      <c r="A316" s="6">
        <v>45680</v>
      </c>
      <c r="B316" s="1" t="s">
        <v>486</v>
      </c>
      <c r="C316" s="1" t="s">
        <v>29</v>
      </c>
      <c r="D316" t="s">
        <v>34</v>
      </c>
      <c r="E316" t="s">
        <v>110</v>
      </c>
      <c r="F316" t="s">
        <v>14</v>
      </c>
      <c r="G316" t="s">
        <v>15</v>
      </c>
      <c r="H316" s="3">
        <v>7</v>
      </c>
      <c r="I316" s="3">
        <v>61199.999999999993</v>
      </c>
      <c r="J316" s="3">
        <v>428399.99999999994</v>
      </c>
      <c r="K316" s="3">
        <v>45000</v>
      </c>
      <c r="L316" s="3">
        <v>315000</v>
      </c>
      <c r="M316" s="3">
        <v>113399.99999999994</v>
      </c>
      <c r="N316" s="4">
        <v>0.26470588235294107</v>
      </c>
    </row>
    <row r="317" spans="1:14" x14ac:dyDescent="0.3">
      <c r="A317" s="6">
        <v>45680</v>
      </c>
      <c r="B317" s="1" t="s">
        <v>487</v>
      </c>
      <c r="C317" s="1" t="s">
        <v>29</v>
      </c>
      <c r="D317" t="s">
        <v>32</v>
      </c>
      <c r="E317" t="s">
        <v>357</v>
      </c>
      <c r="F317" t="s">
        <v>17</v>
      </c>
      <c r="G317" t="s">
        <v>18</v>
      </c>
      <c r="H317" s="3">
        <v>1</v>
      </c>
      <c r="I317" s="3">
        <v>11050</v>
      </c>
      <c r="J317" s="3">
        <v>11050</v>
      </c>
      <c r="K317" s="3">
        <v>8500</v>
      </c>
      <c r="L317" s="3">
        <v>8500</v>
      </c>
      <c r="M317" s="3">
        <v>2550</v>
      </c>
      <c r="N317" s="4">
        <v>0.23076923076923078</v>
      </c>
    </row>
    <row r="318" spans="1:14" x14ac:dyDescent="0.3">
      <c r="A318" s="6">
        <v>45680</v>
      </c>
      <c r="B318" s="1" t="s">
        <v>488</v>
      </c>
      <c r="C318" s="1" t="s">
        <v>27</v>
      </c>
      <c r="D318" t="s">
        <v>33</v>
      </c>
      <c r="E318" t="s">
        <v>442</v>
      </c>
      <c r="F318" t="s">
        <v>21</v>
      </c>
      <c r="G318" t="s">
        <v>20</v>
      </c>
      <c r="H318" s="3">
        <v>4</v>
      </c>
      <c r="I318" s="3">
        <v>834.00000000000011</v>
      </c>
      <c r="J318" s="3">
        <v>3336.0000000000005</v>
      </c>
      <c r="K318" s="3">
        <v>600</v>
      </c>
      <c r="L318" s="3">
        <v>2400</v>
      </c>
      <c r="M318" s="3">
        <v>936.00000000000045</v>
      </c>
      <c r="N318" s="4">
        <v>0.28057553956834541</v>
      </c>
    </row>
    <row r="319" spans="1:14" x14ac:dyDescent="0.3">
      <c r="A319" s="6">
        <v>45680</v>
      </c>
      <c r="B319" s="1" t="s">
        <v>489</v>
      </c>
      <c r="C319" s="1" t="s">
        <v>26</v>
      </c>
      <c r="D319" t="s">
        <v>34</v>
      </c>
      <c r="E319" t="s">
        <v>336</v>
      </c>
      <c r="F319" t="s">
        <v>22</v>
      </c>
      <c r="G319" t="s">
        <v>18</v>
      </c>
      <c r="H319" s="3">
        <v>7</v>
      </c>
      <c r="I319" s="3">
        <v>8610</v>
      </c>
      <c r="J319" s="3">
        <v>60270</v>
      </c>
      <c r="K319" s="3">
        <v>7000</v>
      </c>
      <c r="L319" s="3">
        <v>49000</v>
      </c>
      <c r="M319" s="3">
        <v>11270</v>
      </c>
      <c r="N319" s="4">
        <v>0.18699186991869918</v>
      </c>
    </row>
    <row r="320" spans="1:14" x14ac:dyDescent="0.3">
      <c r="A320" s="6">
        <v>45680</v>
      </c>
      <c r="B320" s="1" t="s">
        <v>490</v>
      </c>
      <c r="C320" s="1" t="s">
        <v>27</v>
      </c>
      <c r="D320" t="s">
        <v>33</v>
      </c>
      <c r="E320" t="s">
        <v>51</v>
      </c>
      <c r="F320" t="s">
        <v>14</v>
      </c>
      <c r="G320" t="s">
        <v>15</v>
      </c>
      <c r="H320" s="3">
        <v>8</v>
      </c>
      <c r="I320" s="3">
        <v>59400</v>
      </c>
      <c r="J320" s="3">
        <v>475200</v>
      </c>
      <c r="K320" s="3">
        <v>45000</v>
      </c>
      <c r="L320" s="3">
        <v>360000</v>
      </c>
      <c r="M320" s="3">
        <v>115200</v>
      </c>
      <c r="N320" s="4">
        <v>0.24242424242424243</v>
      </c>
    </row>
    <row r="321" spans="1:14" x14ac:dyDescent="0.3">
      <c r="A321" s="6">
        <v>45680</v>
      </c>
      <c r="B321" s="1" t="s">
        <v>491</v>
      </c>
      <c r="C321" s="1" t="s">
        <v>28</v>
      </c>
      <c r="D321" t="s">
        <v>34</v>
      </c>
      <c r="E321" t="s">
        <v>222</v>
      </c>
      <c r="F321" t="s">
        <v>17</v>
      </c>
      <c r="G321" t="s">
        <v>18</v>
      </c>
      <c r="H321" s="3">
        <v>3</v>
      </c>
      <c r="I321" s="3">
        <v>11730</v>
      </c>
      <c r="J321" s="3">
        <v>35190</v>
      </c>
      <c r="K321" s="3">
        <v>8500</v>
      </c>
      <c r="L321" s="3">
        <v>25500</v>
      </c>
      <c r="M321" s="3">
        <v>9690</v>
      </c>
      <c r="N321" s="4">
        <v>0.27536231884057971</v>
      </c>
    </row>
    <row r="322" spans="1:14" x14ac:dyDescent="0.3">
      <c r="A322" s="6">
        <v>45681</v>
      </c>
      <c r="B322" s="1" t="s">
        <v>492</v>
      </c>
      <c r="C322" s="1" t="s">
        <v>28</v>
      </c>
      <c r="D322" t="s">
        <v>35</v>
      </c>
      <c r="E322" t="s">
        <v>365</v>
      </c>
      <c r="F322" t="s">
        <v>24</v>
      </c>
      <c r="G322" t="s">
        <v>25</v>
      </c>
      <c r="H322" s="3">
        <v>9</v>
      </c>
      <c r="I322" s="3">
        <v>3075</v>
      </c>
      <c r="J322" s="3">
        <v>27675</v>
      </c>
      <c r="K322" s="3">
        <v>2500</v>
      </c>
      <c r="L322" s="3">
        <v>22500</v>
      </c>
      <c r="M322" s="3">
        <v>5175</v>
      </c>
      <c r="N322" s="4">
        <v>0.18699186991869918</v>
      </c>
    </row>
    <row r="323" spans="1:14" x14ac:dyDescent="0.3">
      <c r="A323" s="6">
        <v>45681</v>
      </c>
      <c r="B323" s="1" t="s">
        <v>493</v>
      </c>
      <c r="C323" s="1" t="s">
        <v>27</v>
      </c>
      <c r="D323" t="s">
        <v>33</v>
      </c>
      <c r="E323" t="s">
        <v>327</v>
      </c>
      <c r="F323" t="s">
        <v>22</v>
      </c>
      <c r="G323" t="s">
        <v>18</v>
      </c>
      <c r="H323" s="3">
        <v>9</v>
      </c>
      <c r="I323" s="3">
        <v>8890</v>
      </c>
      <c r="J323" s="3">
        <v>80010</v>
      </c>
      <c r="K323" s="3">
        <v>7000</v>
      </c>
      <c r="L323" s="3">
        <v>63000</v>
      </c>
      <c r="M323" s="3">
        <v>17010</v>
      </c>
      <c r="N323" s="4">
        <v>0.2125984251968504</v>
      </c>
    </row>
    <row r="324" spans="1:14" x14ac:dyDescent="0.3">
      <c r="A324" s="6">
        <v>45681</v>
      </c>
      <c r="B324" s="1" t="s">
        <v>494</v>
      </c>
      <c r="C324" s="1" t="s">
        <v>27</v>
      </c>
      <c r="D324" t="s">
        <v>33</v>
      </c>
      <c r="E324" t="s">
        <v>126</v>
      </c>
      <c r="F324" t="s">
        <v>17</v>
      </c>
      <c r="G324" t="s">
        <v>18</v>
      </c>
      <c r="H324" s="3">
        <v>2</v>
      </c>
      <c r="I324" s="3">
        <v>12325</v>
      </c>
      <c r="J324" s="3">
        <v>24650</v>
      </c>
      <c r="K324" s="3">
        <v>8500</v>
      </c>
      <c r="L324" s="3">
        <v>17000</v>
      </c>
      <c r="M324" s="3">
        <v>7650</v>
      </c>
      <c r="N324" s="4">
        <v>0.31034482758620691</v>
      </c>
    </row>
    <row r="325" spans="1:14" x14ac:dyDescent="0.3">
      <c r="A325" s="6">
        <v>45681</v>
      </c>
      <c r="B325" s="1" t="s">
        <v>495</v>
      </c>
      <c r="C325" s="1" t="s">
        <v>27</v>
      </c>
      <c r="D325" t="s">
        <v>32</v>
      </c>
      <c r="E325" t="s">
        <v>302</v>
      </c>
      <c r="F325" t="s">
        <v>23</v>
      </c>
      <c r="G325" t="s">
        <v>25</v>
      </c>
      <c r="H325" s="3">
        <v>2</v>
      </c>
      <c r="I325" s="3">
        <v>3872</v>
      </c>
      <c r="J325" s="3">
        <v>7744</v>
      </c>
      <c r="K325" s="3">
        <v>3200</v>
      </c>
      <c r="L325" s="3">
        <v>6400</v>
      </c>
      <c r="M325" s="3">
        <v>1344</v>
      </c>
      <c r="N325" s="4">
        <v>0.17355371900826447</v>
      </c>
    </row>
    <row r="326" spans="1:14" x14ac:dyDescent="0.3">
      <c r="A326" s="6">
        <v>45681</v>
      </c>
      <c r="B326" s="1" t="s">
        <v>496</v>
      </c>
      <c r="C326" s="1" t="s">
        <v>26</v>
      </c>
      <c r="D326" t="s">
        <v>35</v>
      </c>
      <c r="E326" t="s">
        <v>310</v>
      </c>
      <c r="F326" t="s">
        <v>16</v>
      </c>
      <c r="G326" t="s">
        <v>15</v>
      </c>
      <c r="H326" s="3">
        <v>3</v>
      </c>
      <c r="I326" s="3">
        <v>51300</v>
      </c>
      <c r="J326" s="3">
        <v>153900</v>
      </c>
      <c r="K326" s="3">
        <v>38000</v>
      </c>
      <c r="L326" s="3">
        <v>114000</v>
      </c>
      <c r="M326" s="3">
        <v>39900</v>
      </c>
      <c r="N326" s="4">
        <v>0.25925925925925924</v>
      </c>
    </row>
    <row r="327" spans="1:14" x14ac:dyDescent="0.3">
      <c r="A327" s="6">
        <v>45681</v>
      </c>
      <c r="B327" s="1" t="s">
        <v>497</v>
      </c>
      <c r="C327" s="1" t="s">
        <v>29</v>
      </c>
      <c r="D327" t="s">
        <v>34</v>
      </c>
      <c r="E327" t="s">
        <v>273</v>
      </c>
      <c r="F327" t="s">
        <v>22</v>
      </c>
      <c r="G327" t="s">
        <v>18</v>
      </c>
      <c r="H327" s="3">
        <v>1</v>
      </c>
      <c r="I327" s="3">
        <v>9170</v>
      </c>
      <c r="J327" s="3">
        <v>9170</v>
      </c>
      <c r="K327" s="3">
        <v>7000</v>
      </c>
      <c r="L327" s="3">
        <v>7000</v>
      </c>
      <c r="M327" s="3">
        <v>2170</v>
      </c>
      <c r="N327" s="4">
        <v>0.23664122137404581</v>
      </c>
    </row>
    <row r="328" spans="1:14" x14ac:dyDescent="0.3">
      <c r="A328" s="6">
        <v>45681</v>
      </c>
      <c r="B328" s="1" t="s">
        <v>498</v>
      </c>
      <c r="C328" s="1" t="s">
        <v>28</v>
      </c>
      <c r="D328" t="s">
        <v>30</v>
      </c>
      <c r="E328" t="s">
        <v>69</v>
      </c>
      <c r="F328" t="s">
        <v>23</v>
      </c>
      <c r="G328" t="s">
        <v>25</v>
      </c>
      <c r="H328" s="3">
        <v>9</v>
      </c>
      <c r="I328" s="3">
        <v>4576</v>
      </c>
      <c r="J328" s="3">
        <v>41184</v>
      </c>
      <c r="K328" s="3">
        <v>3200</v>
      </c>
      <c r="L328" s="3">
        <v>28800</v>
      </c>
      <c r="M328" s="3">
        <v>12384</v>
      </c>
      <c r="N328" s="4">
        <v>0.30069930069930068</v>
      </c>
    </row>
    <row r="329" spans="1:14" x14ac:dyDescent="0.3">
      <c r="A329" s="6">
        <v>45681</v>
      </c>
      <c r="B329" s="1" t="s">
        <v>499</v>
      </c>
      <c r="C329" s="1" t="s">
        <v>28</v>
      </c>
      <c r="D329" t="s">
        <v>32</v>
      </c>
      <c r="E329" t="s">
        <v>206</v>
      </c>
      <c r="F329" t="s">
        <v>23</v>
      </c>
      <c r="G329" t="s">
        <v>25</v>
      </c>
      <c r="H329" s="3">
        <v>8</v>
      </c>
      <c r="I329" s="3">
        <v>4544</v>
      </c>
      <c r="J329" s="3">
        <v>36352</v>
      </c>
      <c r="K329" s="3">
        <v>3200</v>
      </c>
      <c r="L329" s="3">
        <v>25600</v>
      </c>
      <c r="M329" s="3">
        <v>10752</v>
      </c>
      <c r="N329" s="4">
        <v>0.29577464788732394</v>
      </c>
    </row>
    <row r="330" spans="1:14" x14ac:dyDescent="0.3">
      <c r="A330" s="6">
        <v>45681</v>
      </c>
      <c r="B330" s="1" t="s">
        <v>500</v>
      </c>
      <c r="C330" s="1" t="s">
        <v>27</v>
      </c>
      <c r="D330" t="s">
        <v>33</v>
      </c>
      <c r="E330" t="s">
        <v>574</v>
      </c>
      <c r="F330" t="s">
        <v>16</v>
      </c>
      <c r="G330" t="s">
        <v>15</v>
      </c>
      <c r="H330" s="3">
        <v>2</v>
      </c>
      <c r="I330" s="3">
        <v>53200</v>
      </c>
      <c r="J330" s="3">
        <v>106400</v>
      </c>
      <c r="K330" s="3">
        <v>38000</v>
      </c>
      <c r="L330" s="3">
        <v>76000</v>
      </c>
      <c r="M330" s="3">
        <v>30400</v>
      </c>
      <c r="N330" s="4">
        <v>0.2857142857142857</v>
      </c>
    </row>
    <row r="331" spans="1:14" x14ac:dyDescent="0.3">
      <c r="A331" s="6">
        <v>45681</v>
      </c>
      <c r="B331" s="1" t="s">
        <v>501</v>
      </c>
      <c r="C331" s="1" t="s">
        <v>29</v>
      </c>
      <c r="D331" t="s">
        <v>31</v>
      </c>
      <c r="E331" t="s">
        <v>327</v>
      </c>
      <c r="F331" t="s">
        <v>17</v>
      </c>
      <c r="G331" t="s">
        <v>18</v>
      </c>
      <c r="H331" s="3">
        <v>6</v>
      </c>
      <c r="I331" s="3">
        <v>10370</v>
      </c>
      <c r="J331" s="3">
        <v>62220</v>
      </c>
      <c r="K331" s="3">
        <v>8500</v>
      </c>
      <c r="L331" s="3">
        <v>51000</v>
      </c>
      <c r="M331" s="3">
        <v>11220</v>
      </c>
      <c r="N331" s="4">
        <v>0.18032786885245902</v>
      </c>
    </row>
    <row r="332" spans="1:14" x14ac:dyDescent="0.3">
      <c r="A332" s="6">
        <v>45681</v>
      </c>
      <c r="B332" s="1" t="s">
        <v>502</v>
      </c>
      <c r="C332" s="1" t="s">
        <v>27</v>
      </c>
      <c r="D332" t="s">
        <v>32</v>
      </c>
      <c r="E332" t="s">
        <v>120</v>
      </c>
      <c r="F332" t="s">
        <v>14</v>
      </c>
      <c r="G332" t="s">
        <v>15</v>
      </c>
      <c r="H332" s="3">
        <v>3</v>
      </c>
      <c r="I332" s="3">
        <v>58950</v>
      </c>
      <c r="J332" s="3">
        <v>176850</v>
      </c>
      <c r="K332" s="3">
        <v>45000</v>
      </c>
      <c r="L332" s="3">
        <v>135000</v>
      </c>
      <c r="M332" s="3">
        <v>41850</v>
      </c>
      <c r="N332" s="4">
        <v>0.23664122137404581</v>
      </c>
    </row>
    <row r="333" spans="1:14" x14ac:dyDescent="0.3">
      <c r="A333" s="6">
        <v>45681</v>
      </c>
      <c r="B333" s="1" t="s">
        <v>503</v>
      </c>
      <c r="C333" s="1" t="s">
        <v>27</v>
      </c>
      <c r="D333" t="s">
        <v>30</v>
      </c>
      <c r="E333" t="s">
        <v>280</v>
      </c>
      <c r="F333" t="s">
        <v>24</v>
      </c>
      <c r="G333" t="s">
        <v>25</v>
      </c>
      <c r="H333" s="3">
        <v>9</v>
      </c>
      <c r="I333" s="3">
        <v>3275</v>
      </c>
      <c r="J333" s="3">
        <v>29475</v>
      </c>
      <c r="K333" s="3">
        <v>2500</v>
      </c>
      <c r="L333" s="3">
        <v>22500</v>
      </c>
      <c r="M333" s="3">
        <v>6975</v>
      </c>
      <c r="N333" s="4">
        <v>0.23664122137404581</v>
      </c>
    </row>
    <row r="334" spans="1:14" x14ac:dyDescent="0.3">
      <c r="A334" s="6">
        <v>45681</v>
      </c>
      <c r="B334" s="1" t="s">
        <v>504</v>
      </c>
      <c r="C334" s="1" t="s">
        <v>27</v>
      </c>
      <c r="D334" t="s">
        <v>31</v>
      </c>
      <c r="E334" t="s">
        <v>365</v>
      </c>
      <c r="F334" t="s">
        <v>16</v>
      </c>
      <c r="G334" t="s">
        <v>15</v>
      </c>
      <c r="H334" s="3">
        <v>8</v>
      </c>
      <c r="I334" s="3">
        <v>53200</v>
      </c>
      <c r="J334" s="3">
        <v>425600</v>
      </c>
      <c r="K334" s="3">
        <v>38000</v>
      </c>
      <c r="L334" s="3">
        <v>304000</v>
      </c>
      <c r="M334" s="3">
        <v>121600</v>
      </c>
      <c r="N334" s="4">
        <v>0.2857142857142857</v>
      </c>
    </row>
    <row r="335" spans="1:14" x14ac:dyDescent="0.3">
      <c r="A335" s="6">
        <v>45681</v>
      </c>
      <c r="B335" s="1" t="s">
        <v>505</v>
      </c>
      <c r="C335" s="1" t="s">
        <v>26</v>
      </c>
      <c r="D335" t="s">
        <v>32</v>
      </c>
      <c r="E335" t="s">
        <v>321</v>
      </c>
      <c r="F335" t="s">
        <v>24</v>
      </c>
      <c r="G335" t="s">
        <v>25</v>
      </c>
      <c r="H335" s="3">
        <v>2</v>
      </c>
      <c r="I335" s="3">
        <v>3575</v>
      </c>
      <c r="J335" s="3">
        <v>7150</v>
      </c>
      <c r="K335" s="3">
        <v>2500</v>
      </c>
      <c r="L335" s="3">
        <v>5000</v>
      </c>
      <c r="M335" s="3">
        <v>2150</v>
      </c>
      <c r="N335" s="4">
        <v>0.30069930069930068</v>
      </c>
    </row>
    <row r="336" spans="1:14" x14ac:dyDescent="0.3">
      <c r="A336" s="6">
        <v>45682</v>
      </c>
      <c r="B336" s="1" t="s">
        <v>507</v>
      </c>
      <c r="C336" s="1" t="s">
        <v>29</v>
      </c>
      <c r="D336" t="s">
        <v>31</v>
      </c>
      <c r="E336" t="s">
        <v>231</v>
      </c>
      <c r="F336" t="s">
        <v>14</v>
      </c>
      <c r="G336" t="s">
        <v>15</v>
      </c>
      <c r="H336" s="3">
        <v>4</v>
      </c>
      <c r="I336" s="3">
        <v>60750.000000000007</v>
      </c>
      <c r="J336" s="3">
        <v>243000.00000000003</v>
      </c>
      <c r="K336" s="3">
        <v>45000</v>
      </c>
      <c r="L336" s="3">
        <v>180000</v>
      </c>
      <c r="M336" s="3">
        <v>63000.000000000029</v>
      </c>
      <c r="N336" s="4">
        <v>0.25925925925925936</v>
      </c>
    </row>
    <row r="337" spans="1:14" x14ac:dyDescent="0.3">
      <c r="A337" s="6">
        <v>45682</v>
      </c>
      <c r="B337" s="1" t="s">
        <v>509</v>
      </c>
      <c r="C337" s="1" t="s">
        <v>29</v>
      </c>
      <c r="D337" t="s">
        <v>33</v>
      </c>
      <c r="E337" t="s">
        <v>310</v>
      </c>
      <c r="F337" t="s">
        <v>21</v>
      </c>
      <c r="G337" t="s">
        <v>20</v>
      </c>
      <c r="H337" s="3">
        <v>3</v>
      </c>
      <c r="I337" s="3">
        <v>720</v>
      </c>
      <c r="J337" s="3">
        <v>2160</v>
      </c>
      <c r="K337" s="3">
        <v>600</v>
      </c>
      <c r="L337" s="3">
        <v>1800</v>
      </c>
      <c r="M337" s="3">
        <v>360</v>
      </c>
      <c r="N337" s="4">
        <v>0.16666666666666666</v>
      </c>
    </row>
    <row r="338" spans="1:14" x14ac:dyDescent="0.3">
      <c r="A338" s="6">
        <v>45682</v>
      </c>
      <c r="B338" s="1" t="s">
        <v>510</v>
      </c>
      <c r="C338" s="1" t="s">
        <v>26</v>
      </c>
      <c r="D338" t="s">
        <v>35</v>
      </c>
      <c r="E338" t="s">
        <v>447</v>
      </c>
      <c r="F338" t="s">
        <v>19</v>
      </c>
      <c r="G338" t="s">
        <v>20</v>
      </c>
      <c r="H338" s="3">
        <v>2</v>
      </c>
      <c r="I338" s="3">
        <v>1089</v>
      </c>
      <c r="J338" s="3">
        <v>2178</v>
      </c>
      <c r="K338" s="3">
        <v>900</v>
      </c>
      <c r="L338" s="3">
        <v>1800</v>
      </c>
      <c r="M338" s="3">
        <v>378</v>
      </c>
      <c r="N338" s="4">
        <v>0.17355371900826447</v>
      </c>
    </row>
    <row r="339" spans="1:14" x14ac:dyDescent="0.3">
      <c r="A339" s="6">
        <v>45682</v>
      </c>
      <c r="B339" s="1" t="s">
        <v>511</v>
      </c>
      <c r="C339" s="1" t="s">
        <v>27</v>
      </c>
      <c r="D339" t="s">
        <v>30</v>
      </c>
      <c r="E339" t="s">
        <v>193</v>
      </c>
      <c r="F339" t="s">
        <v>16</v>
      </c>
      <c r="G339" t="s">
        <v>15</v>
      </c>
      <c r="H339" s="3">
        <v>2</v>
      </c>
      <c r="I339" s="3">
        <v>49400</v>
      </c>
      <c r="J339" s="3">
        <v>98800</v>
      </c>
      <c r="K339" s="3">
        <v>38000</v>
      </c>
      <c r="L339" s="3">
        <v>76000</v>
      </c>
      <c r="M339" s="3">
        <v>22800</v>
      </c>
      <c r="N339" s="4">
        <v>0.23076923076923078</v>
      </c>
    </row>
    <row r="340" spans="1:14" x14ac:dyDescent="0.3">
      <c r="A340" s="6">
        <v>45682</v>
      </c>
      <c r="B340" s="1" t="s">
        <v>512</v>
      </c>
      <c r="C340" s="1" t="s">
        <v>29</v>
      </c>
      <c r="D340" t="s">
        <v>35</v>
      </c>
      <c r="E340" t="s">
        <v>198</v>
      </c>
      <c r="F340" t="s">
        <v>24</v>
      </c>
      <c r="G340" t="s">
        <v>25</v>
      </c>
      <c r="H340" s="3">
        <v>5</v>
      </c>
      <c r="I340" s="3">
        <v>3325</v>
      </c>
      <c r="J340" s="3">
        <v>16625</v>
      </c>
      <c r="K340" s="3">
        <v>2500</v>
      </c>
      <c r="L340" s="3">
        <v>12500</v>
      </c>
      <c r="M340" s="3">
        <v>4125</v>
      </c>
      <c r="N340" s="4">
        <v>0.24812030075187969</v>
      </c>
    </row>
    <row r="341" spans="1:14" x14ac:dyDescent="0.3">
      <c r="A341" s="6">
        <v>45682</v>
      </c>
      <c r="B341" s="1" t="s">
        <v>513</v>
      </c>
      <c r="C341" s="1" t="s">
        <v>28</v>
      </c>
      <c r="D341" t="s">
        <v>35</v>
      </c>
      <c r="E341" t="s">
        <v>137</v>
      </c>
      <c r="F341" t="s">
        <v>22</v>
      </c>
      <c r="G341" t="s">
        <v>18</v>
      </c>
      <c r="H341" s="3">
        <v>7</v>
      </c>
      <c r="I341" s="3">
        <v>8470</v>
      </c>
      <c r="J341" s="3">
        <v>59290</v>
      </c>
      <c r="K341" s="3">
        <v>7000</v>
      </c>
      <c r="L341" s="3">
        <v>49000</v>
      </c>
      <c r="M341" s="3">
        <v>10290</v>
      </c>
      <c r="N341" s="4">
        <v>0.17355371900826447</v>
      </c>
    </row>
    <row r="342" spans="1:14" x14ac:dyDescent="0.3">
      <c r="A342" s="6">
        <v>45682</v>
      </c>
      <c r="B342" s="1" t="s">
        <v>514</v>
      </c>
      <c r="C342" s="1" t="s">
        <v>28</v>
      </c>
      <c r="D342" t="s">
        <v>30</v>
      </c>
      <c r="E342" t="s">
        <v>157</v>
      </c>
      <c r="F342" t="s">
        <v>14</v>
      </c>
      <c r="G342" t="s">
        <v>15</v>
      </c>
      <c r="H342" s="3">
        <v>9</v>
      </c>
      <c r="I342" s="3">
        <v>60300</v>
      </c>
      <c r="J342" s="3">
        <v>542700</v>
      </c>
      <c r="K342" s="3">
        <v>45000</v>
      </c>
      <c r="L342" s="3">
        <v>405000</v>
      </c>
      <c r="M342" s="3">
        <v>137700</v>
      </c>
      <c r="N342" s="4">
        <v>0.2537313432835821</v>
      </c>
    </row>
    <row r="343" spans="1:14" x14ac:dyDescent="0.3">
      <c r="A343" s="6">
        <v>45682</v>
      </c>
      <c r="B343" s="1" t="s">
        <v>515</v>
      </c>
      <c r="C343" s="1" t="s">
        <v>28</v>
      </c>
      <c r="D343" t="s">
        <v>31</v>
      </c>
      <c r="E343" t="s">
        <v>108</v>
      </c>
      <c r="F343" t="s">
        <v>23</v>
      </c>
      <c r="G343" t="s">
        <v>25</v>
      </c>
      <c r="H343" s="3">
        <v>2</v>
      </c>
      <c r="I343" s="3">
        <v>3840</v>
      </c>
      <c r="J343" s="3">
        <v>7680</v>
      </c>
      <c r="K343" s="3">
        <v>3200</v>
      </c>
      <c r="L343" s="3">
        <v>6400</v>
      </c>
      <c r="M343" s="3">
        <v>1280</v>
      </c>
      <c r="N343" s="4">
        <v>0.16666666666666666</v>
      </c>
    </row>
    <row r="344" spans="1:14" x14ac:dyDescent="0.3">
      <c r="A344" s="6">
        <v>45682</v>
      </c>
      <c r="B344" s="1" t="s">
        <v>516</v>
      </c>
      <c r="C344" s="1" t="s">
        <v>27</v>
      </c>
      <c r="D344" t="s">
        <v>31</v>
      </c>
      <c r="E344" t="s">
        <v>166</v>
      </c>
      <c r="F344" t="s">
        <v>16</v>
      </c>
      <c r="G344" t="s">
        <v>15</v>
      </c>
      <c r="H344" s="3">
        <v>2</v>
      </c>
      <c r="I344" s="3">
        <v>51679.999999999993</v>
      </c>
      <c r="J344" s="3">
        <v>103359.99999999999</v>
      </c>
      <c r="K344" s="3">
        <v>38000</v>
      </c>
      <c r="L344" s="3">
        <v>76000</v>
      </c>
      <c r="M344" s="3">
        <v>27359.999999999985</v>
      </c>
      <c r="N344" s="4">
        <v>0.26470588235294107</v>
      </c>
    </row>
    <row r="345" spans="1:14" x14ac:dyDescent="0.3">
      <c r="A345" s="6">
        <v>45682</v>
      </c>
      <c r="B345" s="1" t="s">
        <v>517</v>
      </c>
      <c r="C345" s="1" t="s">
        <v>28</v>
      </c>
      <c r="D345" t="s">
        <v>32</v>
      </c>
      <c r="E345" t="s">
        <v>304</v>
      </c>
      <c r="F345" t="s">
        <v>19</v>
      </c>
      <c r="G345" t="s">
        <v>20</v>
      </c>
      <c r="H345" s="3">
        <v>5</v>
      </c>
      <c r="I345" s="3">
        <v>1188</v>
      </c>
      <c r="J345" s="3">
        <v>5940</v>
      </c>
      <c r="K345" s="3">
        <v>900</v>
      </c>
      <c r="L345" s="3">
        <v>4500</v>
      </c>
      <c r="M345" s="3">
        <v>1440</v>
      </c>
      <c r="N345" s="4">
        <v>0.24242424242424243</v>
      </c>
    </row>
    <row r="346" spans="1:14" x14ac:dyDescent="0.3">
      <c r="A346" s="6">
        <v>45682</v>
      </c>
      <c r="B346" s="1" t="s">
        <v>518</v>
      </c>
      <c r="C346" s="1" t="s">
        <v>27</v>
      </c>
      <c r="D346" t="s">
        <v>31</v>
      </c>
      <c r="E346" t="s">
        <v>104</v>
      </c>
      <c r="F346" t="s">
        <v>23</v>
      </c>
      <c r="G346" t="s">
        <v>25</v>
      </c>
      <c r="H346" s="3">
        <v>4</v>
      </c>
      <c r="I346" s="3">
        <v>4096</v>
      </c>
      <c r="J346" s="3">
        <v>16384</v>
      </c>
      <c r="K346" s="3">
        <v>3200</v>
      </c>
      <c r="L346" s="3">
        <v>12800</v>
      </c>
      <c r="M346" s="3">
        <v>3584</v>
      </c>
      <c r="N346" s="4">
        <v>0.21875</v>
      </c>
    </row>
    <row r="347" spans="1:14" x14ac:dyDescent="0.3">
      <c r="A347" s="6">
        <v>45682</v>
      </c>
      <c r="B347" s="1" t="s">
        <v>519</v>
      </c>
      <c r="C347" s="1" t="s">
        <v>27</v>
      </c>
      <c r="D347" t="s">
        <v>31</v>
      </c>
      <c r="E347" t="s">
        <v>110</v>
      </c>
      <c r="F347" t="s">
        <v>14</v>
      </c>
      <c r="G347" t="s">
        <v>15</v>
      </c>
      <c r="H347" s="3">
        <v>10</v>
      </c>
      <c r="I347" s="3">
        <v>56700</v>
      </c>
      <c r="J347" s="3">
        <v>567000</v>
      </c>
      <c r="K347" s="3">
        <v>45000</v>
      </c>
      <c r="L347" s="3">
        <v>450000</v>
      </c>
      <c r="M347" s="3">
        <v>117000</v>
      </c>
      <c r="N347" s="4">
        <v>0.20634920634920634</v>
      </c>
    </row>
    <row r="348" spans="1:14" x14ac:dyDescent="0.3">
      <c r="A348" s="6">
        <v>45682</v>
      </c>
      <c r="B348" s="1" t="s">
        <v>520</v>
      </c>
      <c r="C348" s="1" t="s">
        <v>26</v>
      </c>
      <c r="D348" t="s">
        <v>32</v>
      </c>
      <c r="E348" t="s">
        <v>351</v>
      </c>
      <c r="F348" t="s">
        <v>22</v>
      </c>
      <c r="G348" t="s">
        <v>18</v>
      </c>
      <c r="H348" s="3">
        <v>10</v>
      </c>
      <c r="I348" s="3">
        <v>10150</v>
      </c>
      <c r="J348" s="3">
        <v>101500</v>
      </c>
      <c r="K348" s="3">
        <v>7000</v>
      </c>
      <c r="L348" s="3">
        <v>70000</v>
      </c>
      <c r="M348" s="3">
        <v>31500</v>
      </c>
      <c r="N348" s="4">
        <v>0.31034482758620691</v>
      </c>
    </row>
    <row r="349" spans="1:14" x14ac:dyDescent="0.3">
      <c r="A349" s="6">
        <v>45682</v>
      </c>
      <c r="B349" s="1" t="s">
        <v>522</v>
      </c>
      <c r="C349" s="1" t="s">
        <v>27</v>
      </c>
      <c r="D349" t="s">
        <v>30</v>
      </c>
      <c r="E349" t="s">
        <v>157</v>
      </c>
      <c r="F349" t="s">
        <v>19</v>
      </c>
      <c r="G349" t="s">
        <v>20</v>
      </c>
      <c r="H349" s="3">
        <v>2</v>
      </c>
      <c r="I349" s="3">
        <v>1152</v>
      </c>
      <c r="J349" s="3">
        <v>2304</v>
      </c>
      <c r="K349" s="3">
        <v>900</v>
      </c>
      <c r="L349" s="3">
        <v>1800</v>
      </c>
      <c r="M349" s="3">
        <v>504</v>
      </c>
      <c r="N349" s="4">
        <v>0.21875</v>
      </c>
    </row>
    <row r="350" spans="1:14" x14ac:dyDescent="0.3">
      <c r="A350" s="6">
        <v>45683</v>
      </c>
      <c r="B350" s="1" t="s">
        <v>523</v>
      </c>
      <c r="C350" s="1" t="s">
        <v>29</v>
      </c>
      <c r="D350" t="s">
        <v>33</v>
      </c>
      <c r="E350" t="s">
        <v>63</v>
      </c>
      <c r="F350" t="s">
        <v>17</v>
      </c>
      <c r="G350" t="s">
        <v>18</v>
      </c>
      <c r="H350" s="3">
        <v>10</v>
      </c>
      <c r="I350" s="3">
        <v>11305</v>
      </c>
      <c r="J350" s="3">
        <v>113050</v>
      </c>
      <c r="K350" s="3">
        <v>8500</v>
      </c>
      <c r="L350" s="3">
        <v>85000</v>
      </c>
      <c r="M350" s="3">
        <v>28050</v>
      </c>
      <c r="N350" s="4">
        <v>0.24812030075187969</v>
      </c>
    </row>
    <row r="351" spans="1:14" x14ac:dyDescent="0.3">
      <c r="A351" s="6">
        <v>45683</v>
      </c>
      <c r="B351" s="1" t="s">
        <v>525</v>
      </c>
      <c r="C351" s="1" t="s">
        <v>27</v>
      </c>
      <c r="D351" t="s">
        <v>32</v>
      </c>
      <c r="E351" t="s">
        <v>92</v>
      </c>
      <c r="F351" t="s">
        <v>21</v>
      </c>
      <c r="G351" t="s">
        <v>20</v>
      </c>
      <c r="H351" s="3">
        <v>9</v>
      </c>
      <c r="I351" s="3">
        <v>810</v>
      </c>
      <c r="J351" s="3">
        <v>7290</v>
      </c>
      <c r="K351" s="3">
        <v>600</v>
      </c>
      <c r="L351" s="3">
        <v>5400</v>
      </c>
      <c r="M351" s="3">
        <v>1890</v>
      </c>
      <c r="N351" s="4">
        <v>0.25925925925925924</v>
      </c>
    </row>
    <row r="352" spans="1:14" x14ac:dyDescent="0.3">
      <c r="A352" s="6">
        <v>45683</v>
      </c>
      <c r="B352" s="1" t="s">
        <v>526</v>
      </c>
      <c r="C352" s="1" t="s">
        <v>29</v>
      </c>
      <c r="D352" t="s">
        <v>35</v>
      </c>
      <c r="E352" t="s">
        <v>751</v>
      </c>
      <c r="F352" t="s">
        <v>14</v>
      </c>
      <c r="G352" t="s">
        <v>15</v>
      </c>
      <c r="H352" s="3">
        <v>10</v>
      </c>
      <c r="I352" s="3">
        <v>56250</v>
      </c>
      <c r="J352" s="3">
        <v>562500</v>
      </c>
      <c r="K352" s="3">
        <v>45000</v>
      </c>
      <c r="L352" s="3">
        <v>450000</v>
      </c>
      <c r="M352" s="3">
        <v>112500</v>
      </c>
      <c r="N352" s="4">
        <v>0.2</v>
      </c>
    </row>
    <row r="353" spans="1:14" x14ac:dyDescent="0.3">
      <c r="A353" s="6">
        <v>45683</v>
      </c>
      <c r="B353" s="1" t="s">
        <v>527</v>
      </c>
      <c r="C353" s="1" t="s">
        <v>27</v>
      </c>
      <c r="D353" t="s">
        <v>30</v>
      </c>
      <c r="E353" t="s">
        <v>436</v>
      </c>
      <c r="F353" t="s">
        <v>22</v>
      </c>
      <c r="G353" t="s">
        <v>18</v>
      </c>
      <c r="H353" s="3">
        <v>8</v>
      </c>
      <c r="I353" s="3">
        <v>10010</v>
      </c>
      <c r="J353" s="3">
        <v>80080</v>
      </c>
      <c r="K353" s="3">
        <v>7000</v>
      </c>
      <c r="L353" s="3">
        <v>56000</v>
      </c>
      <c r="M353" s="3">
        <v>24080</v>
      </c>
      <c r="N353" s="4">
        <v>0.30069930069930068</v>
      </c>
    </row>
    <row r="354" spans="1:14" x14ac:dyDescent="0.3">
      <c r="A354" s="6">
        <v>45683</v>
      </c>
      <c r="B354" s="1" t="s">
        <v>528</v>
      </c>
      <c r="C354" s="1" t="s">
        <v>27</v>
      </c>
      <c r="D354" t="s">
        <v>32</v>
      </c>
      <c r="E354" t="s">
        <v>92</v>
      </c>
      <c r="F354" t="s">
        <v>19</v>
      </c>
      <c r="G354" t="s">
        <v>20</v>
      </c>
      <c r="H354" s="3">
        <v>1</v>
      </c>
      <c r="I354" s="3">
        <v>1215</v>
      </c>
      <c r="J354" s="3">
        <v>1215</v>
      </c>
      <c r="K354" s="3">
        <v>900</v>
      </c>
      <c r="L354" s="3">
        <v>900</v>
      </c>
      <c r="M354" s="3">
        <v>315</v>
      </c>
      <c r="N354" s="4">
        <v>0.25925925925925924</v>
      </c>
    </row>
    <row r="355" spans="1:14" x14ac:dyDescent="0.3">
      <c r="A355" s="6">
        <v>45683</v>
      </c>
      <c r="B355" s="1" t="s">
        <v>529</v>
      </c>
      <c r="C355" s="1" t="s">
        <v>26</v>
      </c>
      <c r="D355" t="s">
        <v>32</v>
      </c>
      <c r="E355" t="s">
        <v>206</v>
      </c>
      <c r="F355" t="s">
        <v>23</v>
      </c>
      <c r="G355" t="s">
        <v>25</v>
      </c>
      <c r="H355" s="3">
        <v>6</v>
      </c>
      <c r="I355" s="3">
        <v>4416</v>
      </c>
      <c r="J355" s="3">
        <v>26496</v>
      </c>
      <c r="K355" s="3">
        <v>3200</v>
      </c>
      <c r="L355" s="3">
        <v>19200</v>
      </c>
      <c r="M355" s="3">
        <v>7296</v>
      </c>
      <c r="N355" s="4">
        <v>0.27536231884057971</v>
      </c>
    </row>
    <row r="356" spans="1:14" x14ac:dyDescent="0.3">
      <c r="A356" s="6">
        <v>45683</v>
      </c>
      <c r="B356" s="1" t="s">
        <v>530</v>
      </c>
      <c r="C356" s="1" t="s">
        <v>27</v>
      </c>
      <c r="D356" t="s">
        <v>33</v>
      </c>
      <c r="E356" t="s">
        <v>283</v>
      </c>
      <c r="F356" t="s">
        <v>14</v>
      </c>
      <c r="G356" t="s">
        <v>15</v>
      </c>
      <c r="H356" s="3">
        <v>7</v>
      </c>
      <c r="I356" s="3">
        <v>65250</v>
      </c>
      <c r="J356" s="3">
        <v>456750</v>
      </c>
      <c r="K356" s="3">
        <v>45000</v>
      </c>
      <c r="L356" s="3">
        <v>315000</v>
      </c>
      <c r="M356" s="3">
        <v>141750</v>
      </c>
      <c r="N356" s="4">
        <v>0.31034482758620691</v>
      </c>
    </row>
    <row r="357" spans="1:14" x14ac:dyDescent="0.3">
      <c r="A357" s="6">
        <v>45683</v>
      </c>
      <c r="B357" s="1" t="s">
        <v>531</v>
      </c>
      <c r="C357" s="1" t="s">
        <v>26</v>
      </c>
      <c r="D357" t="s">
        <v>34</v>
      </c>
      <c r="E357" t="s">
        <v>131</v>
      </c>
      <c r="F357" t="s">
        <v>24</v>
      </c>
      <c r="G357" t="s">
        <v>25</v>
      </c>
      <c r="H357" s="3">
        <v>4</v>
      </c>
      <c r="I357" s="3">
        <v>3250</v>
      </c>
      <c r="J357" s="3">
        <v>13000</v>
      </c>
      <c r="K357" s="3">
        <v>2500</v>
      </c>
      <c r="L357" s="3">
        <v>10000</v>
      </c>
      <c r="M357" s="3">
        <v>3000</v>
      </c>
      <c r="N357" s="4">
        <v>0.23076923076923078</v>
      </c>
    </row>
    <row r="358" spans="1:14" x14ac:dyDescent="0.3">
      <c r="A358" s="6">
        <v>45683</v>
      </c>
      <c r="B358" s="1" t="s">
        <v>532</v>
      </c>
      <c r="C358" s="1" t="s">
        <v>29</v>
      </c>
      <c r="D358" t="s">
        <v>33</v>
      </c>
      <c r="E358" t="s">
        <v>381</v>
      </c>
      <c r="F358" t="s">
        <v>16</v>
      </c>
      <c r="G358" t="s">
        <v>15</v>
      </c>
      <c r="H358" s="3">
        <v>7</v>
      </c>
      <c r="I358" s="3">
        <v>49020</v>
      </c>
      <c r="J358" s="3">
        <v>343140</v>
      </c>
      <c r="K358" s="3">
        <v>38000</v>
      </c>
      <c r="L358" s="3">
        <v>266000</v>
      </c>
      <c r="M358" s="3">
        <v>77140</v>
      </c>
      <c r="N358" s="4">
        <v>0.22480620155038761</v>
      </c>
    </row>
    <row r="359" spans="1:14" x14ac:dyDescent="0.3">
      <c r="A359" s="6">
        <v>45683</v>
      </c>
      <c r="B359" s="1" t="s">
        <v>533</v>
      </c>
      <c r="C359" s="1" t="s">
        <v>28</v>
      </c>
      <c r="D359" t="s">
        <v>35</v>
      </c>
      <c r="E359" t="s">
        <v>275</v>
      </c>
      <c r="F359" t="s">
        <v>16</v>
      </c>
      <c r="G359" t="s">
        <v>15</v>
      </c>
      <c r="H359" s="3">
        <v>8</v>
      </c>
      <c r="I359" s="3">
        <v>53200</v>
      </c>
      <c r="J359" s="3">
        <v>425600</v>
      </c>
      <c r="K359" s="3">
        <v>38000</v>
      </c>
      <c r="L359" s="3">
        <v>304000</v>
      </c>
      <c r="M359" s="3">
        <v>121600</v>
      </c>
      <c r="N359" s="4">
        <v>0.2857142857142857</v>
      </c>
    </row>
    <row r="360" spans="1:14" x14ac:dyDescent="0.3">
      <c r="A360" s="6">
        <v>45683</v>
      </c>
      <c r="B360" s="1" t="s">
        <v>534</v>
      </c>
      <c r="C360" s="1" t="s">
        <v>27</v>
      </c>
      <c r="D360" t="s">
        <v>33</v>
      </c>
      <c r="E360" t="s">
        <v>151</v>
      </c>
      <c r="F360" t="s">
        <v>17</v>
      </c>
      <c r="G360" t="s">
        <v>18</v>
      </c>
      <c r="H360" s="3">
        <v>6</v>
      </c>
      <c r="I360" s="3">
        <v>10455</v>
      </c>
      <c r="J360" s="3">
        <v>62730</v>
      </c>
      <c r="K360" s="3">
        <v>8500</v>
      </c>
      <c r="L360" s="3">
        <v>51000</v>
      </c>
      <c r="M360" s="3">
        <v>11730</v>
      </c>
      <c r="N360" s="4">
        <v>0.18699186991869918</v>
      </c>
    </row>
    <row r="361" spans="1:14" x14ac:dyDescent="0.3">
      <c r="A361" s="6">
        <v>45683</v>
      </c>
      <c r="B361" s="1" t="s">
        <v>535</v>
      </c>
      <c r="C361" s="1" t="s">
        <v>27</v>
      </c>
      <c r="D361" t="s">
        <v>30</v>
      </c>
      <c r="E361" t="s">
        <v>61</v>
      </c>
      <c r="F361" t="s">
        <v>17</v>
      </c>
      <c r="G361" t="s">
        <v>18</v>
      </c>
      <c r="H361" s="3">
        <v>6</v>
      </c>
      <c r="I361" s="3">
        <v>11220</v>
      </c>
      <c r="J361" s="3">
        <v>67320</v>
      </c>
      <c r="K361" s="3">
        <v>8500</v>
      </c>
      <c r="L361" s="3">
        <v>51000</v>
      </c>
      <c r="M361" s="3">
        <v>16320</v>
      </c>
      <c r="N361" s="4">
        <v>0.24242424242424243</v>
      </c>
    </row>
    <row r="362" spans="1:14" x14ac:dyDescent="0.3">
      <c r="A362" s="6">
        <v>45683</v>
      </c>
      <c r="B362" s="1" t="s">
        <v>536</v>
      </c>
      <c r="C362" s="1" t="s">
        <v>28</v>
      </c>
      <c r="D362" t="s">
        <v>35</v>
      </c>
      <c r="E362" t="s">
        <v>184</v>
      </c>
      <c r="F362" t="s">
        <v>24</v>
      </c>
      <c r="G362" t="s">
        <v>25</v>
      </c>
      <c r="H362" s="3">
        <v>8</v>
      </c>
      <c r="I362" s="3">
        <v>3150</v>
      </c>
      <c r="J362" s="3">
        <v>25200</v>
      </c>
      <c r="K362" s="3">
        <v>2500</v>
      </c>
      <c r="L362" s="3">
        <v>20000</v>
      </c>
      <c r="M362" s="3">
        <v>5200</v>
      </c>
      <c r="N362" s="4">
        <v>0.20634920634920634</v>
      </c>
    </row>
    <row r="363" spans="1:14" x14ac:dyDescent="0.3">
      <c r="A363" s="6">
        <v>45683</v>
      </c>
      <c r="B363" s="1" t="s">
        <v>537</v>
      </c>
      <c r="C363" s="1" t="s">
        <v>27</v>
      </c>
      <c r="D363" t="s">
        <v>31</v>
      </c>
      <c r="E363" t="s">
        <v>400</v>
      </c>
      <c r="F363" t="s">
        <v>24</v>
      </c>
      <c r="G363" t="s">
        <v>25</v>
      </c>
      <c r="H363" s="3">
        <v>4</v>
      </c>
      <c r="I363" s="3">
        <v>3350</v>
      </c>
      <c r="J363" s="3">
        <v>13400</v>
      </c>
      <c r="K363" s="3">
        <v>2500</v>
      </c>
      <c r="L363" s="3">
        <v>10000</v>
      </c>
      <c r="M363" s="3">
        <v>3400</v>
      </c>
      <c r="N363" s="4">
        <v>0.2537313432835821</v>
      </c>
    </row>
    <row r="364" spans="1:14" x14ac:dyDescent="0.3">
      <c r="A364" s="6">
        <v>45684</v>
      </c>
      <c r="B364" s="1" t="s">
        <v>539</v>
      </c>
      <c r="C364" s="1" t="s">
        <v>28</v>
      </c>
      <c r="D364" t="s">
        <v>31</v>
      </c>
      <c r="E364" t="s">
        <v>447</v>
      </c>
      <c r="F364" t="s">
        <v>23</v>
      </c>
      <c r="G364" t="s">
        <v>25</v>
      </c>
      <c r="H364" s="3">
        <v>7</v>
      </c>
      <c r="I364" s="3">
        <v>4480</v>
      </c>
      <c r="J364" s="3">
        <v>31360</v>
      </c>
      <c r="K364" s="3">
        <v>3200</v>
      </c>
      <c r="L364" s="3">
        <v>22400</v>
      </c>
      <c r="M364" s="3">
        <v>8960</v>
      </c>
      <c r="N364" s="4">
        <v>0.2857142857142857</v>
      </c>
    </row>
    <row r="365" spans="1:14" x14ac:dyDescent="0.3">
      <c r="A365" s="6">
        <v>45684</v>
      </c>
      <c r="B365" s="1" t="s">
        <v>540</v>
      </c>
      <c r="C365" s="1" t="s">
        <v>27</v>
      </c>
      <c r="D365" t="s">
        <v>35</v>
      </c>
      <c r="E365" t="s">
        <v>233</v>
      </c>
      <c r="F365" t="s">
        <v>24</v>
      </c>
      <c r="G365" t="s">
        <v>25</v>
      </c>
      <c r="H365" s="3">
        <v>8</v>
      </c>
      <c r="I365" s="3">
        <v>3125</v>
      </c>
      <c r="J365" s="3">
        <v>25000</v>
      </c>
      <c r="K365" s="3">
        <v>2500</v>
      </c>
      <c r="L365" s="3">
        <v>20000</v>
      </c>
      <c r="M365" s="3">
        <v>5000</v>
      </c>
      <c r="N365" s="4">
        <v>0.2</v>
      </c>
    </row>
    <row r="366" spans="1:14" x14ac:dyDescent="0.3">
      <c r="A366" s="6">
        <v>45684</v>
      </c>
      <c r="B366" s="1" t="s">
        <v>541</v>
      </c>
      <c r="C366" s="1" t="s">
        <v>27</v>
      </c>
      <c r="D366" t="s">
        <v>35</v>
      </c>
      <c r="E366" t="s">
        <v>114</v>
      </c>
      <c r="F366" t="s">
        <v>23</v>
      </c>
      <c r="G366" t="s">
        <v>25</v>
      </c>
      <c r="H366" s="3">
        <v>8</v>
      </c>
      <c r="I366" s="3">
        <v>4192</v>
      </c>
      <c r="J366" s="3">
        <v>33536</v>
      </c>
      <c r="K366" s="3">
        <v>3200</v>
      </c>
      <c r="L366" s="3">
        <v>25600</v>
      </c>
      <c r="M366" s="3">
        <v>7936</v>
      </c>
      <c r="N366" s="4">
        <v>0.23664122137404581</v>
      </c>
    </row>
    <row r="367" spans="1:14" x14ac:dyDescent="0.3">
      <c r="A367" s="6">
        <v>45684</v>
      </c>
      <c r="B367" s="1" t="s">
        <v>542</v>
      </c>
      <c r="C367" s="1" t="s">
        <v>28</v>
      </c>
      <c r="D367" t="s">
        <v>35</v>
      </c>
      <c r="E367" t="s">
        <v>151</v>
      </c>
      <c r="F367" t="s">
        <v>23</v>
      </c>
      <c r="G367" t="s">
        <v>25</v>
      </c>
      <c r="H367" s="3">
        <v>3</v>
      </c>
      <c r="I367" s="3">
        <v>4448</v>
      </c>
      <c r="J367" s="3">
        <v>13344</v>
      </c>
      <c r="K367" s="3">
        <v>3200</v>
      </c>
      <c r="L367" s="3">
        <v>9600</v>
      </c>
      <c r="M367" s="3">
        <v>3744</v>
      </c>
      <c r="N367" s="4">
        <v>0.2805755395683453</v>
      </c>
    </row>
    <row r="368" spans="1:14" x14ac:dyDescent="0.3">
      <c r="A368" s="6">
        <v>45684</v>
      </c>
      <c r="B368" s="1" t="s">
        <v>543</v>
      </c>
      <c r="C368" s="1" t="s">
        <v>29</v>
      </c>
      <c r="D368" t="s">
        <v>34</v>
      </c>
      <c r="E368" t="s">
        <v>110</v>
      </c>
      <c r="F368" t="s">
        <v>17</v>
      </c>
      <c r="G368" t="s">
        <v>18</v>
      </c>
      <c r="H368" s="3">
        <v>3</v>
      </c>
      <c r="I368" s="3">
        <v>11050</v>
      </c>
      <c r="J368" s="3">
        <v>33150</v>
      </c>
      <c r="K368" s="3">
        <v>8500</v>
      </c>
      <c r="L368" s="3">
        <v>25500</v>
      </c>
      <c r="M368" s="3">
        <v>7650</v>
      </c>
      <c r="N368" s="4">
        <v>0.23076923076923078</v>
      </c>
    </row>
    <row r="369" spans="1:14" x14ac:dyDescent="0.3">
      <c r="A369" s="6">
        <v>45684</v>
      </c>
      <c r="B369" s="1" t="s">
        <v>544</v>
      </c>
      <c r="C369" s="1" t="s">
        <v>29</v>
      </c>
      <c r="D369" t="s">
        <v>35</v>
      </c>
      <c r="E369" t="s">
        <v>193</v>
      </c>
      <c r="F369" t="s">
        <v>16</v>
      </c>
      <c r="G369" t="s">
        <v>15</v>
      </c>
      <c r="H369" s="3">
        <v>1</v>
      </c>
      <c r="I369" s="3">
        <v>47880</v>
      </c>
      <c r="J369" s="3">
        <v>47880</v>
      </c>
      <c r="K369" s="3">
        <v>38000</v>
      </c>
      <c r="L369" s="3">
        <v>38000</v>
      </c>
      <c r="M369" s="3">
        <v>9880</v>
      </c>
      <c r="N369" s="4">
        <v>0.20634920634920634</v>
      </c>
    </row>
    <row r="370" spans="1:14" x14ac:dyDescent="0.3">
      <c r="A370" s="6">
        <v>45684</v>
      </c>
      <c r="B370" s="1" t="s">
        <v>545</v>
      </c>
      <c r="C370" s="1" t="s">
        <v>28</v>
      </c>
      <c r="D370" t="s">
        <v>33</v>
      </c>
      <c r="E370" t="s">
        <v>76</v>
      </c>
      <c r="F370" t="s">
        <v>19</v>
      </c>
      <c r="G370" t="s">
        <v>20</v>
      </c>
      <c r="H370" s="3">
        <v>8</v>
      </c>
      <c r="I370" s="3">
        <v>1197</v>
      </c>
      <c r="J370" s="3">
        <v>9576</v>
      </c>
      <c r="K370" s="3">
        <v>900</v>
      </c>
      <c r="L370" s="3">
        <v>7200</v>
      </c>
      <c r="M370" s="3">
        <v>2376</v>
      </c>
      <c r="N370" s="4">
        <v>0.24812030075187969</v>
      </c>
    </row>
    <row r="371" spans="1:14" x14ac:dyDescent="0.3">
      <c r="A371" s="6">
        <v>45684</v>
      </c>
      <c r="B371" s="1" t="s">
        <v>546</v>
      </c>
      <c r="C371" s="1" t="s">
        <v>29</v>
      </c>
      <c r="D371" t="s">
        <v>31</v>
      </c>
      <c r="E371" t="s">
        <v>220</v>
      </c>
      <c r="F371" t="s">
        <v>14</v>
      </c>
      <c r="G371" t="s">
        <v>15</v>
      </c>
      <c r="H371" s="3">
        <v>8</v>
      </c>
      <c r="I371" s="3">
        <v>60300</v>
      </c>
      <c r="J371" s="3">
        <v>482400</v>
      </c>
      <c r="K371" s="3">
        <v>45000</v>
      </c>
      <c r="L371" s="3">
        <v>360000</v>
      </c>
      <c r="M371" s="3">
        <v>122400</v>
      </c>
      <c r="N371" s="4">
        <v>0.2537313432835821</v>
      </c>
    </row>
    <row r="372" spans="1:14" x14ac:dyDescent="0.3">
      <c r="A372" s="6">
        <v>45684</v>
      </c>
      <c r="B372" s="1" t="s">
        <v>547</v>
      </c>
      <c r="C372" s="1" t="s">
        <v>26</v>
      </c>
      <c r="D372" t="s">
        <v>34</v>
      </c>
      <c r="E372" t="s">
        <v>118</v>
      </c>
      <c r="F372" t="s">
        <v>23</v>
      </c>
      <c r="G372" t="s">
        <v>25</v>
      </c>
      <c r="H372" s="3">
        <v>9</v>
      </c>
      <c r="I372" s="3">
        <v>4608</v>
      </c>
      <c r="J372" s="3">
        <v>41472</v>
      </c>
      <c r="K372" s="3">
        <v>3200</v>
      </c>
      <c r="L372" s="3">
        <v>28800</v>
      </c>
      <c r="M372" s="3">
        <v>12672</v>
      </c>
      <c r="N372" s="4">
        <v>0.30555555555555558</v>
      </c>
    </row>
    <row r="373" spans="1:14" x14ac:dyDescent="0.3">
      <c r="A373" s="6">
        <v>45684</v>
      </c>
      <c r="B373" s="1" t="s">
        <v>549</v>
      </c>
      <c r="C373" s="1" t="s">
        <v>27</v>
      </c>
      <c r="D373" t="s">
        <v>34</v>
      </c>
      <c r="E373" t="s">
        <v>65</v>
      </c>
      <c r="F373" t="s">
        <v>19</v>
      </c>
      <c r="G373" t="s">
        <v>20</v>
      </c>
      <c r="H373" s="3">
        <v>6</v>
      </c>
      <c r="I373" s="3">
        <v>1125</v>
      </c>
      <c r="J373" s="3">
        <v>6750</v>
      </c>
      <c r="K373" s="3">
        <v>900</v>
      </c>
      <c r="L373" s="3">
        <v>5400</v>
      </c>
      <c r="M373" s="3">
        <v>1350</v>
      </c>
      <c r="N373" s="4">
        <v>0.2</v>
      </c>
    </row>
    <row r="374" spans="1:14" x14ac:dyDescent="0.3">
      <c r="A374" s="6">
        <v>45684</v>
      </c>
      <c r="B374" s="1" t="s">
        <v>550</v>
      </c>
      <c r="C374" s="1" t="s">
        <v>28</v>
      </c>
      <c r="D374" t="s">
        <v>32</v>
      </c>
      <c r="E374" t="s">
        <v>327</v>
      </c>
      <c r="F374" t="s">
        <v>21</v>
      </c>
      <c r="G374" t="s">
        <v>20</v>
      </c>
      <c r="H374" s="3">
        <v>1</v>
      </c>
      <c r="I374" s="3">
        <v>870</v>
      </c>
      <c r="J374" s="3">
        <v>870</v>
      </c>
      <c r="K374" s="3">
        <v>600</v>
      </c>
      <c r="L374" s="3">
        <v>600</v>
      </c>
      <c r="M374" s="3">
        <v>270</v>
      </c>
      <c r="N374" s="4">
        <v>0.31034482758620691</v>
      </c>
    </row>
    <row r="375" spans="1:14" x14ac:dyDescent="0.3">
      <c r="A375" s="6">
        <v>45684</v>
      </c>
      <c r="B375" s="1" t="s">
        <v>551</v>
      </c>
      <c r="C375" s="1" t="s">
        <v>27</v>
      </c>
      <c r="D375" t="s">
        <v>34</v>
      </c>
      <c r="E375" t="s">
        <v>222</v>
      </c>
      <c r="F375" t="s">
        <v>21</v>
      </c>
      <c r="G375" t="s">
        <v>20</v>
      </c>
      <c r="H375" s="3">
        <v>7</v>
      </c>
      <c r="I375" s="3">
        <v>804</v>
      </c>
      <c r="J375" s="3">
        <v>5628</v>
      </c>
      <c r="K375" s="3">
        <v>600</v>
      </c>
      <c r="L375" s="3">
        <v>4200</v>
      </c>
      <c r="M375" s="3">
        <v>1428</v>
      </c>
      <c r="N375" s="4">
        <v>0.2537313432835821</v>
      </c>
    </row>
    <row r="376" spans="1:14" x14ac:dyDescent="0.3">
      <c r="A376" s="6">
        <v>45684</v>
      </c>
      <c r="B376" s="1" t="s">
        <v>552</v>
      </c>
      <c r="C376" s="1" t="s">
        <v>28</v>
      </c>
      <c r="D376" t="s">
        <v>30</v>
      </c>
      <c r="E376" t="s">
        <v>83</v>
      </c>
      <c r="F376" t="s">
        <v>24</v>
      </c>
      <c r="G376" t="s">
        <v>25</v>
      </c>
      <c r="H376" s="3">
        <v>8</v>
      </c>
      <c r="I376" s="3">
        <v>3200</v>
      </c>
      <c r="J376" s="3">
        <v>25600</v>
      </c>
      <c r="K376" s="3">
        <v>2500</v>
      </c>
      <c r="L376" s="3">
        <v>20000</v>
      </c>
      <c r="M376" s="3">
        <v>5600</v>
      </c>
      <c r="N376" s="4">
        <v>0.21875</v>
      </c>
    </row>
    <row r="377" spans="1:14" x14ac:dyDescent="0.3">
      <c r="A377" s="6">
        <v>45684</v>
      </c>
      <c r="B377" s="1" t="s">
        <v>553</v>
      </c>
      <c r="C377" s="1" t="s">
        <v>29</v>
      </c>
      <c r="D377" t="s">
        <v>30</v>
      </c>
      <c r="E377" t="s">
        <v>306</v>
      </c>
      <c r="F377" t="s">
        <v>17</v>
      </c>
      <c r="G377" t="s">
        <v>18</v>
      </c>
      <c r="H377" s="3">
        <v>10</v>
      </c>
      <c r="I377" s="3">
        <v>11305</v>
      </c>
      <c r="J377" s="3">
        <v>113050</v>
      </c>
      <c r="K377" s="3">
        <v>8500</v>
      </c>
      <c r="L377" s="3">
        <v>85000</v>
      </c>
      <c r="M377" s="3">
        <v>28050</v>
      </c>
      <c r="N377" s="4">
        <v>0.24812030075187969</v>
      </c>
    </row>
    <row r="378" spans="1:14" x14ac:dyDescent="0.3">
      <c r="A378" s="6">
        <v>45685</v>
      </c>
      <c r="B378" s="1" t="s">
        <v>554</v>
      </c>
      <c r="C378" s="1" t="s">
        <v>29</v>
      </c>
      <c r="D378" t="s">
        <v>30</v>
      </c>
      <c r="E378" t="s">
        <v>204</v>
      </c>
      <c r="F378" t="s">
        <v>14</v>
      </c>
      <c r="G378" t="s">
        <v>15</v>
      </c>
      <c r="H378" s="3">
        <v>2</v>
      </c>
      <c r="I378" s="3">
        <v>59400</v>
      </c>
      <c r="J378" s="3">
        <v>118800</v>
      </c>
      <c r="K378" s="3">
        <v>45000</v>
      </c>
      <c r="L378" s="3">
        <v>90000</v>
      </c>
      <c r="M378" s="3">
        <v>28800</v>
      </c>
      <c r="N378" s="4">
        <v>0.24242424242424243</v>
      </c>
    </row>
    <row r="379" spans="1:14" x14ac:dyDescent="0.3">
      <c r="A379" s="6">
        <v>45685</v>
      </c>
      <c r="B379" s="1" t="s">
        <v>555</v>
      </c>
      <c r="C379" s="1" t="s">
        <v>26</v>
      </c>
      <c r="D379" t="s">
        <v>34</v>
      </c>
      <c r="E379" t="s">
        <v>521</v>
      </c>
      <c r="F379" t="s">
        <v>14</v>
      </c>
      <c r="G379" t="s">
        <v>15</v>
      </c>
      <c r="H379" s="3">
        <v>1</v>
      </c>
      <c r="I379" s="3">
        <v>64350</v>
      </c>
      <c r="J379" s="3">
        <v>64350</v>
      </c>
      <c r="K379" s="3">
        <v>45000</v>
      </c>
      <c r="L379" s="3">
        <v>45000</v>
      </c>
      <c r="M379" s="3">
        <v>19350</v>
      </c>
      <c r="N379" s="4">
        <v>0.30069930069930068</v>
      </c>
    </row>
    <row r="380" spans="1:14" x14ac:dyDescent="0.3">
      <c r="A380" s="6">
        <v>45685</v>
      </c>
      <c r="B380" s="1" t="s">
        <v>556</v>
      </c>
      <c r="C380" s="1" t="s">
        <v>29</v>
      </c>
      <c r="D380" t="s">
        <v>32</v>
      </c>
      <c r="E380" t="s">
        <v>236</v>
      </c>
      <c r="F380" t="s">
        <v>19</v>
      </c>
      <c r="G380" t="s">
        <v>20</v>
      </c>
      <c r="H380" s="3">
        <v>3</v>
      </c>
      <c r="I380" s="3">
        <v>1161</v>
      </c>
      <c r="J380" s="3">
        <v>3483</v>
      </c>
      <c r="K380" s="3">
        <v>900</v>
      </c>
      <c r="L380" s="3">
        <v>2700</v>
      </c>
      <c r="M380" s="3">
        <v>783</v>
      </c>
      <c r="N380" s="4">
        <v>0.22480620155038761</v>
      </c>
    </row>
    <row r="381" spans="1:14" x14ac:dyDescent="0.3">
      <c r="A381" s="6">
        <v>45685</v>
      </c>
      <c r="B381" s="1" t="s">
        <v>557</v>
      </c>
      <c r="C381" s="1" t="s">
        <v>28</v>
      </c>
      <c r="D381" t="s">
        <v>33</v>
      </c>
      <c r="E381" t="s">
        <v>582</v>
      </c>
      <c r="F381" t="s">
        <v>21</v>
      </c>
      <c r="G381" t="s">
        <v>20</v>
      </c>
      <c r="H381" s="3">
        <v>7</v>
      </c>
      <c r="I381" s="3">
        <v>864</v>
      </c>
      <c r="J381" s="3">
        <v>6048</v>
      </c>
      <c r="K381" s="3">
        <v>600</v>
      </c>
      <c r="L381" s="3">
        <v>4200</v>
      </c>
      <c r="M381" s="3">
        <v>1848</v>
      </c>
      <c r="N381" s="4">
        <v>0.30555555555555558</v>
      </c>
    </row>
    <row r="382" spans="1:14" x14ac:dyDescent="0.3">
      <c r="A382" s="6">
        <v>45685</v>
      </c>
      <c r="B382" s="1" t="s">
        <v>558</v>
      </c>
      <c r="C382" s="1" t="s">
        <v>29</v>
      </c>
      <c r="D382" t="s">
        <v>31</v>
      </c>
      <c r="E382" t="s">
        <v>442</v>
      </c>
      <c r="F382" t="s">
        <v>22</v>
      </c>
      <c r="G382" t="s">
        <v>18</v>
      </c>
      <c r="H382" s="3">
        <v>7</v>
      </c>
      <c r="I382" s="3">
        <v>9520</v>
      </c>
      <c r="J382" s="3">
        <v>66640</v>
      </c>
      <c r="K382" s="3">
        <v>7000</v>
      </c>
      <c r="L382" s="3">
        <v>49000</v>
      </c>
      <c r="M382" s="3">
        <v>17640</v>
      </c>
      <c r="N382" s="4">
        <v>0.26470588235294118</v>
      </c>
    </row>
    <row r="383" spans="1:14" x14ac:dyDescent="0.3">
      <c r="A383" s="6">
        <v>45685</v>
      </c>
      <c r="B383" s="1" t="s">
        <v>559</v>
      </c>
      <c r="C383" s="1" t="s">
        <v>29</v>
      </c>
      <c r="D383" t="s">
        <v>30</v>
      </c>
      <c r="E383" t="s">
        <v>72</v>
      </c>
      <c r="F383" t="s">
        <v>14</v>
      </c>
      <c r="G383" t="s">
        <v>15</v>
      </c>
      <c r="H383" s="3">
        <v>3</v>
      </c>
      <c r="I383" s="3">
        <v>65250</v>
      </c>
      <c r="J383" s="3">
        <v>195750</v>
      </c>
      <c r="K383" s="3">
        <v>45000</v>
      </c>
      <c r="L383" s="3">
        <v>135000</v>
      </c>
      <c r="M383" s="3">
        <v>60750</v>
      </c>
      <c r="N383" s="4">
        <v>0.31034482758620691</v>
      </c>
    </row>
    <row r="384" spans="1:14" x14ac:dyDescent="0.3">
      <c r="A384" s="6">
        <v>45685</v>
      </c>
      <c r="B384" s="1" t="s">
        <v>560</v>
      </c>
      <c r="C384" s="1" t="s">
        <v>28</v>
      </c>
      <c r="D384" t="s">
        <v>34</v>
      </c>
      <c r="E384" t="s">
        <v>327</v>
      </c>
      <c r="F384" t="s">
        <v>19</v>
      </c>
      <c r="G384" t="s">
        <v>20</v>
      </c>
      <c r="H384" s="3">
        <v>8</v>
      </c>
      <c r="I384" s="3">
        <v>1116</v>
      </c>
      <c r="J384" s="3">
        <v>8928</v>
      </c>
      <c r="K384" s="3">
        <v>900</v>
      </c>
      <c r="L384" s="3">
        <v>7200</v>
      </c>
      <c r="M384" s="3">
        <v>1728</v>
      </c>
      <c r="N384" s="4">
        <v>0.19354838709677419</v>
      </c>
    </row>
    <row r="385" spans="1:14" x14ac:dyDescent="0.3">
      <c r="A385" s="6">
        <v>45685</v>
      </c>
      <c r="B385" s="1" t="s">
        <v>561</v>
      </c>
      <c r="C385" s="1" t="s">
        <v>29</v>
      </c>
      <c r="D385" t="s">
        <v>32</v>
      </c>
      <c r="E385" t="s">
        <v>149</v>
      </c>
      <c r="F385" t="s">
        <v>16</v>
      </c>
      <c r="G385" t="s">
        <v>15</v>
      </c>
      <c r="H385" s="3">
        <v>2</v>
      </c>
      <c r="I385" s="3">
        <v>51300</v>
      </c>
      <c r="J385" s="3">
        <v>102600</v>
      </c>
      <c r="K385" s="3">
        <v>38000</v>
      </c>
      <c r="L385" s="3">
        <v>76000</v>
      </c>
      <c r="M385" s="3">
        <v>26600</v>
      </c>
      <c r="N385" s="4">
        <v>0.25925925925925924</v>
      </c>
    </row>
    <row r="386" spans="1:14" x14ac:dyDescent="0.3">
      <c r="A386" s="6">
        <v>45685</v>
      </c>
      <c r="B386" s="1" t="s">
        <v>562</v>
      </c>
      <c r="C386" s="1" t="s">
        <v>29</v>
      </c>
      <c r="D386" t="s">
        <v>34</v>
      </c>
      <c r="E386" t="s">
        <v>112</v>
      </c>
      <c r="F386" t="s">
        <v>21</v>
      </c>
      <c r="G386" t="s">
        <v>20</v>
      </c>
      <c r="H386" s="3">
        <v>1</v>
      </c>
      <c r="I386" s="3">
        <v>768</v>
      </c>
      <c r="J386" s="3">
        <v>768</v>
      </c>
      <c r="K386" s="3">
        <v>600</v>
      </c>
      <c r="L386" s="3">
        <v>600</v>
      </c>
      <c r="M386" s="3">
        <v>168</v>
      </c>
      <c r="N386" s="4">
        <v>0.21875</v>
      </c>
    </row>
    <row r="387" spans="1:14" x14ac:dyDescent="0.3">
      <c r="A387" s="6">
        <v>45685</v>
      </c>
      <c r="B387" s="1" t="s">
        <v>563</v>
      </c>
      <c r="C387" s="1" t="s">
        <v>29</v>
      </c>
      <c r="D387" t="s">
        <v>30</v>
      </c>
      <c r="E387" t="s">
        <v>355</v>
      </c>
      <c r="F387" t="s">
        <v>24</v>
      </c>
      <c r="G387" t="s">
        <v>25</v>
      </c>
      <c r="H387" s="3">
        <v>2</v>
      </c>
      <c r="I387" s="3">
        <v>3399.9999999999995</v>
      </c>
      <c r="J387" s="3">
        <v>6799.9999999999991</v>
      </c>
      <c r="K387" s="3">
        <v>2500</v>
      </c>
      <c r="L387" s="3">
        <v>5000</v>
      </c>
      <c r="M387" s="3">
        <v>1799.9999999999991</v>
      </c>
      <c r="N387" s="4">
        <v>0.26470588235294107</v>
      </c>
    </row>
    <row r="388" spans="1:14" x14ac:dyDescent="0.3">
      <c r="A388" s="6">
        <v>45685</v>
      </c>
      <c r="B388" s="1" t="s">
        <v>564</v>
      </c>
      <c r="C388" s="1" t="s">
        <v>28</v>
      </c>
      <c r="D388" t="s">
        <v>33</v>
      </c>
      <c r="E388" t="s">
        <v>83</v>
      </c>
      <c r="F388" t="s">
        <v>17</v>
      </c>
      <c r="G388" t="s">
        <v>18</v>
      </c>
      <c r="H388" s="3">
        <v>4</v>
      </c>
      <c r="I388" s="3">
        <v>11305</v>
      </c>
      <c r="J388" s="3">
        <v>45220</v>
      </c>
      <c r="K388" s="3">
        <v>8500</v>
      </c>
      <c r="L388" s="3">
        <v>34000</v>
      </c>
      <c r="M388" s="3">
        <v>11220</v>
      </c>
      <c r="N388" s="4">
        <v>0.24812030075187969</v>
      </c>
    </row>
    <row r="389" spans="1:14" x14ac:dyDescent="0.3">
      <c r="A389" s="6">
        <v>45685</v>
      </c>
      <c r="B389" s="1" t="s">
        <v>566</v>
      </c>
      <c r="C389" s="1" t="s">
        <v>29</v>
      </c>
      <c r="D389" t="s">
        <v>30</v>
      </c>
      <c r="E389" t="s">
        <v>163</v>
      </c>
      <c r="F389" t="s">
        <v>17</v>
      </c>
      <c r="G389" t="s">
        <v>18</v>
      </c>
      <c r="H389" s="3">
        <v>3</v>
      </c>
      <c r="I389" s="3">
        <v>11135</v>
      </c>
      <c r="J389" s="3">
        <v>33405</v>
      </c>
      <c r="K389" s="3">
        <v>8500</v>
      </c>
      <c r="L389" s="3">
        <v>25500</v>
      </c>
      <c r="M389" s="3">
        <v>7905</v>
      </c>
      <c r="N389" s="4">
        <v>0.23664122137404581</v>
      </c>
    </row>
    <row r="390" spans="1:14" x14ac:dyDescent="0.3">
      <c r="A390" s="6">
        <v>45685</v>
      </c>
      <c r="B390" s="1" t="s">
        <v>567</v>
      </c>
      <c r="C390" s="1" t="s">
        <v>29</v>
      </c>
      <c r="D390" t="s">
        <v>33</v>
      </c>
      <c r="E390" t="s">
        <v>166</v>
      </c>
      <c r="F390" t="s">
        <v>22</v>
      </c>
      <c r="G390" t="s">
        <v>18</v>
      </c>
      <c r="H390" s="3">
        <v>1</v>
      </c>
      <c r="I390" s="3">
        <v>9310</v>
      </c>
      <c r="J390" s="3">
        <v>9310</v>
      </c>
      <c r="K390" s="3">
        <v>7000</v>
      </c>
      <c r="L390" s="3">
        <v>7000</v>
      </c>
      <c r="M390" s="3">
        <v>2310</v>
      </c>
      <c r="N390" s="4">
        <v>0.24812030075187969</v>
      </c>
    </row>
    <row r="391" spans="1:14" x14ac:dyDescent="0.3">
      <c r="A391" s="6">
        <v>45685</v>
      </c>
      <c r="B391" s="1" t="s">
        <v>568</v>
      </c>
      <c r="C391" s="1" t="s">
        <v>26</v>
      </c>
      <c r="D391" t="s">
        <v>31</v>
      </c>
      <c r="E391" t="s">
        <v>184</v>
      </c>
      <c r="F391" t="s">
        <v>17</v>
      </c>
      <c r="G391" t="s">
        <v>18</v>
      </c>
      <c r="H391" s="3">
        <v>8</v>
      </c>
      <c r="I391" s="3">
        <v>10625</v>
      </c>
      <c r="J391" s="3">
        <v>85000</v>
      </c>
      <c r="K391" s="3">
        <v>8500</v>
      </c>
      <c r="L391" s="3">
        <v>68000</v>
      </c>
      <c r="M391" s="3">
        <v>17000</v>
      </c>
      <c r="N391" s="4">
        <v>0.2</v>
      </c>
    </row>
    <row r="392" spans="1:14" x14ac:dyDescent="0.3">
      <c r="A392" s="6">
        <v>45686</v>
      </c>
      <c r="B392" s="1" t="s">
        <v>569</v>
      </c>
      <c r="C392" s="1" t="s">
        <v>27</v>
      </c>
      <c r="D392" t="s">
        <v>32</v>
      </c>
      <c r="E392" t="s">
        <v>310</v>
      </c>
      <c r="F392" t="s">
        <v>23</v>
      </c>
      <c r="G392" t="s">
        <v>25</v>
      </c>
      <c r="H392" s="3">
        <v>9</v>
      </c>
      <c r="I392" s="3">
        <v>3936</v>
      </c>
      <c r="J392" s="3">
        <v>35424</v>
      </c>
      <c r="K392" s="3">
        <v>3200</v>
      </c>
      <c r="L392" s="3">
        <v>28800</v>
      </c>
      <c r="M392" s="3">
        <v>6624</v>
      </c>
      <c r="N392" s="4">
        <v>0.18699186991869918</v>
      </c>
    </row>
    <row r="393" spans="1:14" x14ac:dyDescent="0.3">
      <c r="A393" s="6">
        <v>45686</v>
      </c>
      <c r="B393" s="1" t="s">
        <v>570</v>
      </c>
      <c r="C393" s="1" t="s">
        <v>26</v>
      </c>
      <c r="D393" t="s">
        <v>31</v>
      </c>
      <c r="E393" t="s">
        <v>76</v>
      </c>
      <c r="F393" t="s">
        <v>22</v>
      </c>
      <c r="G393" t="s">
        <v>18</v>
      </c>
      <c r="H393" s="3">
        <v>8</v>
      </c>
      <c r="I393" s="3">
        <v>8470</v>
      </c>
      <c r="J393" s="3">
        <v>67760</v>
      </c>
      <c r="K393" s="3">
        <v>7000</v>
      </c>
      <c r="L393" s="3">
        <v>56000</v>
      </c>
      <c r="M393" s="3">
        <v>11760</v>
      </c>
      <c r="N393" s="4">
        <v>0.17355371900826447</v>
      </c>
    </row>
    <row r="394" spans="1:14" x14ac:dyDescent="0.3">
      <c r="A394" s="6">
        <v>45686</v>
      </c>
      <c r="B394" s="1" t="s">
        <v>571</v>
      </c>
      <c r="C394" s="1" t="s">
        <v>26</v>
      </c>
      <c r="D394" t="s">
        <v>32</v>
      </c>
      <c r="E394" t="s">
        <v>53</v>
      </c>
      <c r="F394" t="s">
        <v>14</v>
      </c>
      <c r="G394" t="s">
        <v>15</v>
      </c>
      <c r="H394" s="3">
        <v>8</v>
      </c>
      <c r="I394" s="3">
        <v>58050</v>
      </c>
      <c r="J394" s="3">
        <v>464400</v>
      </c>
      <c r="K394" s="3">
        <v>45000</v>
      </c>
      <c r="L394" s="3">
        <v>360000</v>
      </c>
      <c r="M394" s="3">
        <v>104400</v>
      </c>
      <c r="N394" s="4">
        <v>0.22480620155038761</v>
      </c>
    </row>
    <row r="395" spans="1:14" x14ac:dyDescent="0.3">
      <c r="A395" s="6">
        <v>45686</v>
      </c>
      <c r="B395" s="1" t="s">
        <v>572</v>
      </c>
      <c r="C395" s="1" t="s">
        <v>26</v>
      </c>
      <c r="D395" t="s">
        <v>31</v>
      </c>
      <c r="E395" t="s">
        <v>302</v>
      </c>
      <c r="F395" t="s">
        <v>14</v>
      </c>
      <c r="G395" t="s">
        <v>15</v>
      </c>
      <c r="H395" s="3">
        <v>7</v>
      </c>
      <c r="I395" s="3">
        <v>60300</v>
      </c>
      <c r="J395" s="3">
        <v>422100</v>
      </c>
      <c r="K395" s="3">
        <v>45000</v>
      </c>
      <c r="L395" s="3">
        <v>315000</v>
      </c>
      <c r="M395" s="3">
        <v>107100</v>
      </c>
      <c r="N395" s="4">
        <v>0.2537313432835821</v>
      </c>
    </row>
    <row r="396" spans="1:14" x14ac:dyDescent="0.3">
      <c r="A396" s="6">
        <v>45686</v>
      </c>
      <c r="B396" s="1" t="s">
        <v>573</v>
      </c>
      <c r="C396" s="1" t="s">
        <v>29</v>
      </c>
      <c r="D396" t="s">
        <v>34</v>
      </c>
      <c r="E396" t="s">
        <v>308</v>
      </c>
      <c r="F396" t="s">
        <v>21</v>
      </c>
      <c r="G396" t="s">
        <v>20</v>
      </c>
      <c r="H396" s="3">
        <v>5</v>
      </c>
      <c r="I396" s="3">
        <v>864</v>
      </c>
      <c r="J396" s="3">
        <v>4320</v>
      </c>
      <c r="K396" s="3">
        <v>600</v>
      </c>
      <c r="L396" s="3">
        <v>3000</v>
      </c>
      <c r="M396" s="3">
        <v>1320</v>
      </c>
      <c r="N396" s="4">
        <v>0.30555555555555558</v>
      </c>
    </row>
    <row r="397" spans="1:14" x14ac:dyDescent="0.3">
      <c r="A397" s="6">
        <v>45686</v>
      </c>
      <c r="B397" s="1" t="s">
        <v>575</v>
      </c>
      <c r="C397" s="1" t="s">
        <v>27</v>
      </c>
      <c r="D397" t="s">
        <v>33</v>
      </c>
      <c r="E397" t="s">
        <v>39</v>
      </c>
      <c r="F397" t="s">
        <v>21</v>
      </c>
      <c r="G397" t="s">
        <v>20</v>
      </c>
      <c r="H397" s="3">
        <v>7</v>
      </c>
      <c r="I397" s="3">
        <v>726</v>
      </c>
      <c r="J397" s="3">
        <v>5082</v>
      </c>
      <c r="K397" s="3">
        <v>600</v>
      </c>
      <c r="L397" s="3">
        <v>4200</v>
      </c>
      <c r="M397" s="3">
        <v>882</v>
      </c>
      <c r="N397" s="4">
        <v>0.17355371900826447</v>
      </c>
    </row>
    <row r="398" spans="1:14" x14ac:dyDescent="0.3">
      <c r="A398" s="6">
        <v>45686</v>
      </c>
      <c r="B398" s="1" t="s">
        <v>577</v>
      </c>
      <c r="C398" s="1" t="s">
        <v>28</v>
      </c>
      <c r="D398" t="s">
        <v>34</v>
      </c>
      <c r="E398" t="s">
        <v>72</v>
      </c>
      <c r="F398" t="s">
        <v>16</v>
      </c>
      <c r="G398" t="s">
        <v>15</v>
      </c>
      <c r="H398" s="3">
        <v>10</v>
      </c>
      <c r="I398" s="3">
        <v>52060.000000000007</v>
      </c>
      <c r="J398" s="3">
        <v>520600.00000000006</v>
      </c>
      <c r="K398" s="3">
        <v>38000</v>
      </c>
      <c r="L398" s="3">
        <v>380000</v>
      </c>
      <c r="M398" s="3">
        <v>140600.00000000006</v>
      </c>
      <c r="N398" s="4">
        <v>0.27007299270072999</v>
      </c>
    </row>
    <row r="399" spans="1:14" x14ac:dyDescent="0.3">
      <c r="A399" s="6">
        <v>45686</v>
      </c>
      <c r="B399" s="1" t="s">
        <v>578</v>
      </c>
      <c r="C399" s="1" t="s">
        <v>26</v>
      </c>
      <c r="D399" t="s">
        <v>32</v>
      </c>
      <c r="E399" t="s">
        <v>151</v>
      </c>
      <c r="F399" t="s">
        <v>14</v>
      </c>
      <c r="G399" t="s">
        <v>15</v>
      </c>
      <c r="H399" s="3">
        <v>2</v>
      </c>
      <c r="I399" s="3">
        <v>61650.000000000007</v>
      </c>
      <c r="J399" s="3">
        <v>123300.00000000001</v>
      </c>
      <c r="K399" s="3">
        <v>45000</v>
      </c>
      <c r="L399" s="3">
        <v>90000</v>
      </c>
      <c r="M399" s="3">
        <v>33300.000000000015</v>
      </c>
      <c r="N399" s="4">
        <v>0.27007299270072999</v>
      </c>
    </row>
    <row r="400" spans="1:14" x14ac:dyDescent="0.3">
      <c r="A400" s="6">
        <v>45686</v>
      </c>
      <c r="B400" s="1" t="s">
        <v>579</v>
      </c>
      <c r="C400" s="1" t="s">
        <v>28</v>
      </c>
      <c r="D400" t="s">
        <v>35</v>
      </c>
      <c r="E400" t="s">
        <v>88</v>
      </c>
      <c r="F400" t="s">
        <v>22</v>
      </c>
      <c r="G400" t="s">
        <v>18</v>
      </c>
      <c r="H400" s="3">
        <v>9</v>
      </c>
      <c r="I400" s="3">
        <v>9870</v>
      </c>
      <c r="J400" s="3">
        <v>88830</v>
      </c>
      <c r="K400" s="3">
        <v>7000</v>
      </c>
      <c r="L400" s="3">
        <v>63000</v>
      </c>
      <c r="M400" s="3">
        <v>25830</v>
      </c>
      <c r="N400" s="4">
        <v>0.29078014184397161</v>
      </c>
    </row>
    <row r="401" spans="1:14" x14ac:dyDescent="0.3">
      <c r="A401" s="6">
        <v>45686</v>
      </c>
      <c r="B401" s="1" t="s">
        <v>580</v>
      </c>
      <c r="C401" s="1" t="s">
        <v>28</v>
      </c>
      <c r="D401" t="s">
        <v>34</v>
      </c>
      <c r="E401" t="s">
        <v>76</v>
      </c>
      <c r="F401" t="s">
        <v>21</v>
      </c>
      <c r="G401" t="s">
        <v>20</v>
      </c>
      <c r="H401" s="3">
        <v>6</v>
      </c>
      <c r="I401" s="3">
        <v>744</v>
      </c>
      <c r="J401" s="3">
        <v>4464</v>
      </c>
      <c r="K401" s="3">
        <v>600</v>
      </c>
      <c r="L401" s="3">
        <v>3600</v>
      </c>
      <c r="M401" s="3">
        <v>864</v>
      </c>
      <c r="N401" s="4">
        <v>0.19354838709677419</v>
      </c>
    </row>
    <row r="402" spans="1:14" x14ac:dyDescent="0.3">
      <c r="A402" s="6">
        <v>45686</v>
      </c>
      <c r="B402" s="1" t="s">
        <v>581</v>
      </c>
      <c r="C402" s="1" t="s">
        <v>26</v>
      </c>
      <c r="D402" t="s">
        <v>32</v>
      </c>
      <c r="E402" t="s">
        <v>548</v>
      </c>
      <c r="F402" t="s">
        <v>21</v>
      </c>
      <c r="G402" t="s">
        <v>20</v>
      </c>
      <c r="H402" s="3">
        <v>9</v>
      </c>
      <c r="I402" s="3">
        <v>726</v>
      </c>
      <c r="J402" s="3">
        <v>6534</v>
      </c>
      <c r="K402" s="3">
        <v>600</v>
      </c>
      <c r="L402" s="3">
        <v>5400</v>
      </c>
      <c r="M402" s="3">
        <v>1134</v>
      </c>
      <c r="N402" s="4">
        <v>0.17355371900826447</v>
      </c>
    </row>
    <row r="403" spans="1:14" x14ac:dyDescent="0.3">
      <c r="A403" s="6">
        <v>45686</v>
      </c>
      <c r="B403" s="1" t="s">
        <v>583</v>
      </c>
      <c r="C403" s="1" t="s">
        <v>28</v>
      </c>
      <c r="D403" t="s">
        <v>32</v>
      </c>
      <c r="E403" t="s">
        <v>255</v>
      </c>
      <c r="F403" t="s">
        <v>23</v>
      </c>
      <c r="G403" t="s">
        <v>25</v>
      </c>
      <c r="H403" s="3">
        <v>4</v>
      </c>
      <c r="I403" s="3">
        <v>3872</v>
      </c>
      <c r="J403" s="3">
        <v>15488</v>
      </c>
      <c r="K403" s="3">
        <v>3200</v>
      </c>
      <c r="L403" s="3">
        <v>12800</v>
      </c>
      <c r="M403" s="3">
        <v>2688</v>
      </c>
      <c r="N403" s="4">
        <v>0.17355371900826447</v>
      </c>
    </row>
    <row r="404" spans="1:14" x14ac:dyDescent="0.3">
      <c r="A404" s="6">
        <v>45686</v>
      </c>
      <c r="B404" s="1" t="s">
        <v>584</v>
      </c>
      <c r="C404" s="1" t="s">
        <v>28</v>
      </c>
      <c r="D404" t="s">
        <v>31</v>
      </c>
      <c r="E404" t="s">
        <v>61</v>
      </c>
      <c r="F404" t="s">
        <v>16</v>
      </c>
      <c r="G404" t="s">
        <v>15</v>
      </c>
      <c r="H404" s="3">
        <v>2</v>
      </c>
      <c r="I404" s="3">
        <v>54720</v>
      </c>
      <c r="J404" s="3">
        <v>109440</v>
      </c>
      <c r="K404" s="3">
        <v>38000</v>
      </c>
      <c r="L404" s="3">
        <v>76000</v>
      </c>
      <c r="M404" s="3">
        <v>33440</v>
      </c>
      <c r="N404" s="4">
        <v>0.30555555555555558</v>
      </c>
    </row>
    <row r="405" spans="1:14" x14ac:dyDescent="0.3">
      <c r="A405" s="6">
        <v>45686</v>
      </c>
      <c r="B405" s="1" t="s">
        <v>585</v>
      </c>
      <c r="C405" s="1" t="s">
        <v>26</v>
      </c>
      <c r="D405" t="s">
        <v>33</v>
      </c>
      <c r="E405" t="s">
        <v>357</v>
      </c>
      <c r="F405" t="s">
        <v>14</v>
      </c>
      <c r="G405" t="s">
        <v>15</v>
      </c>
      <c r="H405" s="3">
        <v>1</v>
      </c>
      <c r="I405" s="3">
        <v>64350</v>
      </c>
      <c r="J405" s="3">
        <v>64350</v>
      </c>
      <c r="K405" s="3">
        <v>45000</v>
      </c>
      <c r="L405" s="3">
        <v>45000</v>
      </c>
      <c r="M405" s="3">
        <v>19350</v>
      </c>
      <c r="N405" s="4">
        <v>0.30069930069930068</v>
      </c>
    </row>
    <row r="406" spans="1:14" x14ac:dyDescent="0.3">
      <c r="A406" s="6">
        <v>45687</v>
      </c>
      <c r="B406" s="1" t="s">
        <v>586</v>
      </c>
      <c r="C406" s="1" t="s">
        <v>26</v>
      </c>
      <c r="D406" t="s">
        <v>30</v>
      </c>
      <c r="E406" t="s">
        <v>161</v>
      </c>
      <c r="F406" t="s">
        <v>19</v>
      </c>
      <c r="G406" t="s">
        <v>20</v>
      </c>
      <c r="H406" s="3">
        <v>7</v>
      </c>
      <c r="I406" s="3">
        <v>1260</v>
      </c>
      <c r="J406" s="3">
        <v>8820</v>
      </c>
      <c r="K406" s="3">
        <v>900</v>
      </c>
      <c r="L406" s="3">
        <v>6300</v>
      </c>
      <c r="M406" s="3">
        <v>2520</v>
      </c>
      <c r="N406" s="4">
        <v>0.2857142857142857</v>
      </c>
    </row>
    <row r="407" spans="1:14" x14ac:dyDescent="0.3">
      <c r="A407" s="6">
        <v>45687</v>
      </c>
      <c r="B407" s="1" t="s">
        <v>587</v>
      </c>
      <c r="C407" s="1" t="s">
        <v>29</v>
      </c>
      <c r="D407" t="s">
        <v>33</v>
      </c>
      <c r="E407" t="s">
        <v>180</v>
      </c>
      <c r="F407" t="s">
        <v>14</v>
      </c>
      <c r="G407" t="s">
        <v>15</v>
      </c>
      <c r="H407" s="3">
        <v>8</v>
      </c>
      <c r="I407" s="3">
        <v>58500</v>
      </c>
      <c r="J407" s="3">
        <v>468000</v>
      </c>
      <c r="K407" s="3">
        <v>45000</v>
      </c>
      <c r="L407" s="3">
        <v>360000</v>
      </c>
      <c r="M407" s="3">
        <v>108000</v>
      </c>
      <c r="N407" s="4">
        <v>0.23076923076923078</v>
      </c>
    </row>
    <row r="408" spans="1:14" x14ac:dyDescent="0.3">
      <c r="A408" s="6">
        <v>45687</v>
      </c>
      <c r="B408" s="1" t="s">
        <v>588</v>
      </c>
      <c r="C408" s="1" t="s">
        <v>29</v>
      </c>
      <c r="D408" t="s">
        <v>35</v>
      </c>
      <c r="E408" t="s">
        <v>145</v>
      </c>
      <c r="F408" t="s">
        <v>23</v>
      </c>
      <c r="G408" t="s">
        <v>25</v>
      </c>
      <c r="H408" s="3">
        <v>9</v>
      </c>
      <c r="I408" s="3">
        <v>4640</v>
      </c>
      <c r="J408" s="3">
        <v>41760</v>
      </c>
      <c r="K408" s="3">
        <v>3200</v>
      </c>
      <c r="L408" s="3">
        <v>28800</v>
      </c>
      <c r="M408" s="3">
        <v>12960</v>
      </c>
      <c r="N408" s="4">
        <v>0.31034482758620691</v>
      </c>
    </row>
    <row r="409" spans="1:14" x14ac:dyDescent="0.3">
      <c r="A409" s="6">
        <v>45687</v>
      </c>
      <c r="B409" s="1" t="s">
        <v>589</v>
      </c>
      <c r="C409" s="1" t="s">
        <v>28</v>
      </c>
      <c r="D409" t="s">
        <v>35</v>
      </c>
      <c r="E409" t="s">
        <v>106</v>
      </c>
      <c r="F409" t="s">
        <v>19</v>
      </c>
      <c r="G409" t="s">
        <v>20</v>
      </c>
      <c r="H409" s="3">
        <v>8</v>
      </c>
      <c r="I409" s="3">
        <v>1278</v>
      </c>
      <c r="J409" s="3">
        <v>10224</v>
      </c>
      <c r="K409" s="3">
        <v>900</v>
      </c>
      <c r="L409" s="3">
        <v>7200</v>
      </c>
      <c r="M409" s="3">
        <v>3024</v>
      </c>
      <c r="N409" s="4">
        <v>0.29577464788732394</v>
      </c>
    </row>
    <row r="410" spans="1:14" x14ac:dyDescent="0.3">
      <c r="A410" s="6">
        <v>45687</v>
      </c>
      <c r="B410" s="1" t="s">
        <v>590</v>
      </c>
      <c r="C410" s="1" t="s">
        <v>27</v>
      </c>
      <c r="D410" t="s">
        <v>34</v>
      </c>
      <c r="E410" t="s">
        <v>147</v>
      </c>
      <c r="F410" t="s">
        <v>16</v>
      </c>
      <c r="G410" t="s">
        <v>15</v>
      </c>
      <c r="H410" s="3">
        <v>1</v>
      </c>
      <c r="I410" s="3">
        <v>50160</v>
      </c>
      <c r="J410" s="3">
        <v>50160</v>
      </c>
      <c r="K410" s="3">
        <v>38000</v>
      </c>
      <c r="L410" s="3">
        <v>38000</v>
      </c>
      <c r="M410" s="3">
        <v>12160</v>
      </c>
      <c r="N410" s="4">
        <v>0.24242424242424243</v>
      </c>
    </row>
    <row r="411" spans="1:14" x14ac:dyDescent="0.3">
      <c r="A411" s="6">
        <v>45687</v>
      </c>
      <c r="B411" s="1" t="s">
        <v>591</v>
      </c>
      <c r="C411" s="1" t="s">
        <v>27</v>
      </c>
      <c r="D411" t="s">
        <v>35</v>
      </c>
      <c r="E411" t="s">
        <v>228</v>
      </c>
      <c r="F411" t="s">
        <v>24</v>
      </c>
      <c r="G411" t="s">
        <v>25</v>
      </c>
      <c r="H411" s="3">
        <v>1</v>
      </c>
      <c r="I411" s="3">
        <v>3150</v>
      </c>
      <c r="J411" s="3">
        <v>3150</v>
      </c>
      <c r="K411" s="3">
        <v>2500</v>
      </c>
      <c r="L411" s="3">
        <v>2500</v>
      </c>
      <c r="M411" s="3">
        <v>650</v>
      </c>
      <c r="N411" s="4">
        <v>0.20634920634920634</v>
      </c>
    </row>
    <row r="412" spans="1:14" x14ac:dyDescent="0.3">
      <c r="A412" s="6">
        <v>45687</v>
      </c>
      <c r="B412" s="1" t="s">
        <v>592</v>
      </c>
      <c r="C412" s="1" t="s">
        <v>26</v>
      </c>
      <c r="D412" t="s">
        <v>34</v>
      </c>
      <c r="E412" t="s">
        <v>193</v>
      </c>
      <c r="F412" t="s">
        <v>24</v>
      </c>
      <c r="G412" t="s">
        <v>25</v>
      </c>
      <c r="H412" s="3">
        <v>9</v>
      </c>
      <c r="I412" s="3">
        <v>3075</v>
      </c>
      <c r="J412" s="3">
        <v>27675</v>
      </c>
      <c r="K412" s="3">
        <v>2500</v>
      </c>
      <c r="L412" s="3">
        <v>22500</v>
      </c>
      <c r="M412" s="3">
        <v>5175</v>
      </c>
      <c r="N412" s="4">
        <v>0.18699186991869918</v>
      </c>
    </row>
    <row r="413" spans="1:14" x14ac:dyDescent="0.3">
      <c r="A413" s="6">
        <v>45687</v>
      </c>
      <c r="B413" s="1" t="s">
        <v>593</v>
      </c>
      <c r="C413" s="1" t="s">
        <v>27</v>
      </c>
      <c r="D413" t="s">
        <v>31</v>
      </c>
      <c r="E413" t="s">
        <v>72</v>
      </c>
      <c r="F413" t="s">
        <v>17</v>
      </c>
      <c r="G413" t="s">
        <v>18</v>
      </c>
      <c r="H413" s="3">
        <v>5</v>
      </c>
      <c r="I413" s="3">
        <v>11305</v>
      </c>
      <c r="J413" s="3">
        <v>56525</v>
      </c>
      <c r="K413" s="3">
        <v>8500</v>
      </c>
      <c r="L413" s="3">
        <v>42500</v>
      </c>
      <c r="M413" s="3">
        <v>14025</v>
      </c>
      <c r="N413" s="4">
        <v>0.24812030075187969</v>
      </c>
    </row>
    <row r="414" spans="1:14" x14ac:dyDescent="0.3">
      <c r="A414" s="6">
        <v>45687</v>
      </c>
      <c r="B414" s="1" t="s">
        <v>594</v>
      </c>
      <c r="C414" s="1" t="s">
        <v>28</v>
      </c>
      <c r="D414" t="s">
        <v>32</v>
      </c>
      <c r="E414" t="s">
        <v>751</v>
      </c>
      <c r="F414" t="s">
        <v>22</v>
      </c>
      <c r="G414" t="s">
        <v>18</v>
      </c>
      <c r="H414" s="3">
        <v>4</v>
      </c>
      <c r="I414" s="3">
        <v>9100</v>
      </c>
      <c r="J414" s="3">
        <v>36400</v>
      </c>
      <c r="K414" s="3">
        <v>7000</v>
      </c>
      <c r="L414" s="3">
        <v>28000</v>
      </c>
      <c r="M414" s="3">
        <v>8400</v>
      </c>
      <c r="N414" s="4">
        <v>0.23076923076923078</v>
      </c>
    </row>
    <row r="415" spans="1:14" x14ac:dyDescent="0.3">
      <c r="A415" s="6">
        <v>45687</v>
      </c>
      <c r="B415" s="1" t="s">
        <v>595</v>
      </c>
      <c r="C415" s="1" t="s">
        <v>27</v>
      </c>
      <c r="D415" t="s">
        <v>31</v>
      </c>
      <c r="E415" t="s">
        <v>407</v>
      </c>
      <c r="F415" t="s">
        <v>22</v>
      </c>
      <c r="G415" t="s">
        <v>18</v>
      </c>
      <c r="H415" s="3">
        <v>1</v>
      </c>
      <c r="I415" s="3">
        <v>8890</v>
      </c>
      <c r="J415" s="3">
        <v>8890</v>
      </c>
      <c r="K415" s="3">
        <v>7000</v>
      </c>
      <c r="L415" s="3">
        <v>7000</v>
      </c>
      <c r="M415" s="3">
        <v>1890</v>
      </c>
      <c r="N415" s="4">
        <v>0.2125984251968504</v>
      </c>
    </row>
    <row r="416" spans="1:14" x14ac:dyDescent="0.3">
      <c r="A416" s="6">
        <v>45687</v>
      </c>
      <c r="B416" s="1" t="s">
        <v>596</v>
      </c>
      <c r="C416" s="1" t="s">
        <v>28</v>
      </c>
      <c r="D416" t="s">
        <v>32</v>
      </c>
      <c r="E416" t="s">
        <v>415</v>
      </c>
      <c r="F416" t="s">
        <v>17</v>
      </c>
      <c r="G416" t="s">
        <v>18</v>
      </c>
      <c r="H416" s="3">
        <v>10</v>
      </c>
      <c r="I416" s="3">
        <v>10540</v>
      </c>
      <c r="J416" s="3">
        <v>105400</v>
      </c>
      <c r="K416" s="3">
        <v>8500</v>
      </c>
      <c r="L416" s="3">
        <v>85000</v>
      </c>
      <c r="M416" s="3">
        <v>20400</v>
      </c>
      <c r="N416" s="4">
        <v>0.19354838709677419</v>
      </c>
    </row>
    <row r="417" spans="1:14" x14ac:dyDescent="0.3">
      <c r="A417" s="6">
        <v>45687</v>
      </c>
      <c r="B417" s="1" t="s">
        <v>597</v>
      </c>
      <c r="C417" s="1" t="s">
        <v>29</v>
      </c>
      <c r="D417" t="s">
        <v>34</v>
      </c>
      <c r="E417" t="s">
        <v>273</v>
      </c>
      <c r="F417" t="s">
        <v>19</v>
      </c>
      <c r="G417" t="s">
        <v>20</v>
      </c>
      <c r="H417" s="3">
        <v>5</v>
      </c>
      <c r="I417" s="3">
        <v>1233</v>
      </c>
      <c r="J417" s="3">
        <v>6165</v>
      </c>
      <c r="K417" s="3">
        <v>900</v>
      </c>
      <c r="L417" s="3">
        <v>4500</v>
      </c>
      <c r="M417" s="3">
        <v>1665</v>
      </c>
      <c r="N417" s="4">
        <v>0.27007299270072993</v>
      </c>
    </row>
    <row r="418" spans="1:14" x14ac:dyDescent="0.3">
      <c r="A418" s="6">
        <v>45687</v>
      </c>
      <c r="B418" s="1" t="s">
        <v>598</v>
      </c>
      <c r="C418" s="1" t="s">
        <v>27</v>
      </c>
      <c r="D418" t="s">
        <v>32</v>
      </c>
      <c r="E418" t="s">
        <v>548</v>
      </c>
      <c r="F418" t="s">
        <v>16</v>
      </c>
      <c r="G418" t="s">
        <v>15</v>
      </c>
      <c r="H418" s="3">
        <v>8</v>
      </c>
      <c r="I418" s="3">
        <v>49020</v>
      </c>
      <c r="J418" s="3">
        <v>392160</v>
      </c>
      <c r="K418" s="3">
        <v>38000</v>
      </c>
      <c r="L418" s="3">
        <v>304000</v>
      </c>
      <c r="M418" s="3">
        <v>88160</v>
      </c>
      <c r="N418" s="4">
        <v>0.22480620155038761</v>
      </c>
    </row>
    <row r="419" spans="1:14" x14ac:dyDescent="0.3">
      <c r="A419" s="6">
        <v>45687</v>
      </c>
      <c r="B419" s="1" t="s">
        <v>599</v>
      </c>
      <c r="C419" s="1" t="s">
        <v>29</v>
      </c>
      <c r="D419" t="s">
        <v>34</v>
      </c>
      <c r="E419" t="s">
        <v>226</v>
      </c>
      <c r="F419" t="s">
        <v>14</v>
      </c>
      <c r="G419" t="s">
        <v>15</v>
      </c>
      <c r="H419" s="3">
        <v>3</v>
      </c>
      <c r="I419" s="3">
        <v>58950</v>
      </c>
      <c r="J419" s="3">
        <v>176850</v>
      </c>
      <c r="K419" s="3">
        <v>45000</v>
      </c>
      <c r="L419" s="3">
        <v>135000</v>
      </c>
      <c r="M419" s="3">
        <v>41850</v>
      </c>
      <c r="N419" s="4">
        <v>0.23664122137404581</v>
      </c>
    </row>
    <row r="420" spans="1:14" x14ac:dyDescent="0.3">
      <c r="A420" s="6">
        <v>45688</v>
      </c>
      <c r="B420" s="1" t="s">
        <v>600</v>
      </c>
      <c r="C420" s="1" t="s">
        <v>28</v>
      </c>
      <c r="D420" t="s">
        <v>32</v>
      </c>
      <c r="E420" t="s">
        <v>302</v>
      </c>
      <c r="F420" t="s">
        <v>17</v>
      </c>
      <c r="G420" t="s">
        <v>18</v>
      </c>
      <c r="H420" s="3">
        <v>2</v>
      </c>
      <c r="I420" s="3">
        <v>10795</v>
      </c>
      <c r="J420" s="3">
        <v>21590</v>
      </c>
      <c r="K420" s="3">
        <v>8500</v>
      </c>
      <c r="L420" s="3">
        <v>17000</v>
      </c>
      <c r="M420" s="3">
        <v>4590</v>
      </c>
      <c r="N420" s="4">
        <v>0.2125984251968504</v>
      </c>
    </row>
    <row r="421" spans="1:14" x14ac:dyDescent="0.3">
      <c r="A421" s="6">
        <v>45688</v>
      </c>
      <c r="B421" s="1" t="s">
        <v>601</v>
      </c>
      <c r="C421" s="1" t="s">
        <v>26</v>
      </c>
      <c r="D421" t="s">
        <v>32</v>
      </c>
      <c r="E421" t="s">
        <v>331</v>
      </c>
      <c r="F421" t="s">
        <v>24</v>
      </c>
      <c r="G421" t="s">
        <v>25</v>
      </c>
      <c r="H421" s="3">
        <v>2</v>
      </c>
      <c r="I421" s="3">
        <v>3275</v>
      </c>
      <c r="J421" s="3">
        <v>6550</v>
      </c>
      <c r="K421" s="3">
        <v>2500</v>
      </c>
      <c r="L421" s="3">
        <v>5000</v>
      </c>
      <c r="M421" s="3">
        <v>1550</v>
      </c>
      <c r="N421" s="4">
        <v>0.23664122137404581</v>
      </c>
    </row>
    <row r="422" spans="1:14" x14ac:dyDescent="0.3">
      <c r="A422" s="6">
        <v>45688</v>
      </c>
      <c r="B422" s="1" t="s">
        <v>602</v>
      </c>
      <c r="C422" s="1" t="s">
        <v>29</v>
      </c>
      <c r="D422" t="s">
        <v>32</v>
      </c>
      <c r="E422" t="s">
        <v>508</v>
      </c>
      <c r="F422" t="s">
        <v>24</v>
      </c>
      <c r="G422" t="s">
        <v>25</v>
      </c>
      <c r="H422" s="3">
        <v>6</v>
      </c>
      <c r="I422" s="3">
        <v>3500</v>
      </c>
      <c r="J422" s="3">
        <v>21000</v>
      </c>
      <c r="K422" s="3">
        <v>2500</v>
      </c>
      <c r="L422" s="3">
        <v>15000</v>
      </c>
      <c r="M422" s="3">
        <v>6000</v>
      </c>
      <c r="N422" s="4">
        <v>0.2857142857142857</v>
      </c>
    </row>
    <row r="423" spans="1:14" x14ac:dyDescent="0.3">
      <c r="A423" s="6">
        <v>45688</v>
      </c>
      <c r="B423" s="1" t="s">
        <v>603</v>
      </c>
      <c r="C423" s="1" t="s">
        <v>28</v>
      </c>
      <c r="D423" t="s">
        <v>32</v>
      </c>
      <c r="E423" t="s">
        <v>308</v>
      </c>
      <c r="F423" t="s">
        <v>17</v>
      </c>
      <c r="G423" t="s">
        <v>18</v>
      </c>
      <c r="H423" s="3">
        <v>1</v>
      </c>
      <c r="I423" s="3">
        <v>10625</v>
      </c>
      <c r="J423" s="3">
        <v>10625</v>
      </c>
      <c r="K423" s="3">
        <v>8500</v>
      </c>
      <c r="L423" s="3">
        <v>8500</v>
      </c>
      <c r="M423" s="3">
        <v>2125</v>
      </c>
      <c r="N423" s="4">
        <v>0.2</v>
      </c>
    </row>
    <row r="424" spans="1:14" x14ac:dyDescent="0.3">
      <c r="A424" s="6">
        <v>45688</v>
      </c>
      <c r="B424" s="1" t="s">
        <v>604</v>
      </c>
      <c r="C424" s="1" t="s">
        <v>28</v>
      </c>
      <c r="D424" t="s">
        <v>35</v>
      </c>
      <c r="E424" t="s">
        <v>424</v>
      </c>
      <c r="F424" t="s">
        <v>23</v>
      </c>
      <c r="G424" t="s">
        <v>25</v>
      </c>
      <c r="H424" s="3">
        <v>1</v>
      </c>
      <c r="I424" s="3">
        <v>3936</v>
      </c>
      <c r="J424" s="3">
        <v>3936</v>
      </c>
      <c r="K424" s="3">
        <v>3200</v>
      </c>
      <c r="L424" s="3">
        <v>3200</v>
      </c>
      <c r="M424" s="3">
        <v>736</v>
      </c>
      <c r="N424" s="4">
        <v>0.18699186991869918</v>
      </c>
    </row>
    <row r="425" spans="1:14" x14ac:dyDescent="0.3">
      <c r="A425" s="6">
        <v>45688</v>
      </c>
      <c r="B425" s="1" t="s">
        <v>605</v>
      </c>
      <c r="C425" s="1" t="s">
        <v>28</v>
      </c>
      <c r="D425" t="s">
        <v>31</v>
      </c>
      <c r="E425" t="s">
        <v>231</v>
      </c>
      <c r="F425" t="s">
        <v>21</v>
      </c>
      <c r="G425" t="s">
        <v>20</v>
      </c>
      <c r="H425" s="3">
        <v>8</v>
      </c>
      <c r="I425" s="3">
        <v>744</v>
      </c>
      <c r="J425" s="3">
        <v>5952</v>
      </c>
      <c r="K425" s="3">
        <v>600</v>
      </c>
      <c r="L425" s="3">
        <v>4800</v>
      </c>
      <c r="M425" s="3">
        <v>1152</v>
      </c>
      <c r="N425" s="4">
        <v>0.19354838709677419</v>
      </c>
    </row>
    <row r="426" spans="1:14" x14ac:dyDescent="0.3">
      <c r="A426" s="6">
        <v>45688</v>
      </c>
      <c r="B426" s="1" t="s">
        <v>606</v>
      </c>
      <c r="C426" s="1" t="s">
        <v>29</v>
      </c>
      <c r="D426" t="s">
        <v>32</v>
      </c>
      <c r="E426" t="s">
        <v>255</v>
      </c>
      <c r="F426" t="s">
        <v>14</v>
      </c>
      <c r="G426" t="s">
        <v>15</v>
      </c>
      <c r="H426" s="3">
        <v>5</v>
      </c>
      <c r="I426" s="3">
        <v>64350</v>
      </c>
      <c r="J426" s="3">
        <v>321750</v>
      </c>
      <c r="K426" s="3">
        <v>45000</v>
      </c>
      <c r="L426" s="3">
        <v>225000</v>
      </c>
      <c r="M426" s="3">
        <v>96750</v>
      </c>
      <c r="N426" s="4">
        <v>0.30069930069930068</v>
      </c>
    </row>
    <row r="427" spans="1:14" x14ac:dyDescent="0.3">
      <c r="A427" s="6">
        <v>45688</v>
      </c>
      <c r="B427" s="1" t="s">
        <v>607</v>
      </c>
      <c r="C427" s="1" t="s">
        <v>26</v>
      </c>
      <c r="D427" t="s">
        <v>34</v>
      </c>
      <c r="E427" t="s">
        <v>94</v>
      </c>
      <c r="F427" t="s">
        <v>24</v>
      </c>
      <c r="G427" t="s">
        <v>25</v>
      </c>
      <c r="H427" s="3">
        <v>10</v>
      </c>
      <c r="I427" s="3">
        <v>3075</v>
      </c>
      <c r="J427" s="3">
        <v>30750</v>
      </c>
      <c r="K427" s="3">
        <v>2500</v>
      </c>
      <c r="L427" s="3">
        <v>25000</v>
      </c>
      <c r="M427" s="3">
        <v>5750</v>
      </c>
      <c r="N427" s="4">
        <v>0.18699186991869918</v>
      </c>
    </row>
    <row r="428" spans="1:14" x14ac:dyDescent="0.3">
      <c r="A428" s="6">
        <v>45688</v>
      </c>
      <c r="B428" s="1" t="s">
        <v>608</v>
      </c>
      <c r="C428" s="1" t="s">
        <v>27</v>
      </c>
      <c r="D428" t="s">
        <v>35</v>
      </c>
      <c r="E428" t="s">
        <v>369</v>
      </c>
      <c r="F428" t="s">
        <v>19</v>
      </c>
      <c r="G428" t="s">
        <v>20</v>
      </c>
      <c r="H428" s="3">
        <v>1</v>
      </c>
      <c r="I428" s="3">
        <v>1305</v>
      </c>
      <c r="J428" s="3">
        <v>1305</v>
      </c>
      <c r="K428" s="3">
        <v>900</v>
      </c>
      <c r="L428" s="3">
        <v>900</v>
      </c>
      <c r="M428" s="3">
        <v>405</v>
      </c>
      <c r="N428" s="4">
        <v>0.31034482758620691</v>
      </c>
    </row>
    <row r="429" spans="1:14" x14ac:dyDescent="0.3">
      <c r="A429" s="6">
        <v>45688</v>
      </c>
      <c r="B429" s="1" t="s">
        <v>609</v>
      </c>
      <c r="C429" s="1" t="s">
        <v>26</v>
      </c>
      <c r="D429" t="s">
        <v>34</v>
      </c>
      <c r="E429" t="s">
        <v>139</v>
      </c>
      <c r="F429" t="s">
        <v>14</v>
      </c>
      <c r="G429" t="s">
        <v>15</v>
      </c>
      <c r="H429" s="3">
        <v>8</v>
      </c>
      <c r="I429" s="3">
        <v>63450</v>
      </c>
      <c r="J429" s="3">
        <v>507600</v>
      </c>
      <c r="K429" s="3">
        <v>45000</v>
      </c>
      <c r="L429" s="3">
        <v>360000</v>
      </c>
      <c r="M429" s="3">
        <v>147600</v>
      </c>
      <c r="N429" s="4">
        <v>0.29078014184397161</v>
      </c>
    </row>
    <row r="430" spans="1:14" x14ac:dyDescent="0.3">
      <c r="A430" s="6">
        <v>45688</v>
      </c>
      <c r="B430" s="1" t="s">
        <v>610</v>
      </c>
      <c r="C430" s="1" t="s">
        <v>26</v>
      </c>
      <c r="D430" t="s">
        <v>34</v>
      </c>
      <c r="E430" t="s">
        <v>134</v>
      </c>
      <c r="F430" t="s">
        <v>17</v>
      </c>
      <c r="G430" t="s">
        <v>18</v>
      </c>
      <c r="H430" s="3">
        <v>8</v>
      </c>
      <c r="I430" s="3">
        <v>10965</v>
      </c>
      <c r="J430" s="3">
        <v>87720</v>
      </c>
      <c r="K430" s="3">
        <v>8500</v>
      </c>
      <c r="L430" s="3">
        <v>68000</v>
      </c>
      <c r="M430" s="3">
        <v>19720</v>
      </c>
      <c r="N430" s="4">
        <v>0.22480620155038761</v>
      </c>
    </row>
    <row r="431" spans="1:14" x14ac:dyDescent="0.3">
      <c r="A431" s="6">
        <v>45688</v>
      </c>
      <c r="B431" s="1" t="s">
        <v>611</v>
      </c>
      <c r="C431" s="1" t="s">
        <v>28</v>
      </c>
      <c r="D431" t="s">
        <v>35</v>
      </c>
      <c r="E431" t="s">
        <v>506</v>
      </c>
      <c r="F431" t="s">
        <v>17</v>
      </c>
      <c r="G431" t="s">
        <v>18</v>
      </c>
      <c r="H431" s="3">
        <v>1</v>
      </c>
      <c r="I431" s="3">
        <v>10965</v>
      </c>
      <c r="J431" s="3">
        <v>10965</v>
      </c>
      <c r="K431" s="3">
        <v>8500</v>
      </c>
      <c r="L431" s="3">
        <v>8500</v>
      </c>
      <c r="M431" s="3">
        <v>2465</v>
      </c>
      <c r="N431" s="4">
        <v>0.22480620155038761</v>
      </c>
    </row>
    <row r="432" spans="1:14" x14ac:dyDescent="0.3">
      <c r="A432" s="6">
        <v>45688</v>
      </c>
      <c r="B432" s="1" t="s">
        <v>612</v>
      </c>
      <c r="C432" s="1" t="s">
        <v>28</v>
      </c>
      <c r="D432" t="s">
        <v>31</v>
      </c>
      <c r="E432" t="s">
        <v>57</v>
      </c>
      <c r="F432" t="s">
        <v>16</v>
      </c>
      <c r="G432" t="s">
        <v>15</v>
      </c>
      <c r="H432" s="3">
        <v>1</v>
      </c>
      <c r="I432" s="3">
        <v>50540</v>
      </c>
      <c r="J432" s="3">
        <v>50540</v>
      </c>
      <c r="K432" s="3">
        <v>38000</v>
      </c>
      <c r="L432" s="3">
        <v>38000</v>
      </c>
      <c r="M432" s="3">
        <v>12540</v>
      </c>
      <c r="N432" s="4">
        <v>0.24812030075187969</v>
      </c>
    </row>
    <row r="433" spans="1:14" x14ac:dyDescent="0.3">
      <c r="A433" s="6">
        <v>45688</v>
      </c>
      <c r="B433" s="1" t="s">
        <v>613</v>
      </c>
      <c r="C433" s="1" t="s">
        <v>26</v>
      </c>
      <c r="D433" t="s">
        <v>30</v>
      </c>
      <c r="E433" t="s">
        <v>424</v>
      </c>
      <c r="F433" t="s">
        <v>17</v>
      </c>
      <c r="G433" t="s">
        <v>18</v>
      </c>
      <c r="H433" s="3">
        <v>6</v>
      </c>
      <c r="I433" s="3">
        <v>10200</v>
      </c>
      <c r="J433" s="3">
        <v>61200</v>
      </c>
      <c r="K433" s="3">
        <v>8500</v>
      </c>
      <c r="L433" s="3">
        <v>51000</v>
      </c>
      <c r="M433" s="3">
        <v>10200</v>
      </c>
      <c r="N433" s="4">
        <v>0.16666666666666666</v>
      </c>
    </row>
    <row r="434" spans="1:14" x14ac:dyDescent="0.3">
      <c r="A434" s="6">
        <v>45689</v>
      </c>
      <c r="B434" s="1" t="s">
        <v>614</v>
      </c>
      <c r="C434" s="1" t="s">
        <v>27</v>
      </c>
      <c r="D434" t="s">
        <v>35</v>
      </c>
      <c r="E434" t="s">
        <v>96</v>
      </c>
      <c r="F434" t="s">
        <v>16</v>
      </c>
      <c r="G434" t="s">
        <v>15</v>
      </c>
      <c r="H434" s="3">
        <v>4</v>
      </c>
      <c r="I434" s="3">
        <v>53580</v>
      </c>
      <c r="J434" s="3">
        <v>214320</v>
      </c>
      <c r="K434" s="3">
        <v>38000</v>
      </c>
      <c r="L434" s="3">
        <v>152000</v>
      </c>
      <c r="M434" s="3">
        <v>62320</v>
      </c>
      <c r="N434" s="4">
        <v>0.29078014184397161</v>
      </c>
    </row>
    <row r="435" spans="1:14" x14ac:dyDescent="0.3">
      <c r="A435" s="6">
        <v>45689</v>
      </c>
      <c r="B435" s="1" t="s">
        <v>615</v>
      </c>
      <c r="C435" s="1" t="s">
        <v>26</v>
      </c>
      <c r="D435" t="s">
        <v>32</v>
      </c>
      <c r="E435" t="s">
        <v>327</v>
      </c>
      <c r="F435" t="s">
        <v>17</v>
      </c>
      <c r="G435" t="s">
        <v>18</v>
      </c>
      <c r="H435" s="3">
        <v>3</v>
      </c>
      <c r="I435" s="3">
        <v>11559.999999999998</v>
      </c>
      <c r="J435" s="3">
        <v>34679.999999999993</v>
      </c>
      <c r="K435" s="3">
        <v>8500</v>
      </c>
      <c r="L435" s="3">
        <v>25500</v>
      </c>
      <c r="M435" s="3">
        <v>9179.9999999999927</v>
      </c>
      <c r="N435" s="4">
        <v>0.26470588235294101</v>
      </c>
    </row>
    <row r="436" spans="1:14" x14ac:dyDescent="0.3">
      <c r="A436" s="6">
        <v>45689</v>
      </c>
      <c r="B436" s="1" t="s">
        <v>616</v>
      </c>
      <c r="C436" s="1" t="s">
        <v>29</v>
      </c>
      <c r="D436" t="s">
        <v>34</v>
      </c>
      <c r="E436" t="s">
        <v>365</v>
      </c>
      <c r="F436" t="s">
        <v>19</v>
      </c>
      <c r="G436" t="s">
        <v>20</v>
      </c>
      <c r="H436" s="3">
        <v>6</v>
      </c>
      <c r="I436" s="3">
        <v>1260</v>
      </c>
      <c r="J436" s="3">
        <v>7560</v>
      </c>
      <c r="K436" s="3">
        <v>900</v>
      </c>
      <c r="L436" s="3">
        <v>5400</v>
      </c>
      <c r="M436" s="3">
        <v>2160</v>
      </c>
      <c r="N436" s="4">
        <v>0.2857142857142857</v>
      </c>
    </row>
    <row r="437" spans="1:14" x14ac:dyDescent="0.3">
      <c r="A437" s="6">
        <v>45689</v>
      </c>
      <c r="B437" s="1" t="s">
        <v>617</v>
      </c>
      <c r="C437" s="1" t="s">
        <v>26</v>
      </c>
      <c r="D437" t="s">
        <v>34</v>
      </c>
      <c r="E437" t="s">
        <v>283</v>
      </c>
      <c r="F437" t="s">
        <v>22</v>
      </c>
      <c r="G437" t="s">
        <v>18</v>
      </c>
      <c r="H437" s="3">
        <v>8</v>
      </c>
      <c r="I437" s="3">
        <v>10080</v>
      </c>
      <c r="J437" s="3">
        <v>80640</v>
      </c>
      <c r="K437" s="3">
        <v>7000</v>
      </c>
      <c r="L437" s="3">
        <v>56000</v>
      </c>
      <c r="M437" s="3">
        <v>24640</v>
      </c>
      <c r="N437" s="4">
        <v>0.30555555555555558</v>
      </c>
    </row>
    <row r="438" spans="1:14" x14ac:dyDescent="0.3">
      <c r="A438" s="6">
        <v>45689</v>
      </c>
      <c r="B438" s="1" t="s">
        <v>618</v>
      </c>
      <c r="C438" s="1" t="s">
        <v>29</v>
      </c>
      <c r="D438" t="s">
        <v>33</v>
      </c>
      <c r="E438" t="s">
        <v>436</v>
      </c>
      <c r="F438" t="s">
        <v>14</v>
      </c>
      <c r="G438" t="s">
        <v>15</v>
      </c>
      <c r="H438" s="3">
        <v>7</v>
      </c>
      <c r="I438" s="3">
        <v>59400</v>
      </c>
      <c r="J438" s="3">
        <v>415800</v>
      </c>
      <c r="K438" s="3">
        <v>45000</v>
      </c>
      <c r="L438" s="3">
        <v>315000</v>
      </c>
      <c r="M438" s="3">
        <v>100800</v>
      </c>
      <c r="N438" s="4">
        <v>0.24242424242424243</v>
      </c>
    </row>
    <row r="439" spans="1:14" x14ac:dyDescent="0.3">
      <c r="A439" s="6">
        <v>45689</v>
      </c>
      <c r="B439" s="1" t="s">
        <v>619</v>
      </c>
      <c r="C439" s="1" t="s">
        <v>28</v>
      </c>
      <c r="D439" t="s">
        <v>31</v>
      </c>
      <c r="E439" t="s">
        <v>249</v>
      </c>
      <c r="F439" t="s">
        <v>23</v>
      </c>
      <c r="G439" t="s">
        <v>25</v>
      </c>
      <c r="H439" s="3">
        <v>7</v>
      </c>
      <c r="I439" s="3">
        <v>3936</v>
      </c>
      <c r="J439" s="3">
        <v>27552</v>
      </c>
      <c r="K439" s="3">
        <v>3200</v>
      </c>
      <c r="L439" s="3">
        <v>22400</v>
      </c>
      <c r="M439" s="3">
        <v>5152</v>
      </c>
      <c r="N439" s="4">
        <v>0.18699186991869918</v>
      </c>
    </row>
    <row r="440" spans="1:14" x14ac:dyDescent="0.3">
      <c r="A440" s="6">
        <v>45689</v>
      </c>
      <c r="B440" s="1" t="s">
        <v>620</v>
      </c>
      <c r="C440" s="1" t="s">
        <v>26</v>
      </c>
      <c r="D440" t="s">
        <v>34</v>
      </c>
      <c r="E440" t="s">
        <v>186</v>
      </c>
      <c r="F440" t="s">
        <v>14</v>
      </c>
      <c r="G440" t="s">
        <v>15</v>
      </c>
      <c r="H440" s="3">
        <v>1</v>
      </c>
      <c r="I440" s="3">
        <v>60750.000000000007</v>
      </c>
      <c r="J440" s="3">
        <v>60750.000000000007</v>
      </c>
      <c r="K440" s="3">
        <v>45000</v>
      </c>
      <c r="L440" s="3">
        <v>45000</v>
      </c>
      <c r="M440" s="3">
        <v>15750.000000000007</v>
      </c>
      <c r="N440" s="4">
        <v>0.25925925925925936</v>
      </c>
    </row>
    <row r="441" spans="1:14" x14ac:dyDescent="0.3">
      <c r="A441" s="6">
        <v>45689</v>
      </c>
      <c r="B441" s="1" t="s">
        <v>621</v>
      </c>
      <c r="C441" s="1" t="s">
        <v>28</v>
      </c>
      <c r="D441" t="s">
        <v>33</v>
      </c>
      <c r="E441" t="s">
        <v>508</v>
      </c>
      <c r="F441" t="s">
        <v>21</v>
      </c>
      <c r="G441" t="s">
        <v>20</v>
      </c>
      <c r="H441" s="3">
        <v>2</v>
      </c>
      <c r="I441" s="3">
        <v>720</v>
      </c>
      <c r="J441" s="3">
        <v>1440</v>
      </c>
      <c r="K441" s="3">
        <v>600</v>
      </c>
      <c r="L441" s="3">
        <v>1200</v>
      </c>
      <c r="M441" s="3">
        <v>240</v>
      </c>
      <c r="N441" s="4">
        <v>0.16666666666666666</v>
      </c>
    </row>
    <row r="442" spans="1:14" x14ac:dyDescent="0.3">
      <c r="A442" s="6">
        <v>45689</v>
      </c>
      <c r="B442" s="1" t="s">
        <v>622</v>
      </c>
      <c r="C442" s="1" t="s">
        <v>27</v>
      </c>
      <c r="D442" t="s">
        <v>33</v>
      </c>
      <c r="E442" t="s">
        <v>574</v>
      </c>
      <c r="F442" t="s">
        <v>23</v>
      </c>
      <c r="G442" t="s">
        <v>25</v>
      </c>
      <c r="H442" s="3">
        <v>4</v>
      </c>
      <c r="I442" s="3">
        <v>4224</v>
      </c>
      <c r="J442" s="3">
        <v>16896</v>
      </c>
      <c r="K442" s="3">
        <v>3200</v>
      </c>
      <c r="L442" s="3">
        <v>12800</v>
      </c>
      <c r="M442" s="3">
        <v>4096</v>
      </c>
      <c r="N442" s="4">
        <v>0.24242424242424243</v>
      </c>
    </row>
    <row r="443" spans="1:14" x14ac:dyDescent="0.3">
      <c r="A443" s="6">
        <v>45689</v>
      </c>
      <c r="B443" s="1" t="s">
        <v>623</v>
      </c>
      <c r="C443" s="1" t="s">
        <v>29</v>
      </c>
      <c r="D443" t="s">
        <v>32</v>
      </c>
      <c r="E443" t="s">
        <v>304</v>
      </c>
      <c r="F443" t="s">
        <v>24</v>
      </c>
      <c r="G443" t="s">
        <v>25</v>
      </c>
      <c r="H443" s="3">
        <v>9</v>
      </c>
      <c r="I443" s="3">
        <v>3550</v>
      </c>
      <c r="J443" s="3">
        <v>31950</v>
      </c>
      <c r="K443" s="3">
        <v>2500</v>
      </c>
      <c r="L443" s="3">
        <v>22500</v>
      </c>
      <c r="M443" s="3">
        <v>9450</v>
      </c>
      <c r="N443" s="4">
        <v>0.29577464788732394</v>
      </c>
    </row>
    <row r="444" spans="1:14" x14ac:dyDescent="0.3">
      <c r="A444" s="6">
        <v>45689</v>
      </c>
      <c r="B444" s="1" t="s">
        <v>624</v>
      </c>
      <c r="C444" s="1" t="s">
        <v>27</v>
      </c>
      <c r="D444" t="s">
        <v>31</v>
      </c>
      <c r="E444" t="s">
        <v>51</v>
      </c>
      <c r="F444" t="s">
        <v>23</v>
      </c>
      <c r="G444" t="s">
        <v>25</v>
      </c>
      <c r="H444" s="3">
        <v>4</v>
      </c>
      <c r="I444" s="3">
        <v>4544</v>
      </c>
      <c r="J444" s="3">
        <v>18176</v>
      </c>
      <c r="K444" s="3">
        <v>3200</v>
      </c>
      <c r="L444" s="3">
        <v>12800</v>
      </c>
      <c r="M444" s="3">
        <v>5376</v>
      </c>
      <c r="N444" s="4">
        <v>0.29577464788732394</v>
      </c>
    </row>
    <row r="445" spans="1:14" x14ac:dyDescent="0.3">
      <c r="A445" s="6">
        <v>45689</v>
      </c>
      <c r="B445" s="1" t="s">
        <v>625</v>
      </c>
      <c r="C445" s="1" t="s">
        <v>27</v>
      </c>
      <c r="D445" t="s">
        <v>32</v>
      </c>
      <c r="E445" t="s">
        <v>327</v>
      </c>
      <c r="F445" t="s">
        <v>14</v>
      </c>
      <c r="G445" t="s">
        <v>15</v>
      </c>
      <c r="H445" s="3">
        <v>1</v>
      </c>
      <c r="I445" s="3">
        <v>65250</v>
      </c>
      <c r="J445" s="3">
        <v>65250</v>
      </c>
      <c r="K445" s="3">
        <v>45000</v>
      </c>
      <c r="L445" s="3">
        <v>45000</v>
      </c>
      <c r="M445" s="3">
        <v>20250</v>
      </c>
      <c r="N445" s="4">
        <v>0.31034482758620691</v>
      </c>
    </row>
    <row r="446" spans="1:14" x14ac:dyDescent="0.3">
      <c r="A446" s="6">
        <v>45689</v>
      </c>
      <c r="B446" s="1" t="s">
        <v>626</v>
      </c>
      <c r="C446" s="1" t="s">
        <v>27</v>
      </c>
      <c r="D446" t="s">
        <v>35</v>
      </c>
      <c r="E446" t="s">
        <v>112</v>
      </c>
      <c r="F446" t="s">
        <v>19</v>
      </c>
      <c r="G446" t="s">
        <v>20</v>
      </c>
      <c r="H446" s="3">
        <v>5</v>
      </c>
      <c r="I446" s="3">
        <v>1080</v>
      </c>
      <c r="J446" s="3">
        <v>5400</v>
      </c>
      <c r="K446" s="3">
        <v>900</v>
      </c>
      <c r="L446" s="3">
        <v>4500</v>
      </c>
      <c r="M446" s="3">
        <v>900</v>
      </c>
      <c r="N446" s="4">
        <v>0.16666666666666666</v>
      </c>
    </row>
    <row r="447" spans="1:14" x14ac:dyDescent="0.3">
      <c r="A447" s="6">
        <v>45689</v>
      </c>
      <c r="B447" s="1" t="s">
        <v>627</v>
      </c>
      <c r="C447" s="1" t="s">
        <v>29</v>
      </c>
      <c r="D447" t="s">
        <v>34</v>
      </c>
      <c r="E447" t="s">
        <v>184</v>
      </c>
      <c r="F447" t="s">
        <v>16</v>
      </c>
      <c r="G447" t="s">
        <v>15</v>
      </c>
      <c r="H447" s="3">
        <v>9</v>
      </c>
      <c r="I447" s="3">
        <v>54340</v>
      </c>
      <c r="J447" s="3">
        <v>489060</v>
      </c>
      <c r="K447" s="3">
        <v>38000</v>
      </c>
      <c r="L447" s="3">
        <v>342000</v>
      </c>
      <c r="M447" s="3">
        <v>147060</v>
      </c>
      <c r="N447" s="4">
        <v>0.30069930069930068</v>
      </c>
    </row>
    <row r="448" spans="1:14" x14ac:dyDescent="0.3">
      <c r="A448" s="6">
        <v>45690</v>
      </c>
      <c r="B448" s="1" t="s">
        <v>628</v>
      </c>
      <c r="C448" s="1" t="s">
        <v>27</v>
      </c>
      <c r="D448" t="s">
        <v>31</v>
      </c>
      <c r="E448" t="s">
        <v>69</v>
      </c>
      <c r="F448" t="s">
        <v>19</v>
      </c>
      <c r="G448" t="s">
        <v>20</v>
      </c>
      <c r="H448" s="3">
        <v>2</v>
      </c>
      <c r="I448" s="3">
        <v>1296</v>
      </c>
      <c r="J448" s="3">
        <v>2592</v>
      </c>
      <c r="K448" s="3">
        <v>900</v>
      </c>
      <c r="L448" s="3">
        <v>1800</v>
      </c>
      <c r="M448" s="3">
        <v>792</v>
      </c>
      <c r="N448" s="4">
        <v>0.30555555555555558</v>
      </c>
    </row>
    <row r="449" spans="1:14" x14ac:dyDescent="0.3">
      <c r="A449" s="6">
        <v>45690</v>
      </c>
      <c r="B449" s="1" t="s">
        <v>629</v>
      </c>
      <c r="C449" s="1" t="s">
        <v>26</v>
      </c>
      <c r="D449" t="s">
        <v>34</v>
      </c>
      <c r="E449" t="s">
        <v>72</v>
      </c>
      <c r="F449" t="s">
        <v>16</v>
      </c>
      <c r="G449" t="s">
        <v>15</v>
      </c>
      <c r="H449" s="3">
        <v>4</v>
      </c>
      <c r="I449" s="3">
        <v>52820.000000000007</v>
      </c>
      <c r="J449" s="3">
        <v>211280.00000000003</v>
      </c>
      <c r="K449" s="3">
        <v>38000</v>
      </c>
      <c r="L449" s="3">
        <v>152000</v>
      </c>
      <c r="M449" s="3">
        <v>59280.000000000029</v>
      </c>
      <c r="N449" s="4">
        <v>0.28057553956834541</v>
      </c>
    </row>
    <row r="450" spans="1:14" x14ac:dyDescent="0.3">
      <c r="A450" s="6">
        <v>45690</v>
      </c>
      <c r="B450" s="1" t="s">
        <v>630</v>
      </c>
      <c r="C450" s="1" t="s">
        <v>26</v>
      </c>
      <c r="D450" t="s">
        <v>31</v>
      </c>
      <c r="E450" t="s">
        <v>94</v>
      </c>
      <c r="F450" t="s">
        <v>14</v>
      </c>
      <c r="G450" t="s">
        <v>15</v>
      </c>
      <c r="H450" s="3">
        <v>9</v>
      </c>
      <c r="I450" s="3">
        <v>59400</v>
      </c>
      <c r="J450" s="3">
        <v>534600</v>
      </c>
      <c r="K450" s="3">
        <v>45000</v>
      </c>
      <c r="L450" s="3">
        <v>405000</v>
      </c>
      <c r="M450" s="3">
        <v>129600</v>
      </c>
      <c r="N450" s="4">
        <v>0.24242424242424243</v>
      </c>
    </row>
    <row r="451" spans="1:14" x14ac:dyDescent="0.3">
      <c r="A451" s="6">
        <v>45690</v>
      </c>
      <c r="B451" s="1" t="s">
        <v>631</v>
      </c>
      <c r="C451" s="1" t="s">
        <v>26</v>
      </c>
      <c r="D451" t="s">
        <v>31</v>
      </c>
      <c r="E451" t="s">
        <v>189</v>
      </c>
      <c r="F451" t="s">
        <v>23</v>
      </c>
      <c r="G451" t="s">
        <v>25</v>
      </c>
      <c r="H451" s="3">
        <v>2</v>
      </c>
      <c r="I451" s="3">
        <v>4256</v>
      </c>
      <c r="J451" s="3">
        <v>8512</v>
      </c>
      <c r="K451" s="3">
        <v>3200</v>
      </c>
      <c r="L451" s="3">
        <v>6400</v>
      </c>
      <c r="M451" s="3">
        <v>2112</v>
      </c>
      <c r="N451" s="4">
        <v>0.24812030075187969</v>
      </c>
    </row>
    <row r="452" spans="1:14" x14ac:dyDescent="0.3">
      <c r="A452" s="6">
        <v>45690</v>
      </c>
      <c r="B452" s="1" t="s">
        <v>632</v>
      </c>
      <c r="C452" s="1" t="s">
        <v>28</v>
      </c>
      <c r="D452" t="s">
        <v>30</v>
      </c>
      <c r="E452" t="s">
        <v>359</v>
      </c>
      <c r="F452" t="s">
        <v>16</v>
      </c>
      <c r="G452" t="s">
        <v>15</v>
      </c>
      <c r="H452" s="3">
        <v>8</v>
      </c>
      <c r="I452" s="3">
        <v>54720</v>
      </c>
      <c r="J452" s="3">
        <v>437760</v>
      </c>
      <c r="K452" s="3">
        <v>38000</v>
      </c>
      <c r="L452" s="3">
        <v>304000</v>
      </c>
      <c r="M452" s="3">
        <v>133760</v>
      </c>
      <c r="N452" s="4">
        <v>0.30555555555555558</v>
      </c>
    </row>
    <row r="453" spans="1:14" x14ac:dyDescent="0.3">
      <c r="A453" s="6">
        <v>45690</v>
      </c>
      <c r="B453" s="1" t="s">
        <v>633</v>
      </c>
      <c r="C453" s="1" t="s">
        <v>26</v>
      </c>
      <c r="D453" t="s">
        <v>35</v>
      </c>
      <c r="E453" t="s">
        <v>317</v>
      </c>
      <c r="F453" t="s">
        <v>17</v>
      </c>
      <c r="G453" t="s">
        <v>18</v>
      </c>
      <c r="H453" s="3">
        <v>4</v>
      </c>
      <c r="I453" s="3">
        <v>11050</v>
      </c>
      <c r="J453" s="3">
        <v>44200</v>
      </c>
      <c r="K453" s="3">
        <v>8500</v>
      </c>
      <c r="L453" s="3">
        <v>34000</v>
      </c>
      <c r="M453" s="3">
        <v>10200</v>
      </c>
      <c r="N453" s="4">
        <v>0.23076923076923078</v>
      </c>
    </row>
    <row r="454" spans="1:14" x14ac:dyDescent="0.3">
      <c r="A454" s="6">
        <v>45690</v>
      </c>
      <c r="B454" s="1" t="s">
        <v>634</v>
      </c>
      <c r="C454" s="1" t="s">
        <v>27</v>
      </c>
      <c r="D454" t="s">
        <v>33</v>
      </c>
      <c r="E454" t="s">
        <v>161</v>
      </c>
      <c r="F454" t="s">
        <v>14</v>
      </c>
      <c r="G454" t="s">
        <v>15</v>
      </c>
      <c r="H454" s="3">
        <v>4</v>
      </c>
      <c r="I454" s="3">
        <v>63900</v>
      </c>
      <c r="J454" s="3">
        <v>255600</v>
      </c>
      <c r="K454" s="3">
        <v>45000</v>
      </c>
      <c r="L454" s="3">
        <v>180000</v>
      </c>
      <c r="M454" s="3">
        <v>75600</v>
      </c>
      <c r="N454" s="4">
        <v>0.29577464788732394</v>
      </c>
    </row>
    <row r="455" spans="1:14" x14ac:dyDescent="0.3">
      <c r="A455" s="6">
        <v>45690</v>
      </c>
      <c r="B455" s="1" t="s">
        <v>635</v>
      </c>
      <c r="C455" s="1" t="s">
        <v>29</v>
      </c>
      <c r="D455" t="s">
        <v>32</v>
      </c>
      <c r="E455" t="s">
        <v>65</v>
      </c>
      <c r="F455" t="s">
        <v>21</v>
      </c>
      <c r="G455" t="s">
        <v>20</v>
      </c>
      <c r="H455" s="3">
        <v>1</v>
      </c>
      <c r="I455" s="3">
        <v>768</v>
      </c>
      <c r="J455" s="3">
        <v>768</v>
      </c>
      <c r="K455" s="3">
        <v>600</v>
      </c>
      <c r="L455" s="3">
        <v>600</v>
      </c>
      <c r="M455" s="3">
        <v>168</v>
      </c>
      <c r="N455" s="4">
        <v>0.21875</v>
      </c>
    </row>
    <row r="456" spans="1:14" x14ac:dyDescent="0.3">
      <c r="A456" s="6">
        <v>45690</v>
      </c>
      <c r="B456" s="1" t="s">
        <v>636</v>
      </c>
      <c r="C456" s="1" t="s">
        <v>26</v>
      </c>
      <c r="D456" t="s">
        <v>34</v>
      </c>
      <c r="E456" t="s">
        <v>263</v>
      </c>
      <c r="F456" t="s">
        <v>19</v>
      </c>
      <c r="G456" t="s">
        <v>20</v>
      </c>
      <c r="H456" s="3">
        <v>2</v>
      </c>
      <c r="I456" s="3">
        <v>1233</v>
      </c>
      <c r="J456" s="3">
        <v>2466</v>
      </c>
      <c r="K456" s="3">
        <v>900</v>
      </c>
      <c r="L456" s="3">
        <v>1800</v>
      </c>
      <c r="M456" s="3">
        <v>666</v>
      </c>
      <c r="N456" s="4">
        <v>0.27007299270072993</v>
      </c>
    </row>
    <row r="457" spans="1:14" x14ac:dyDescent="0.3">
      <c r="A457" s="6">
        <v>45690</v>
      </c>
      <c r="B457" s="1" t="s">
        <v>637</v>
      </c>
      <c r="C457" s="1" t="s">
        <v>27</v>
      </c>
      <c r="D457" t="s">
        <v>35</v>
      </c>
      <c r="E457" t="s">
        <v>90</v>
      </c>
      <c r="F457" t="s">
        <v>22</v>
      </c>
      <c r="G457" t="s">
        <v>18</v>
      </c>
      <c r="H457" s="3">
        <v>5</v>
      </c>
      <c r="I457" s="3">
        <v>8400</v>
      </c>
      <c r="J457" s="3">
        <v>42000</v>
      </c>
      <c r="K457" s="3">
        <v>7000</v>
      </c>
      <c r="L457" s="3">
        <v>35000</v>
      </c>
      <c r="M457" s="3">
        <v>7000</v>
      </c>
      <c r="N457" s="4">
        <v>0.16666666666666666</v>
      </c>
    </row>
    <row r="458" spans="1:14" x14ac:dyDescent="0.3">
      <c r="A458" s="6">
        <v>45690</v>
      </c>
      <c r="B458" s="1" t="s">
        <v>638</v>
      </c>
      <c r="C458" s="1" t="s">
        <v>26</v>
      </c>
      <c r="D458" t="s">
        <v>32</v>
      </c>
      <c r="E458" t="s">
        <v>145</v>
      </c>
      <c r="F458" t="s">
        <v>16</v>
      </c>
      <c r="G458" t="s">
        <v>15</v>
      </c>
      <c r="H458" s="3">
        <v>2</v>
      </c>
      <c r="I458" s="3">
        <v>49400</v>
      </c>
      <c r="J458" s="3">
        <v>98800</v>
      </c>
      <c r="K458" s="3">
        <v>38000</v>
      </c>
      <c r="L458" s="3">
        <v>76000</v>
      </c>
      <c r="M458" s="3">
        <v>22800</v>
      </c>
      <c r="N458" s="4">
        <v>0.23076923076923078</v>
      </c>
    </row>
    <row r="459" spans="1:14" x14ac:dyDescent="0.3">
      <c r="A459" s="6">
        <v>45690</v>
      </c>
      <c r="B459" s="1" t="s">
        <v>639</v>
      </c>
      <c r="C459" s="1" t="s">
        <v>29</v>
      </c>
      <c r="D459" t="s">
        <v>30</v>
      </c>
      <c r="E459" t="s">
        <v>142</v>
      </c>
      <c r="F459" t="s">
        <v>17</v>
      </c>
      <c r="G459" t="s">
        <v>18</v>
      </c>
      <c r="H459" s="3">
        <v>3</v>
      </c>
      <c r="I459" s="3">
        <v>12325</v>
      </c>
      <c r="J459" s="3">
        <v>36975</v>
      </c>
      <c r="K459" s="3">
        <v>8500</v>
      </c>
      <c r="L459" s="3">
        <v>25500</v>
      </c>
      <c r="M459" s="3">
        <v>11475</v>
      </c>
      <c r="N459" s="4">
        <v>0.31034482758620691</v>
      </c>
    </row>
    <row r="460" spans="1:14" x14ac:dyDescent="0.3">
      <c r="A460" s="6">
        <v>45690</v>
      </c>
      <c r="B460" s="1" t="s">
        <v>640</v>
      </c>
      <c r="C460" s="1" t="s">
        <v>28</v>
      </c>
      <c r="D460" t="s">
        <v>34</v>
      </c>
      <c r="E460" t="s">
        <v>98</v>
      </c>
      <c r="F460" t="s">
        <v>21</v>
      </c>
      <c r="G460" t="s">
        <v>20</v>
      </c>
      <c r="H460" s="3">
        <v>8</v>
      </c>
      <c r="I460" s="3">
        <v>827.99999999999989</v>
      </c>
      <c r="J460" s="3">
        <v>6623.9999999999991</v>
      </c>
      <c r="K460" s="3">
        <v>600</v>
      </c>
      <c r="L460" s="3">
        <v>4800</v>
      </c>
      <c r="M460" s="3">
        <v>1823.9999999999991</v>
      </c>
      <c r="N460" s="4">
        <v>0.2753623188405796</v>
      </c>
    </row>
    <row r="461" spans="1:14" x14ac:dyDescent="0.3">
      <c r="A461" s="6">
        <v>45690</v>
      </c>
      <c r="B461" s="1" t="s">
        <v>641</v>
      </c>
      <c r="C461" s="1" t="s">
        <v>28</v>
      </c>
      <c r="D461" t="s">
        <v>33</v>
      </c>
      <c r="E461" t="s">
        <v>351</v>
      </c>
      <c r="F461" t="s">
        <v>21</v>
      </c>
      <c r="G461" t="s">
        <v>20</v>
      </c>
      <c r="H461" s="3">
        <v>10</v>
      </c>
      <c r="I461" s="3">
        <v>840</v>
      </c>
      <c r="J461" s="3">
        <v>8400</v>
      </c>
      <c r="K461" s="3">
        <v>600</v>
      </c>
      <c r="L461" s="3">
        <v>6000</v>
      </c>
      <c r="M461" s="3">
        <v>2400</v>
      </c>
      <c r="N461" s="4">
        <v>0.2857142857142857</v>
      </c>
    </row>
    <row r="462" spans="1:14" x14ac:dyDescent="0.3">
      <c r="A462" s="6">
        <v>45691</v>
      </c>
      <c r="B462" s="1" t="s">
        <v>642</v>
      </c>
      <c r="C462" s="1" t="s">
        <v>27</v>
      </c>
      <c r="D462" t="s">
        <v>32</v>
      </c>
      <c r="E462" t="s">
        <v>53</v>
      </c>
      <c r="F462" t="s">
        <v>19</v>
      </c>
      <c r="G462" t="s">
        <v>20</v>
      </c>
      <c r="H462" s="3">
        <v>10</v>
      </c>
      <c r="I462" s="3">
        <v>1089</v>
      </c>
      <c r="J462" s="3">
        <v>10890</v>
      </c>
      <c r="K462" s="3">
        <v>900</v>
      </c>
      <c r="L462" s="3">
        <v>9000</v>
      </c>
      <c r="M462" s="3">
        <v>1890</v>
      </c>
      <c r="N462" s="4">
        <v>0.17355371900826447</v>
      </c>
    </row>
    <row r="463" spans="1:14" x14ac:dyDescent="0.3">
      <c r="A463" s="6">
        <v>45691</v>
      </c>
      <c r="B463" s="1" t="s">
        <v>643</v>
      </c>
      <c r="C463" s="1" t="s">
        <v>26</v>
      </c>
      <c r="D463" t="s">
        <v>30</v>
      </c>
      <c r="E463" t="s">
        <v>98</v>
      </c>
      <c r="F463" t="s">
        <v>24</v>
      </c>
      <c r="G463" t="s">
        <v>25</v>
      </c>
      <c r="H463" s="3">
        <v>5</v>
      </c>
      <c r="I463" s="3">
        <v>3600</v>
      </c>
      <c r="J463" s="3">
        <v>18000</v>
      </c>
      <c r="K463" s="3">
        <v>2500</v>
      </c>
      <c r="L463" s="3">
        <v>12500</v>
      </c>
      <c r="M463" s="3">
        <v>5500</v>
      </c>
      <c r="N463" s="4">
        <v>0.30555555555555558</v>
      </c>
    </row>
    <row r="464" spans="1:14" x14ac:dyDescent="0.3">
      <c r="A464" s="6">
        <v>45691</v>
      </c>
      <c r="B464" s="1" t="s">
        <v>644</v>
      </c>
      <c r="C464" s="1" t="s">
        <v>28</v>
      </c>
      <c r="D464" t="s">
        <v>32</v>
      </c>
      <c r="E464" t="s">
        <v>137</v>
      </c>
      <c r="F464" t="s">
        <v>14</v>
      </c>
      <c r="G464" t="s">
        <v>15</v>
      </c>
      <c r="H464" s="3">
        <v>8</v>
      </c>
      <c r="I464" s="3">
        <v>55350</v>
      </c>
      <c r="J464" s="3">
        <v>442800</v>
      </c>
      <c r="K464" s="3">
        <v>45000</v>
      </c>
      <c r="L464" s="3">
        <v>360000</v>
      </c>
      <c r="M464" s="3">
        <v>82800</v>
      </c>
      <c r="N464" s="4">
        <v>0.18699186991869918</v>
      </c>
    </row>
    <row r="465" spans="1:14" x14ac:dyDescent="0.3">
      <c r="A465" s="6">
        <v>45691</v>
      </c>
      <c r="B465" s="1" t="s">
        <v>645</v>
      </c>
      <c r="C465" s="1" t="s">
        <v>26</v>
      </c>
      <c r="D465" t="s">
        <v>33</v>
      </c>
      <c r="E465" t="s">
        <v>574</v>
      </c>
      <c r="F465" t="s">
        <v>23</v>
      </c>
      <c r="G465" t="s">
        <v>25</v>
      </c>
      <c r="H465" s="3">
        <v>10</v>
      </c>
      <c r="I465" s="3">
        <v>3968</v>
      </c>
      <c r="J465" s="3">
        <v>39680</v>
      </c>
      <c r="K465" s="3">
        <v>3200</v>
      </c>
      <c r="L465" s="3">
        <v>32000</v>
      </c>
      <c r="M465" s="3">
        <v>7680</v>
      </c>
      <c r="N465" s="4">
        <v>0.19354838709677419</v>
      </c>
    </row>
    <row r="466" spans="1:14" x14ac:dyDescent="0.3">
      <c r="A466" s="6">
        <v>45691</v>
      </c>
      <c r="B466" s="1" t="s">
        <v>646</v>
      </c>
      <c r="C466" s="1" t="s">
        <v>27</v>
      </c>
      <c r="D466" t="s">
        <v>32</v>
      </c>
      <c r="E466" t="s">
        <v>116</v>
      </c>
      <c r="F466" t="s">
        <v>14</v>
      </c>
      <c r="G466" t="s">
        <v>15</v>
      </c>
      <c r="H466" s="3">
        <v>7</v>
      </c>
      <c r="I466" s="3">
        <v>63450</v>
      </c>
      <c r="J466" s="3">
        <v>444150</v>
      </c>
      <c r="K466" s="3">
        <v>45000</v>
      </c>
      <c r="L466" s="3">
        <v>315000</v>
      </c>
      <c r="M466" s="3">
        <v>129150</v>
      </c>
      <c r="N466" s="4">
        <v>0.29078014184397161</v>
      </c>
    </row>
    <row r="467" spans="1:14" x14ac:dyDescent="0.3">
      <c r="A467" s="6">
        <v>45691</v>
      </c>
      <c r="B467" s="1" t="s">
        <v>647</v>
      </c>
      <c r="C467" s="1" t="s">
        <v>29</v>
      </c>
      <c r="D467" t="s">
        <v>31</v>
      </c>
      <c r="E467" t="s">
        <v>565</v>
      </c>
      <c r="F467" t="s">
        <v>16</v>
      </c>
      <c r="G467" t="s">
        <v>15</v>
      </c>
      <c r="H467" s="3">
        <v>10</v>
      </c>
      <c r="I467" s="3">
        <v>50160</v>
      </c>
      <c r="J467" s="3">
        <v>501600</v>
      </c>
      <c r="K467" s="3">
        <v>38000</v>
      </c>
      <c r="L467" s="3">
        <v>380000</v>
      </c>
      <c r="M467" s="3">
        <v>121600</v>
      </c>
      <c r="N467" s="4">
        <v>0.24242424242424243</v>
      </c>
    </row>
    <row r="468" spans="1:14" x14ac:dyDescent="0.3">
      <c r="A468" s="6">
        <v>45691</v>
      </c>
      <c r="B468" s="1" t="s">
        <v>648</v>
      </c>
      <c r="C468" s="1" t="s">
        <v>29</v>
      </c>
      <c r="D468" t="s">
        <v>34</v>
      </c>
      <c r="E468" t="s">
        <v>129</v>
      </c>
      <c r="F468" t="s">
        <v>19</v>
      </c>
      <c r="G468" t="s">
        <v>20</v>
      </c>
      <c r="H468" s="3">
        <v>3</v>
      </c>
      <c r="I468" s="3">
        <v>1206</v>
      </c>
      <c r="J468" s="3">
        <v>3618</v>
      </c>
      <c r="K468" s="3">
        <v>900</v>
      </c>
      <c r="L468" s="3">
        <v>2700</v>
      </c>
      <c r="M468" s="3">
        <v>918</v>
      </c>
      <c r="N468" s="4">
        <v>0.2537313432835821</v>
      </c>
    </row>
    <row r="469" spans="1:14" x14ac:dyDescent="0.3">
      <c r="A469" s="6">
        <v>45691</v>
      </c>
      <c r="B469" s="1" t="s">
        <v>649</v>
      </c>
      <c r="C469" s="1" t="s">
        <v>26</v>
      </c>
      <c r="D469" t="s">
        <v>31</v>
      </c>
      <c r="E469" t="s">
        <v>161</v>
      </c>
      <c r="F469" t="s">
        <v>14</v>
      </c>
      <c r="G469" t="s">
        <v>15</v>
      </c>
      <c r="H469" s="3">
        <v>2</v>
      </c>
      <c r="I469" s="3">
        <v>55800</v>
      </c>
      <c r="J469" s="3">
        <v>111600</v>
      </c>
      <c r="K469" s="3">
        <v>45000</v>
      </c>
      <c r="L469" s="3">
        <v>90000</v>
      </c>
      <c r="M469" s="3">
        <v>21600</v>
      </c>
      <c r="N469" s="4">
        <v>0.19354838709677419</v>
      </c>
    </row>
    <row r="470" spans="1:14" x14ac:dyDescent="0.3">
      <c r="A470" s="6">
        <v>45691</v>
      </c>
      <c r="B470" s="1" t="s">
        <v>650</v>
      </c>
      <c r="C470" s="1" t="s">
        <v>29</v>
      </c>
      <c r="D470" t="s">
        <v>35</v>
      </c>
      <c r="E470" t="s">
        <v>388</v>
      </c>
      <c r="F470" t="s">
        <v>23</v>
      </c>
      <c r="G470" t="s">
        <v>25</v>
      </c>
      <c r="H470" s="3">
        <v>3</v>
      </c>
      <c r="I470" s="3">
        <v>3968</v>
      </c>
      <c r="J470" s="3">
        <v>11904</v>
      </c>
      <c r="K470" s="3">
        <v>3200</v>
      </c>
      <c r="L470" s="3">
        <v>9600</v>
      </c>
      <c r="M470" s="3">
        <v>2304</v>
      </c>
      <c r="N470" s="4">
        <v>0.19354838709677419</v>
      </c>
    </row>
    <row r="471" spans="1:14" x14ac:dyDescent="0.3">
      <c r="A471" s="6">
        <v>45691</v>
      </c>
      <c r="B471" s="1" t="s">
        <v>651</v>
      </c>
      <c r="C471" s="1" t="s">
        <v>28</v>
      </c>
      <c r="D471" t="s">
        <v>30</v>
      </c>
      <c r="E471" t="s">
        <v>239</v>
      </c>
      <c r="F471" t="s">
        <v>21</v>
      </c>
      <c r="G471" t="s">
        <v>20</v>
      </c>
      <c r="H471" s="3">
        <v>3</v>
      </c>
      <c r="I471" s="3">
        <v>732</v>
      </c>
      <c r="J471" s="3">
        <v>2196</v>
      </c>
      <c r="K471" s="3">
        <v>600</v>
      </c>
      <c r="L471" s="3">
        <v>1800</v>
      </c>
      <c r="M471" s="3">
        <v>396</v>
      </c>
      <c r="N471" s="4">
        <v>0.18032786885245902</v>
      </c>
    </row>
    <row r="472" spans="1:14" x14ac:dyDescent="0.3">
      <c r="A472" s="6">
        <v>45691</v>
      </c>
      <c r="B472" s="1" t="s">
        <v>652</v>
      </c>
      <c r="C472" s="1" t="s">
        <v>28</v>
      </c>
      <c r="D472" t="s">
        <v>33</v>
      </c>
      <c r="E472" t="s">
        <v>122</v>
      </c>
      <c r="F472" t="s">
        <v>17</v>
      </c>
      <c r="G472" t="s">
        <v>18</v>
      </c>
      <c r="H472" s="3">
        <v>3</v>
      </c>
      <c r="I472" s="3">
        <v>10455</v>
      </c>
      <c r="J472" s="3">
        <v>31365</v>
      </c>
      <c r="K472" s="3">
        <v>8500</v>
      </c>
      <c r="L472" s="3">
        <v>25500</v>
      </c>
      <c r="M472" s="3">
        <v>5865</v>
      </c>
      <c r="N472" s="4">
        <v>0.18699186991869918</v>
      </c>
    </row>
    <row r="473" spans="1:14" x14ac:dyDescent="0.3">
      <c r="A473" s="6">
        <v>45691</v>
      </c>
      <c r="B473" s="1" t="s">
        <v>653</v>
      </c>
      <c r="C473" s="1" t="s">
        <v>29</v>
      </c>
      <c r="D473" t="s">
        <v>35</v>
      </c>
      <c r="E473" t="s">
        <v>390</v>
      </c>
      <c r="F473" t="s">
        <v>17</v>
      </c>
      <c r="G473" t="s">
        <v>18</v>
      </c>
      <c r="H473" s="3">
        <v>9</v>
      </c>
      <c r="I473" s="3">
        <v>12325</v>
      </c>
      <c r="J473" s="3">
        <v>110925</v>
      </c>
      <c r="K473" s="3">
        <v>8500</v>
      </c>
      <c r="L473" s="3">
        <v>76500</v>
      </c>
      <c r="M473" s="3">
        <v>34425</v>
      </c>
      <c r="N473" s="4">
        <v>0.31034482758620691</v>
      </c>
    </row>
    <row r="474" spans="1:14" x14ac:dyDescent="0.3">
      <c r="A474" s="6">
        <v>45691</v>
      </c>
      <c r="B474" s="1" t="s">
        <v>654</v>
      </c>
      <c r="C474" s="1" t="s">
        <v>27</v>
      </c>
      <c r="D474" t="s">
        <v>32</v>
      </c>
      <c r="E474" t="s">
        <v>427</v>
      </c>
      <c r="F474" t="s">
        <v>16</v>
      </c>
      <c r="G474" t="s">
        <v>15</v>
      </c>
      <c r="H474" s="3">
        <v>1</v>
      </c>
      <c r="I474" s="3">
        <v>50540</v>
      </c>
      <c r="J474" s="3">
        <v>50540</v>
      </c>
      <c r="K474" s="3">
        <v>38000</v>
      </c>
      <c r="L474" s="3">
        <v>38000</v>
      </c>
      <c r="M474" s="3">
        <v>12540</v>
      </c>
      <c r="N474" s="4">
        <v>0.24812030075187969</v>
      </c>
    </row>
    <row r="475" spans="1:14" x14ac:dyDescent="0.3">
      <c r="A475" s="6">
        <v>45691</v>
      </c>
      <c r="B475" s="1" t="s">
        <v>655</v>
      </c>
      <c r="C475" s="1" t="s">
        <v>27</v>
      </c>
      <c r="D475" t="s">
        <v>34</v>
      </c>
      <c r="E475" t="s">
        <v>145</v>
      </c>
      <c r="F475" t="s">
        <v>24</v>
      </c>
      <c r="G475" t="s">
        <v>25</v>
      </c>
      <c r="H475" s="3">
        <v>10</v>
      </c>
      <c r="I475" s="3">
        <v>3399.9999999999995</v>
      </c>
      <c r="J475" s="3">
        <v>33999.999999999993</v>
      </c>
      <c r="K475" s="3">
        <v>2500</v>
      </c>
      <c r="L475" s="3">
        <v>25000</v>
      </c>
      <c r="M475" s="3">
        <v>8999.9999999999927</v>
      </c>
      <c r="N475" s="4">
        <v>0.26470588235294101</v>
      </c>
    </row>
    <row r="476" spans="1:14" x14ac:dyDescent="0.3">
      <c r="A476" s="6">
        <v>45692</v>
      </c>
      <c r="B476" s="1" t="s">
        <v>656</v>
      </c>
      <c r="C476" s="1" t="s">
        <v>27</v>
      </c>
      <c r="D476" t="s">
        <v>32</v>
      </c>
      <c r="E476" t="s">
        <v>196</v>
      </c>
      <c r="F476" t="s">
        <v>19</v>
      </c>
      <c r="G476" t="s">
        <v>20</v>
      </c>
      <c r="H476" s="3">
        <v>8</v>
      </c>
      <c r="I476" s="3">
        <v>1287</v>
      </c>
      <c r="J476" s="3">
        <v>10296</v>
      </c>
      <c r="K476" s="3">
        <v>900</v>
      </c>
      <c r="L476" s="3">
        <v>7200</v>
      </c>
      <c r="M476" s="3">
        <v>3096</v>
      </c>
      <c r="N476" s="4">
        <v>0.30069930069930068</v>
      </c>
    </row>
    <row r="477" spans="1:14" x14ac:dyDescent="0.3">
      <c r="A477" s="6">
        <v>45692</v>
      </c>
      <c r="B477" s="1" t="s">
        <v>657</v>
      </c>
      <c r="C477" s="1" t="s">
        <v>29</v>
      </c>
      <c r="D477" t="s">
        <v>33</v>
      </c>
      <c r="E477" t="s">
        <v>47</v>
      </c>
      <c r="F477" t="s">
        <v>17</v>
      </c>
      <c r="G477" t="s">
        <v>18</v>
      </c>
      <c r="H477" s="3">
        <v>9</v>
      </c>
      <c r="I477" s="3">
        <v>11900</v>
      </c>
      <c r="J477" s="3">
        <v>107100</v>
      </c>
      <c r="K477" s="3">
        <v>8500</v>
      </c>
      <c r="L477" s="3">
        <v>76500</v>
      </c>
      <c r="M477" s="3">
        <v>30600</v>
      </c>
      <c r="N477" s="4">
        <v>0.2857142857142857</v>
      </c>
    </row>
    <row r="478" spans="1:14" x14ac:dyDescent="0.3">
      <c r="A478" s="6">
        <v>45692</v>
      </c>
      <c r="B478" s="1" t="s">
        <v>658</v>
      </c>
      <c r="C478" s="1" t="s">
        <v>27</v>
      </c>
      <c r="D478" t="s">
        <v>30</v>
      </c>
      <c r="E478" t="s">
        <v>355</v>
      </c>
      <c r="F478" t="s">
        <v>22</v>
      </c>
      <c r="G478" t="s">
        <v>18</v>
      </c>
      <c r="H478" s="3">
        <v>8</v>
      </c>
      <c r="I478" s="3">
        <v>8890</v>
      </c>
      <c r="J478" s="3">
        <v>71120</v>
      </c>
      <c r="K478" s="3">
        <v>7000</v>
      </c>
      <c r="L478" s="3">
        <v>56000</v>
      </c>
      <c r="M478" s="3">
        <v>15120</v>
      </c>
      <c r="N478" s="4">
        <v>0.2125984251968504</v>
      </c>
    </row>
    <row r="479" spans="1:14" x14ac:dyDescent="0.3">
      <c r="A479" s="6">
        <v>45692</v>
      </c>
      <c r="B479" s="1" t="s">
        <v>659</v>
      </c>
      <c r="C479" s="1" t="s">
        <v>28</v>
      </c>
      <c r="D479" t="s">
        <v>30</v>
      </c>
      <c r="E479" t="s">
        <v>273</v>
      </c>
      <c r="F479" t="s">
        <v>24</v>
      </c>
      <c r="G479" t="s">
        <v>25</v>
      </c>
      <c r="H479" s="3">
        <v>8</v>
      </c>
      <c r="I479" s="3">
        <v>3525</v>
      </c>
      <c r="J479" s="3">
        <v>28200</v>
      </c>
      <c r="K479" s="3">
        <v>2500</v>
      </c>
      <c r="L479" s="3">
        <v>20000</v>
      </c>
      <c r="M479" s="3">
        <v>8200</v>
      </c>
      <c r="N479" s="4">
        <v>0.29078014184397161</v>
      </c>
    </row>
    <row r="480" spans="1:14" x14ac:dyDescent="0.3">
      <c r="A480" s="6">
        <v>45692</v>
      </c>
      <c r="B480" s="1" t="s">
        <v>660</v>
      </c>
      <c r="C480" s="1" t="s">
        <v>28</v>
      </c>
      <c r="D480" t="s">
        <v>30</v>
      </c>
      <c r="E480" t="s">
        <v>228</v>
      </c>
      <c r="F480" t="s">
        <v>16</v>
      </c>
      <c r="G480" t="s">
        <v>15</v>
      </c>
      <c r="H480" s="3">
        <v>2</v>
      </c>
      <c r="I480" s="3">
        <v>55100</v>
      </c>
      <c r="J480" s="3">
        <v>110200</v>
      </c>
      <c r="K480" s="3">
        <v>38000</v>
      </c>
      <c r="L480" s="3">
        <v>76000</v>
      </c>
      <c r="M480" s="3">
        <v>34200</v>
      </c>
      <c r="N480" s="4">
        <v>0.31034482758620691</v>
      </c>
    </row>
    <row r="481" spans="1:14" x14ac:dyDescent="0.3">
      <c r="A481" s="6">
        <v>45692</v>
      </c>
      <c r="B481" s="1" t="s">
        <v>661</v>
      </c>
      <c r="C481" s="1" t="s">
        <v>26</v>
      </c>
      <c r="D481" t="s">
        <v>34</v>
      </c>
      <c r="E481" t="s">
        <v>55</v>
      </c>
      <c r="F481" t="s">
        <v>19</v>
      </c>
      <c r="G481" t="s">
        <v>20</v>
      </c>
      <c r="H481" s="3">
        <v>6</v>
      </c>
      <c r="I481" s="3">
        <v>1206</v>
      </c>
      <c r="J481" s="3">
        <v>7236</v>
      </c>
      <c r="K481" s="3">
        <v>900</v>
      </c>
      <c r="L481" s="3">
        <v>5400</v>
      </c>
      <c r="M481" s="3">
        <v>1836</v>
      </c>
      <c r="N481" s="4">
        <v>0.2537313432835821</v>
      </c>
    </row>
    <row r="482" spans="1:14" x14ac:dyDescent="0.3">
      <c r="A482" s="6">
        <v>45692</v>
      </c>
      <c r="B482" s="1" t="s">
        <v>662</v>
      </c>
      <c r="C482" s="1" t="s">
        <v>28</v>
      </c>
      <c r="D482" t="s">
        <v>33</v>
      </c>
      <c r="E482" t="s">
        <v>304</v>
      </c>
      <c r="F482" t="s">
        <v>17</v>
      </c>
      <c r="G482" t="s">
        <v>18</v>
      </c>
      <c r="H482" s="3">
        <v>8</v>
      </c>
      <c r="I482" s="3">
        <v>11305</v>
      </c>
      <c r="J482" s="3">
        <v>90440</v>
      </c>
      <c r="K482" s="3">
        <v>8500</v>
      </c>
      <c r="L482" s="3">
        <v>68000</v>
      </c>
      <c r="M482" s="3">
        <v>22440</v>
      </c>
      <c r="N482" s="4">
        <v>0.24812030075187969</v>
      </c>
    </row>
    <row r="483" spans="1:14" x14ac:dyDescent="0.3">
      <c r="A483" s="6">
        <v>45692</v>
      </c>
      <c r="B483" s="1" t="s">
        <v>663</v>
      </c>
      <c r="C483" s="1" t="s">
        <v>28</v>
      </c>
      <c r="D483" t="s">
        <v>35</v>
      </c>
      <c r="E483" t="s">
        <v>751</v>
      </c>
      <c r="F483" t="s">
        <v>19</v>
      </c>
      <c r="G483" t="s">
        <v>20</v>
      </c>
      <c r="H483" s="3">
        <v>9</v>
      </c>
      <c r="I483" s="3">
        <v>1116</v>
      </c>
      <c r="J483" s="3">
        <v>10044</v>
      </c>
      <c r="K483" s="3">
        <v>900</v>
      </c>
      <c r="L483" s="3">
        <v>8100</v>
      </c>
      <c r="M483" s="3">
        <v>1944</v>
      </c>
      <c r="N483" s="4">
        <v>0.19354838709677419</v>
      </c>
    </row>
    <row r="484" spans="1:14" x14ac:dyDescent="0.3">
      <c r="A484" s="6">
        <v>45692</v>
      </c>
      <c r="B484" s="1" t="s">
        <v>664</v>
      </c>
      <c r="C484" s="1" t="s">
        <v>27</v>
      </c>
      <c r="D484" t="s">
        <v>35</v>
      </c>
      <c r="E484" t="s">
        <v>249</v>
      </c>
      <c r="F484" t="s">
        <v>17</v>
      </c>
      <c r="G484" t="s">
        <v>18</v>
      </c>
      <c r="H484" s="3">
        <v>2</v>
      </c>
      <c r="I484" s="3">
        <v>11390</v>
      </c>
      <c r="J484" s="3">
        <v>22780</v>
      </c>
      <c r="K484" s="3">
        <v>8500</v>
      </c>
      <c r="L484" s="3">
        <v>17000</v>
      </c>
      <c r="M484" s="3">
        <v>5780</v>
      </c>
      <c r="N484" s="4">
        <v>0.2537313432835821</v>
      </c>
    </row>
    <row r="485" spans="1:14" x14ac:dyDescent="0.3">
      <c r="A485" s="6">
        <v>45692</v>
      </c>
      <c r="B485" s="1" t="s">
        <v>665</v>
      </c>
      <c r="C485" s="1" t="s">
        <v>29</v>
      </c>
      <c r="D485" t="s">
        <v>34</v>
      </c>
      <c r="E485" t="s">
        <v>163</v>
      </c>
      <c r="F485" t="s">
        <v>21</v>
      </c>
      <c r="G485" t="s">
        <v>20</v>
      </c>
      <c r="H485" s="3">
        <v>1</v>
      </c>
      <c r="I485" s="3">
        <v>774</v>
      </c>
      <c r="J485" s="3">
        <v>774</v>
      </c>
      <c r="K485" s="3">
        <v>600</v>
      </c>
      <c r="L485" s="3">
        <v>600</v>
      </c>
      <c r="M485" s="3">
        <v>174</v>
      </c>
      <c r="N485" s="4">
        <v>0.22480620155038761</v>
      </c>
    </row>
    <row r="486" spans="1:14" x14ac:dyDescent="0.3">
      <c r="A486" s="6">
        <v>45692</v>
      </c>
      <c r="B486" s="1" t="s">
        <v>666</v>
      </c>
      <c r="C486" s="1" t="s">
        <v>29</v>
      </c>
      <c r="D486" t="s">
        <v>35</v>
      </c>
      <c r="E486" t="s">
        <v>85</v>
      </c>
      <c r="F486" t="s">
        <v>24</v>
      </c>
      <c r="G486" t="s">
        <v>25</v>
      </c>
      <c r="H486" s="3">
        <v>10</v>
      </c>
      <c r="I486" s="3">
        <v>3575</v>
      </c>
      <c r="J486" s="3">
        <v>35750</v>
      </c>
      <c r="K486" s="3">
        <v>2500</v>
      </c>
      <c r="L486" s="3">
        <v>25000</v>
      </c>
      <c r="M486" s="3">
        <v>10750</v>
      </c>
      <c r="N486" s="4">
        <v>0.30069930069930068</v>
      </c>
    </row>
    <row r="487" spans="1:14" x14ac:dyDescent="0.3">
      <c r="A487" s="6">
        <v>45692</v>
      </c>
      <c r="B487" s="1" t="s">
        <v>667</v>
      </c>
      <c r="C487" s="1" t="s">
        <v>27</v>
      </c>
      <c r="D487" t="s">
        <v>35</v>
      </c>
      <c r="E487" t="s">
        <v>149</v>
      </c>
      <c r="F487" t="s">
        <v>16</v>
      </c>
      <c r="G487" t="s">
        <v>15</v>
      </c>
      <c r="H487" s="3">
        <v>8</v>
      </c>
      <c r="I487" s="3">
        <v>53580</v>
      </c>
      <c r="J487" s="3">
        <v>428640</v>
      </c>
      <c r="K487" s="3">
        <v>38000</v>
      </c>
      <c r="L487" s="3">
        <v>304000</v>
      </c>
      <c r="M487" s="3">
        <v>124640</v>
      </c>
      <c r="N487" s="4">
        <v>0.29078014184397161</v>
      </c>
    </row>
    <row r="488" spans="1:14" x14ac:dyDescent="0.3">
      <c r="A488" s="6">
        <v>45692</v>
      </c>
      <c r="B488" s="1" t="s">
        <v>668</v>
      </c>
      <c r="C488" s="1" t="s">
        <v>28</v>
      </c>
      <c r="D488" t="s">
        <v>33</v>
      </c>
      <c r="E488" t="s">
        <v>239</v>
      </c>
      <c r="F488" t="s">
        <v>19</v>
      </c>
      <c r="G488" t="s">
        <v>20</v>
      </c>
      <c r="H488" s="3">
        <v>1</v>
      </c>
      <c r="I488" s="3">
        <v>1269</v>
      </c>
      <c r="J488" s="3">
        <v>1269</v>
      </c>
      <c r="K488" s="3">
        <v>900</v>
      </c>
      <c r="L488" s="3">
        <v>900</v>
      </c>
      <c r="M488" s="3">
        <v>369</v>
      </c>
      <c r="N488" s="4">
        <v>0.29078014184397161</v>
      </c>
    </row>
    <row r="489" spans="1:14" x14ac:dyDescent="0.3">
      <c r="A489" s="6">
        <v>45692</v>
      </c>
      <c r="B489" s="1" t="s">
        <v>669</v>
      </c>
      <c r="C489" s="1" t="s">
        <v>26</v>
      </c>
      <c r="D489" t="s">
        <v>31</v>
      </c>
      <c r="E489" t="s">
        <v>131</v>
      </c>
      <c r="F489" t="s">
        <v>16</v>
      </c>
      <c r="G489" t="s">
        <v>15</v>
      </c>
      <c r="H489" s="3">
        <v>8</v>
      </c>
      <c r="I489" s="3">
        <v>47120</v>
      </c>
      <c r="J489" s="3">
        <v>376960</v>
      </c>
      <c r="K489" s="3">
        <v>38000</v>
      </c>
      <c r="L489" s="3">
        <v>304000</v>
      </c>
      <c r="M489" s="3">
        <v>72960</v>
      </c>
      <c r="N489" s="4">
        <v>0.19354838709677419</v>
      </c>
    </row>
    <row r="490" spans="1:14" x14ac:dyDescent="0.3">
      <c r="A490" s="6">
        <v>45693</v>
      </c>
      <c r="B490" s="1" t="s">
        <v>670</v>
      </c>
      <c r="C490" s="1" t="s">
        <v>28</v>
      </c>
      <c r="D490" t="s">
        <v>30</v>
      </c>
      <c r="E490" t="s">
        <v>453</v>
      </c>
      <c r="F490" t="s">
        <v>22</v>
      </c>
      <c r="G490" t="s">
        <v>18</v>
      </c>
      <c r="H490" s="3">
        <v>4</v>
      </c>
      <c r="I490" s="3">
        <v>9730</v>
      </c>
      <c r="J490" s="3">
        <v>38920</v>
      </c>
      <c r="K490" s="3">
        <v>7000</v>
      </c>
      <c r="L490" s="3">
        <v>28000</v>
      </c>
      <c r="M490" s="3">
        <v>10920</v>
      </c>
      <c r="N490" s="4">
        <v>0.2805755395683453</v>
      </c>
    </row>
    <row r="491" spans="1:14" x14ac:dyDescent="0.3">
      <c r="A491" s="6">
        <v>45693</v>
      </c>
      <c r="B491" s="1" t="s">
        <v>671</v>
      </c>
      <c r="C491" s="1" t="s">
        <v>27</v>
      </c>
      <c r="D491" t="s">
        <v>30</v>
      </c>
      <c r="E491" t="s">
        <v>409</v>
      </c>
      <c r="F491" t="s">
        <v>19</v>
      </c>
      <c r="G491" t="s">
        <v>20</v>
      </c>
      <c r="H491" s="3">
        <v>6</v>
      </c>
      <c r="I491" s="3">
        <v>1269</v>
      </c>
      <c r="J491" s="3">
        <v>7614</v>
      </c>
      <c r="K491" s="3">
        <v>900</v>
      </c>
      <c r="L491" s="3">
        <v>5400</v>
      </c>
      <c r="M491" s="3">
        <v>2214</v>
      </c>
      <c r="N491" s="4">
        <v>0.29078014184397161</v>
      </c>
    </row>
    <row r="492" spans="1:14" x14ac:dyDescent="0.3">
      <c r="A492" s="6">
        <v>45693</v>
      </c>
      <c r="B492" s="1" t="s">
        <v>672</v>
      </c>
      <c r="C492" s="1" t="s">
        <v>29</v>
      </c>
      <c r="D492" t="s">
        <v>32</v>
      </c>
      <c r="E492" t="s">
        <v>88</v>
      </c>
      <c r="F492" t="s">
        <v>17</v>
      </c>
      <c r="G492" t="s">
        <v>18</v>
      </c>
      <c r="H492" s="3">
        <v>9</v>
      </c>
      <c r="I492" s="3">
        <v>10540</v>
      </c>
      <c r="J492" s="3">
        <v>94860</v>
      </c>
      <c r="K492" s="3">
        <v>8500</v>
      </c>
      <c r="L492" s="3">
        <v>76500</v>
      </c>
      <c r="M492" s="3">
        <v>18360</v>
      </c>
      <c r="N492" s="4">
        <v>0.19354838709677419</v>
      </c>
    </row>
    <row r="493" spans="1:14" x14ac:dyDescent="0.3">
      <c r="A493" s="6">
        <v>45693</v>
      </c>
      <c r="B493" s="1" t="s">
        <v>673</v>
      </c>
      <c r="C493" s="1" t="s">
        <v>27</v>
      </c>
      <c r="D493" t="s">
        <v>35</v>
      </c>
      <c r="E493" t="s">
        <v>220</v>
      </c>
      <c r="F493" t="s">
        <v>14</v>
      </c>
      <c r="G493" t="s">
        <v>15</v>
      </c>
      <c r="H493" s="3">
        <v>9</v>
      </c>
      <c r="I493" s="3">
        <v>55350</v>
      </c>
      <c r="J493" s="3">
        <v>498150</v>
      </c>
      <c r="K493" s="3">
        <v>45000</v>
      </c>
      <c r="L493" s="3">
        <v>405000</v>
      </c>
      <c r="M493" s="3">
        <v>93150</v>
      </c>
      <c r="N493" s="4">
        <v>0.18699186991869918</v>
      </c>
    </row>
    <row r="494" spans="1:14" x14ac:dyDescent="0.3">
      <c r="A494" s="6">
        <v>45693</v>
      </c>
      <c r="B494" s="1" t="s">
        <v>674</v>
      </c>
      <c r="C494" s="1" t="s">
        <v>28</v>
      </c>
      <c r="D494" t="s">
        <v>30</v>
      </c>
      <c r="E494" t="s">
        <v>81</v>
      </c>
      <c r="F494" t="s">
        <v>24</v>
      </c>
      <c r="G494" t="s">
        <v>25</v>
      </c>
      <c r="H494" s="3">
        <v>6</v>
      </c>
      <c r="I494" s="3">
        <v>3275</v>
      </c>
      <c r="J494" s="3">
        <v>19650</v>
      </c>
      <c r="K494" s="3">
        <v>2500</v>
      </c>
      <c r="L494" s="3">
        <v>15000</v>
      </c>
      <c r="M494" s="3">
        <v>4650</v>
      </c>
      <c r="N494" s="4">
        <v>0.23664122137404581</v>
      </c>
    </row>
    <row r="495" spans="1:14" x14ac:dyDescent="0.3">
      <c r="A495" s="6">
        <v>45693</v>
      </c>
      <c r="B495" s="1" t="s">
        <v>675</v>
      </c>
      <c r="C495" s="1" t="s">
        <v>29</v>
      </c>
      <c r="D495" t="s">
        <v>34</v>
      </c>
      <c r="E495" t="s">
        <v>506</v>
      </c>
      <c r="F495" t="s">
        <v>17</v>
      </c>
      <c r="G495" t="s">
        <v>18</v>
      </c>
      <c r="H495" s="3">
        <v>5</v>
      </c>
      <c r="I495" s="3">
        <v>11645</v>
      </c>
      <c r="J495" s="3">
        <v>58225</v>
      </c>
      <c r="K495" s="3">
        <v>8500</v>
      </c>
      <c r="L495" s="3">
        <v>42500</v>
      </c>
      <c r="M495" s="3">
        <v>15725</v>
      </c>
      <c r="N495" s="4">
        <v>0.27007299270072993</v>
      </c>
    </row>
    <row r="496" spans="1:14" x14ac:dyDescent="0.3">
      <c r="A496" s="6">
        <v>45693</v>
      </c>
      <c r="B496" s="1" t="s">
        <v>676</v>
      </c>
      <c r="C496" s="1" t="s">
        <v>26</v>
      </c>
      <c r="D496" t="s">
        <v>33</v>
      </c>
      <c r="E496" t="s">
        <v>379</v>
      </c>
      <c r="F496" t="s">
        <v>21</v>
      </c>
      <c r="G496" t="s">
        <v>20</v>
      </c>
      <c r="H496" s="3">
        <v>5</v>
      </c>
      <c r="I496" s="3">
        <v>798</v>
      </c>
      <c r="J496" s="3">
        <v>3990</v>
      </c>
      <c r="K496" s="3">
        <v>600</v>
      </c>
      <c r="L496" s="3">
        <v>3000</v>
      </c>
      <c r="M496" s="3">
        <v>990</v>
      </c>
      <c r="N496" s="4">
        <v>0.24812030075187969</v>
      </c>
    </row>
    <row r="497" spans="1:14" x14ac:dyDescent="0.3">
      <c r="A497" s="6">
        <v>45693</v>
      </c>
      <c r="B497" s="1" t="s">
        <v>677</v>
      </c>
      <c r="C497" s="1" t="s">
        <v>27</v>
      </c>
      <c r="D497" t="s">
        <v>31</v>
      </c>
      <c r="E497" t="s">
        <v>751</v>
      </c>
      <c r="F497" t="s">
        <v>22</v>
      </c>
      <c r="G497" t="s">
        <v>18</v>
      </c>
      <c r="H497" s="3">
        <v>5</v>
      </c>
      <c r="I497" s="3">
        <v>10150</v>
      </c>
      <c r="J497" s="3">
        <v>50750</v>
      </c>
      <c r="K497" s="3">
        <v>7000</v>
      </c>
      <c r="L497" s="3">
        <v>35000</v>
      </c>
      <c r="M497" s="3">
        <v>15750</v>
      </c>
      <c r="N497" s="4">
        <v>0.31034482758620691</v>
      </c>
    </row>
    <row r="498" spans="1:14" x14ac:dyDescent="0.3">
      <c r="A498" s="6">
        <v>45693</v>
      </c>
      <c r="B498" s="1" t="s">
        <v>678</v>
      </c>
      <c r="C498" s="1" t="s">
        <v>28</v>
      </c>
      <c r="D498" t="s">
        <v>33</v>
      </c>
      <c r="E498" t="s">
        <v>94</v>
      </c>
      <c r="F498" t="s">
        <v>19</v>
      </c>
      <c r="G498" t="s">
        <v>20</v>
      </c>
      <c r="H498" s="3">
        <v>5</v>
      </c>
      <c r="I498" s="3">
        <v>1080</v>
      </c>
      <c r="J498" s="3">
        <v>5400</v>
      </c>
      <c r="K498" s="3">
        <v>900</v>
      </c>
      <c r="L498" s="3">
        <v>4500</v>
      </c>
      <c r="M498" s="3">
        <v>900</v>
      </c>
      <c r="N498" s="4">
        <v>0.16666666666666666</v>
      </c>
    </row>
    <row r="499" spans="1:14" x14ac:dyDescent="0.3">
      <c r="A499" s="6">
        <v>45693</v>
      </c>
      <c r="B499" s="1" t="s">
        <v>679</v>
      </c>
      <c r="C499" s="1" t="s">
        <v>26</v>
      </c>
      <c r="D499" t="s">
        <v>31</v>
      </c>
      <c r="E499" t="s">
        <v>283</v>
      </c>
      <c r="F499" t="s">
        <v>22</v>
      </c>
      <c r="G499" t="s">
        <v>18</v>
      </c>
      <c r="H499" s="3">
        <v>8</v>
      </c>
      <c r="I499" s="3">
        <v>9520</v>
      </c>
      <c r="J499" s="3">
        <v>76160</v>
      </c>
      <c r="K499" s="3">
        <v>7000</v>
      </c>
      <c r="L499" s="3">
        <v>56000</v>
      </c>
      <c r="M499" s="3">
        <v>20160</v>
      </c>
      <c r="N499" s="4">
        <v>0.26470588235294118</v>
      </c>
    </row>
    <row r="500" spans="1:14" x14ac:dyDescent="0.3">
      <c r="A500" s="6">
        <v>45693</v>
      </c>
      <c r="B500" s="1" t="s">
        <v>680</v>
      </c>
      <c r="C500" s="1" t="s">
        <v>28</v>
      </c>
      <c r="D500" t="s">
        <v>30</v>
      </c>
      <c r="E500" t="s">
        <v>189</v>
      </c>
      <c r="F500" t="s">
        <v>16</v>
      </c>
      <c r="G500" t="s">
        <v>15</v>
      </c>
      <c r="H500" s="3">
        <v>5</v>
      </c>
      <c r="I500" s="3">
        <v>46360</v>
      </c>
      <c r="J500" s="3">
        <v>231800</v>
      </c>
      <c r="K500" s="3">
        <v>38000</v>
      </c>
      <c r="L500" s="3">
        <v>190000</v>
      </c>
      <c r="M500" s="3">
        <v>41800</v>
      </c>
      <c r="N500" s="4">
        <v>0.18032786885245902</v>
      </c>
    </row>
    <row r="501" spans="1:14" x14ac:dyDescent="0.3">
      <c r="A501" s="6">
        <v>45693</v>
      </c>
      <c r="B501" s="1" t="s">
        <v>681</v>
      </c>
      <c r="C501" s="1" t="s">
        <v>26</v>
      </c>
      <c r="D501" t="s">
        <v>31</v>
      </c>
      <c r="E501" t="s">
        <v>357</v>
      </c>
      <c r="F501" t="s">
        <v>24</v>
      </c>
      <c r="G501" t="s">
        <v>25</v>
      </c>
      <c r="H501" s="3">
        <v>2</v>
      </c>
      <c r="I501" s="3">
        <v>3225</v>
      </c>
      <c r="J501" s="3">
        <v>6450</v>
      </c>
      <c r="K501" s="3">
        <v>2500</v>
      </c>
      <c r="L501" s="3">
        <v>5000</v>
      </c>
      <c r="M501" s="3">
        <v>1450</v>
      </c>
      <c r="N501" s="4">
        <v>0.22480620155038761</v>
      </c>
    </row>
    <row r="502" spans="1:14" x14ac:dyDescent="0.3">
      <c r="A502" s="6">
        <v>45693</v>
      </c>
      <c r="B502" s="1" t="s">
        <v>682</v>
      </c>
      <c r="C502" s="1" t="s">
        <v>29</v>
      </c>
      <c r="D502" t="s">
        <v>35</v>
      </c>
      <c r="E502" t="s">
        <v>186</v>
      </c>
      <c r="F502" t="s">
        <v>23</v>
      </c>
      <c r="G502" t="s">
        <v>25</v>
      </c>
      <c r="H502" s="3">
        <v>8</v>
      </c>
      <c r="I502" s="3">
        <v>3872</v>
      </c>
      <c r="J502" s="3">
        <v>30976</v>
      </c>
      <c r="K502" s="3">
        <v>3200</v>
      </c>
      <c r="L502" s="3">
        <v>25600</v>
      </c>
      <c r="M502" s="3">
        <v>5376</v>
      </c>
      <c r="N502" s="4">
        <v>0.17355371900826447</v>
      </c>
    </row>
    <row r="503" spans="1:14" x14ac:dyDescent="0.3">
      <c r="A503" s="6">
        <v>45693</v>
      </c>
      <c r="B503" s="1" t="s">
        <v>683</v>
      </c>
      <c r="C503" s="1" t="s">
        <v>29</v>
      </c>
      <c r="D503" t="s">
        <v>33</v>
      </c>
      <c r="E503" t="s">
        <v>208</v>
      </c>
      <c r="F503" t="s">
        <v>14</v>
      </c>
      <c r="G503" t="s">
        <v>15</v>
      </c>
      <c r="H503" s="3">
        <v>10</v>
      </c>
      <c r="I503" s="3">
        <v>62099.999999999993</v>
      </c>
      <c r="J503" s="3">
        <v>620999.99999999988</v>
      </c>
      <c r="K503" s="3">
        <v>45000</v>
      </c>
      <c r="L503" s="3">
        <v>450000</v>
      </c>
      <c r="M503" s="3">
        <v>170999.99999999988</v>
      </c>
      <c r="N503" s="4">
        <v>0.2753623188405796</v>
      </c>
    </row>
    <row r="504" spans="1:14" x14ac:dyDescent="0.3">
      <c r="A504" s="6">
        <v>45694</v>
      </c>
      <c r="B504" s="1" t="s">
        <v>684</v>
      </c>
      <c r="C504" s="1" t="s">
        <v>28</v>
      </c>
      <c r="D504" t="s">
        <v>31</v>
      </c>
      <c r="E504" t="s">
        <v>214</v>
      </c>
      <c r="F504" t="s">
        <v>21</v>
      </c>
      <c r="G504" t="s">
        <v>20</v>
      </c>
      <c r="H504" s="3">
        <v>9</v>
      </c>
      <c r="I504" s="3">
        <v>870</v>
      </c>
      <c r="J504" s="3">
        <v>7830</v>
      </c>
      <c r="K504" s="3">
        <v>600</v>
      </c>
      <c r="L504" s="3">
        <v>5400</v>
      </c>
      <c r="M504" s="3">
        <v>2430</v>
      </c>
      <c r="N504" s="4">
        <v>0.31034482758620691</v>
      </c>
    </row>
    <row r="505" spans="1:14" x14ac:dyDescent="0.3">
      <c r="A505" s="6">
        <v>45694</v>
      </c>
      <c r="B505" s="1" t="s">
        <v>685</v>
      </c>
      <c r="C505" s="1" t="s">
        <v>26</v>
      </c>
      <c r="D505" t="s">
        <v>33</v>
      </c>
      <c r="E505" t="s">
        <v>249</v>
      </c>
      <c r="F505" t="s">
        <v>17</v>
      </c>
      <c r="G505" t="s">
        <v>18</v>
      </c>
      <c r="H505" s="3">
        <v>6</v>
      </c>
      <c r="I505" s="3">
        <v>11730</v>
      </c>
      <c r="J505" s="3">
        <v>70380</v>
      </c>
      <c r="K505" s="3">
        <v>8500</v>
      </c>
      <c r="L505" s="3">
        <v>51000</v>
      </c>
      <c r="M505" s="3">
        <v>19380</v>
      </c>
      <c r="N505" s="4">
        <v>0.27536231884057971</v>
      </c>
    </row>
    <row r="506" spans="1:14" x14ac:dyDescent="0.3">
      <c r="A506" s="6">
        <v>45694</v>
      </c>
      <c r="B506" s="1" t="s">
        <v>686</v>
      </c>
      <c r="C506" s="1" t="s">
        <v>28</v>
      </c>
      <c r="D506" t="s">
        <v>31</v>
      </c>
      <c r="E506" t="s">
        <v>447</v>
      </c>
      <c r="F506" t="s">
        <v>16</v>
      </c>
      <c r="G506" t="s">
        <v>15</v>
      </c>
      <c r="H506" s="3">
        <v>4</v>
      </c>
      <c r="I506" s="3">
        <v>52060.000000000007</v>
      </c>
      <c r="J506" s="3">
        <v>208240.00000000003</v>
      </c>
      <c r="K506" s="3">
        <v>38000</v>
      </c>
      <c r="L506" s="3">
        <v>152000</v>
      </c>
      <c r="M506" s="3">
        <v>56240.000000000029</v>
      </c>
      <c r="N506" s="4">
        <v>0.27007299270073004</v>
      </c>
    </row>
    <row r="507" spans="1:14" x14ac:dyDescent="0.3">
      <c r="A507" s="6">
        <v>45694</v>
      </c>
      <c r="B507" s="1" t="s">
        <v>687</v>
      </c>
      <c r="C507" s="1" t="s">
        <v>29</v>
      </c>
      <c r="D507" t="s">
        <v>33</v>
      </c>
      <c r="E507" t="s">
        <v>342</v>
      </c>
      <c r="F507" t="s">
        <v>17</v>
      </c>
      <c r="G507" t="s">
        <v>18</v>
      </c>
      <c r="H507" s="3">
        <v>8</v>
      </c>
      <c r="I507" s="3">
        <v>11645</v>
      </c>
      <c r="J507" s="3">
        <v>93160</v>
      </c>
      <c r="K507" s="3">
        <v>8500</v>
      </c>
      <c r="L507" s="3">
        <v>68000</v>
      </c>
      <c r="M507" s="3">
        <v>25160</v>
      </c>
      <c r="N507" s="4">
        <v>0.27007299270072993</v>
      </c>
    </row>
    <row r="508" spans="1:14" x14ac:dyDescent="0.3">
      <c r="A508" s="6">
        <v>45694</v>
      </c>
      <c r="B508" s="1" t="s">
        <v>688</v>
      </c>
      <c r="C508" s="1" t="s">
        <v>26</v>
      </c>
      <c r="D508" t="s">
        <v>32</v>
      </c>
      <c r="E508" t="s">
        <v>149</v>
      </c>
      <c r="F508" t="s">
        <v>17</v>
      </c>
      <c r="G508" t="s">
        <v>18</v>
      </c>
      <c r="H508" s="3">
        <v>8</v>
      </c>
      <c r="I508" s="3">
        <v>11390</v>
      </c>
      <c r="J508" s="3">
        <v>91120</v>
      </c>
      <c r="K508" s="3">
        <v>8500</v>
      </c>
      <c r="L508" s="3">
        <v>68000</v>
      </c>
      <c r="M508" s="3">
        <v>23120</v>
      </c>
      <c r="N508" s="4">
        <v>0.2537313432835821</v>
      </c>
    </row>
    <row r="509" spans="1:14" x14ac:dyDescent="0.3">
      <c r="A509" s="6">
        <v>45694</v>
      </c>
      <c r="B509" s="1" t="s">
        <v>689</v>
      </c>
      <c r="C509" s="1" t="s">
        <v>26</v>
      </c>
      <c r="D509" t="s">
        <v>35</v>
      </c>
      <c r="E509" t="s">
        <v>131</v>
      </c>
      <c r="F509" t="s">
        <v>14</v>
      </c>
      <c r="G509" t="s">
        <v>15</v>
      </c>
      <c r="H509" s="3">
        <v>5</v>
      </c>
      <c r="I509" s="3">
        <v>54900</v>
      </c>
      <c r="J509" s="3">
        <v>274500</v>
      </c>
      <c r="K509" s="3">
        <v>45000</v>
      </c>
      <c r="L509" s="3">
        <v>225000</v>
      </c>
      <c r="M509" s="3">
        <v>49500</v>
      </c>
      <c r="N509" s="4">
        <v>0.18032786885245902</v>
      </c>
    </row>
    <row r="510" spans="1:14" x14ac:dyDescent="0.3">
      <c r="A510" s="6">
        <v>45694</v>
      </c>
      <c r="B510" s="1" t="s">
        <v>690</v>
      </c>
      <c r="C510" s="1" t="s">
        <v>27</v>
      </c>
      <c r="D510" t="s">
        <v>33</v>
      </c>
      <c r="E510" t="s">
        <v>193</v>
      </c>
      <c r="F510" t="s">
        <v>24</v>
      </c>
      <c r="G510" t="s">
        <v>25</v>
      </c>
      <c r="H510" s="3">
        <v>4</v>
      </c>
      <c r="I510" s="3">
        <v>3475.0000000000005</v>
      </c>
      <c r="J510" s="3">
        <v>13900.000000000002</v>
      </c>
      <c r="K510" s="3">
        <v>2500</v>
      </c>
      <c r="L510" s="3">
        <v>10000</v>
      </c>
      <c r="M510" s="3">
        <v>3900.0000000000018</v>
      </c>
      <c r="N510" s="4">
        <v>0.28057553956834541</v>
      </c>
    </row>
    <row r="511" spans="1:14" x14ac:dyDescent="0.3">
      <c r="A511" s="6">
        <v>45694</v>
      </c>
      <c r="B511" s="1" t="s">
        <v>691</v>
      </c>
      <c r="C511" s="1" t="s">
        <v>26</v>
      </c>
      <c r="D511" t="s">
        <v>30</v>
      </c>
      <c r="E511" t="s">
        <v>411</v>
      </c>
      <c r="F511" t="s">
        <v>14</v>
      </c>
      <c r="G511" t="s">
        <v>15</v>
      </c>
      <c r="H511" s="3">
        <v>2</v>
      </c>
      <c r="I511" s="3">
        <v>61199.999999999993</v>
      </c>
      <c r="J511" s="3">
        <v>122399.99999999999</v>
      </c>
      <c r="K511" s="3">
        <v>45000</v>
      </c>
      <c r="L511" s="3">
        <v>90000</v>
      </c>
      <c r="M511" s="3">
        <v>32399.999999999985</v>
      </c>
      <c r="N511" s="4">
        <v>0.26470588235294107</v>
      </c>
    </row>
    <row r="512" spans="1:14" x14ac:dyDescent="0.3">
      <c r="A512" s="6">
        <v>45694</v>
      </c>
      <c r="B512" s="1" t="s">
        <v>692</v>
      </c>
      <c r="C512" s="1" t="s">
        <v>28</v>
      </c>
      <c r="D512" t="s">
        <v>32</v>
      </c>
      <c r="E512" t="s">
        <v>231</v>
      </c>
      <c r="F512" t="s">
        <v>21</v>
      </c>
      <c r="G512" t="s">
        <v>20</v>
      </c>
      <c r="H512" s="3">
        <v>5</v>
      </c>
      <c r="I512" s="3">
        <v>792</v>
      </c>
      <c r="J512" s="3">
        <v>3960</v>
      </c>
      <c r="K512" s="3">
        <v>600</v>
      </c>
      <c r="L512" s="3">
        <v>3000</v>
      </c>
      <c r="M512" s="3">
        <v>960</v>
      </c>
      <c r="N512" s="4">
        <v>0.24242424242424243</v>
      </c>
    </row>
    <row r="513" spans="1:14" x14ac:dyDescent="0.3">
      <c r="A513" s="6">
        <v>45694</v>
      </c>
      <c r="B513" s="1" t="s">
        <v>693</v>
      </c>
      <c r="C513" s="1" t="s">
        <v>29</v>
      </c>
      <c r="D513" t="s">
        <v>33</v>
      </c>
      <c r="E513" t="s">
        <v>273</v>
      </c>
      <c r="F513" t="s">
        <v>24</v>
      </c>
      <c r="G513" t="s">
        <v>25</v>
      </c>
      <c r="H513" s="3">
        <v>9</v>
      </c>
      <c r="I513" s="3">
        <v>3200</v>
      </c>
      <c r="J513" s="3">
        <v>28800</v>
      </c>
      <c r="K513" s="3">
        <v>2500</v>
      </c>
      <c r="L513" s="3">
        <v>22500</v>
      </c>
      <c r="M513" s="3">
        <v>6300</v>
      </c>
      <c r="N513" s="4">
        <v>0.21875</v>
      </c>
    </row>
    <row r="514" spans="1:14" x14ac:dyDescent="0.3">
      <c r="A514" s="6">
        <v>45694</v>
      </c>
      <c r="B514" s="1" t="s">
        <v>694</v>
      </c>
      <c r="C514" s="1" t="s">
        <v>28</v>
      </c>
      <c r="D514" t="s">
        <v>33</v>
      </c>
      <c r="E514" t="s">
        <v>88</v>
      </c>
      <c r="F514" t="s">
        <v>14</v>
      </c>
      <c r="G514" t="s">
        <v>15</v>
      </c>
      <c r="H514" s="3">
        <v>6</v>
      </c>
      <c r="I514" s="3">
        <v>65250</v>
      </c>
      <c r="J514" s="3">
        <v>391500</v>
      </c>
      <c r="K514" s="3">
        <v>45000</v>
      </c>
      <c r="L514" s="3">
        <v>270000</v>
      </c>
      <c r="M514" s="3">
        <v>121500</v>
      </c>
      <c r="N514" s="4">
        <v>0.31034482758620691</v>
      </c>
    </row>
    <row r="515" spans="1:14" x14ac:dyDescent="0.3">
      <c r="A515" s="6">
        <v>45694</v>
      </c>
      <c r="B515" s="1" t="s">
        <v>695</v>
      </c>
      <c r="C515" s="1" t="s">
        <v>27</v>
      </c>
      <c r="D515" t="s">
        <v>35</v>
      </c>
      <c r="E515" t="s">
        <v>61</v>
      </c>
      <c r="F515" t="s">
        <v>14</v>
      </c>
      <c r="G515" t="s">
        <v>15</v>
      </c>
      <c r="H515" s="3">
        <v>10</v>
      </c>
      <c r="I515" s="3">
        <v>62099.999999999993</v>
      </c>
      <c r="J515" s="3">
        <v>620999.99999999988</v>
      </c>
      <c r="K515" s="3">
        <v>45000</v>
      </c>
      <c r="L515" s="3">
        <v>450000</v>
      </c>
      <c r="M515" s="3">
        <v>170999.99999999988</v>
      </c>
      <c r="N515" s="4">
        <v>0.2753623188405796</v>
      </c>
    </row>
    <row r="516" spans="1:14" x14ac:dyDescent="0.3">
      <c r="A516" s="6">
        <v>45694</v>
      </c>
      <c r="B516" s="1" t="s">
        <v>696</v>
      </c>
      <c r="C516" s="1" t="s">
        <v>28</v>
      </c>
      <c r="D516" t="s">
        <v>33</v>
      </c>
      <c r="E516" t="s">
        <v>159</v>
      </c>
      <c r="F516" t="s">
        <v>14</v>
      </c>
      <c r="G516" t="s">
        <v>15</v>
      </c>
      <c r="H516" s="3">
        <v>4</v>
      </c>
      <c r="I516" s="3">
        <v>54450</v>
      </c>
      <c r="J516" s="3">
        <v>217800</v>
      </c>
      <c r="K516" s="3">
        <v>45000</v>
      </c>
      <c r="L516" s="3">
        <v>180000</v>
      </c>
      <c r="M516" s="3">
        <v>37800</v>
      </c>
      <c r="N516" s="4">
        <v>0.17355371900826447</v>
      </c>
    </row>
    <row r="517" spans="1:14" x14ac:dyDescent="0.3">
      <c r="A517" s="6">
        <v>45694</v>
      </c>
      <c r="B517" s="1" t="s">
        <v>697</v>
      </c>
      <c r="C517" s="1" t="s">
        <v>29</v>
      </c>
      <c r="D517" t="s">
        <v>34</v>
      </c>
      <c r="E517" t="s">
        <v>120</v>
      </c>
      <c r="F517" t="s">
        <v>14</v>
      </c>
      <c r="G517" t="s">
        <v>15</v>
      </c>
      <c r="H517" s="3">
        <v>10</v>
      </c>
      <c r="I517" s="3">
        <v>62550.000000000007</v>
      </c>
      <c r="J517" s="3">
        <v>625500.00000000012</v>
      </c>
      <c r="K517" s="3">
        <v>45000</v>
      </c>
      <c r="L517" s="3">
        <v>450000</v>
      </c>
      <c r="M517" s="3">
        <v>175500.00000000012</v>
      </c>
      <c r="N517" s="4">
        <v>0.28057553956834547</v>
      </c>
    </row>
    <row r="518" spans="1:14" x14ac:dyDescent="0.3">
      <c r="A518" s="6">
        <v>45695</v>
      </c>
      <c r="B518" s="1" t="s">
        <v>699</v>
      </c>
      <c r="C518" s="1" t="s">
        <v>27</v>
      </c>
      <c r="D518" t="s">
        <v>35</v>
      </c>
      <c r="E518" t="s">
        <v>216</v>
      </c>
      <c r="F518" t="s">
        <v>22</v>
      </c>
      <c r="G518" t="s">
        <v>18</v>
      </c>
      <c r="H518" s="3">
        <v>2</v>
      </c>
      <c r="I518" s="3">
        <v>9170</v>
      </c>
      <c r="J518" s="3">
        <v>18340</v>
      </c>
      <c r="K518" s="3">
        <v>7000</v>
      </c>
      <c r="L518" s="3">
        <v>14000</v>
      </c>
      <c r="M518" s="3">
        <v>4340</v>
      </c>
      <c r="N518" s="4">
        <v>0.23664122137404581</v>
      </c>
    </row>
    <row r="519" spans="1:14" x14ac:dyDescent="0.3">
      <c r="A519" s="6">
        <v>45695</v>
      </c>
      <c r="B519" s="1" t="s">
        <v>700</v>
      </c>
      <c r="C519" s="1" t="s">
        <v>29</v>
      </c>
      <c r="D519" t="s">
        <v>32</v>
      </c>
      <c r="E519" t="s">
        <v>506</v>
      </c>
      <c r="F519" t="s">
        <v>24</v>
      </c>
      <c r="G519" t="s">
        <v>25</v>
      </c>
      <c r="H519" s="3">
        <v>4</v>
      </c>
      <c r="I519" s="3">
        <v>3575</v>
      </c>
      <c r="J519" s="3">
        <v>14300</v>
      </c>
      <c r="K519" s="3">
        <v>2500</v>
      </c>
      <c r="L519" s="3">
        <v>10000</v>
      </c>
      <c r="M519" s="3">
        <v>4300</v>
      </c>
      <c r="N519" s="4">
        <v>0.30069930069930068</v>
      </c>
    </row>
    <row r="520" spans="1:14" x14ac:dyDescent="0.3">
      <c r="A520" s="6">
        <v>45695</v>
      </c>
      <c r="B520" s="1" t="s">
        <v>701</v>
      </c>
      <c r="C520" s="1" t="s">
        <v>27</v>
      </c>
      <c r="D520" t="s">
        <v>31</v>
      </c>
      <c r="E520" t="s">
        <v>388</v>
      </c>
      <c r="F520" t="s">
        <v>14</v>
      </c>
      <c r="G520" t="s">
        <v>15</v>
      </c>
      <c r="H520" s="3">
        <v>2</v>
      </c>
      <c r="I520" s="3">
        <v>60300</v>
      </c>
      <c r="J520" s="3">
        <v>120600</v>
      </c>
      <c r="K520" s="3">
        <v>45000</v>
      </c>
      <c r="L520" s="3">
        <v>90000</v>
      </c>
      <c r="M520" s="3">
        <v>30600</v>
      </c>
      <c r="N520" s="4">
        <v>0.2537313432835821</v>
      </c>
    </row>
    <row r="521" spans="1:14" x14ac:dyDescent="0.3">
      <c r="A521" s="6">
        <v>45695</v>
      </c>
      <c r="B521" s="1" t="s">
        <v>702</v>
      </c>
      <c r="C521" s="1" t="s">
        <v>27</v>
      </c>
      <c r="D521" t="s">
        <v>35</v>
      </c>
      <c r="E521" t="s">
        <v>357</v>
      </c>
      <c r="F521" t="s">
        <v>23</v>
      </c>
      <c r="G521" t="s">
        <v>25</v>
      </c>
      <c r="H521" s="3">
        <v>4</v>
      </c>
      <c r="I521" s="3">
        <v>4480</v>
      </c>
      <c r="J521" s="3">
        <v>17920</v>
      </c>
      <c r="K521" s="3">
        <v>3200</v>
      </c>
      <c r="L521" s="3">
        <v>12800</v>
      </c>
      <c r="M521" s="3">
        <v>5120</v>
      </c>
      <c r="N521" s="4">
        <v>0.2857142857142857</v>
      </c>
    </row>
    <row r="522" spans="1:14" x14ac:dyDescent="0.3">
      <c r="A522" s="6">
        <v>45695</v>
      </c>
      <c r="B522" s="1" t="s">
        <v>703</v>
      </c>
      <c r="C522" s="1" t="s">
        <v>28</v>
      </c>
      <c r="D522" t="s">
        <v>32</v>
      </c>
      <c r="E522" t="s">
        <v>57</v>
      </c>
      <c r="F522" t="s">
        <v>21</v>
      </c>
      <c r="G522" t="s">
        <v>20</v>
      </c>
      <c r="H522" s="3">
        <v>10</v>
      </c>
      <c r="I522" s="3">
        <v>732</v>
      </c>
      <c r="J522" s="3">
        <v>7320</v>
      </c>
      <c r="K522" s="3">
        <v>600</v>
      </c>
      <c r="L522" s="3">
        <v>6000</v>
      </c>
      <c r="M522" s="3">
        <v>1320</v>
      </c>
      <c r="N522" s="4">
        <v>0.18032786885245902</v>
      </c>
    </row>
    <row r="523" spans="1:14" x14ac:dyDescent="0.3">
      <c r="A523" s="6">
        <v>45695</v>
      </c>
      <c r="B523" s="1" t="s">
        <v>704</v>
      </c>
      <c r="C523" s="1" t="s">
        <v>27</v>
      </c>
      <c r="D523" t="s">
        <v>33</v>
      </c>
      <c r="E523" t="s">
        <v>226</v>
      </c>
      <c r="F523" t="s">
        <v>21</v>
      </c>
      <c r="G523" t="s">
        <v>20</v>
      </c>
      <c r="H523" s="3">
        <v>6</v>
      </c>
      <c r="I523" s="3">
        <v>780</v>
      </c>
      <c r="J523" s="3">
        <v>4680</v>
      </c>
      <c r="K523" s="3">
        <v>600</v>
      </c>
      <c r="L523" s="3">
        <v>3600</v>
      </c>
      <c r="M523" s="3">
        <v>1080</v>
      </c>
      <c r="N523" s="4">
        <v>0.23076923076923078</v>
      </c>
    </row>
    <row r="524" spans="1:14" x14ac:dyDescent="0.3">
      <c r="A524" s="6">
        <v>45695</v>
      </c>
      <c r="B524" s="1" t="s">
        <v>705</v>
      </c>
      <c r="C524" s="1" t="s">
        <v>28</v>
      </c>
      <c r="D524" t="s">
        <v>34</v>
      </c>
      <c r="E524" t="s">
        <v>268</v>
      </c>
      <c r="F524" t="s">
        <v>17</v>
      </c>
      <c r="G524" t="s">
        <v>18</v>
      </c>
      <c r="H524" s="3">
        <v>9</v>
      </c>
      <c r="I524" s="3">
        <v>10370</v>
      </c>
      <c r="J524" s="3">
        <v>93330</v>
      </c>
      <c r="K524" s="3">
        <v>8500</v>
      </c>
      <c r="L524" s="3">
        <v>76500</v>
      </c>
      <c r="M524" s="3">
        <v>16830</v>
      </c>
      <c r="N524" s="4">
        <v>0.18032786885245902</v>
      </c>
    </row>
    <row r="525" spans="1:14" x14ac:dyDescent="0.3">
      <c r="A525" s="6">
        <v>45695</v>
      </c>
      <c r="B525" s="1" t="s">
        <v>706</v>
      </c>
      <c r="C525" s="1" t="s">
        <v>27</v>
      </c>
      <c r="D525" t="s">
        <v>32</v>
      </c>
      <c r="E525" t="s">
        <v>157</v>
      </c>
      <c r="F525" t="s">
        <v>22</v>
      </c>
      <c r="G525" t="s">
        <v>18</v>
      </c>
      <c r="H525" s="3">
        <v>4</v>
      </c>
      <c r="I525" s="3">
        <v>9660</v>
      </c>
      <c r="J525" s="3">
        <v>38640</v>
      </c>
      <c r="K525" s="3">
        <v>7000</v>
      </c>
      <c r="L525" s="3">
        <v>28000</v>
      </c>
      <c r="M525" s="3">
        <v>10640</v>
      </c>
      <c r="N525" s="4">
        <v>0.27536231884057971</v>
      </c>
    </row>
    <row r="526" spans="1:14" x14ac:dyDescent="0.3">
      <c r="A526" s="6">
        <v>45695</v>
      </c>
      <c r="B526" s="1" t="s">
        <v>707</v>
      </c>
      <c r="C526" s="1" t="s">
        <v>28</v>
      </c>
      <c r="D526" t="s">
        <v>30</v>
      </c>
      <c r="E526" t="s">
        <v>280</v>
      </c>
      <c r="F526" t="s">
        <v>17</v>
      </c>
      <c r="G526" t="s">
        <v>18</v>
      </c>
      <c r="H526" s="3">
        <v>10</v>
      </c>
      <c r="I526" s="3">
        <v>11050</v>
      </c>
      <c r="J526" s="3">
        <v>110500</v>
      </c>
      <c r="K526" s="3">
        <v>8500</v>
      </c>
      <c r="L526" s="3">
        <v>85000</v>
      </c>
      <c r="M526" s="3">
        <v>25500</v>
      </c>
      <c r="N526" s="4">
        <v>0.23076923076923078</v>
      </c>
    </row>
    <row r="527" spans="1:14" x14ac:dyDescent="0.3">
      <c r="A527" s="6">
        <v>45695</v>
      </c>
      <c r="B527" s="1" t="s">
        <v>708</v>
      </c>
      <c r="C527" s="1" t="s">
        <v>26</v>
      </c>
      <c r="D527" t="s">
        <v>30</v>
      </c>
      <c r="E527" t="s">
        <v>538</v>
      </c>
      <c r="F527" t="s">
        <v>17</v>
      </c>
      <c r="G527" t="s">
        <v>18</v>
      </c>
      <c r="H527" s="3">
        <v>7</v>
      </c>
      <c r="I527" s="3">
        <v>10880</v>
      </c>
      <c r="J527" s="3">
        <v>76160</v>
      </c>
      <c r="K527" s="3">
        <v>8500</v>
      </c>
      <c r="L527" s="3">
        <v>59500</v>
      </c>
      <c r="M527" s="3">
        <v>16660</v>
      </c>
      <c r="N527" s="4">
        <v>0.21875</v>
      </c>
    </row>
    <row r="528" spans="1:14" x14ac:dyDescent="0.3">
      <c r="A528" s="6">
        <v>45695</v>
      </c>
      <c r="B528" s="1" t="s">
        <v>709</v>
      </c>
      <c r="C528" s="1" t="s">
        <v>27</v>
      </c>
      <c r="D528" t="s">
        <v>34</v>
      </c>
      <c r="E528" t="s">
        <v>216</v>
      </c>
      <c r="F528" t="s">
        <v>23</v>
      </c>
      <c r="G528" t="s">
        <v>25</v>
      </c>
      <c r="H528" s="3">
        <v>2</v>
      </c>
      <c r="I528" s="3">
        <v>3872</v>
      </c>
      <c r="J528" s="3">
        <v>7744</v>
      </c>
      <c r="K528" s="3">
        <v>3200</v>
      </c>
      <c r="L528" s="3">
        <v>6400</v>
      </c>
      <c r="M528" s="3">
        <v>1344</v>
      </c>
      <c r="N528" s="4">
        <v>0.17355371900826447</v>
      </c>
    </row>
    <row r="529" spans="1:14" x14ac:dyDescent="0.3">
      <c r="A529" s="6">
        <v>45695</v>
      </c>
      <c r="B529" s="1" t="s">
        <v>710</v>
      </c>
      <c r="C529" s="1" t="s">
        <v>28</v>
      </c>
      <c r="D529" t="s">
        <v>33</v>
      </c>
      <c r="E529" t="s">
        <v>216</v>
      </c>
      <c r="F529" t="s">
        <v>17</v>
      </c>
      <c r="G529" t="s">
        <v>18</v>
      </c>
      <c r="H529" s="3">
        <v>4</v>
      </c>
      <c r="I529" s="3">
        <v>10710</v>
      </c>
      <c r="J529" s="3">
        <v>42840</v>
      </c>
      <c r="K529" s="3">
        <v>8500</v>
      </c>
      <c r="L529" s="3">
        <v>34000</v>
      </c>
      <c r="M529" s="3">
        <v>8840</v>
      </c>
      <c r="N529" s="4">
        <v>0.20634920634920634</v>
      </c>
    </row>
    <row r="530" spans="1:14" x14ac:dyDescent="0.3">
      <c r="A530" s="6">
        <v>45695</v>
      </c>
      <c r="B530" s="1" t="s">
        <v>711</v>
      </c>
      <c r="C530" s="1" t="s">
        <v>27</v>
      </c>
      <c r="D530" t="s">
        <v>32</v>
      </c>
      <c r="E530" t="s">
        <v>415</v>
      </c>
      <c r="F530" t="s">
        <v>16</v>
      </c>
      <c r="G530" t="s">
        <v>15</v>
      </c>
      <c r="H530" s="3">
        <v>3</v>
      </c>
      <c r="I530" s="3">
        <v>47120</v>
      </c>
      <c r="J530" s="3">
        <v>141360</v>
      </c>
      <c r="K530" s="3">
        <v>38000</v>
      </c>
      <c r="L530" s="3">
        <v>114000</v>
      </c>
      <c r="M530" s="3">
        <v>27360</v>
      </c>
      <c r="N530" s="4">
        <v>0.19354838709677419</v>
      </c>
    </row>
    <row r="531" spans="1:14" x14ac:dyDescent="0.3">
      <c r="A531" s="6">
        <v>45695</v>
      </c>
      <c r="B531" s="1" t="s">
        <v>712</v>
      </c>
      <c r="C531" s="1" t="s">
        <v>28</v>
      </c>
      <c r="D531" t="s">
        <v>34</v>
      </c>
      <c r="E531" t="s">
        <v>363</v>
      </c>
      <c r="F531" t="s">
        <v>19</v>
      </c>
      <c r="G531" t="s">
        <v>20</v>
      </c>
      <c r="H531" s="3">
        <v>9</v>
      </c>
      <c r="I531" s="3">
        <v>1269</v>
      </c>
      <c r="J531" s="3">
        <v>11421</v>
      </c>
      <c r="K531" s="3">
        <v>900</v>
      </c>
      <c r="L531" s="3">
        <v>8100</v>
      </c>
      <c r="M531" s="3">
        <v>3321</v>
      </c>
      <c r="N531" s="4">
        <v>0.29078014184397161</v>
      </c>
    </row>
    <row r="532" spans="1:14" x14ac:dyDescent="0.3">
      <c r="A532" s="6">
        <v>45696</v>
      </c>
      <c r="B532" s="1" t="s">
        <v>713</v>
      </c>
      <c r="C532" s="1" t="s">
        <v>29</v>
      </c>
      <c r="D532" t="s">
        <v>32</v>
      </c>
      <c r="E532" t="s">
        <v>85</v>
      </c>
      <c r="F532" t="s">
        <v>17</v>
      </c>
      <c r="G532" t="s">
        <v>18</v>
      </c>
      <c r="H532" s="3">
        <v>8</v>
      </c>
      <c r="I532" s="3">
        <v>10370</v>
      </c>
      <c r="J532" s="3">
        <v>82960</v>
      </c>
      <c r="K532" s="3">
        <v>8500</v>
      </c>
      <c r="L532" s="3">
        <v>68000</v>
      </c>
      <c r="M532" s="3">
        <v>14960</v>
      </c>
      <c r="N532" s="4">
        <v>0.18032786885245902</v>
      </c>
    </row>
    <row r="533" spans="1:14" x14ac:dyDescent="0.3">
      <c r="A533" s="6">
        <v>45696</v>
      </c>
      <c r="B533" s="1" t="s">
        <v>714</v>
      </c>
      <c r="C533" s="1" t="s">
        <v>27</v>
      </c>
      <c r="D533" t="s">
        <v>33</v>
      </c>
      <c r="E533" t="s">
        <v>327</v>
      </c>
      <c r="F533" t="s">
        <v>19</v>
      </c>
      <c r="G533" t="s">
        <v>20</v>
      </c>
      <c r="H533" s="3">
        <v>4</v>
      </c>
      <c r="I533" s="3">
        <v>1143</v>
      </c>
      <c r="J533" s="3">
        <v>4572</v>
      </c>
      <c r="K533" s="3">
        <v>900</v>
      </c>
      <c r="L533" s="3">
        <v>3600</v>
      </c>
      <c r="M533" s="3">
        <v>972</v>
      </c>
      <c r="N533" s="4">
        <v>0.2125984251968504</v>
      </c>
    </row>
    <row r="534" spans="1:14" x14ac:dyDescent="0.3">
      <c r="A534" s="6">
        <v>45696</v>
      </c>
      <c r="B534" s="1" t="s">
        <v>715</v>
      </c>
      <c r="C534" s="1" t="s">
        <v>27</v>
      </c>
      <c r="D534" t="s">
        <v>35</v>
      </c>
      <c r="E534" t="s">
        <v>100</v>
      </c>
      <c r="F534" t="s">
        <v>16</v>
      </c>
      <c r="G534" t="s">
        <v>15</v>
      </c>
      <c r="H534" s="3">
        <v>9</v>
      </c>
      <c r="I534" s="3">
        <v>48260</v>
      </c>
      <c r="J534" s="3">
        <v>434340</v>
      </c>
      <c r="K534" s="3">
        <v>38000</v>
      </c>
      <c r="L534" s="3">
        <v>342000</v>
      </c>
      <c r="M534" s="3">
        <v>92340</v>
      </c>
      <c r="N534" s="4">
        <v>0.2125984251968504</v>
      </c>
    </row>
    <row r="535" spans="1:14" x14ac:dyDescent="0.3">
      <c r="A535" s="6">
        <v>45696</v>
      </c>
      <c r="B535" s="1" t="s">
        <v>716</v>
      </c>
      <c r="C535" s="1" t="s">
        <v>27</v>
      </c>
      <c r="D535" t="s">
        <v>30</v>
      </c>
      <c r="E535" t="s">
        <v>83</v>
      </c>
      <c r="F535" t="s">
        <v>22</v>
      </c>
      <c r="G535" t="s">
        <v>18</v>
      </c>
      <c r="H535" s="3">
        <v>3</v>
      </c>
      <c r="I535" s="3">
        <v>9800</v>
      </c>
      <c r="J535" s="3">
        <v>29400</v>
      </c>
      <c r="K535" s="3">
        <v>7000</v>
      </c>
      <c r="L535" s="3">
        <v>21000</v>
      </c>
      <c r="M535" s="3">
        <v>8400</v>
      </c>
      <c r="N535" s="4">
        <v>0.2857142857142857</v>
      </c>
    </row>
    <row r="536" spans="1:14" x14ac:dyDescent="0.3">
      <c r="A536" s="6">
        <v>45696</v>
      </c>
      <c r="B536" s="1" t="s">
        <v>717</v>
      </c>
      <c r="C536" s="1" t="s">
        <v>29</v>
      </c>
      <c r="D536" t="s">
        <v>30</v>
      </c>
      <c r="E536" t="s">
        <v>239</v>
      </c>
      <c r="F536" t="s">
        <v>24</v>
      </c>
      <c r="G536" t="s">
        <v>25</v>
      </c>
      <c r="H536" s="3">
        <v>10</v>
      </c>
      <c r="I536" s="3">
        <v>3200</v>
      </c>
      <c r="J536" s="3">
        <v>32000</v>
      </c>
      <c r="K536" s="3">
        <v>2500</v>
      </c>
      <c r="L536" s="3">
        <v>25000</v>
      </c>
      <c r="M536" s="3">
        <v>7000</v>
      </c>
      <c r="N536" s="4">
        <v>0.21875</v>
      </c>
    </row>
    <row r="537" spans="1:14" x14ac:dyDescent="0.3">
      <c r="A537" s="6">
        <v>45696</v>
      </c>
      <c r="B537" s="1" t="s">
        <v>718</v>
      </c>
      <c r="C537" s="1" t="s">
        <v>27</v>
      </c>
      <c r="D537" t="s">
        <v>33</v>
      </c>
      <c r="E537" t="s">
        <v>63</v>
      </c>
      <c r="F537" t="s">
        <v>14</v>
      </c>
      <c r="G537" t="s">
        <v>15</v>
      </c>
      <c r="H537" s="3">
        <v>1</v>
      </c>
      <c r="I537" s="3">
        <v>60750.000000000007</v>
      </c>
      <c r="J537" s="3">
        <v>60750.000000000007</v>
      </c>
      <c r="K537" s="3">
        <v>45000</v>
      </c>
      <c r="L537" s="3">
        <v>45000</v>
      </c>
      <c r="M537" s="3">
        <v>15750.000000000007</v>
      </c>
      <c r="N537" s="4">
        <v>0.25925925925925936</v>
      </c>
    </row>
    <row r="538" spans="1:14" x14ac:dyDescent="0.3">
      <c r="A538" s="6">
        <v>45696</v>
      </c>
      <c r="B538" s="1" t="s">
        <v>719</v>
      </c>
      <c r="C538" s="1" t="s">
        <v>28</v>
      </c>
      <c r="D538" t="s">
        <v>30</v>
      </c>
      <c r="E538" t="s">
        <v>98</v>
      </c>
      <c r="F538" t="s">
        <v>21</v>
      </c>
      <c r="G538" t="s">
        <v>20</v>
      </c>
      <c r="H538" s="3">
        <v>8</v>
      </c>
      <c r="I538" s="3">
        <v>762</v>
      </c>
      <c r="J538" s="3">
        <v>6096</v>
      </c>
      <c r="K538" s="3">
        <v>600</v>
      </c>
      <c r="L538" s="3">
        <v>4800</v>
      </c>
      <c r="M538" s="3">
        <v>1296</v>
      </c>
      <c r="N538" s="4">
        <v>0.2125984251968504</v>
      </c>
    </row>
    <row r="539" spans="1:14" x14ac:dyDescent="0.3">
      <c r="A539" s="6">
        <v>45696</v>
      </c>
      <c r="B539" s="1" t="s">
        <v>720</v>
      </c>
      <c r="C539" s="1" t="s">
        <v>29</v>
      </c>
      <c r="D539" t="s">
        <v>32</v>
      </c>
      <c r="E539" t="s">
        <v>92</v>
      </c>
      <c r="F539" t="s">
        <v>24</v>
      </c>
      <c r="G539" t="s">
        <v>25</v>
      </c>
      <c r="H539" s="3">
        <v>6</v>
      </c>
      <c r="I539" s="3">
        <v>3475.0000000000005</v>
      </c>
      <c r="J539" s="3">
        <v>20850.000000000004</v>
      </c>
      <c r="K539" s="3">
        <v>2500</v>
      </c>
      <c r="L539" s="3">
        <v>15000</v>
      </c>
      <c r="M539" s="3">
        <v>5850.0000000000036</v>
      </c>
      <c r="N539" s="4">
        <v>0.28057553956834547</v>
      </c>
    </row>
    <row r="540" spans="1:14" x14ac:dyDescent="0.3">
      <c r="A540" s="6">
        <v>45696</v>
      </c>
      <c r="B540" s="1" t="s">
        <v>721</v>
      </c>
      <c r="C540" s="1" t="s">
        <v>28</v>
      </c>
      <c r="D540" t="s">
        <v>30</v>
      </c>
      <c r="E540" t="s">
        <v>120</v>
      </c>
      <c r="F540" t="s">
        <v>22</v>
      </c>
      <c r="G540" t="s">
        <v>18</v>
      </c>
      <c r="H540" s="3">
        <v>7</v>
      </c>
      <c r="I540" s="3">
        <v>8680</v>
      </c>
      <c r="J540" s="3">
        <v>60760</v>
      </c>
      <c r="K540" s="3">
        <v>7000</v>
      </c>
      <c r="L540" s="3">
        <v>49000</v>
      </c>
      <c r="M540" s="3">
        <v>11760</v>
      </c>
      <c r="N540" s="4">
        <v>0.19354838709677419</v>
      </c>
    </row>
    <row r="541" spans="1:14" x14ac:dyDescent="0.3">
      <c r="A541" s="6">
        <v>45696</v>
      </c>
      <c r="B541" s="1" t="s">
        <v>722</v>
      </c>
      <c r="C541" s="1" t="s">
        <v>27</v>
      </c>
      <c r="D541" t="s">
        <v>33</v>
      </c>
      <c r="E541" t="s">
        <v>415</v>
      </c>
      <c r="F541" t="s">
        <v>16</v>
      </c>
      <c r="G541" t="s">
        <v>15</v>
      </c>
      <c r="H541" s="3">
        <v>5</v>
      </c>
      <c r="I541" s="3">
        <v>49400</v>
      </c>
      <c r="J541" s="3">
        <v>247000</v>
      </c>
      <c r="K541" s="3">
        <v>38000</v>
      </c>
      <c r="L541" s="3">
        <v>190000</v>
      </c>
      <c r="M541" s="3">
        <v>57000</v>
      </c>
      <c r="N541" s="4">
        <v>0.23076923076923078</v>
      </c>
    </row>
    <row r="542" spans="1:14" x14ac:dyDescent="0.3">
      <c r="A542" s="6">
        <v>45696</v>
      </c>
      <c r="B542" s="1" t="s">
        <v>723</v>
      </c>
      <c r="C542" s="1" t="s">
        <v>27</v>
      </c>
      <c r="D542" t="s">
        <v>31</v>
      </c>
      <c r="E542" t="s">
        <v>361</v>
      </c>
      <c r="F542" t="s">
        <v>24</v>
      </c>
      <c r="G542" t="s">
        <v>25</v>
      </c>
      <c r="H542" s="3">
        <v>9</v>
      </c>
      <c r="I542" s="3">
        <v>3600</v>
      </c>
      <c r="J542" s="3">
        <v>32400</v>
      </c>
      <c r="K542" s="3">
        <v>2500</v>
      </c>
      <c r="L542" s="3">
        <v>22500</v>
      </c>
      <c r="M542" s="3">
        <v>9900</v>
      </c>
      <c r="N542" s="4">
        <v>0.30555555555555558</v>
      </c>
    </row>
    <row r="543" spans="1:14" x14ac:dyDescent="0.3">
      <c r="A543" s="6">
        <v>45696</v>
      </c>
      <c r="B543" s="1" t="s">
        <v>724</v>
      </c>
      <c r="C543" s="1" t="s">
        <v>26</v>
      </c>
      <c r="D543" t="s">
        <v>35</v>
      </c>
      <c r="E543" t="s">
        <v>153</v>
      </c>
      <c r="F543" t="s">
        <v>22</v>
      </c>
      <c r="G543" t="s">
        <v>18</v>
      </c>
      <c r="H543" s="3">
        <v>4</v>
      </c>
      <c r="I543" s="3">
        <v>8540</v>
      </c>
      <c r="J543" s="3">
        <v>34160</v>
      </c>
      <c r="K543" s="3">
        <v>7000</v>
      </c>
      <c r="L543" s="3">
        <v>28000</v>
      </c>
      <c r="M543" s="3">
        <v>6160</v>
      </c>
      <c r="N543" s="4">
        <v>0.18032786885245902</v>
      </c>
    </row>
    <row r="544" spans="1:14" x14ac:dyDescent="0.3">
      <c r="A544" s="6">
        <v>45696</v>
      </c>
      <c r="B544" s="1" t="s">
        <v>725</v>
      </c>
      <c r="C544" s="1" t="s">
        <v>28</v>
      </c>
      <c r="D544" t="s">
        <v>31</v>
      </c>
      <c r="E544" t="s">
        <v>112</v>
      </c>
      <c r="F544" t="s">
        <v>19</v>
      </c>
      <c r="G544" t="s">
        <v>20</v>
      </c>
      <c r="H544" s="3">
        <v>8</v>
      </c>
      <c r="I544" s="3">
        <v>1296</v>
      </c>
      <c r="J544" s="3">
        <v>10368</v>
      </c>
      <c r="K544" s="3">
        <v>900</v>
      </c>
      <c r="L544" s="3">
        <v>7200</v>
      </c>
      <c r="M544" s="3">
        <v>3168</v>
      </c>
      <c r="N544" s="4">
        <v>0.30555555555555558</v>
      </c>
    </row>
    <row r="545" spans="1:14" x14ac:dyDescent="0.3">
      <c r="A545" s="6">
        <v>45696</v>
      </c>
      <c r="B545" s="1" t="s">
        <v>726</v>
      </c>
      <c r="C545" s="1" t="s">
        <v>26</v>
      </c>
      <c r="D545" t="s">
        <v>33</v>
      </c>
      <c r="E545" t="s">
        <v>112</v>
      </c>
      <c r="F545" t="s">
        <v>21</v>
      </c>
      <c r="G545" t="s">
        <v>20</v>
      </c>
      <c r="H545" s="3">
        <v>9</v>
      </c>
      <c r="I545" s="3">
        <v>780</v>
      </c>
      <c r="J545" s="3">
        <v>7020</v>
      </c>
      <c r="K545" s="3">
        <v>600</v>
      </c>
      <c r="L545" s="3">
        <v>5400</v>
      </c>
      <c r="M545" s="3">
        <v>1620</v>
      </c>
      <c r="N545" s="4">
        <v>0.23076923076923078</v>
      </c>
    </row>
    <row r="546" spans="1:14" x14ac:dyDescent="0.3">
      <c r="A546" s="6">
        <v>45697</v>
      </c>
      <c r="B546" s="1" t="s">
        <v>727</v>
      </c>
      <c r="C546" s="1" t="s">
        <v>27</v>
      </c>
      <c r="D546" t="s">
        <v>33</v>
      </c>
      <c r="E546" t="s">
        <v>85</v>
      </c>
      <c r="F546" t="s">
        <v>22</v>
      </c>
      <c r="G546" t="s">
        <v>18</v>
      </c>
      <c r="H546" s="3">
        <v>10</v>
      </c>
      <c r="I546" s="3">
        <v>9450</v>
      </c>
      <c r="J546" s="3">
        <v>94500</v>
      </c>
      <c r="K546" s="3">
        <v>7000</v>
      </c>
      <c r="L546" s="3">
        <v>70000</v>
      </c>
      <c r="M546" s="3">
        <v>24500</v>
      </c>
      <c r="N546" s="4">
        <v>0.25925925925925924</v>
      </c>
    </row>
    <row r="547" spans="1:14" x14ac:dyDescent="0.3">
      <c r="A547" s="6">
        <v>45697</v>
      </c>
      <c r="B547" s="1" t="s">
        <v>728</v>
      </c>
      <c r="C547" s="1" t="s">
        <v>28</v>
      </c>
      <c r="D547" t="s">
        <v>33</v>
      </c>
      <c r="E547" t="s">
        <v>369</v>
      </c>
      <c r="F547" t="s">
        <v>19</v>
      </c>
      <c r="G547" t="s">
        <v>20</v>
      </c>
      <c r="H547" s="3">
        <v>8</v>
      </c>
      <c r="I547" s="3">
        <v>1107</v>
      </c>
      <c r="J547" s="3">
        <v>8856</v>
      </c>
      <c r="K547" s="3">
        <v>900</v>
      </c>
      <c r="L547" s="3">
        <v>7200</v>
      </c>
      <c r="M547" s="3">
        <v>1656</v>
      </c>
      <c r="N547" s="4">
        <v>0.18699186991869918</v>
      </c>
    </row>
    <row r="548" spans="1:14" x14ac:dyDescent="0.3">
      <c r="A548" s="6">
        <v>45697</v>
      </c>
      <c r="B548" s="1" t="s">
        <v>729</v>
      </c>
      <c r="C548" s="1" t="s">
        <v>28</v>
      </c>
      <c r="D548" t="s">
        <v>34</v>
      </c>
      <c r="E548" t="s">
        <v>134</v>
      </c>
      <c r="F548" t="s">
        <v>19</v>
      </c>
      <c r="G548" t="s">
        <v>20</v>
      </c>
      <c r="H548" s="3">
        <v>2</v>
      </c>
      <c r="I548" s="3">
        <v>1161</v>
      </c>
      <c r="J548" s="3">
        <v>2322</v>
      </c>
      <c r="K548" s="3">
        <v>900</v>
      </c>
      <c r="L548" s="3">
        <v>1800</v>
      </c>
      <c r="M548" s="3">
        <v>522</v>
      </c>
      <c r="N548" s="4">
        <v>0.22480620155038761</v>
      </c>
    </row>
    <row r="549" spans="1:14" x14ac:dyDescent="0.3">
      <c r="A549" s="6">
        <v>45697</v>
      </c>
      <c r="B549" s="1" t="s">
        <v>730</v>
      </c>
      <c r="C549" s="1" t="s">
        <v>26</v>
      </c>
      <c r="D549" t="s">
        <v>31</v>
      </c>
      <c r="E549" t="s">
        <v>88</v>
      </c>
      <c r="F549" t="s">
        <v>19</v>
      </c>
      <c r="G549" t="s">
        <v>20</v>
      </c>
      <c r="H549" s="3">
        <v>5</v>
      </c>
      <c r="I549" s="3">
        <v>1161</v>
      </c>
      <c r="J549" s="3">
        <v>5805</v>
      </c>
      <c r="K549" s="3">
        <v>900</v>
      </c>
      <c r="L549" s="3">
        <v>4500</v>
      </c>
      <c r="M549" s="3">
        <v>1305</v>
      </c>
      <c r="N549" s="4">
        <v>0.22480620155038761</v>
      </c>
    </row>
    <row r="550" spans="1:14" x14ac:dyDescent="0.3">
      <c r="A550" s="6">
        <v>45697</v>
      </c>
      <c r="B550" s="1" t="s">
        <v>731</v>
      </c>
      <c r="C550" s="1" t="s">
        <v>28</v>
      </c>
      <c r="D550" t="s">
        <v>35</v>
      </c>
      <c r="E550" t="s">
        <v>63</v>
      </c>
      <c r="F550" t="s">
        <v>19</v>
      </c>
      <c r="G550" t="s">
        <v>20</v>
      </c>
      <c r="H550" s="3">
        <v>10</v>
      </c>
      <c r="I550" s="3">
        <v>1260</v>
      </c>
      <c r="J550" s="3">
        <v>12600</v>
      </c>
      <c r="K550" s="3">
        <v>900</v>
      </c>
      <c r="L550" s="3">
        <v>9000</v>
      </c>
      <c r="M550" s="3">
        <v>3600</v>
      </c>
      <c r="N550" s="4">
        <v>0.2857142857142857</v>
      </c>
    </row>
    <row r="551" spans="1:14" x14ac:dyDescent="0.3">
      <c r="A551" s="6">
        <v>45697</v>
      </c>
      <c r="B551" s="1" t="s">
        <v>732</v>
      </c>
      <c r="C551" s="1" t="s">
        <v>29</v>
      </c>
      <c r="D551" t="s">
        <v>31</v>
      </c>
      <c r="E551" t="s">
        <v>155</v>
      </c>
      <c r="F551" t="s">
        <v>22</v>
      </c>
      <c r="G551" t="s">
        <v>18</v>
      </c>
      <c r="H551" s="3">
        <v>7</v>
      </c>
      <c r="I551" s="3">
        <v>8680</v>
      </c>
      <c r="J551" s="3">
        <v>60760</v>
      </c>
      <c r="K551" s="3">
        <v>7000</v>
      </c>
      <c r="L551" s="3">
        <v>49000</v>
      </c>
      <c r="M551" s="3">
        <v>11760</v>
      </c>
      <c r="N551" s="4">
        <v>0.19354838709677419</v>
      </c>
    </row>
    <row r="552" spans="1:14" x14ac:dyDescent="0.3">
      <c r="A552" s="6">
        <v>45697</v>
      </c>
      <c r="B552" s="1" t="s">
        <v>733</v>
      </c>
      <c r="C552" s="1" t="s">
        <v>26</v>
      </c>
      <c r="D552" t="s">
        <v>35</v>
      </c>
      <c r="E552" t="s">
        <v>351</v>
      </c>
      <c r="F552" t="s">
        <v>22</v>
      </c>
      <c r="G552" t="s">
        <v>18</v>
      </c>
      <c r="H552" s="3">
        <v>7</v>
      </c>
      <c r="I552" s="3">
        <v>8470</v>
      </c>
      <c r="J552" s="3">
        <v>59290</v>
      </c>
      <c r="K552" s="3">
        <v>7000</v>
      </c>
      <c r="L552" s="3">
        <v>49000</v>
      </c>
      <c r="M552" s="3">
        <v>10290</v>
      </c>
      <c r="N552" s="4">
        <v>0.17355371900826447</v>
      </c>
    </row>
    <row r="553" spans="1:14" x14ac:dyDescent="0.3">
      <c r="A553" s="6">
        <v>45697</v>
      </c>
      <c r="B553" s="1" t="s">
        <v>734</v>
      </c>
      <c r="C553" s="1" t="s">
        <v>26</v>
      </c>
      <c r="D553" t="s">
        <v>30</v>
      </c>
      <c r="E553" t="s">
        <v>220</v>
      </c>
      <c r="F553" t="s">
        <v>19</v>
      </c>
      <c r="G553" t="s">
        <v>20</v>
      </c>
      <c r="H553" s="3">
        <v>6</v>
      </c>
      <c r="I553" s="3">
        <v>1080</v>
      </c>
      <c r="J553" s="3">
        <v>6480</v>
      </c>
      <c r="K553" s="3">
        <v>900</v>
      </c>
      <c r="L553" s="3">
        <v>5400</v>
      </c>
      <c r="M553" s="3">
        <v>1080</v>
      </c>
      <c r="N553" s="4">
        <v>0.16666666666666666</v>
      </c>
    </row>
    <row r="554" spans="1:14" x14ac:dyDescent="0.3">
      <c r="A554" s="6">
        <v>45697</v>
      </c>
      <c r="B554" s="1" t="s">
        <v>735</v>
      </c>
      <c r="C554" s="1" t="s">
        <v>26</v>
      </c>
      <c r="D554" t="s">
        <v>34</v>
      </c>
      <c r="E554" t="s">
        <v>361</v>
      </c>
      <c r="F554" t="s">
        <v>16</v>
      </c>
      <c r="G554" t="s">
        <v>15</v>
      </c>
      <c r="H554" s="3">
        <v>2</v>
      </c>
      <c r="I554" s="3">
        <v>49020</v>
      </c>
      <c r="J554" s="3">
        <v>98040</v>
      </c>
      <c r="K554" s="3">
        <v>38000</v>
      </c>
      <c r="L554" s="3">
        <v>76000</v>
      </c>
      <c r="M554" s="3">
        <v>22040</v>
      </c>
      <c r="N554" s="4">
        <v>0.22480620155038761</v>
      </c>
    </row>
    <row r="555" spans="1:14" x14ac:dyDescent="0.3">
      <c r="A555" s="6">
        <v>45697</v>
      </c>
      <c r="B555" s="1" t="s">
        <v>736</v>
      </c>
      <c r="C555" s="1" t="s">
        <v>29</v>
      </c>
      <c r="D555" t="s">
        <v>35</v>
      </c>
      <c r="E555" t="s">
        <v>292</v>
      </c>
      <c r="F555" t="s">
        <v>14</v>
      </c>
      <c r="G555" t="s">
        <v>15</v>
      </c>
      <c r="H555" s="3">
        <v>7</v>
      </c>
      <c r="I555" s="3">
        <v>57600</v>
      </c>
      <c r="J555" s="3">
        <v>403200</v>
      </c>
      <c r="K555" s="3">
        <v>45000</v>
      </c>
      <c r="L555" s="3">
        <v>315000</v>
      </c>
      <c r="M555" s="3">
        <v>88200</v>
      </c>
      <c r="N555" s="4">
        <v>0.21875</v>
      </c>
    </row>
    <row r="556" spans="1:14" x14ac:dyDescent="0.3">
      <c r="A556" s="6">
        <v>45697</v>
      </c>
      <c r="B556" s="1" t="s">
        <v>737</v>
      </c>
      <c r="C556" s="1" t="s">
        <v>28</v>
      </c>
      <c r="D556" t="s">
        <v>35</v>
      </c>
      <c r="E556" t="s">
        <v>78</v>
      </c>
      <c r="F556" t="s">
        <v>14</v>
      </c>
      <c r="G556" t="s">
        <v>15</v>
      </c>
      <c r="H556" s="3">
        <v>6</v>
      </c>
      <c r="I556" s="3">
        <v>58950</v>
      </c>
      <c r="J556" s="3">
        <v>353700</v>
      </c>
      <c r="K556" s="3">
        <v>45000</v>
      </c>
      <c r="L556" s="3">
        <v>270000</v>
      </c>
      <c r="M556" s="3">
        <v>83700</v>
      </c>
      <c r="N556" s="4">
        <v>0.23664122137404581</v>
      </c>
    </row>
    <row r="557" spans="1:14" x14ac:dyDescent="0.3">
      <c r="A557" s="6">
        <v>45697</v>
      </c>
      <c r="B557" s="1" t="s">
        <v>738</v>
      </c>
      <c r="C557" s="1" t="s">
        <v>26</v>
      </c>
      <c r="D557" t="s">
        <v>31</v>
      </c>
      <c r="E557" t="s">
        <v>159</v>
      </c>
      <c r="F557" t="s">
        <v>16</v>
      </c>
      <c r="G557" t="s">
        <v>15</v>
      </c>
      <c r="H557" s="3">
        <v>4</v>
      </c>
      <c r="I557" s="3">
        <v>52820.000000000007</v>
      </c>
      <c r="J557" s="3">
        <v>211280.00000000003</v>
      </c>
      <c r="K557" s="3">
        <v>38000</v>
      </c>
      <c r="L557" s="3">
        <v>152000</v>
      </c>
      <c r="M557" s="3">
        <v>59280.000000000029</v>
      </c>
      <c r="N557" s="4">
        <v>0.28057553956834541</v>
      </c>
    </row>
    <row r="558" spans="1:14" x14ac:dyDescent="0.3">
      <c r="A558" s="6">
        <v>45697</v>
      </c>
      <c r="B558" s="1" t="s">
        <v>739</v>
      </c>
      <c r="C558" s="1" t="s">
        <v>29</v>
      </c>
      <c r="D558" t="s">
        <v>33</v>
      </c>
      <c r="E558" t="s">
        <v>222</v>
      </c>
      <c r="F558" t="s">
        <v>23</v>
      </c>
      <c r="G558" t="s">
        <v>25</v>
      </c>
      <c r="H558" s="3">
        <v>4</v>
      </c>
      <c r="I558" s="3">
        <v>4608</v>
      </c>
      <c r="J558" s="3">
        <v>18432</v>
      </c>
      <c r="K558" s="3">
        <v>3200</v>
      </c>
      <c r="L558" s="3">
        <v>12800</v>
      </c>
      <c r="M558" s="3">
        <v>5632</v>
      </c>
      <c r="N558" s="4">
        <v>0.30555555555555558</v>
      </c>
    </row>
    <row r="559" spans="1:14" x14ac:dyDescent="0.3">
      <c r="A559" s="6">
        <v>45697</v>
      </c>
      <c r="B559" s="1" t="s">
        <v>740</v>
      </c>
      <c r="C559" s="1" t="s">
        <v>27</v>
      </c>
      <c r="D559" t="s">
        <v>35</v>
      </c>
      <c r="E559" t="s">
        <v>112</v>
      </c>
      <c r="F559" t="s">
        <v>19</v>
      </c>
      <c r="G559" t="s">
        <v>20</v>
      </c>
      <c r="H559" s="3">
        <v>2</v>
      </c>
      <c r="I559" s="3">
        <v>1233</v>
      </c>
      <c r="J559" s="3">
        <v>2466</v>
      </c>
      <c r="K559" s="3">
        <v>900</v>
      </c>
      <c r="L559" s="3">
        <v>1800</v>
      </c>
      <c r="M559" s="3">
        <v>666</v>
      </c>
      <c r="N559" s="4">
        <v>0.27007299270072993</v>
      </c>
    </row>
    <row r="560" spans="1:14" x14ac:dyDescent="0.3">
      <c r="A560" s="6">
        <v>45698</v>
      </c>
      <c r="B560" s="1" t="s">
        <v>741</v>
      </c>
      <c r="C560" s="1" t="s">
        <v>27</v>
      </c>
      <c r="D560" t="s">
        <v>30</v>
      </c>
      <c r="E560" t="s">
        <v>521</v>
      </c>
      <c r="F560" t="s">
        <v>19</v>
      </c>
      <c r="G560" t="s">
        <v>20</v>
      </c>
      <c r="H560" s="3">
        <v>10</v>
      </c>
      <c r="I560" s="3">
        <v>1233</v>
      </c>
      <c r="J560" s="3">
        <v>12330</v>
      </c>
      <c r="K560" s="3">
        <v>900</v>
      </c>
      <c r="L560" s="3">
        <v>9000</v>
      </c>
      <c r="M560" s="3">
        <v>3330</v>
      </c>
      <c r="N560" s="4">
        <v>0.27007299270072993</v>
      </c>
    </row>
    <row r="561" spans="1:14" x14ac:dyDescent="0.3">
      <c r="A561" s="6">
        <v>45698</v>
      </c>
      <c r="B561" s="1" t="s">
        <v>742</v>
      </c>
      <c r="C561" s="1" t="s">
        <v>28</v>
      </c>
      <c r="D561" t="s">
        <v>33</v>
      </c>
      <c r="E561" t="s">
        <v>698</v>
      </c>
      <c r="F561" t="s">
        <v>16</v>
      </c>
      <c r="G561" t="s">
        <v>15</v>
      </c>
      <c r="H561" s="3">
        <v>6</v>
      </c>
      <c r="I561" s="3">
        <v>52060.000000000007</v>
      </c>
      <c r="J561" s="3">
        <v>312360.00000000006</v>
      </c>
      <c r="K561" s="3">
        <v>38000</v>
      </c>
      <c r="L561" s="3">
        <v>228000</v>
      </c>
      <c r="M561" s="3">
        <v>84360.000000000058</v>
      </c>
      <c r="N561" s="4">
        <v>0.27007299270073004</v>
      </c>
    </row>
    <row r="562" spans="1:14" x14ac:dyDescent="0.3">
      <c r="A562" s="6">
        <v>45698</v>
      </c>
      <c r="B562" s="1" t="s">
        <v>743</v>
      </c>
      <c r="C562" s="1" t="s">
        <v>28</v>
      </c>
      <c r="D562" t="s">
        <v>35</v>
      </c>
      <c r="E562" t="s">
        <v>147</v>
      </c>
      <c r="F562" t="s">
        <v>16</v>
      </c>
      <c r="G562" t="s">
        <v>15</v>
      </c>
      <c r="H562" s="3">
        <v>3</v>
      </c>
      <c r="I562" s="3">
        <v>54720</v>
      </c>
      <c r="J562" s="3">
        <v>164160</v>
      </c>
      <c r="K562" s="3">
        <v>38000</v>
      </c>
      <c r="L562" s="3">
        <v>114000</v>
      </c>
      <c r="M562" s="3">
        <v>50160</v>
      </c>
      <c r="N562" s="4">
        <v>0.30555555555555558</v>
      </c>
    </row>
    <row r="563" spans="1:14" x14ac:dyDescent="0.3">
      <c r="A563" s="6">
        <v>45698</v>
      </c>
      <c r="B563" s="1" t="s">
        <v>744</v>
      </c>
      <c r="C563" s="1" t="s">
        <v>26</v>
      </c>
      <c r="D563" t="s">
        <v>32</v>
      </c>
      <c r="E563" t="s">
        <v>249</v>
      </c>
      <c r="F563" t="s">
        <v>23</v>
      </c>
      <c r="G563" t="s">
        <v>25</v>
      </c>
      <c r="H563" s="3">
        <v>4</v>
      </c>
      <c r="I563" s="3">
        <v>4448</v>
      </c>
      <c r="J563" s="3">
        <v>17792</v>
      </c>
      <c r="K563" s="3">
        <v>3200</v>
      </c>
      <c r="L563" s="3">
        <v>12800</v>
      </c>
      <c r="M563" s="3">
        <v>4992</v>
      </c>
      <c r="N563" s="4">
        <v>0.2805755395683453</v>
      </c>
    </row>
    <row r="564" spans="1:14" x14ac:dyDescent="0.3">
      <c r="A564" s="6">
        <v>45698</v>
      </c>
      <c r="B564" s="1" t="s">
        <v>745</v>
      </c>
      <c r="C564" s="1" t="s">
        <v>27</v>
      </c>
      <c r="D564" t="s">
        <v>30</v>
      </c>
      <c r="E564" t="s">
        <v>94</v>
      </c>
      <c r="F564" t="s">
        <v>21</v>
      </c>
      <c r="G564" t="s">
        <v>20</v>
      </c>
      <c r="H564" s="3">
        <v>3</v>
      </c>
      <c r="I564" s="3">
        <v>846</v>
      </c>
      <c r="J564" s="3">
        <v>2538</v>
      </c>
      <c r="K564" s="3">
        <v>600</v>
      </c>
      <c r="L564" s="3">
        <v>1800</v>
      </c>
      <c r="M564" s="3">
        <v>738</v>
      </c>
      <c r="N564" s="4">
        <v>0.29078014184397161</v>
      </c>
    </row>
    <row r="565" spans="1:14" x14ac:dyDescent="0.3">
      <c r="A565" s="6">
        <v>45698</v>
      </c>
      <c r="B565" s="1" t="s">
        <v>746</v>
      </c>
      <c r="C565" s="1" t="s">
        <v>27</v>
      </c>
      <c r="D565" t="s">
        <v>34</v>
      </c>
      <c r="E565" t="s">
        <v>53</v>
      </c>
      <c r="F565" t="s">
        <v>19</v>
      </c>
      <c r="G565" t="s">
        <v>20</v>
      </c>
      <c r="H565" s="3">
        <v>9</v>
      </c>
      <c r="I565" s="3">
        <v>1269</v>
      </c>
      <c r="J565" s="3">
        <v>11421</v>
      </c>
      <c r="K565" s="3">
        <v>900</v>
      </c>
      <c r="L565" s="3">
        <v>8100</v>
      </c>
      <c r="M565" s="3">
        <v>3321</v>
      </c>
      <c r="N565" s="4">
        <v>0.29078014184397161</v>
      </c>
    </row>
    <row r="566" spans="1:14" x14ac:dyDescent="0.3">
      <c r="A566" s="6">
        <v>45698</v>
      </c>
      <c r="B566" s="1" t="s">
        <v>747</v>
      </c>
      <c r="C566" s="1" t="s">
        <v>27</v>
      </c>
      <c r="D566" t="s">
        <v>33</v>
      </c>
      <c r="E566" t="s">
        <v>198</v>
      </c>
      <c r="F566" t="s">
        <v>23</v>
      </c>
      <c r="G566" t="s">
        <v>25</v>
      </c>
      <c r="H566" s="3">
        <v>4</v>
      </c>
      <c r="I566" s="3">
        <v>3840</v>
      </c>
      <c r="J566" s="3">
        <v>15360</v>
      </c>
      <c r="K566" s="3">
        <v>3200</v>
      </c>
      <c r="L566" s="3">
        <v>12800</v>
      </c>
      <c r="M566" s="3">
        <v>2560</v>
      </c>
      <c r="N566" s="4">
        <v>0.16666666666666666</v>
      </c>
    </row>
    <row r="567" spans="1:14" x14ac:dyDescent="0.3">
      <c r="A567" s="6">
        <v>45698</v>
      </c>
      <c r="B567" s="1" t="s">
        <v>748</v>
      </c>
      <c r="C567" s="1" t="s">
        <v>27</v>
      </c>
      <c r="D567" t="s">
        <v>32</v>
      </c>
      <c r="E567" t="s">
        <v>55</v>
      </c>
      <c r="F567" t="s">
        <v>19</v>
      </c>
      <c r="G567" t="s">
        <v>20</v>
      </c>
      <c r="H567" s="3">
        <v>9</v>
      </c>
      <c r="I567" s="3">
        <v>1260</v>
      </c>
      <c r="J567" s="3">
        <v>11340</v>
      </c>
      <c r="K567" s="3">
        <v>900</v>
      </c>
      <c r="L567" s="3">
        <v>8100</v>
      </c>
      <c r="M567" s="3">
        <v>3240</v>
      </c>
      <c r="N567" s="4">
        <v>0.2857142857142857</v>
      </c>
    </row>
    <row r="568" spans="1:14" x14ac:dyDescent="0.3">
      <c r="A568" s="6">
        <v>45698</v>
      </c>
      <c r="B568" s="1" t="s">
        <v>749</v>
      </c>
      <c r="C568" s="1" t="s">
        <v>28</v>
      </c>
      <c r="D568" t="s">
        <v>30</v>
      </c>
      <c r="E568" t="s">
        <v>233</v>
      </c>
      <c r="F568" t="s">
        <v>14</v>
      </c>
      <c r="G568" t="s">
        <v>15</v>
      </c>
      <c r="H568" s="3">
        <v>4</v>
      </c>
      <c r="I568" s="3">
        <v>62550.000000000007</v>
      </c>
      <c r="J568" s="3">
        <v>250200.00000000003</v>
      </c>
      <c r="K568" s="3">
        <v>45000</v>
      </c>
      <c r="L568" s="3">
        <v>180000</v>
      </c>
      <c r="M568" s="3">
        <v>70200.000000000029</v>
      </c>
      <c r="N568" s="4">
        <v>0.28057553956834541</v>
      </c>
    </row>
    <row r="569" spans="1:14" x14ac:dyDescent="0.3">
      <c r="A569" s="6">
        <v>45698</v>
      </c>
      <c r="B569" s="1" t="s">
        <v>750</v>
      </c>
      <c r="C569" s="1" t="s">
        <v>29</v>
      </c>
      <c r="D569" t="s">
        <v>33</v>
      </c>
      <c r="E569" t="s">
        <v>180</v>
      </c>
      <c r="F569" t="s">
        <v>22</v>
      </c>
      <c r="G569" t="s">
        <v>18</v>
      </c>
      <c r="H569" s="3">
        <v>2</v>
      </c>
      <c r="I569" s="3">
        <v>8750</v>
      </c>
      <c r="J569" s="3">
        <v>17500</v>
      </c>
      <c r="K569" s="3">
        <v>7000</v>
      </c>
      <c r="L569" s="3">
        <v>14000</v>
      </c>
      <c r="M569" s="3">
        <v>3500</v>
      </c>
      <c r="N569" s="4">
        <v>0.2</v>
      </c>
    </row>
    <row r="570" spans="1:14" x14ac:dyDescent="0.3">
      <c r="A570" s="6">
        <v>45698</v>
      </c>
      <c r="B570" s="1" t="s">
        <v>752</v>
      </c>
      <c r="C570" s="1" t="s">
        <v>27</v>
      </c>
      <c r="D570" t="s">
        <v>30</v>
      </c>
      <c r="E570" t="s">
        <v>53</v>
      </c>
      <c r="F570" t="s">
        <v>19</v>
      </c>
      <c r="G570" t="s">
        <v>20</v>
      </c>
      <c r="H570" s="3">
        <v>3</v>
      </c>
      <c r="I570" s="3">
        <v>1098</v>
      </c>
      <c r="J570" s="3">
        <v>3294</v>
      </c>
      <c r="K570" s="3">
        <v>900</v>
      </c>
      <c r="L570" s="3">
        <v>2700</v>
      </c>
      <c r="M570" s="3">
        <v>594</v>
      </c>
      <c r="N570" s="4">
        <v>0.18032786885245902</v>
      </c>
    </row>
    <row r="571" spans="1:14" x14ac:dyDescent="0.3">
      <c r="A571" s="6">
        <v>45698</v>
      </c>
      <c r="B571" s="1" t="s">
        <v>753</v>
      </c>
      <c r="C571" s="1" t="s">
        <v>29</v>
      </c>
      <c r="D571" t="s">
        <v>33</v>
      </c>
      <c r="E571" t="s">
        <v>379</v>
      </c>
      <c r="F571" t="s">
        <v>22</v>
      </c>
      <c r="G571" t="s">
        <v>18</v>
      </c>
      <c r="H571" s="3">
        <v>10</v>
      </c>
      <c r="I571" s="3">
        <v>9800</v>
      </c>
      <c r="J571" s="3">
        <v>98000</v>
      </c>
      <c r="K571" s="3">
        <v>7000</v>
      </c>
      <c r="L571" s="3">
        <v>70000</v>
      </c>
      <c r="M571" s="3">
        <v>28000</v>
      </c>
      <c r="N571" s="4">
        <v>0.2857142857142857</v>
      </c>
    </row>
    <row r="572" spans="1:14" x14ac:dyDescent="0.3">
      <c r="A572" s="6">
        <v>45698</v>
      </c>
      <c r="B572" s="1" t="s">
        <v>754</v>
      </c>
      <c r="C572" s="1" t="s">
        <v>26</v>
      </c>
      <c r="D572" t="s">
        <v>35</v>
      </c>
      <c r="E572" t="s">
        <v>388</v>
      </c>
      <c r="F572" t="s">
        <v>16</v>
      </c>
      <c r="G572" t="s">
        <v>15</v>
      </c>
      <c r="H572" s="3">
        <v>6</v>
      </c>
      <c r="I572" s="3">
        <v>49400</v>
      </c>
      <c r="J572" s="3">
        <v>296400</v>
      </c>
      <c r="K572" s="3">
        <v>38000</v>
      </c>
      <c r="L572" s="3">
        <v>228000</v>
      </c>
      <c r="M572" s="3">
        <v>68400</v>
      </c>
      <c r="N572" s="4">
        <v>0.23076923076923078</v>
      </c>
    </row>
    <row r="573" spans="1:14" x14ac:dyDescent="0.3">
      <c r="A573" s="6">
        <v>45698</v>
      </c>
      <c r="B573" s="1" t="s">
        <v>755</v>
      </c>
      <c r="C573" s="1" t="s">
        <v>26</v>
      </c>
      <c r="D573" t="s">
        <v>32</v>
      </c>
      <c r="E573" t="s">
        <v>51</v>
      </c>
      <c r="F573" t="s">
        <v>19</v>
      </c>
      <c r="G573" t="s">
        <v>20</v>
      </c>
      <c r="H573" s="3">
        <v>10</v>
      </c>
      <c r="I573" s="3">
        <v>1269</v>
      </c>
      <c r="J573" s="3">
        <v>12690</v>
      </c>
      <c r="K573" s="3">
        <v>900</v>
      </c>
      <c r="L573" s="3">
        <v>9000</v>
      </c>
      <c r="M573" s="3">
        <v>3690</v>
      </c>
      <c r="N573" s="4">
        <v>0.29078014184397161</v>
      </c>
    </row>
    <row r="574" spans="1:14" x14ac:dyDescent="0.3">
      <c r="A574" s="6">
        <v>45699</v>
      </c>
      <c r="B574" s="1" t="s">
        <v>756</v>
      </c>
      <c r="C574" s="1" t="s">
        <v>28</v>
      </c>
      <c r="D574" t="s">
        <v>34</v>
      </c>
      <c r="E574" t="s">
        <v>424</v>
      </c>
      <c r="F574" t="s">
        <v>16</v>
      </c>
      <c r="G574" t="s">
        <v>15</v>
      </c>
      <c r="H574" s="3">
        <v>5</v>
      </c>
      <c r="I574" s="3">
        <v>54340</v>
      </c>
      <c r="J574" s="3">
        <v>271700</v>
      </c>
      <c r="K574" s="3">
        <v>38000</v>
      </c>
      <c r="L574" s="3">
        <v>190000</v>
      </c>
      <c r="M574" s="3">
        <v>81700</v>
      </c>
      <c r="N574" s="4">
        <v>0.30069930069930068</v>
      </c>
    </row>
    <row r="575" spans="1:14" x14ac:dyDescent="0.3">
      <c r="A575" s="6">
        <v>45699</v>
      </c>
      <c r="B575" s="1" t="s">
        <v>757</v>
      </c>
      <c r="C575" s="1" t="s">
        <v>27</v>
      </c>
      <c r="D575" t="s">
        <v>34</v>
      </c>
      <c r="E575" t="s">
        <v>308</v>
      </c>
      <c r="F575" t="s">
        <v>23</v>
      </c>
      <c r="G575" t="s">
        <v>25</v>
      </c>
      <c r="H575" s="3">
        <v>2</v>
      </c>
      <c r="I575" s="3">
        <v>4448</v>
      </c>
      <c r="J575" s="3">
        <v>8896</v>
      </c>
      <c r="K575" s="3">
        <v>3200</v>
      </c>
      <c r="L575" s="3">
        <v>6400</v>
      </c>
      <c r="M575" s="3">
        <v>2496</v>
      </c>
      <c r="N575" s="4">
        <v>0.2805755395683453</v>
      </c>
    </row>
    <row r="576" spans="1:14" x14ac:dyDescent="0.3">
      <c r="A576" s="6">
        <v>45699</v>
      </c>
      <c r="B576" s="1" t="s">
        <v>758</v>
      </c>
      <c r="C576" s="1" t="s">
        <v>29</v>
      </c>
      <c r="D576" t="s">
        <v>33</v>
      </c>
      <c r="E576" t="s">
        <v>208</v>
      </c>
      <c r="F576" t="s">
        <v>16</v>
      </c>
      <c r="G576" t="s">
        <v>15</v>
      </c>
      <c r="H576" s="3">
        <v>4</v>
      </c>
      <c r="I576" s="3">
        <v>48640</v>
      </c>
      <c r="J576" s="3">
        <v>194560</v>
      </c>
      <c r="K576" s="3">
        <v>38000</v>
      </c>
      <c r="L576" s="3">
        <v>152000</v>
      </c>
      <c r="M576" s="3">
        <v>42560</v>
      </c>
      <c r="N576" s="4">
        <v>0.21875</v>
      </c>
    </row>
    <row r="577" spans="1:14" x14ac:dyDescent="0.3">
      <c r="A577" s="6">
        <v>45699</v>
      </c>
      <c r="B577" s="1" t="s">
        <v>759</v>
      </c>
      <c r="C577" s="1" t="s">
        <v>28</v>
      </c>
      <c r="D577" t="s">
        <v>30</v>
      </c>
      <c r="E577" t="s">
        <v>92</v>
      </c>
      <c r="F577" t="s">
        <v>16</v>
      </c>
      <c r="G577" t="s">
        <v>15</v>
      </c>
      <c r="H577" s="3">
        <v>10</v>
      </c>
      <c r="I577" s="3">
        <v>53580</v>
      </c>
      <c r="J577" s="3">
        <v>535800</v>
      </c>
      <c r="K577" s="3">
        <v>38000</v>
      </c>
      <c r="L577" s="3">
        <v>380000</v>
      </c>
      <c r="M577" s="3">
        <v>155800</v>
      </c>
      <c r="N577" s="4">
        <v>0.29078014184397161</v>
      </c>
    </row>
    <row r="578" spans="1:14" x14ac:dyDescent="0.3">
      <c r="A578" s="6">
        <v>45699</v>
      </c>
      <c r="B578" s="1" t="s">
        <v>760</v>
      </c>
      <c r="C578" s="1" t="s">
        <v>27</v>
      </c>
      <c r="D578" t="s">
        <v>35</v>
      </c>
      <c r="E578" t="s">
        <v>151</v>
      </c>
      <c r="F578" t="s">
        <v>21</v>
      </c>
      <c r="G578" t="s">
        <v>20</v>
      </c>
      <c r="H578" s="3">
        <v>2</v>
      </c>
      <c r="I578" s="3">
        <v>792</v>
      </c>
      <c r="J578" s="3">
        <v>1584</v>
      </c>
      <c r="K578" s="3">
        <v>600</v>
      </c>
      <c r="L578" s="3">
        <v>1200</v>
      </c>
      <c r="M578" s="3">
        <v>384</v>
      </c>
      <c r="N578" s="4">
        <v>0.24242424242424243</v>
      </c>
    </row>
    <row r="579" spans="1:14" x14ac:dyDescent="0.3">
      <c r="A579" s="6">
        <v>45699</v>
      </c>
      <c r="B579" s="1" t="s">
        <v>761</v>
      </c>
      <c r="C579" s="1" t="s">
        <v>27</v>
      </c>
      <c r="D579" t="s">
        <v>32</v>
      </c>
      <c r="E579" t="s">
        <v>283</v>
      </c>
      <c r="F579" t="s">
        <v>17</v>
      </c>
      <c r="G579" t="s">
        <v>18</v>
      </c>
      <c r="H579" s="3">
        <v>10</v>
      </c>
      <c r="I579" s="3">
        <v>11730</v>
      </c>
      <c r="J579" s="3">
        <v>117300</v>
      </c>
      <c r="K579" s="3">
        <v>8500</v>
      </c>
      <c r="L579" s="3">
        <v>85000</v>
      </c>
      <c r="M579" s="3">
        <v>32300</v>
      </c>
      <c r="N579" s="4">
        <v>0.27536231884057971</v>
      </c>
    </row>
    <row r="580" spans="1:14" x14ac:dyDescent="0.3">
      <c r="A580" s="6">
        <v>45699</v>
      </c>
      <c r="B580" s="1" t="s">
        <v>762</v>
      </c>
      <c r="C580" s="1" t="s">
        <v>29</v>
      </c>
      <c r="D580" t="s">
        <v>35</v>
      </c>
      <c r="E580" t="s">
        <v>548</v>
      </c>
      <c r="F580" t="s">
        <v>16</v>
      </c>
      <c r="G580" t="s">
        <v>15</v>
      </c>
      <c r="H580" s="3">
        <v>7</v>
      </c>
      <c r="I580" s="3">
        <v>52060.000000000007</v>
      </c>
      <c r="J580" s="3">
        <v>364420.00000000006</v>
      </c>
      <c r="K580" s="3">
        <v>38000</v>
      </c>
      <c r="L580" s="3">
        <v>266000</v>
      </c>
      <c r="M580" s="3">
        <v>98420.000000000058</v>
      </c>
      <c r="N580" s="4">
        <v>0.27007299270073004</v>
      </c>
    </row>
    <row r="581" spans="1:14" x14ac:dyDescent="0.3">
      <c r="A581" s="6">
        <v>45699</v>
      </c>
      <c r="B581" s="1" t="s">
        <v>763</v>
      </c>
      <c r="C581" s="1" t="s">
        <v>26</v>
      </c>
      <c r="D581" t="s">
        <v>31</v>
      </c>
      <c r="E581" t="s">
        <v>131</v>
      </c>
      <c r="F581" t="s">
        <v>23</v>
      </c>
      <c r="G581" t="s">
        <v>25</v>
      </c>
      <c r="H581" s="3">
        <v>3</v>
      </c>
      <c r="I581" s="3">
        <v>4640</v>
      </c>
      <c r="J581" s="3">
        <v>13920</v>
      </c>
      <c r="K581" s="3">
        <v>3200</v>
      </c>
      <c r="L581" s="3">
        <v>9600</v>
      </c>
      <c r="M581" s="3">
        <v>4320</v>
      </c>
      <c r="N581" s="4">
        <v>0.31034482758620691</v>
      </c>
    </row>
    <row r="582" spans="1:14" x14ac:dyDescent="0.3">
      <c r="A582" s="6">
        <v>45699</v>
      </c>
      <c r="B582" s="1" t="s">
        <v>764</v>
      </c>
      <c r="C582" s="1" t="s">
        <v>28</v>
      </c>
      <c r="D582" t="s">
        <v>34</v>
      </c>
      <c r="E582" t="s">
        <v>317</v>
      </c>
      <c r="F582" t="s">
        <v>22</v>
      </c>
      <c r="G582" t="s">
        <v>18</v>
      </c>
      <c r="H582" s="3">
        <v>5</v>
      </c>
      <c r="I582" s="3">
        <v>9870</v>
      </c>
      <c r="J582" s="3">
        <v>49350</v>
      </c>
      <c r="K582" s="3">
        <v>7000</v>
      </c>
      <c r="L582" s="3">
        <v>35000</v>
      </c>
      <c r="M582" s="3">
        <v>14350</v>
      </c>
      <c r="N582" s="4">
        <v>0.29078014184397161</v>
      </c>
    </row>
    <row r="583" spans="1:14" x14ac:dyDescent="0.3">
      <c r="A583" s="6">
        <v>45699</v>
      </c>
      <c r="B583" s="1" t="s">
        <v>765</v>
      </c>
      <c r="C583" s="1" t="s">
        <v>26</v>
      </c>
      <c r="D583" t="s">
        <v>33</v>
      </c>
      <c r="E583" t="s">
        <v>239</v>
      </c>
      <c r="F583" t="s">
        <v>23</v>
      </c>
      <c r="G583" t="s">
        <v>25</v>
      </c>
      <c r="H583" s="3">
        <v>8</v>
      </c>
      <c r="I583" s="3">
        <v>4032</v>
      </c>
      <c r="J583" s="3">
        <v>32256</v>
      </c>
      <c r="K583" s="3">
        <v>3200</v>
      </c>
      <c r="L583" s="3">
        <v>25600</v>
      </c>
      <c r="M583" s="3">
        <v>6656</v>
      </c>
      <c r="N583" s="4">
        <v>0.20634920634920634</v>
      </c>
    </row>
    <row r="584" spans="1:14" x14ac:dyDescent="0.3">
      <c r="A584" s="6">
        <v>45699</v>
      </c>
      <c r="B584" s="1" t="s">
        <v>766</v>
      </c>
      <c r="C584" s="1" t="s">
        <v>29</v>
      </c>
      <c r="D584" t="s">
        <v>30</v>
      </c>
      <c r="E584" t="s">
        <v>407</v>
      </c>
      <c r="F584" t="s">
        <v>23</v>
      </c>
      <c r="G584" t="s">
        <v>25</v>
      </c>
      <c r="H584" s="3">
        <v>5</v>
      </c>
      <c r="I584" s="3">
        <v>4096</v>
      </c>
      <c r="J584" s="3">
        <v>20480</v>
      </c>
      <c r="K584" s="3">
        <v>3200</v>
      </c>
      <c r="L584" s="3">
        <v>16000</v>
      </c>
      <c r="M584" s="3">
        <v>4480</v>
      </c>
      <c r="N584" s="4">
        <v>0.21875</v>
      </c>
    </row>
    <row r="585" spans="1:14" x14ac:dyDescent="0.3">
      <c r="A585" s="6">
        <v>45699</v>
      </c>
      <c r="B585" s="1" t="s">
        <v>767</v>
      </c>
      <c r="C585" s="1" t="s">
        <v>28</v>
      </c>
      <c r="D585" t="s">
        <v>31</v>
      </c>
      <c r="E585" t="s">
        <v>327</v>
      </c>
      <c r="F585" t="s">
        <v>24</v>
      </c>
      <c r="G585" t="s">
        <v>25</v>
      </c>
      <c r="H585" s="3">
        <v>2</v>
      </c>
      <c r="I585" s="3">
        <v>3399.9999999999995</v>
      </c>
      <c r="J585" s="3">
        <v>6799.9999999999991</v>
      </c>
      <c r="K585" s="3">
        <v>2500</v>
      </c>
      <c r="L585" s="3">
        <v>5000</v>
      </c>
      <c r="M585" s="3">
        <v>1799.9999999999991</v>
      </c>
      <c r="N585" s="4">
        <v>0.26470588235294107</v>
      </c>
    </row>
    <row r="586" spans="1:14" x14ac:dyDescent="0.3">
      <c r="A586" s="6">
        <v>45699</v>
      </c>
      <c r="B586" s="1" t="s">
        <v>768</v>
      </c>
      <c r="C586" s="1" t="s">
        <v>26</v>
      </c>
      <c r="D586" t="s">
        <v>32</v>
      </c>
      <c r="E586" t="s">
        <v>216</v>
      </c>
      <c r="F586" t="s">
        <v>16</v>
      </c>
      <c r="G586" t="s">
        <v>15</v>
      </c>
      <c r="H586" s="3">
        <v>5</v>
      </c>
      <c r="I586" s="3">
        <v>52820.000000000007</v>
      </c>
      <c r="J586" s="3">
        <v>264100.00000000006</v>
      </c>
      <c r="K586" s="3">
        <v>38000</v>
      </c>
      <c r="L586" s="3">
        <v>190000</v>
      </c>
      <c r="M586" s="3">
        <v>74100.000000000058</v>
      </c>
      <c r="N586" s="4">
        <v>0.28057553956834547</v>
      </c>
    </row>
    <row r="587" spans="1:14" x14ac:dyDescent="0.3">
      <c r="A587" s="6">
        <v>45699</v>
      </c>
      <c r="B587" s="1" t="s">
        <v>769</v>
      </c>
      <c r="C587" s="1" t="s">
        <v>26</v>
      </c>
      <c r="D587" t="s">
        <v>31</v>
      </c>
      <c r="E587" t="s">
        <v>302</v>
      </c>
      <c r="F587" t="s">
        <v>21</v>
      </c>
      <c r="G587" t="s">
        <v>20</v>
      </c>
      <c r="H587" s="3">
        <v>5</v>
      </c>
      <c r="I587" s="3">
        <v>827.99999999999989</v>
      </c>
      <c r="J587" s="3">
        <v>4139.9999999999991</v>
      </c>
      <c r="K587" s="3">
        <v>600</v>
      </c>
      <c r="L587" s="3">
        <v>3000</v>
      </c>
      <c r="M587" s="3">
        <v>1139.9999999999991</v>
      </c>
      <c r="N587" s="4">
        <v>0.27536231884057955</v>
      </c>
    </row>
    <row r="588" spans="1:14" x14ac:dyDescent="0.3">
      <c r="A588" s="6">
        <v>45700</v>
      </c>
      <c r="B588" s="1" t="s">
        <v>770</v>
      </c>
      <c r="C588" s="1" t="s">
        <v>27</v>
      </c>
      <c r="D588" t="s">
        <v>33</v>
      </c>
      <c r="E588" t="s">
        <v>521</v>
      </c>
      <c r="F588" t="s">
        <v>22</v>
      </c>
      <c r="G588" t="s">
        <v>18</v>
      </c>
      <c r="H588" s="3">
        <v>3</v>
      </c>
      <c r="I588" s="3">
        <v>8470</v>
      </c>
      <c r="J588" s="3">
        <v>25410</v>
      </c>
      <c r="K588" s="3">
        <v>7000</v>
      </c>
      <c r="L588" s="3">
        <v>21000</v>
      </c>
      <c r="M588" s="3">
        <v>4410</v>
      </c>
      <c r="N588" s="4">
        <v>0.17355371900826447</v>
      </c>
    </row>
    <row r="589" spans="1:14" x14ac:dyDescent="0.3">
      <c r="A589" s="6">
        <v>45700</v>
      </c>
      <c r="B589" s="1" t="s">
        <v>771</v>
      </c>
      <c r="C589" s="1" t="s">
        <v>28</v>
      </c>
      <c r="D589" t="s">
        <v>31</v>
      </c>
      <c r="E589" t="s">
        <v>149</v>
      </c>
      <c r="F589" t="s">
        <v>17</v>
      </c>
      <c r="G589" t="s">
        <v>18</v>
      </c>
      <c r="H589" s="3">
        <v>1</v>
      </c>
      <c r="I589" s="3">
        <v>11390</v>
      </c>
      <c r="J589" s="3">
        <v>11390</v>
      </c>
      <c r="K589" s="3">
        <v>8500</v>
      </c>
      <c r="L589" s="3">
        <v>8500</v>
      </c>
      <c r="M589" s="3">
        <v>2890</v>
      </c>
      <c r="N589" s="4">
        <v>0.2537313432835821</v>
      </c>
    </row>
    <row r="590" spans="1:14" x14ac:dyDescent="0.3">
      <c r="A590" s="6">
        <v>45700</v>
      </c>
      <c r="B590" s="1" t="s">
        <v>772</v>
      </c>
      <c r="C590" s="1" t="s">
        <v>26</v>
      </c>
      <c r="D590" t="s">
        <v>32</v>
      </c>
      <c r="E590" t="s">
        <v>283</v>
      </c>
      <c r="F590" t="s">
        <v>19</v>
      </c>
      <c r="G590" t="s">
        <v>20</v>
      </c>
      <c r="H590" s="3">
        <v>7</v>
      </c>
      <c r="I590" s="3">
        <v>1089</v>
      </c>
      <c r="J590" s="3">
        <v>7623</v>
      </c>
      <c r="K590" s="3">
        <v>900</v>
      </c>
      <c r="L590" s="3">
        <v>6300</v>
      </c>
      <c r="M590" s="3">
        <v>1323</v>
      </c>
      <c r="N590" s="4">
        <v>0.17355371900826447</v>
      </c>
    </row>
    <row r="591" spans="1:14" x14ac:dyDescent="0.3">
      <c r="A591" s="6">
        <v>45700</v>
      </c>
      <c r="B591" s="1" t="s">
        <v>773</v>
      </c>
      <c r="C591" s="1" t="s">
        <v>27</v>
      </c>
      <c r="D591" t="s">
        <v>35</v>
      </c>
      <c r="E591" t="s">
        <v>506</v>
      </c>
      <c r="F591" t="s">
        <v>24</v>
      </c>
      <c r="G591" t="s">
        <v>25</v>
      </c>
      <c r="H591" s="3">
        <v>9</v>
      </c>
      <c r="I591" s="3">
        <v>3200</v>
      </c>
      <c r="J591" s="3">
        <v>28800</v>
      </c>
      <c r="K591" s="3">
        <v>2500</v>
      </c>
      <c r="L591" s="3">
        <v>22500</v>
      </c>
      <c r="M591" s="3">
        <v>6300</v>
      </c>
      <c r="N591" s="4">
        <v>0.21875</v>
      </c>
    </row>
    <row r="592" spans="1:14" x14ac:dyDescent="0.3">
      <c r="A592" s="6">
        <v>45700</v>
      </c>
      <c r="B592" s="1" t="s">
        <v>774</v>
      </c>
      <c r="C592" s="1" t="s">
        <v>28</v>
      </c>
      <c r="D592" t="s">
        <v>35</v>
      </c>
      <c r="E592" t="s">
        <v>357</v>
      </c>
      <c r="F592" t="s">
        <v>17</v>
      </c>
      <c r="G592" t="s">
        <v>18</v>
      </c>
      <c r="H592" s="3">
        <v>4</v>
      </c>
      <c r="I592" s="3">
        <v>10540</v>
      </c>
      <c r="J592" s="3">
        <v>42160</v>
      </c>
      <c r="K592" s="3">
        <v>8500</v>
      </c>
      <c r="L592" s="3">
        <v>34000</v>
      </c>
      <c r="M592" s="3">
        <v>8160</v>
      </c>
      <c r="N592" s="4">
        <v>0.19354838709677419</v>
      </c>
    </row>
    <row r="593" spans="1:14" x14ac:dyDescent="0.3">
      <c r="A593" s="6">
        <v>45700</v>
      </c>
      <c r="B593" s="1" t="s">
        <v>775</v>
      </c>
      <c r="C593" s="1" t="s">
        <v>29</v>
      </c>
      <c r="D593" t="s">
        <v>34</v>
      </c>
      <c r="E593" t="s">
        <v>124</v>
      </c>
      <c r="F593" t="s">
        <v>24</v>
      </c>
      <c r="G593" t="s">
        <v>25</v>
      </c>
      <c r="H593" s="3">
        <v>10</v>
      </c>
      <c r="I593" s="3">
        <v>3550</v>
      </c>
      <c r="J593" s="3">
        <v>35500</v>
      </c>
      <c r="K593" s="3">
        <v>2500</v>
      </c>
      <c r="L593" s="3">
        <v>25000</v>
      </c>
      <c r="M593" s="3">
        <v>10500</v>
      </c>
      <c r="N593" s="4">
        <v>0.29577464788732394</v>
      </c>
    </row>
    <row r="594" spans="1:14" x14ac:dyDescent="0.3">
      <c r="A594" s="6">
        <v>45700</v>
      </c>
      <c r="B594" s="1" t="s">
        <v>776</v>
      </c>
      <c r="C594" s="1" t="s">
        <v>28</v>
      </c>
      <c r="D594" t="s">
        <v>34</v>
      </c>
      <c r="E594" t="s">
        <v>415</v>
      </c>
      <c r="F594" t="s">
        <v>22</v>
      </c>
      <c r="G594" t="s">
        <v>18</v>
      </c>
      <c r="H594" s="3">
        <v>10</v>
      </c>
      <c r="I594" s="3">
        <v>8960</v>
      </c>
      <c r="J594" s="3">
        <v>89600</v>
      </c>
      <c r="K594" s="3">
        <v>7000</v>
      </c>
      <c r="L594" s="3">
        <v>70000</v>
      </c>
      <c r="M594" s="3">
        <v>19600</v>
      </c>
      <c r="N594" s="4">
        <v>0.21875</v>
      </c>
    </row>
    <row r="595" spans="1:14" x14ac:dyDescent="0.3">
      <c r="A595" s="6">
        <v>45700</v>
      </c>
      <c r="B595" s="1" t="s">
        <v>777</v>
      </c>
      <c r="C595" s="1" t="s">
        <v>29</v>
      </c>
      <c r="D595" t="s">
        <v>31</v>
      </c>
      <c r="E595" t="s">
        <v>508</v>
      </c>
      <c r="F595" t="s">
        <v>19</v>
      </c>
      <c r="G595" t="s">
        <v>20</v>
      </c>
      <c r="H595" s="3">
        <v>5</v>
      </c>
      <c r="I595" s="3">
        <v>1278</v>
      </c>
      <c r="J595" s="3">
        <v>6390</v>
      </c>
      <c r="K595" s="3">
        <v>900</v>
      </c>
      <c r="L595" s="3">
        <v>4500</v>
      </c>
      <c r="M595" s="3">
        <v>1890</v>
      </c>
      <c r="N595" s="4">
        <v>0.29577464788732394</v>
      </c>
    </row>
    <row r="596" spans="1:14" x14ac:dyDescent="0.3">
      <c r="A596" s="6">
        <v>45700</v>
      </c>
      <c r="B596" s="1" t="s">
        <v>778</v>
      </c>
      <c r="C596" s="1" t="s">
        <v>28</v>
      </c>
      <c r="D596" t="s">
        <v>34</v>
      </c>
      <c r="E596" t="s">
        <v>342</v>
      </c>
      <c r="F596" t="s">
        <v>23</v>
      </c>
      <c r="G596" t="s">
        <v>25</v>
      </c>
      <c r="H596" s="3">
        <v>3</v>
      </c>
      <c r="I596" s="3">
        <v>4512</v>
      </c>
      <c r="J596" s="3">
        <v>13536</v>
      </c>
      <c r="K596" s="3">
        <v>3200</v>
      </c>
      <c r="L596" s="3">
        <v>9600</v>
      </c>
      <c r="M596" s="3">
        <v>3936</v>
      </c>
      <c r="N596" s="4">
        <v>0.29078014184397161</v>
      </c>
    </row>
    <row r="597" spans="1:14" x14ac:dyDescent="0.3">
      <c r="A597" s="6">
        <v>45700</v>
      </c>
      <c r="B597" s="1" t="s">
        <v>779</v>
      </c>
      <c r="C597" s="1" t="s">
        <v>27</v>
      </c>
      <c r="D597" t="s">
        <v>32</v>
      </c>
      <c r="E597" t="s">
        <v>59</v>
      </c>
      <c r="F597" t="s">
        <v>23</v>
      </c>
      <c r="G597" t="s">
        <v>25</v>
      </c>
      <c r="H597" s="3">
        <v>1</v>
      </c>
      <c r="I597" s="3">
        <v>4032</v>
      </c>
      <c r="J597" s="3">
        <v>4032</v>
      </c>
      <c r="K597" s="3">
        <v>3200</v>
      </c>
      <c r="L597" s="3">
        <v>3200</v>
      </c>
      <c r="M597" s="3">
        <v>832</v>
      </c>
      <c r="N597" s="4">
        <v>0.20634920634920634</v>
      </c>
    </row>
    <row r="598" spans="1:14" x14ac:dyDescent="0.3">
      <c r="A598" s="6">
        <v>45700</v>
      </c>
      <c r="B598" s="1" t="s">
        <v>780</v>
      </c>
      <c r="C598" s="1" t="s">
        <v>26</v>
      </c>
      <c r="D598" t="s">
        <v>30</v>
      </c>
      <c r="E598" t="s">
        <v>574</v>
      </c>
      <c r="F598" t="s">
        <v>17</v>
      </c>
      <c r="G598" t="s">
        <v>18</v>
      </c>
      <c r="H598" s="3">
        <v>10</v>
      </c>
      <c r="I598" s="3">
        <v>10710</v>
      </c>
      <c r="J598" s="3">
        <v>107100</v>
      </c>
      <c r="K598" s="3">
        <v>8500</v>
      </c>
      <c r="L598" s="3">
        <v>85000</v>
      </c>
      <c r="M598" s="3">
        <v>22100</v>
      </c>
      <c r="N598" s="4">
        <v>0.20634920634920634</v>
      </c>
    </row>
    <row r="599" spans="1:14" x14ac:dyDescent="0.3">
      <c r="A599" s="6">
        <v>45700</v>
      </c>
      <c r="B599" s="1" t="s">
        <v>781</v>
      </c>
      <c r="C599" s="1" t="s">
        <v>26</v>
      </c>
      <c r="D599" t="s">
        <v>33</v>
      </c>
      <c r="E599" t="s">
        <v>355</v>
      </c>
      <c r="F599" t="s">
        <v>23</v>
      </c>
      <c r="G599" t="s">
        <v>25</v>
      </c>
      <c r="H599" s="3">
        <v>8</v>
      </c>
      <c r="I599" s="3">
        <v>4224</v>
      </c>
      <c r="J599" s="3">
        <v>33792</v>
      </c>
      <c r="K599" s="3">
        <v>3200</v>
      </c>
      <c r="L599" s="3">
        <v>25600</v>
      </c>
      <c r="M599" s="3">
        <v>8192</v>
      </c>
      <c r="N599" s="4">
        <v>0.24242424242424243</v>
      </c>
    </row>
    <row r="600" spans="1:14" x14ac:dyDescent="0.3">
      <c r="A600" s="6">
        <v>45700</v>
      </c>
      <c r="B600" s="1" t="s">
        <v>782</v>
      </c>
      <c r="C600" s="1" t="s">
        <v>26</v>
      </c>
      <c r="D600" t="s">
        <v>33</v>
      </c>
      <c r="E600" t="s">
        <v>236</v>
      </c>
      <c r="F600" t="s">
        <v>21</v>
      </c>
      <c r="G600" t="s">
        <v>20</v>
      </c>
      <c r="H600" s="3">
        <v>7</v>
      </c>
      <c r="I600" s="3">
        <v>870</v>
      </c>
      <c r="J600" s="3">
        <v>6090</v>
      </c>
      <c r="K600" s="3">
        <v>600</v>
      </c>
      <c r="L600" s="3">
        <v>4200</v>
      </c>
      <c r="M600" s="3">
        <v>1890</v>
      </c>
      <c r="N600" s="4">
        <v>0.31034482758620691</v>
      </c>
    </row>
    <row r="601" spans="1:14" x14ac:dyDescent="0.3">
      <c r="A601" s="6">
        <v>45700</v>
      </c>
      <c r="B601" s="1" t="s">
        <v>783</v>
      </c>
      <c r="C601" s="1" t="s">
        <v>29</v>
      </c>
      <c r="D601" t="s">
        <v>35</v>
      </c>
      <c r="E601" t="s">
        <v>74</v>
      </c>
      <c r="F601" t="s">
        <v>21</v>
      </c>
      <c r="G601" t="s">
        <v>20</v>
      </c>
      <c r="H601" s="3">
        <v>3</v>
      </c>
      <c r="I601" s="3">
        <v>744</v>
      </c>
      <c r="J601" s="3">
        <v>2232</v>
      </c>
      <c r="K601" s="3">
        <v>600</v>
      </c>
      <c r="L601" s="3">
        <v>1800</v>
      </c>
      <c r="M601" s="3">
        <v>432</v>
      </c>
      <c r="N601" s="4">
        <v>0.19354838709677419</v>
      </c>
    </row>
    <row r="602" spans="1:14" x14ac:dyDescent="0.3">
      <c r="A602" s="6">
        <v>45701</v>
      </c>
      <c r="B602" s="1" t="s">
        <v>784</v>
      </c>
      <c r="C602" s="1" t="s">
        <v>26</v>
      </c>
      <c r="D602" t="s">
        <v>32</v>
      </c>
      <c r="E602" t="s">
        <v>415</v>
      </c>
      <c r="F602" t="s">
        <v>19</v>
      </c>
      <c r="G602" t="s">
        <v>20</v>
      </c>
      <c r="H602" s="3">
        <v>10</v>
      </c>
      <c r="I602" s="3">
        <v>1116</v>
      </c>
      <c r="J602" s="3">
        <v>11160</v>
      </c>
      <c r="K602" s="3">
        <v>900</v>
      </c>
      <c r="L602" s="3">
        <v>9000</v>
      </c>
      <c r="M602" s="3">
        <v>2160</v>
      </c>
      <c r="N602" s="4">
        <v>0.19354838709677419</v>
      </c>
    </row>
    <row r="603" spans="1:14" x14ac:dyDescent="0.3">
      <c r="A603" s="6">
        <v>45701</v>
      </c>
      <c r="B603" s="1" t="s">
        <v>785</v>
      </c>
      <c r="C603" s="1" t="s">
        <v>27</v>
      </c>
      <c r="D603" t="s">
        <v>31</v>
      </c>
      <c r="E603" t="s">
        <v>548</v>
      </c>
      <c r="F603" t="s">
        <v>17</v>
      </c>
      <c r="G603" t="s">
        <v>18</v>
      </c>
      <c r="H603" s="3">
        <v>1</v>
      </c>
      <c r="I603" s="3">
        <v>11135</v>
      </c>
      <c r="J603" s="3">
        <v>11135</v>
      </c>
      <c r="K603" s="3">
        <v>8500</v>
      </c>
      <c r="L603" s="3">
        <v>8500</v>
      </c>
      <c r="M603" s="3">
        <v>2635</v>
      </c>
      <c r="N603" s="4">
        <v>0.23664122137404581</v>
      </c>
    </row>
    <row r="604" spans="1:14" x14ac:dyDescent="0.3">
      <c r="A604" s="6">
        <v>45701</v>
      </c>
      <c r="B604" s="1" t="s">
        <v>786</v>
      </c>
      <c r="C604" s="1" t="s">
        <v>27</v>
      </c>
      <c r="D604" t="s">
        <v>33</v>
      </c>
      <c r="E604" t="s">
        <v>218</v>
      </c>
      <c r="F604" t="s">
        <v>14</v>
      </c>
      <c r="G604" t="s">
        <v>15</v>
      </c>
      <c r="H604" s="3">
        <v>9</v>
      </c>
      <c r="I604" s="3">
        <v>61199.999999999993</v>
      </c>
      <c r="J604" s="3">
        <v>550799.99999999988</v>
      </c>
      <c r="K604" s="3">
        <v>45000</v>
      </c>
      <c r="L604" s="3">
        <v>405000</v>
      </c>
      <c r="M604" s="3">
        <v>145799.99999999988</v>
      </c>
      <c r="N604" s="4">
        <v>0.26470588235294101</v>
      </c>
    </row>
    <row r="605" spans="1:14" x14ac:dyDescent="0.3">
      <c r="A605" s="6">
        <v>45701</v>
      </c>
      <c r="B605" s="1" t="s">
        <v>787</v>
      </c>
      <c r="C605" s="1" t="s">
        <v>26</v>
      </c>
      <c r="D605" t="s">
        <v>34</v>
      </c>
      <c r="E605" t="s">
        <v>90</v>
      </c>
      <c r="F605" t="s">
        <v>23</v>
      </c>
      <c r="G605" t="s">
        <v>25</v>
      </c>
      <c r="H605" s="3">
        <v>6</v>
      </c>
      <c r="I605" s="3">
        <v>4480</v>
      </c>
      <c r="J605" s="3">
        <v>26880</v>
      </c>
      <c r="K605" s="3">
        <v>3200</v>
      </c>
      <c r="L605" s="3">
        <v>19200</v>
      </c>
      <c r="M605" s="3">
        <v>7680</v>
      </c>
      <c r="N605" s="4">
        <v>0.2857142857142857</v>
      </c>
    </row>
    <row r="606" spans="1:14" x14ac:dyDescent="0.3">
      <c r="A606" s="6">
        <v>45701</v>
      </c>
      <c r="B606" s="1" t="s">
        <v>788</v>
      </c>
      <c r="C606" s="1" t="s">
        <v>28</v>
      </c>
      <c r="D606" t="s">
        <v>35</v>
      </c>
      <c r="E606" t="s">
        <v>116</v>
      </c>
      <c r="F606" t="s">
        <v>21</v>
      </c>
      <c r="G606" t="s">
        <v>20</v>
      </c>
      <c r="H606" s="3">
        <v>5</v>
      </c>
      <c r="I606" s="3">
        <v>827.99999999999989</v>
      </c>
      <c r="J606" s="3">
        <v>4139.9999999999991</v>
      </c>
      <c r="K606" s="3">
        <v>600</v>
      </c>
      <c r="L606" s="3">
        <v>3000</v>
      </c>
      <c r="M606" s="3">
        <v>1139.9999999999991</v>
      </c>
      <c r="N606" s="4">
        <v>0.27536231884057955</v>
      </c>
    </row>
    <row r="607" spans="1:14" x14ac:dyDescent="0.3">
      <c r="A607" s="6">
        <v>45701</v>
      </c>
      <c r="B607" s="1" t="s">
        <v>789</v>
      </c>
      <c r="C607" s="1" t="s">
        <v>26</v>
      </c>
      <c r="D607" t="s">
        <v>30</v>
      </c>
      <c r="E607" t="s">
        <v>118</v>
      </c>
      <c r="F607" t="s">
        <v>21</v>
      </c>
      <c r="G607" t="s">
        <v>20</v>
      </c>
      <c r="H607" s="3">
        <v>7</v>
      </c>
      <c r="I607" s="3">
        <v>852</v>
      </c>
      <c r="J607" s="3">
        <v>5964</v>
      </c>
      <c r="K607" s="3">
        <v>600</v>
      </c>
      <c r="L607" s="3">
        <v>4200</v>
      </c>
      <c r="M607" s="3">
        <v>1764</v>
      </c>
      <c r="N607" s="4">
        <v>0.29577464788732394</v>
      </c>
    </row>
    <row r="608" spans="1:14" x14ac:dyDescent="0.3">
      <c r="A608" s="6">
        <v>45701</v>
      </c>
      <c r="B608" s="1" t="s">
        <v>790</v>
      </c>
      <c r="C608" s="1" t="s">
        <v>28</v>
      </c>
      <c r="D608" t="s">
        <v>30</v>
      </c>
      <c r="E608" t="s">
        <v>104</v>
      </c>
      <c r="F608" t="s">
        <v>21</v>
      </c>
      <c r="G608" t="s">
        <v>20</v>
      </c>
      <c r="H608" s="3">
        <v>6</v>
      </c>
      <c r="I608" s="3">
        <v>822.00000000000011</v>
      </c>
      <c r="J608" s="3">
        <v>4932.0000000000009</v>
      </c>
      <c r="K608" s="3">
        <v>600</v>
      </c>
      <c r="L608" s="3">
        <v>3600</v>
      </c>
      <c r="M608" s="3">
        <v>1332.0000000000009</v>
      </c>
      <c r="N608" s="4">
        <v>0.27007299270073004</v>
      </c>
    </row>
    <row r="609" spans="1:14" x14ac:dyDescent="0.3">
      <c r="A609" s="6">
        <v>45701</v>
      </c>
      <c r="B609" s="1" t="s">
        <v>791</v>
      </c>
      <c r="C609" s="1" t="s">
        <v>27</v>
      </c>
      <c r="D609" t="s">
        <v>33</v>
      </c>
      <c r="E609" t="s">
        <v>304</v>
      </c>
      <c r="F609" t="s">
        <v>17</v>
      </c>
      <c r="G609" t="s">
        <v>18</v>
      </c>
      <c r="H609" s="3">
        <v>9</v>
      </c>
      <c r="I609" s="3">
        <v>11730</v>
      </c>
      <c r="J609" s="3">
        <v>105570</v>
      </c>
      <c r="K609" s="3">
        <v>8500</v>
      </c>
      <c r="L609" s="3">
        <v>76500</v>
      </c>
      <c r="M609" s="3">
        <v>29070</v>
      </c>
      <c r="N609" s="4">
        <v>0.27536231884057971</v>
      </c>
    </row>
    <row r="610" spans="1:14" x14ac:dyDescent="0.3">
      <c r="A610" s="6">
        <v>45701</v>
      </c>
      <c r="B610" s="1" t="s">
        <v>792</v>
      </c>
      <c r="C610" s="1" t="s">
        <v>27</v>
      </c>
      <c r="D610" t="s">
        <v>30</v>
      </c>
      <c r="E610" t="s">
        <v>124</v>
      </c>
      <c r="F610" t="s">
        <v>14</v>
      </c>
      <c r="G610" t="s">
        <v>15</v>
      </c>
      <c r="H610" s="3">
        <v>10</v>
      </c>
      <c r="I610" s="3">
        <v>64800</v>
      </c>
      <c r="J610" s="3">
        <v>648000</v>
      </c>
      <c r="K610" s="3">
        <v>45000</v>
      </c>
      <c r="L610" s="3">
        <v>450000</v>
      </c>
      <c r="M610" s="3">
        <v>198000</v>
      </c>
      <c r="N610" s="4">
        <v>0.30555555555555558</v>
      </c>
    </row>
    <row r="611" spans="1:14" x14ac:dyDescent="0.3">
      <c r="A611" s="6">
        <v>45701</v>
      </c>
      <c r="B611" s="1" t="s">
        <v>793</v>
      </c>
      <c r="C611" s="1" t="s">
        <v>27</v>
      </c>
      <c r="D611" t="s">
        <v>31</v>
      </c>
      <c r="E611" t="s">
        <v>43</v>
      </c>
      <c r="F611" t="s">
        <v>19</v>
      </c>
      <c r="G611" t="s">
        <v>20</v>
      </c>
      <c r="H611" s="3">
        <v>8</v>
      </c>
      <c r="I611" s="3">
        <v>1278</v>
      </c>
      <c r="J611" s="3">
        <v>10224</v>
      </c>
      <c r="K611" s="3">
        <v>900</v>
      </c>
      <c r="L611" s="3">
        <v>7200</v>
      </c>
      <c r="M611" s="3">
        <v>3024</v>
      </c>
      <c r="N611" s="4">
        <v>0.29577464788732394</v>
      </c>
    </row>
    <row r="612" spans="1:14" x14ac:dyDescent="0.3">
      <c r="A612" s="6">
        <v>45701</v>
      </c>
      <c r="B612" s="1" t="s">
        <v>794</v>
      </c>
      <c r="C612" s="1" t="s">
        <v>26</v>
      </c>
      <c r="D612" t="s">
        <v>31</v>
      </c>
      <c r="E612" t="s">
        <v>582</v>
      </c>
      <c r="F612" t="s">
        <v>23</v>
      </c>
      <c r="G612" t="s">
        <v>25</v>
      </c>
      <c r="H612" s="3">
        <v>1</v>
      </c>
      <c r="I612" s="3">
        <v>4064</v>
      </c>
      <c r="J612" s="3">
        <v>4064</v>
      </c>
      <c r="K612" s="3">
        <v>3200</v>
      </c>
      <c r="L612" s="3">
        <v>3200</v>
      </c>
      <c r="M612" s="3">
        <v>864</v>
      </c>
      <c r="N612" s="4">
        <v>0.2125984251968504</v>
      </c>
    </row>
    <row r="613" spans="1:14" x14ac:dyDescent="0.3">
      <c r="A613" s="6">
        <v>45701</v>
      </c>
      <c r="B613" s="1" t="s">
        <v>795</v>
      </c>
      <c r="C613" s="1" t="s">
        <v>27</v>
      </c>
      <c r="D613" t="s">
        <v>33</v>
      </c>
      <c r="E613" t="s">
        <v>145</v>
      </c>
      <c r="F613" t="s">
        <v>19</v>
      </c>
      <c r="G613" t="s">
        <v>20</v>
      </c>
      <c r="H613" s="3">
        <v>4</v>
      </c>
      <c r="I613" s="3">
        <v>1143</v>
      </c>
      <c r="J613" s="3">
        <v>4572</v>
      </c>
      <c r="K613" s="3">
        <v>900</v>
      </c>
      <c r="L613" s="3">
        <v>3600</v>
      </c>
      <c r="M613" s="3">
        <v>972</v>
      </c>
      <c r="N613" s="4">
        <v>0.2125984251968504</v>
      </c>
    </row>
    <row r="614" spans="1:14" x14ac:dyDescent="0.3">
      <c r="A614" s="6">
        <v>45701</v>
      </c>
      <c r="B614" s="1" t="s">
        <v>796</v>
      </c>
      <c r="C614" s="1" t="s">
        <v>28</v>
      </c>
      <c r="D614" t="s">
        <v>35</v>
      </c>
      <c r="E614" t="s">
        <v>565</v>
      </c>
      <c r="F614" t="s">
        <v>19</v>
      </c>
      <c r="G614" t="s">
        <v>20</v>
      </c>
      <c r="H614" s="3">
        <v>3</v>
      </c>
      <c r="I614" s="3">
        <v>1161</v>
      </c>
      <c r="J614" s="3">
        <v>3483</v>
      </c>
      <c r="K614" s="3">
        <v>900</v>
      </c>
      <c r="L614" s="3">
        <v>2700</v>
      </c>
      <c r="M614" s="3">
        <v>783</v>
      </c>
      <c r="N614" s="4">
        <v>0.22480620155038761</v>
      </c>
    </row>
    <row r="615" spans="1:14" x14ac:dyDescent="0.3">
      <c r="A615" s="6">
        <v>45701</v>
      </c>
      <c r="B615" s="1" t="s">
        <v>797</v>
      </c>
      <c r="C615" s="1" t="s">
        <v>29</v>
      </c>
      <c r="D615" t="s">
        <v>32</v>
      </c>
      <c r="E615" t="s">
        <v>407</v>
      </c>
      <c r="F615" t="s">
        <v>22</v>
      </c>
      <c r="G615" t="s">
        <v>18</v>
      </c>
      <c r="H615" s="3">
        <v>5</v>
      </c>
      <c r="I615" s="3">
        <v>8680</v>
      </c>
      <c r="J615" s="3">
        <v>43400</v>
      </c>
      <c r="K615" s="3">
        <v>7000</v>
      </c>
      <c r="L615" s="3">
        <v>35000</v>
      </c>
      <c r="M615" s="3">
        <v>8400</v>
      </c>
      <c r="N615" s="4">
        <v>0.19354838709677419</v>
      </c>
    </row>
    <row r="616" spans="1:14" x14ac:dyDescent="0.3">
      <c r="A616" s="6">
        <v>45702</v>
      </c>
      <c r="B616" s="1" t="s">
        <v>798</v>
      </c>
      <c r="C616" s="1" t="s">
        <v>27</v>
      </c>
      <c r="D616" t="s">
        <v>31</v>
      </c>
      <c r="E616" t="s">
        <v>137</v>
      </c>
      <c r="F616" t="s">
        <v>16</v>
      </c>
      <c r="G616" t="s">
        <v>15</v>
      </c>
      <c r="H616" s="3">
        <v>2</v>
      </c>
      <c r="I616" s="3">
        <v>52820.000000000007</v>
      </c>
      <c r="J616" s="3">
        <v>105640.00000000001</v>
      </c>
      <c r="K616" s="3">
        <v>38000</v>
      </c>
      <c r="L616" s="3">
        <v>76000</v>
      </c>
      <c r="M616" s="3">
        <v>29640.000000000015</v>
      </c>
      <c r="N616" s="4">
        <v>0.28057553956834541</v>
      </c>
    </row>
    <row r="617" spans="1:14" x14ac:dyDescent="0.3">
      <c r="A617" s="6">
        <v>45702</v>
      </c>
      <c r="B617" s="1" t="s">
        <v>799</v>
      </c>
      <c r="C617" s="1" t="s">
        <v>29</v>
      </c>
      <c r="D617" t="s">
        <v>33</v>
      </c>
      <c r="E617" t="s">
        <v>208</v>
      </c>
      <c r="F617" t="s">
        <v>14</v>
      </c>
      <c r="G617" t="s">
        <v>15</v>
      </c>
      <c r="H617" s="3">
        <v>3</v>
      </c>
      <c r="I617" s="3">
        <v>59400</v>
      </c>
      <c r="J617" s="3">
        <v>178200</v>
      </c>
      <c r="K617" s="3">
        <v>45000</v>
      </c>
      <c r="L617" s="3">
        <v>135000</v>
      </c>
      <c r="M617" s="3">
        <v>43200</v>
      </c>
      <c r="N617" s="4">
        <v>0.24242424242424243</v>
      </c>
    </row>
    <row r="618" spans="1:14" x14ac:dyDescent="0.3">
      <c r="A618" s="6">
        <v>45702</v>
      </c>
      <c r="B618" s="1" t="s">
        <v>800</v>
      </c>
      <c r="C618" s="1" t="s">
        <v>29</v>
      </c>
      <c r="D618" t="s">
        <v>35</v>
      </c>
      <c r="E618" t="s">
        <v>92</v>
      </c>
      <c r="F618" t="s">
        <v>24</v>
      </c>
      <c r="G618" t="s">
        <v>25</v>
      </c>
      <c r="H618" s="3">
        <v>6</v>
      </c>
      <c r="I618" s="3">
        <v>3550</v>
      </c>
      <c r="J618" s="3">
        <v>21300</v>
      </c>
      <c r="K618" s="3">
        <v>2500</v>
      </c>
      <c r="L618" s="3">
        <v>15000</v>
      </c>
      <c r="M618" s="3">
        <v>6300</v>
      </c>
      <c r="N618" s="4">
        <v>0.29577464788732394</v>
      </c>
    </row>
    <row r="619" spans="1:14" x14ac:dyDescent="0.3">
      <c r="A619" s="6">
        <v>45702</v>
      </c>
      <c r="B619" s="1" t="s">
        <v>801</v>
      </c>
      <c r="C619" s="1" t="s">
        <v>29</v>
      </c>
      <c r="D619" t="s">
        <v>35</v>
      </c>
      <c r="E619" t="s">
        <v>151</v>
      </c>
      <c r="F619" t="s">
        <v>22</v>
      </c>
      <c r="G619" t="s">
        <v>18</v>
      </c>
      <c r="H619" s="3">
        <v>6</v>
      </c>
      <c r="I619" s="3">
        <v>9450</v>
      </c>
      <c r="J619" s="3">
        <v>56700</v>
      </c>
      <c r="K619" s="3">
        <v>7000</v>
      </c>
      <c r="L619" s="3">
        <v>42000</v>
      </c>
      <c r="M619" s="3">
        <v>14700</v>
      </c>
      <c r="N619" s="4">
        <v>0.25925925925925924</v>
      </c>
    </row>
    <row r="620" spans="1:14" x14ac:dyDescent="0.3">
      <c r="A620" s="6">
        <v>45702</v>
      </c>
      <c r="B620" s="1" t="s">
        <v>802</v>
      </c>
      <c r="C620" s="1" t="s">
        <v>28</v>
      </c>
      <c r="D620" t="s">
        <v>30</v>
      </c>
      <c r="E620" t="s">
        <v>92</v>
      </c>
      <c r="F620" t="s">
        <v>21</v>
      </c>
      <c r="G620" t="s">
        <v>20</v>
      </c>
      <c r="H620" s="3">
        <v>4</v>
      </c>
      <c r="I620" s="3">
        <v>870</v>
      </c>
      <c r="J620" s="3">
        <v>3480</v>
      </c>
      <c r="K620" s="3">
        <v>600</v>
      </c>
      <c r="L620" s="3">
        <v>2400</v>
      </c>
      <c r="M620" s="3">
        <v>1080</v>
      </c>
      <c r="N620" s="4">
        <v>0.31034482758620691</v>
      </c>
    </row>
    <row r="621" spans="1:14" x14ac:dyDescent="0.3">
      <c r="A621" s="6">
        <v>45702</v>
      </c>
      <c r="B621" s="1" t="s">
        <v>803</v>
      </c>
      <c r="C621" s="1" t="s">
        <v>27</v>
      </c>
      <c r="D621" t="s">
        <v>35</v>
      </c>
      <c r="E621" t="s">
        <v>169</v>
      </c>
      <c r="F621" t="s">
        <v>16</v>
      </c>
      <c r="G621" t="s">
        <v>15</v>
      </c>
      <c r="H621" s="3">
        <v>4</v>
      </c>
      <c r="I621" s="3">
        <v>46740</v>
      </c>
      <c r="J621" s="3">
        <v>186960</v>
      </c>
      <c r="K621" s="3">
        <v>38000</v>
      </c>
      <c r="L621" s="3">
        <v>152000</v>
      </c>
      <c r="M621" s="3">
        <v>34960</v>
      </c>
      <c r="N621" s="4">
        <v>0.18699186991869918</v>
      </c>
    </row>
    <row r="622" spans="1:14" x14ac:dyDescent="0.3">
      <c r="A622" s="6">
        <v>45702</v>
      </c>
      <c r="B622" s="1" t="s">
        <v>804</v>
      </c>
      <c r="C622" s="1" t="s">
        <v>28</v>
      </c>
      <c r="D622" t="s">
        <v>34</v>
      </c>
      <c r="E622" t="s">
        <v>565</v>
      </c>
      <c r="F622" t="s">
        <v>23</v>
      </c>
      <c r="G622" t="s">
        <v>25</v>
      </c>
      <c r="H622" s="3">
        <v>8</v>
      </c>
      <c r="I622" s="3">
        <v>4640</v>
      </c>
      <c r="J622" s="3">
        <v>37120</v>
      </c>
      <c r="K622" s="3">
        <v>3200</v>
      </c>
      <c r="L622" s="3">
        <v>25600</v>
      </c>
      <c r="M622" s="3">
        <v>11520</v>
      </c>
      <c r="N622" s="4">
        <v>0.31034482758620691</v>
      </c>
    </row>
    <row r="623" spans="1:14" x14ac:dyDescent="0.3">
      <c r="A623" s="6">
        <v>45702</v>
      </c>
      <c r="B623" s="1" t="s">
        <v>805</v>
      </c>
      <c r="C623" s="1" t="s">
        <v>28</v>
      </c>
      <c r="D623" t="s">
        <v>31</v>
      </c>
      <c r="E623" t="s">
        <v>327</v>
      </c>
      <c r="F623" t="s">
        <v>23</v>
      </c>
      <c r="G623" t="s">
        <v>25</v>
      </c>
      <c r="H623" s="3">
        <v>2</v>
      </c>
      <c r="I623" s="3">
        <v>4480</v>
      </c>
      <c r="J623" s="3">
        <v>8960</v>
      </c>
      <c r="K623" s="3">
        <v>3200</v>
      </c>
      <c r="L623" s="3">
        <v>6400</v>
      </c>
      <c r="M623" s="3">
        <v>2560</v>
      </c>
      <c r="N623" s="4">
        <v>0.2857142857142857</v>
      </c>
    </row>
    <row r="624" spans="1:14" x14ac:dyDescent="0.3">
      <c r="A624" s="6">
        <v>45702</v>
      </c>
      <c r="B624" s="1" t="s">
        <v>806</v>
      </c>
      <c r="C624" s="1" t="s">
        <v>26</v>
      </c>
      <c r="D624" t="s">
        <v>31</v>
      </c>
      <c r="E624" t="s">
        <v>157</v>
      </c>
      <c r="F624" t="s">
        <v>22</v>
      </c>
      <c r="G624" t="s">
        <v>18</v>
      </c>
      <c r="H624" s="3">
        <v>8</v>
      </c>
      <c r="I624" s="3">
        <v>9450</v>
      </c>
      <c r="J624" s="3">
        <v>75600</v>
      </c>
      <c r="K624" s="3">
        <v>7000</v>
      </c>
      <c r="L624" s="3">
        <v>56000</v>
      </c>
      <c r="M624" s="3">
        <v>19600</v>
      </c>
      <c r="N624" s="4">
        <v>0.25925925925925924</v>
      </c>
    </row>
    <row r="625" spans="1:14" x14ac:dyDescent="0.3">
      <c r="A625" s="6">
        <v>45702</v>
      </c>
      <c r="B625" s="1" t="s">
        <v>808</v>
      </c>
      <c r="C625" s="1" t="s">
        <v>28</v>
      </c>
      <c r="D625" t="s">
        <v>31</v>
      </c>
      <c r="E625" t="s">
        <v>149</v>
      </c>
      <c r="F625" t="s">
        <v>21</v>
      </c>
      <c r="G625" t="s">
        <v>20</v>
      </c>
      <c r="H625" s="3">
        <v>4</v>
      </c>
      <c r="I625" s="3">
        <v>870</v>
      </c>
      <c r="J625" s="3">
        <v>3480</v>
      </c>
      <c r="K625" s="3">
        <v>600</v>
      </c>
      <c r="L625" s="3">
        <v>2400</v>
      </c>
      <c r="M625" s="3">
        <v>1080</v>
      </c>
      <c r="N625" s="4">
        <v>0.31034482758620691</v>
      </c>
    </row>
    <row r="626" spans="1:14" x14ac:dyDescent="0.3">
      <c r="A626" s="6">
        <v>45702</v>
      </c>
      <c r="B626" s="1" t="s">
        <v>809</v>
      </c>
      <c r="C626" s="1" t="s">
        <v>28</v>
      </c>
      <c r="D626" t="s">
        <v>35</v>
      </c>
      <c r="E626" t="s">
        <v>319</v>
      </c>
      <c r="F626" t="s">
        <v>16</v>
      </c>
      <c r="G626" t="s">
        <v>15</v>
      </c>
      <c r="H626" s="3">
        <v>7</v>
      </c>
      <c r="I626" s="3">
        <v>52820.000000000007</v>
      </c>
      <c r="J626" s="3">
        <v>369740.00000000006</v>
      </c>
      <c r="K626" s="3">
        <v>38000</v>
      </c>
      <c r="L626" s="3">
        <v>266000</v>
      </c>
      <c r="M626" s="3">
        <v>103740.00000000006</v>
      </c>
      <c r="N626" s="4">
        <v>0.28057553956834541</v>
      </c>
    </row>
    <row r="627" spans="1:14" x14ac:dyDescent="0.3">
      <c r="A627" s="6">
        <v>45702</v>
      </c>
      <c r="B627" s="1" t="s">
        <v>810</v>
      </c>
      <c r="C627" s="1" t="s">
        <v>29</v>
      </c>
      <c r="D627" t="s">
        <v>33</v>
      </c>
      <c r="E627" t="s">
        <v>69</v>
      </c>
      <c r="F627" t="s">
        <v>21</v>
      </c>
      <c r="G627" t="s">
        <v>20</v>
      </c>
      <c r="H627" s="3">
        <v>9</v>
      </c>
      <c r="I627" s="3">
        <v>846</v>
      </c>
      <c r="J627" s="3">
        <v>7614</v>
      </c>
      <c r="K627" s="3">
        <v>600</v>
      </c>
      <c r="L627" s="3">
        <v>5400</v>
      </c>
      <c r="M627" s="3">
        <v>2214</v>
      </c>
      <c r="N627" s="4">
        <v>0.29078014184397161</v>
      </c>
    </row>
    <row r="628" spans="1:14" x14ac:dyDescent="0.3">
      <c r="A628" s="6">
        <v>45702</v>
      </c>
      <c r="B628" s="1" t="s">
        <v>811</v>
      </c>
      <c r="C628" s="1" t="s">
        <v>27</v>
      </c>
      <c r="D628" t="s">
        <v>30</v>
      </c>
      <c r="E628" t="s">
        <v>365</v>
      </c>
      <c r="F628" t="s">
        <v>22</v>
      </c>
      <c r="G628" t="s">
        <v>18</v>
      </c>
      <c r="H628" s="3">
        <v>8</v>
      </c>
      <c r="I628" s="3">
        <v>8400</v>
      </c>
      <c r="J628" s="3">
        <v>67200</v>
      </c>
      <c r="K628" s="3">
        <v>7000</v>
      </c>
      <c r="L628" s="3">
        <v>56000</v>
      </c>
      <c r="M628" s="3">
        <v>11200</v>
      </c>
      <c r="N628" s="4">
        <v>0.16666666666666666</v>
      </c>
    </row>
    <row r="629" spans="1:14" x14ac:dyDescent="0.3">
      <c r="A629" s="6">
        <v>45702</v>
      </c>
      <c r="B629" s="1" t="s">
        <v>812</v>
      </c>
      <c r="C629" s="1" t="s">
        <v>29</v>
      </c>
      <c r="D629" t="s">
        <v>32</v>
      </c>
      <c r="E629" t="s">
        <v>576</v>
      </c>
      <c r="F629" t="s">
        <v>17</v>
      </c>
      <c r="G629" t="s">
        <v>18</v>
      </c>
      <c r="H629" s="3">
        <v>5</v>
      </c>
      <c r="I629" s="3">
        <v>11730</v>
      </c>
      <c r="J629" s="3">
        <v>58650</v>
      </c>
      <c r="K629" s="3">
        <v>8500</v>
      </c>
      <c r="L629" s="3">
        <v>42500</v>
      </c>
      <c r="M629" s="3">
        <v>16150</v>
      </c>
      <c r="N629" s="4">
        <v>0.27536231884057971</v>
      </c>
    </row>
    <row r="630" spans="1:14" x14ac:dyDescent="0.3">
      <c r="A630" s="6">
        <v>45703</v>
      </c>
      <c r="B630" s="1" t="s">
        <v>813</v>
      </c>
      <c r="C630" s="1" t="s">
        <v>27</v>
      </c>
      <c r="D630" t="s">
        <v>32</v>
      </c>
      <c r="E630" t="s">
        <v>122</v>
      </c>
      <c r="F630" t="s">
        <v>23</v>
      </c>
      <c r="G630" t="s">
        <v>25</v>
      </c>
      <c r="H630" s="3">
        <v>4</v>
      </c>
      <c r="I630" s="3">
        <v>3840</v>
      </c>
      <c r="J630" s="3">
        <v>15360</v>
      </c>
      <c r="K630" s="3">
        <v>3200</v>
      </c>
      <c r="L630" s="3">
        <v>12800</v>
      </c>
      <c r="M630" s="3">
        <v>2560</v>
      </c>
      <c r="N630" s="4">
        <v>0.16666666666666666</v>
      </c>
    </row>
    <row r="631" spans="1:14" x14ac:dyDescent="0.3">
      <c r="A631" s="6">
        <v>45703</v>
      </c>
      <c r="B631" s="1" t="s">
        <v>814</v>
      </c>
      <c r="C631" s="1" t="s">
        <v>26</v>
      </c>
      <c r="D631" t="s">
        <v>30</v>
      </c>
      <c r="E631" t="s">
        <v>233</v>
      </c>
      <c r="F631" t="s">
        <v>17</v>
      </c>
      <c r="G631" t="s">
        <v>18</v>
      </c>
      <c r="H631" s="3">
        <v>6</v>
      </c>
      <c r="I631" s="3">
        <v>10710</v>
      </c>
      <c r="J631" s="3">
        <v>64260</v>
      </c>
      <c r="K631" s="3">
        <v>8500</v>
      </c>
      <c r="L631" s="3">
        <v>51000</v>
      </c>
      <c r="M631" s="3">
        <v>13260</v>
      </c>
      <c r="N631" s="4">
        <v>0.20634920634920634</v>
      </c>
    </row>
    <row r="632" spans="1:14" x14ac:dyDescent="0.3">
      <c r="A632" s="6">
        <v>45703</v>
      </c>
      <c r="B632" s="1" t="s">
        <v>815</v>
      </c>
      <c r="C632" s="1" t="s">
        <v>26</v>
      </c>
      <c r="D632" t="s">
        <v>31</v>
      </c>
      <c r="E632" t="s">
        <v>61</v>
      </c>
      <c r="F632" t="s">
        <v>16</v>
      </c>
      <c r="G632" t="s">
        <v>15</v>
      </c>
      <c r="H632" s="3">
        <v>6</v>
      </c>
      <c r="I632" s="3">
        <v>52439.999999999993</v>
      </c>
      <c r="J632" s="3">
        <v>314639.99999999994</v>
      </c>
      <c r="K632" s="3">
        <v>38000</v>
      </c>
      <c r="L632" s="3">
        <v>228000</v>
      </c>
      <c r="M632" s="3">
        <v>86639.999999999942</v>
      </c>
      <c r="N632" s="4">
        <v>0.2753623188405796</v>
      </c>
    </row>
    <row r="633" spans="1:14" x14ac:dyDescent="0.3">
      <c r="A633" s="6">
        <v>45703</v>
      </c>
      <c r="B633" s="1" t="s">
        <v>816</v>
      </c>
      <c r="C633" s="1" t="s">
        <v>29</v>
      </c>
      <c r="D633" t="s">
        <v>34</v>
      </c>
      <c r="E633" t="s">
        <v>163</v>
      </c>
      <c r="F633" t="s">
        <v>24</v>
      </c>
      <c r="G633" t="s">
        <v>25</v>
      </c>
      <c r="H633" s="3">
        <v>8</v>
      </c>
      <c r="I633" s="3">
        <v>3050</v>
      </c>
      <c r="J633" s="3">
        <v>24400</v>
      </c>
      <c r="K633" s="3">
        <v>2500</v>
      </c>
      <c r="L633" s="3">
        <v>20000</v>
      </c>
      <c r="M633" s="3">
        <v>4400</v>
      </c>
      <c r="N633" s="4">
        <v>0.18032786885245902</v>
      </c>
    </row>
    <row r="634" spans="1:14" x14ac:dyDescent="0.3">
      <c r="A634" s="6">
        <v>45703</v>
      </c>
      <c r="B634" s="1" t="s">
        <v>817</v>
      </c>
      <c r="C634" s="1" t="s">
        <v>26</v>
      </c>
      <c r="D634" t="s">
        <v>33</v>
      </c>
      <c r="E634" t="s">
        <v>206</v>
      </c>
      <c r="F634" t="s">
        <v>14</v>
      </c>
      <c r="G634" t="s">
        <v>15</v>
      </c>
      <c r="H634" s="3">
        <v>1</v>
      </c>
      <c r="I634" s="3">
        <v>57600</v>
      </c>
      <c r="J634" s="3">
        <v>57600</v>
      </c>
      <c r="K634" s="3">
        <v>45000</v>
      </c>
      <c r="L634" s="3">
        <v>45000</v>
      </c>
      <c r="M634" s="3">
        <v>12600</v>
      </c>
      <c r="N634" s="4">
        <v>0.21875</v>
      </c>
    </row>
    <row r="635" spans="1:14" x14ac:dyDescent="0.3">
      <c r="A635" s="6">
        <v>45703</v>
      </c>
      <c r="B635" s="1" t="s">
        <v>818</v>
      </c>
      <c r="C635" s="1" t="s">
        <v>27</v>
      </c>
      <c r="D635" t="s">
        <v>32</v>
      </c>
      <c r="E635" t="s">
        <v>100</v>
      </c>
      <c r="F635" t="s">
        <v>21</v>
      </c>
      <c r="G635" t="s">
        <v>20</v>
      </c>
      <c r="H635" s="3">
        <v>2</v>
      </c>
      <c r="I635" s="3">
        <v>720</v>
      </c>
      <c r="J635" s="3">
        <v>1440</v>
      </c>
      <c r="K635" s="3">
        <v>600</v>
      </c>
      <c r="L635" s="3">
        <v>1200</v>
      </c>
      <c r="M635" s="3">
        <v>240</v>
      </c>
      <c r="N635" s="4">
        <v>0.16666666666666666</v>
      </c>
    </row>
    <row r="636" spans="1:14" x14ac:dyDescent="0.3">
      <c r="A636" s="6">
        <v>45703</v>
      </c>
      <c r="B636" s="1" t="s">
        <v>819</v>
      </c>
      <c r="C636" s="1" t="s">
        <v>29</v>
      </c>
      <c r="D636" t="s">
        <v>33</v>
      </c>
      <c r="E636" t="s">
        <v>83</v>
      </c>
      <c r="F636" t="s">
        <v>17</v>
      </c>
      <c r="G636" t="s">
        <v>18</v>
      </c>
      <c r="H636" s="3">
        <v>6</v>
      </c>
      <c r="I636" s="3">
        <v>12325</v>
      </c>
      <c r="J636" s="3">
        <v>73950</v>
      </c>
      <c r="K636" s="3">
        <v>8500</v>
      </c>
      <c r="L636" s="3">
        <v>51000</v>
      </c>
      <c r="M636" s="3">
        <v>22950</v>
      </c>
      <c r="N636" s="4">
        <v>0.31034482758620691</v>
      </c>
    </row>
    <row r="637" spans="1:14" x14ac:dyDescent="0.3">
      <c r="A637" s="6">
        <v>45703</v>
      </c>
      <c r="B637" s="1" t="s">
        <v>820</v>
      </c>
      <c r="C637" s="1" t="s">
        <v>28</v>
      </c>
      <c r="D637" t="s">
        <v>31</v>
      </c>
      <c r="E637" t="s">
        <v>447</v>
      </c>
      <c r="F637" t="s">
        <v>23</v>
      </c>
      <c r="G637" t="s">
        <v>25</v>
      </c>
      <c r="H637" s="3">
        <v>6</v>
      </c>
      <c r="I637" s="3">
        <v>3840</v>
      </c>
      <c r="J637" s="3">
        <v>23040</v>
      </c>
      <c r="K637" s="3">
        <v>3200</v>
      </c>
      <c r="L637" s="3">
        <v>19200</v>
      </c>
      <c r="M637" s="3">
        <v>3840</v>
      </c>
      <c r="N637" s="4">
        <v>0.16666666666666666</v>
      </c>
    </row>
    <row r="638" spans="1:14" x14ac:dyDescent="0.3">
      <c r="A638" s="6">
        <v>45703</v>
      </c>
      <c r="B638" s="1" t="s">
        <v>821</v>
      </c>
      <c r="C638" s="1" t="s">
        <v>28</v>
      </c>
      <c r="D638" t="s">
        <v>31</v>
      </c>
      <c r="E638" t="s">
        <v>336</v>
      </c>
      <c r="F638" t="s">
        <v>24</v>
      </c>
      <c r="G638" t="s">
        <v>25</v>
      </c>
      <c r="H638" s="3">
        <v>10</v>
      </c>
      <c r="I638" s="3">
        <v>3025</v>
      </c>
      <c r="J638" s="3">
        <v>30250</v>
      </c>
      <c r="K638" s="3">
        <v>2500</v>
      </c>
      <c r="L638" s="3">
        <v>25000</v>
      </c>
      <c r="M638" s="3">
        <v>5250</v>
      </c>
      <c r="N638" s="4">
        <v>0.17355371900826447</v>
      </c>
    </row>
    <row r="639" spans="1:14" x14ac:dyDescent="0.3">
      <c r="A639" s="6">
        <v>45703</v>
      </c>
      <c r="B639" s="1" t="s">
        <v>822</v>
      </c>
      <c r="C639" s="1" t="s">
        <v>28</v>
      </c>
      <c r="D639" t="s">
        <v>31</v>
      </c>
      <c r="E639" t="s">
        <v>336</v>
      </c>
      <c r="F639" t="s">
        <v>14</v>
      </c>
      <c r="G639" t="s">
        <v>15</v>
      </c>
      <c r="H639" s="3">
        <v>10</v>
      </c>
      <c r="I639" s="3">
        <v>55350</v>
      </c>
      <c r="J639" s="3">
        <v>553500</v>
      </c>
      <c r="K639" s="3">
        <v>45000</v>
      </c>
      <c r="L639" s="3">
        <v>450000</v>
      </c>
      <c r="M639" s="3">
        <v>103500</v>
      </c>
      <c r="N639" s="4">
        <v>0.18699186991869918</v>
      </c>
    </row>
    <row r="640" spans="1:14" x14ac:dyDescent="0.3">
      <c r="A640" s="6">
        <v>45703</v>
      </c>
      <c r="B640" s="1" t="s">
        <v>823</v>
      </c>
      <c r="C640" s="1" t="s">
        <v>26</v>
      </c>
      <c r="D640" t="s">
        <v>31</v>
      </c>
      <c r="E640" t="s">
        <v>159</v>
      </c>
      <c r="F640" t="s">
        <v>19</v>
      </c>
      <c r="G640" t="s">
        <v>20</v>
      </c>
      <c r="H640" s="3">
        <v>2</v>
      </c>
      <c r="I640" s="3">
        <v>1143</v>
      </c>
      <c r="J640" s="3">
        <v>2286</v>
      </c>
      <c r="K640" s="3">
        <v>900</v>
      </c>
      <c r="L640" s="3">
        <v>1800</v>
      </c>
      <c r="M640" s="3">
        <v>486</v>
      </c>
      <c r="N640" s="4">
        <v>0.2125984251968504</v>
      </c>
    </row>
    <row r="641" spans="1:14" x14ac:dyDescent="0.3">
      <c r="A641" s="6">
        <v>45703</v>
      </c>
      <c r="B641" s="1" t="s">
        <v>824</v>
      </c>
      <c r="C641" s="1" t="s">
        <v>26</v>
      </c>
      <c r="D641" t="s">
        <v>35</v>
      </c>
      <c r="E641" t="s">
        <v>361</v>
      </c>
      <c r="F641" t="s">
        <v>21</v>
      </c>
      <c r="G641" t="s">
        <v>20</v>
      </c>
      <c r="H641" s="3">
        <v>4</v>
      </c>
      <c r="I641" s="3">
        <v>864</v>
      </c>
      <c r="J641" s="3">
        <v>3456</v>
      </c>
      <c r="K641" s="3">
        <v>600</v>
      </c>
      <c r="L641" s="3">
        <v>2400</v>
      </c>
      <c r="M641" s="3">
        <v>1056</v>
      </c>
      <c r="N641" s="4">
        <v>0.30555555555555558</v>
      </c>
    </row>
    <row r="642" spans="1:14" x14ac:dyDescent="0.3">
      <c r="A642" s="6">
        <v>45703</v>
      </c>
      <c r="B642" s="1" t="s">
        <v>825</v>
      </c>
      <c r="C642" s="1" t="s">
        <v>26</v>
      </c>
      <c r="D642" t="s">
        <v>32</v>
      </c>
      <c r="E642" t="s">
        <v>233</v>
      </c>
      <c r="F642" t="s">
        <v>23</v>
      </c>
      <c r="G642" t="s">
        <v>25</v>
      </c>
      <c r="H642" s="3">
        <v>4</v>
      </c>
      <c r="I642" s="3">
        <v>4096</v>
      </c>
      <c r="J642" s="3">
        <v>16384</v>
      </c>
      <c r="K642" s="3">
        <v>3200</v>
      </c>
      <c r="L642" s="3">
        <v>12800</v>
      </c>
      <c r="M642" s="3">
        <v>3584</v>
      </c>
      <c r="N642" s="4">
        <v>0.21875</v>
      </c>
    </row>
    <row r="643" spans="1:14" x14ac:dyDescent="0.3">
      <c r="A643" s="6">
        <v>45703</v>
      </c>
      <c r="B643" s="1" t="s">
        <v>826</v>
      </c>
      <c r="C643" s="1" t="s">
        <v>26</v>
      </c>
      <c r="D643" t="s">
        <v>34</v>
      </c>
      <c r="E643" t="s">
        <v>193</v>
      </c>
      <c r="F643" t="s">
        <v>17</v>
      </c>
      <c r="G643" t="s">
        <v>18</v>
      </c>
      <c r="H643" s="3">
        <v>6</v>
      </c>
      <c r="I643" s="3">
        <v>11730</v>
      </c>
      <c r="J643" s="3">
        <v>70380</v>
      </c>
      <c r="K643" s="3">
        <v>8500</v>
      </c>
      <c r="L643" s="3">
        <v>51000</v>
      </c>
      <c r="M643" s="3">
        <v>19380</v>
      </c>
      <c r="N643" s="4">
        <v>0.27536231884057971</v>
      </c>
    </row>
    <row r="644" spans="1:14" x14ac:dyDescent="0.3">
      <c r="A644" s="6">
        <v>45704</v>
      </c>
      <c r="B644" s="1" t="s">
        <v>827</v>
      </c>
      <c r="C644" s="1" t="s">
        <v>28</v>
      </c>
      <c r="D644" t="s">
        <v>35</v>
      </c>
      <c r="E644" t="s">
        <v>92</v>
      </c>
      <c r="F644" t="s">
        <v>14</v>
      </c>
      <c r="G644" t="s">
        <v>15</v>
      </c>
      <c r="H644" s="3">
        <v>2</v>
      </c>
      <c r="I644" s="3">
        <v>59400</v>
      </c>
      <c r="J644" s="3">
        <v>118800</v>
      </c>
      <c r="K644" s="3">
        <v>45000</v>
      </c>
      <c r="L644" s="3">
        <v>90000</v>
      </c>
      <c r="M644" s="3">
        <v>28800</v>
      </c>
      <c r="N644" s="4">
        <v>0.24242424242424243</v>
      </c>
    </row>
    <row r="645" spans="1:14" x14ac:dyDescent="0.3">
      <c r="A645" s="6">
        <v>45704</v>
      </c>
      <c r="B645" s="1" t="s">
        <v>828</v>
      </c>
      <c r="C645" s="1" t="s">
        <v>27</v>
      </c>
      <c r="D645" t="s">
        <v>35</v>
      </c>
      <c r="E645" t="s">
        <v>222</v>
      </c>
      <c r="F645" t="s">
        <v>23</v>
      </c>
      <c r="G645" t="s">
        <v>25</v>
      </c>
      <c r="H645" s="3">
        <v>5</v>
      </c>
      <c r="I645" s="3">
        <v>4512</v>
      </c>
      <c r="J645" s="3">
        <v>22560</v>
      </c>
      <c r="K645" s="3">
        <v>3200</v>
      </c>
      <c r="L645" s="3">
        <v>16000</v>
      </c>
      <c r="M645" s="3">
        <v>6560</v>
      </c>
      <c r="N645" s="4">
        <v>0.29078014184397161</v>
      </c>
    </row>
    <row r="646" spans="1:14" x14ac:dyDescent="0.3">
      <c r="A646" s="6">
        <v>45704</v>
      </c>
      <c r="B646" s="1" t="s">
        <v>829</v>
      </c>
      <c r="C646" s="1" t="s">
        <v>29</v>
      </c>
      <c r="D646" t="s">
        <v>33</v>
      </c>
      <c r="E646" t="s">
        <v>431</v>
      </c>
      <c r="F646" t="s">
        <v>23</v>
      </c>
      <c r="G646" t="s">
        <v>25</v>
      </c>
      <c r="H646" s="3">
        <v>1</v>
      </c>
      <c r="I646" s="3">
        <v>4192</v>
      </c>
      <c r="J646" s="3">
        <v>4192</v>
      </c>
      <c r="K646" s="3">
        <v>3200</v>
      </c>
      <c r="L646" s="3">
        <v>3200</v>
      </c>
      <c r="M646" s="3">
        <v>992</v>
      </c>
      <c r="N646" s="4">
        <v>0.23664122137404581</v>
      </c>
    </row>
    <row r="647" spans="1:14" x14ac:dyDescent="0.3">
      <c r="A647" s="6">
        <v>45704</v>
      </c>
      <c r="B647" s="1" t="s">
        <v>830</v>
      </c>
      <c r="C647" s="1" t="s">
        <v>27</v>
      </c>
      <c r="D647" t="s">
        <v>34</v>
      </c>
      <c r="E647" t="s">
        <v>273</v>
      </c>
      <c r="F647" t="s">
        <v>14</v>
      </c>
      <c r="G647" t="s">
        <v>15</v>
      </c>
      <c r="H647" s="3">
        <v>2</v>
      </c>
      <c r="I647" s="3">
        <v>55800</v>
      </c>
      <c r="J647" s="3">
        <v>111600</v>
      </c>
      <c r="K647" s="3">
        <v>45000</v>
      </c>
      <c r="L647" s="3">
        <v>90000</v>
      </c>
      <c r="M647" s="3">
        <v>21600</v>
      </c>
      <c r="N647" s="4">
        <v>0.19354838709677419</v>
      </c>
    </row>
    <row r="648" spans="1:14" x14ac:dyDescent="0.3">
      <c r="A648" s="6">
        <v>45704</v>
      </c>
      <c r="B648" s="1" t="s">
        <v>831</v>
      </c>
      <c r="C648" s="1" t="s">
        <v>28</v>
      </c>
      <c r="D648" t="s">
        <v>31</v>
      </c>
      <c r="E648" t="s">
        <v>122</v>
      </c>
      <c r="F648" t="s">
        <v>23</v>
      </c>
      <c r="G648" t="s">
        <v>25</v>
      </c>
      <c r="H648" s="3">
        <v>9</v>
      </c>
      <c r="I648" s="3">
        <v>3968</v>
      </c>
      <c r="J648" s="3">
        <v>35712</v>
      </c>
      <c r="K648" s="3">
        <v>3200</v>
      </c>
      <c r="L648" s="3">
        <v>28800</v>
      </c>
      <c r="M648" s="3">
        <v>6912</v>
      </c>
      <c r="N648" s="4">
        <v>0.19354838709677419</v>
      </c>
    </row>
    <row r="649" spans="1:14" x14ac:dyDescent="0.3">
      <c r="A649" s="6">
        <v>45704</v>
      </c>
      <c r="B649" s="1" t="s">
        <v>832</v>
      </c>
      <c r="C649" s="1" t="s">
        <v>28</v>
      </c>
      <c r="D649" t="s">
        <v>31</v>
      </c>
      <c r="E649" t="s">
        <v>47</v>
      </c>
      <c r="F649" t="s">
        <v>19</v>
      </c>
      <c r="G649" t="s">
        <v>20</v>
      </c>
      <c r="H649" s="3">
        <v>6</v>
      </c>
      <c r="I649" s="3">
        <v>1170</v>
      </c>
      <c r="J649" s="3">
        <v>7020</v>
      </c>
      <c r="K649" s="3">
        <v>900</v>
      </c>
      <c r="L649" s="3">
        <v>5400</v>
      </c>
      <c r="M649" s="3">
        <v>1620</v>
      </c>
      <c r="N649" s="4">
        <v>0.23076923076923078</v>
      </c>
    </row>
    <row r="650" spans="1:14" x14ac:dyDescent="0.3">
      <c r="A650" s="6">
        <v>45704</v>
      </c>
      <c r="B650" s="1" t="s">
        <v>833</v>
      </c>
      <c r="C650" s="1" t="s">
        <v>28</v>
      </c>
      <c r="D650" t="s">
        <v>32</v>
      </c>
      <c r="E650" t="s">
        <v>214</v>
      </c>
      <c r="F650" t="s">
        <v>16</v>
      </c>
      <c r="G650" t="s">
        <v>15</v>
      </c>
      <c r="H650" s="3">
        <v>4</v>
      </c>
      <c r="I650" s="3">
        <v>48260</v>
      </c>
      <c r="J650" s="3">
        <v>193040</v>
      </c>
      <c r="K650" s="3">
        <v>38000</v>
      </c>
      <c r="L650" s="3">
        <v>152000</v>
      </c>
      <c r="M650" s="3">
        <v>41040</v>
      </c>
      <c r="N650" s="4">
        <v>0.2125984251968504</v>
      </c>
    </row>
    <row r="651" spans="1:14" x14ac:dyDescent="0.3">
      <c r="A651" s="6">
        <v>45704</v>
      </c>
      <c r="B651" s="1" t="s">
        <v>834</v>
      </c>
      <c r="C651" s="1" t="s">
        <v>28</v>
      </c>
      <c r="D651" t="s">
        <v>34</v>
      </c>
      <c r="E651" t="s">
        <v>85</v>
      </c>
      <c r="F651" t="s">
        <v>22</v>
      </c>
      <c r="G651" t="s">
        <v>18</v>
      </c>
      <c r="H651" s="3">
        <v>3</v>
      </c>
      <c r="I651" s="3">
        <v>8400</v>
      </c>
      <c r="J651" s="3">
        <v>25200</v>
      </c>
      <c r="K651" s="3">
        <v>7000</v>
      </c>
      <c r="L651" s="3">
        <v>21000</v>
      </c>
      <c r="M651" s="3">
        <v>4200</v>
      </c>
      <c r="N651" s="4">
        <v>0.16666666666666666</v>
      </c>
    </row>
    <row r="652" spans="1:14" x14ac:dyDescent="0.3">
      <c r="A652" s="6">
        <v>45704</v>
      </c>
      <c r="B652" s="1" t="s">
        <v>835</v>
      </c>
      <c r="C652" s="1" t="s">
        <v>29</v>
      </c>
      <c r="D652" t="s">
        <v>34</v>
      </c>
      <c r="E652" t="s">
        <v>216</v>
      </c>
      <c r="F652" t="s">
        <v>14</v>
      </c>
      <c r="G652" t="s">
        <v>15</v>
      </c>
      <c r="H652" s="3">
        <v>7</v>
      </c>
      <c r="I652" s="3">
        <v>54450</v>
      </c>
      <c r="J652" s="3">
        <v>381150</v>
      </c>
      <c r="K652" s="3">
        <v>45000</v>
      </c>
      <c r="L652" s="3">
        <v>315000</v>
      </c>
      <c r="M652" s="3">
        <v>66150</v>
      </c>
      <c r="N652" s="4">
        <v>0.17355371900826447</v>
      </c>
    </row>
    <row r="653" spans="1:14" x14ac:dyDescent="0.3">
      <c r="A653" s="6">
        <v>45704</v>
      </c>
      <c r="B653" s="1" t="s">
        <v>836</v>
      </c>
      <c r="C653" s="1" t="s">
        <v>27</v>
      </c>
      <c r="D653" t="s">
        <v>30</v>
      </c>
      <c r="E653" t="s">
        <v>90</v>
      </c>
      <c r="F653" t="s">
        <v>14</v>
      </c>
      <c r="G653" t="s">
        <v>15</v>
      </c>
      <c r="H653" s="3">
        <v>10</v>
      </c>
      <c r="I653" s="3">
        <v>60750.000000000007</v>
      </c>
      <c r="J653" s="3">
        <v>607500.00000000012</v>
      </c>
      <c r="K653" s="3">
        <v>45000</v>
      </c>
      <c r="L653" s="3">
        <v>450000</v>
      </c>
      <c r="M653" s="3">
        <v>157500.00000000012</v>
      </c>
      <c r="N653" s="4">
        <v>0.25925925925925941</v>
      </c>
    </row>
    <row r="654" spans="1:14" x14ac:dyDescent="0.3">
      <c r="A654" s="6">
        <v>45704</v>
      </c>
      <c r="B654" s="1" t="s">
        <v>837</v>
      </c>
      <c r="C654" s="1" t="s">
        <v>27</v>
      </c>
      <c r="D654" t="s">
        <v>31</v>
      </c>
      <c r="E654" t="s">
        <v>521</v>
      </c>
      <c r="F654" t="s">
        <v>17</v>
      </c>
      <c r="G654" t="s">
        <v>18</v>
      </c>
      <c r="H654" s="3">
        <v>7</v>
      </c>
      <c r="I654" s="3">
        <v>12240</v>
      </c>
      <c r="J654" s="3">
        <v>85680</v>
      </c>
      <c r="K654" s="3">
        <v>8500</v>
      </c>
      <c r="L654" s="3">
        <v>59500</v>
      </c>
      <c r="M654" s="3">
        <v>26180</v>
      </c>
      <c r="N654" s="4">
        <v>0.30555555555555558</v>
      </c>
    </row>
    <row r="655" spans="1:14" x14ac:dyDescent="0.3">
      <c r="A655" s="6">
        <v>45704</v>
      </c>
      <c r="B655" s="1" t="s">
        <v>838</v>
      </c>
      <c r="C655" s="1" t="s">
        <v>27</v>
      </c>
      <c r="D655" t="s">
        <v>32</v>
      </c>
      <c r="E655" t="s">
        <v>265</v>
      </c>
      <c r="F655" t="s">
        <v>14</v>
      </c>
      <c r="G655" t="s">
        <v>15</v>
      </c>
      <c r="H655" s="3">
        <v>4</v>
      </c>
      <c r="I655" s="3">
        <v>61199.999999999993</v>
      </c>
      <c r="J655" s="3">
        <v>244799.99999999997</v>
      </c>
      <c r="K655" s="3">
        <v>45000</v>
      </c>
      <c r="L655" s="3">
        <v>180000</v>
      </c>
      <c r="M655" s="3">
        <v>64799.999999999971</v>
      </c>
      <c r="N655" s="4">
        <v>0.26470588235294107</v>
      </c>
    </row>
    <row r="656" spans="1:14" x14ac:dyDescent="0.3">
      <c r="A656" s="6">
        <v>45704</v>
      </c>
      <c r="B656" s="1" t="s">
        <v>839</v>
      </c>
      <c r="C656" s="1" t="s">
        <v>26</v>
      </c>
      <c r="D656" t="s">
        <v>30</v>
      </c>
      <c r="E656" t="s">
        <v>415</v>
      </c>
      <c r="F656" t="s">
        <v>14</v>
      </c>
      <c r="G656" t="s">
        <v>15</v>
      </c>
      <c r="H656" s="3">
        <v>6</v>
      </c>
      <c r="I656" s="3">
        <v>54000</v>
      </c>
      <c r="J656" s="3">
        <v>324000</v>
      </c>
      <c r="K656" s="3">
        <v>45000</v>
      </c>
      <c r="L656" s="3">
        <v>270000</v>
      </c>
      <c r="M656" s="3">
        <v>54000</v>
      </c>
      <c r="N656" s="4">
        <v>0.16666666666666666</v>
      </c>
    </row>
    <row r="657" spans="1:14" x14ac:dyDescent="0.3">
      <c r="A657" s="6">
        <v>45704</v>
      </c>
      <c r="B657" s="1" t="s">
        <v>840</v>
      </c>
      <c r="C657" s="1" t="s">
        <v>29</v>
      </c>
      <c r="D657" t="s">
        <v>33</v>
      </c>
      <c r="E657" t="s">
        <v>134</v>
      </c>
      <c r="F657" t="s">
        <v>22</v>
      </c>
      <c r="G657" t="s">
        <v>18</v>
      </c>
      <c r="H657" s="3">
        <v>10</v>
      </c>
      <c r="I657" s="3">
        <v>10010</v>
      </c>
      <c r="J657" s="3">
        <v>100100</v>
      </c>
      <c r="K657" s="3">
        <v>7000</v>
      </c>
      <c r="L657" s="3">
        <v>70000</v>
      </c>
      <c r="M657" s="3">
        <v>30100</v>
      </c>
      <c r="N657" s="4">
        <v>0.30069930069930068</v>
      </c>
    </row>
    <row r="658" spans="1:14" x14ac:dyDescent="0.3">
      <c r="A658" s="6">
        <v>45705</v>
      </c>
      <c r="B658" s="1" t="s">
        <v>841</v>
      </c>
      <c r="C658" s="1" t="s">
        <v>26</v>
      </c>
      <c r="D658" t="s">
        <v>30</v>
      </c>
      <c r="E658" t="s">
        <v>92</v>
      </c>
      <c r="F658" t="s">
        <v>16</v>
      </c>
      <c r="G658" t="s">
        <v>15</v>
      </c>
      <c r="H658" s="3">
        <v>8</v>
      </c>
      <c r="I658" s="3">
        <v>49780</v>
      </c>
      <c r="J658" s="3">
        <v>398240</v>
      </c>
      <c r="K658" s="3">
        <v>38000</v>
      </c>
      <c r="L658" s="3">
        <v>304000</v>
      </c>
      <c r="M658" s="3">
        <v>94240</v>
      </c>
      <c r="N658" s="4">
        <v>0.23664122137404581</v>
      </c>
    </row>
    <row r="659" spans="1:14" x14ac:dyDescent="0.3">
      <c r="A659" s="6">
        <v>45705</v>
      </c>
      <c r="B659" s="1" t="s">
        <v>842</v>
      </c>
      <c r="C659" s="1" t="s">
        <v>29</v>
      </c>
      <c r="D659" t="s">
        <v>33</v>
      </c>
      <c r="E659" t="s">
        <v>65</v>
      </c>
      <c r="F659" t="s">
        <v>24</v>
      </c>
      <c r="G659" t="s">
        <v>25</v>
      </c>
      <c r="H659" s="3">
        <v>2</v>
      </c>
      <c r="I659" s="3">
        <v>3150</v>
      </c>
      <c r="J659" s="3">
        <v>6300</v>
      </c>
      <c r="K659" s="3">
        <v>2500</v>
      </c>
      <c r="L659" s="3">
        <v>5000</v>
      </c>
      <c r="M659" s="3">
        <v>1300</v>
      </c>
      <c r="N659" s="4">
        <v>0.20634920634920634</v>
      </c>
    </row>
    <row r="660" spans="1:14" x14ac:dyDescent="0.3">
      <c r="A660" s="6">
        <v>45705</v>
      </c>
      <c r="B660" s="1" t="s">
        <v>843</v>
      </c>
      <c r="C660" s="1" t="s">
        <v>26</v>
      </c>
      <c r="D660" t="s">
        <v>30</v>
      </c>
      <c r="E660" t="s">
        <v>137</v>
      </c>
      <c r="F660" t="s">
        <v>16</v>
      </c>
      <c r="G660" t="s">
        <v>15</v>
      </c>
      <c r="H660" s="3">
        <v>1</v>
      </c>
      <c r="I660" s="3">
        <v>51679.999999999993</v>
      </c>
      <c r="J660" s="3">
        <v>51679.999999999993</v>
      </c>
      <c r="K660" s="3">
        <v>38000</v>
      </c>
      <c r="L660" s="3">
        <v>38000</v>
      </c>
      <c r="M660" s="3">
        <v>13679.999999999993</v>
      </c>
      <c r="N660" s="4">
        <v>0.26470588235294107</v>
      </c>
    </row>
    <row r="661" spans="1:14" x14ac:dyDescent="0.3">
      <c r="A661" s="6">
        <v>45705</v>
      </c>
      <c r="B661" s="1" t="s">
        <v>844</v>
      </c>
      <c r="C661" s="1" t="s">
        <v>28</v>
      </c>
      <c r="D661" t="s">
        <v>32</v>
      </c>
      <c r="E661" t="s">
        <v>351</v>
      </c>
      <c r="F661" t="s">
        <v>17</v>
      </c>
      <c r="G661" t="s">
        <v>18</v>
      </c>
      <c r="H661" s="3">
        <v>10</v>
      </c>
      <c r="I661" s="3">
        <v>10200</v>
      </c>
      <c r="J661" s="3">
        <v>102000</v>
      </c>
      <c r="K661" s="3">
        <v>8500</v>
      </c>
      <c r="L661" s="3">
        <v>85000</v>
      </c>
      <c r="M661" s="3">
        <v>17000</v>
      </c>
      <c r="N661" s="4">
        <v>0.16666666666666666</v>
      </c>
    </row>
    <row r="662" spans="1:14" x14ac:dyDescent="0.3">
      <c r="A662" s="6">
        <v>45705</v>
      </c>
      <c r="B662" s="1" t="s">
        <v>845</v>
      </c>
      <c r="C662" s="1" t="s">
        <v>28</v>
      </c>
      <c r="D662" t="s">
        <v>32</v>
      </c>
      <c r="E662" t="s">
        <v>51</v>
      </c>
      <c r="F662" t="s">
        <v>17</v>
      </c>
      <c r="G662" t="s">
        <v>18</v>
      </c>
      <c r="H662" s="3">
        <v>10</v>
      </c>
      <c r="I662" s="3">
        <v>10455</v>
      </c>
      <c r="J662" s="3">
        <v>104550</v>
      </c>
      <c r="K662" s="3">
        <v>8500</v>
      </c>
      <c r="L662" s="3">
        <v>85000</v>
      </c>
      <c r="M662" s="3">
        <v>19550</v>
      </c>
      <c r="N662" s="4">
        <v>0.18699186991869918</v>
      </c>
    </row>
    <row r="663" spans="1:14" x14ac:dyDescent="0.3">
      <c r="A663" s="6">
        <v>45705</v>
      </c>
      <c r="B663" s="1" t="s">
        <v>846</v>
      </c>
      <c r="C663" s="1" t="s">
        <v>29</v>
      </c>
      <c r="D663" t="s">
        <v>30</v>
      </c>
      <c r="E663" t="s">
        <v>228</v>
      </c>
      <c r="F663" t="s">
        <v>21</v>
      </c>
      <c r="G663" t="s">
        <v>20</v>
      </c>
      <c r="H663" s="3">
        <v>9</v>
      </c>
      <c r="I663" s="3">
        <v>726</v>
      </c>
      <c r="J663" s="3">
        <v>6534</v>
      </c>
      <c r="K663" s="3">
        <v>600</v>
      </c>
      <c r="L663" s="3">
        <v>5400</v>
      </c>
      <c r="M663" s="3">
        <v>1134</v>
      </c>
      <c r="N663" s="4">
        <v>0.17355371900826447</v>
      </c>
    </row>
    <row r="664" spans="1:14" x14ac:dyDescent="0.3">
      <c r="A664" s="6">
        <v>45705</v>
      </c>
      <c r="B664" s="1" t="s">
        <v>847</v>
      </c>
      <c r="C664" s="1" t="s">
        <v>26</v>
      </c>
      <c r="D664" t="s">
        <v>33</v>
      </c>
      <c r="E664" t="s">
        <v>226</v>
      </c>
      <c r="F664" t="s">
        <v>22</v>
      </c>
      <c r="G664" t="s">
        <v>18</v>
      </c>
      <c r="H664" s="3">
        <v>4</v>
      </c>
      <c r="I664" s="3">
        <v>9590</v>
      </c>
      <c r="J664" s="3">
        <v>38360</v>
      </c>
      <c r="K664" s="3">
        <v>7000</v>
      </c>
      <c r="L664" s="3">
        <v>28000</v>
      </c>
      <c r="M664" s="3">
        <v>10360</v>
      </c>
      <c r="N664" s="4">
        <v>0.27007299270072993</v>
      </c>
    </row>
    <row r="665" spans="1:14" x14ac:dyDescent="0.3">
      <c r="A665" s="6">
        <v>45705</v>
      </c>
      <c r="B665" s="1" t="s">
        <v>848</v>
      </c>
      <c r="C665" s="1" t="s">
        <v>28</v>
      </c>
      <c r="D665" t="s">
        <v>33</v>
      </c>
      <c r="E665" t="s">
        <v>351</v>
      </c>
      <c r="F665" t="s">
        <v>21</v>
      </c>
      <c r="G665" t="s">
        <v>20</v>
      </c>
      <c r="H665" s="3">
        <v>2</v>
      </c>
      <c r="I665" s="3">
        <v>827.99999999999989</v>
      </c>
      <c r="J665" s="3">
        <v>1655.9999999999998</v>
      </c>
      <c r="K665" s="3">
        <v>600</v>
      </c>
      <c r="L665" s="3">
        <v>1200</v>
      </c>
      <c r="M665" s="3">
        <v>455.99999999999977</v>
      </c>
      <c r="N665" s="4">
        <v>0.2753623188405796</v>
      </c>
    </row>
    <row r="666" spans="1:14" x14ac:dyDescent="0.3">
      <c r="A666" s="6">
        <v>45705</v>
      </c>
      <c r="B666" s="1" t="s">
        <v>849</v>
      </c>
      <c r="C666" s="1" t="s">
        <v>29</v>
      </c>
      <c r="D666" t="s">
        <v>33</v>
      </c>
      <c r="E666" t="s">
        <v>379</v>
      </c>
      <c r="F666" t="s">
        <v>14</v>
      </c>
      <c r="G666" t="s">
        <v>15</v>
      </c>
      <c r="H666" s="3">
        <v>1</v>
      </c>
      <c r="I666" s="3">
        <v>61650.000000000007</v>
      </c>
      <c r="J666" s="3">
        <v>61650.000000000007</v>
      </c>
      <c r="K666" s="3">
        <v>45000</v>
      </c>
      <c r="L666" s="3">
        <v>45000</v>
      </c>
      <c r="M666" s="3">
        <v>16650.000000000007</v>
      </c>
      <c r="N666" s="4">
        <v>0.27007299270072999</v>
      </c>
    </row>
    <row r="667" spans="1:14" x14ac:dyDescent="0.3">
      <c r="A667" s="6">
        <v>45705</v>
      </c>
      <c r="B667" s="1" t="s">
        <v>850</v>
      </c>
      <c r="C667" s="1" t="s">
        <v>29</v>
      </c>
      <c r="D667" t="s">
        <v>31</v>
      </c>
      <c r="E667" t="s">
        <v>37</v>
      </c>
      <c r="F667" t="s">
        <v>16</v>
      </c>
      <c r="G667" t="s">
        <v>15</v>
      </c>
      <c r="H667" s="3">
        <v>4</v>
      </c>
      <c r="I667" s="3">
        <v>48260</v>
      </c>
      <c r="J667" s="3">
        <v>193040</v>
      </c>
      <c r="K667" s="3">
        <v>38000</v>
      </c>
      <c r="L667" s="3">
        <v>152000</v>
      </c>
      <c r="M667" s="3">
        <v>41040</v>
      </c>
      <c r="N667" s="4">
        <v>0.2125984251968504</v>
      </c>
    </row>
    <row r="668" spans="1:14" x14ac:dyDescent="0.3">
      <c r="A668" s="6">
        <v>45705</v>
      </c>
      <c r="B668" s="1" t="s">
        <v>851</v>
      </c>
      <c r="C668" s="1" t="s">
        <v>27</v>
      </c>
      <c r="D668" t="s">
        <v>34</v>
      </c>
      <c r="E668" t="s">
        <v>112</v>
      </c>
      <c r="F668" t="s">
        <v>16</v>
      </c>
      <c r="G668" t="s">
        <v>15</v>
      </c>
      <c r="H668" s="3">
        <v>3</v>
      </c>
      <c r="I668" s="3">
        <v>52820.000000000007</v>
      </c>
      <c r="J668" s="3">
        <v>158460.00000000003</v>
      </c>
      <c r="K668" s="3">
        <v>38000</v>
      </c>
      <c r="L668" s="3">
        <v>114000</v>
      </c>
      <c r="M668" s="3">
        <v>44460.000000000029</v>
      </c>
      <c r="N668" s="4">
        <v>0.28057553956834547</v>
      </c>
    </row>
    <row r="669" spans="1:14" x14ac:dyDescent="0.3">
      <c r="A669" s="6">
        <v>45705</v>
      </c>
      <c r="B669" s="1" t="s">
        <v>852</v>
      </c>
      <c r="C669" s="1" t="s">
        <v>29</v>
      </c>
      <c r="D669" t="s">
        <v>33</v>
      </c>
      <c r="E669" t="s">
        <v>139</v>
      </c>
      <c r="F669" t="s">
        <v>14</v>
      </c>
      <c r="G669" t="s">
        <v>15</v>
      </c>
      <c r="H669" s="3">
        <v>10</v>
      </c>
      <c r="I669" s="3">
        <v>57600</v>
      </c>
      <c r="J669" s="3">
        <v>576000</v>
      </c>
      <c r="K669" s="3">
        <v>45000</v>
      </c>
      <c r="L669" s="3">
        <v>450000</v>
      </c>
      <c r="M669" s="3">
        <v>126000</v>
      </c>
      <c r="N669" s="4">
        <v>0.21875</v>
      </c>
    </row>
    <row r="670" spans="1:14" x14ac:dyDescent="0.3">
      <c r="A670" s="6">
        <v>45705</v>
      </c>
      <c r="B670" s="1" t="s">
        <v>853</v>
      </c>
      <c r="C670" s="1" t="s">
        <v>28</v>
      </c>
      <c r="D670" t="s">
        <v>32</v>
      </c>
      <c r="E670" t="s">
        <v>216</v>
      </c>
      <c r="F670" t="s">
        <v>16</v>
      </c>
      <c r="G670" t="s">
        <v>15</v>
      </c>
      <c r="H670" s="3">
        <v>2</v>
      </c>
      <c r="I670" s="3">
        <v>46360</v>
      </c>
      <c r="J670" s="3">
        <v>92720</v>
      </c>
      <c r="K670" s="3">
        <v>38000</v>
      </c>
      <c r="L670" s="3">
        <v>76000</v>
      </c>
      <c r="M670" s="3">
        <v>16720</v>
      </c>
      <c r="N670" s="4">
        <v>0.18032786885245902</v>
      </c>
    </row>
    <row r="671" spans="1:14" x14ac:dyDescent="0.3">
      <c r="A671" s="6">
        <v>45705</v>
      </c>
      <c r="B671" s="1" t="s">
        <v>854</v>
      </c>
      <c r="C671" s="1" t="s">
        <v>29</v>
      </c>
      <c r="D671" t="s">
        <v>32</v>
      </c>
      <c r="E671" t="s">
        <v>214</v>
      </c>
      <c r="F671" t="s">
        <v>19</v>
      </c>
      <c r="G671" t="s">
        <v>20</v>
      </c>
      <c r="H671" s="3">
        <v>2</v>
      </c>
      <c r="I671" s="3">
        <v>1143</v>
      </c>
      <c r="J671" s="3">
        <v>2286</v>
      </c>
      <c r="K671" s="3">
        <v>900</v>
      </c>
      <c r="L671" s="3">
        <v>1800</v>
      </c>
      <c r="M671" s="3">
        <v>486</v>
      </c>
      <c r="N671" s="4">
        <v>0.2125984251968504</v>
      </c>
    </row>
    <row r="672" spans="1:14" x14ac:dyDescent="0.3">
      <c r="A672" s="6">
        <v>45706</v>
      </c>
      <c r="B672" s="1" t="s">
        <v>855</v>
      </c>
      <c r="C672" s="1" t="s">
        <v>29</v>
      </c>
      <c r="D672" t="s">
        <v>31</v>
      </c>
      <c r="E672" t="s">
        <v>166</v>
      </c>
      <c r="F672" t="s">
        <v>14</v>
      </c>
      <c r="G672" t="s">
        <v>15</v>
      </c>
      <c r="H672" s="3">
        <v>10</v>
      </c>
      <c r="I672" s="3">
        <v>58500</v>
      </c>
      <c r="J672" s="3">
        <v>585000</v>
      </c>
      <c r="K672" s="3">
        <v>45000</v>
      </c>
      <c r="L672" s="3">
        <v>450000</v>
      </c>
      <c r="M672" s="3">
        <v>135000</v>
      </c>
      <c r="N672" s="4">
        <v>0.23076923076923078</v>
      </c>
    </row>
    <row r="673" spans="1:14" x14ac:dyDescent="0.3">
      <c r="A673" s="6">
        <v>45706</v>
      </c>
      <c r="B673" s="1" t="s">
        <v>856</v>
      </c>
      <c r="C673" s="1" t="s">
        <v>29</v>
      </c>
      <c r="D673" t="s">
        <v>33</v>
      </c>
      <c r="E673" t="s">
        <v>351</v>
      </c>
      <c r="F673" t="s">
        <v>24</v>
      </c>
      <c r="G673" t="s">
        <v>25</v>
      </c>
      <c r="H673" s="3">
        <v>8</v>
      </c>
      <c r="I673" s="3">
        <v>3200</v>
      </c>
      <c r="J673" s="3">
        <v>25600</v>
      </c>
      <c r="K673" s="3">
        <v>2500</v>
      </c>
      <c r="L673" s="3">
        <v>20000</v>
      </c>
      <c r="M673" s="3">
        <v>5600</v>
      </c>
      <c r="N673" s="4">
        <v>0.21875</v>
      </c>
    </row>
    <row r="674" spans="1:14" x14ac:dyDescent="0.3">
      <c r="A674" s="6">
        <v>45706</v>
      </c>
      <c r="B674" s="1" t="s">
        <v>857</v>
      </c>
      <c r="C674" s="1" t="s">
        <v>29</v>
      </c>
      <c r="D674" t="s">
        <v>31</v>
      </c>
      <c r="E674" t="s">
        <v>110</v>
      </c>
      <c r="F674" t="s">
        <v>21</v>
      </c>
      <c r="G674" t="s">
        <v>20</v>
      </c>
      <c r="H674" s="3">
        <v>10</v>
      </c>
      <c r="I674" s="3">
        <v>738</v>
      </c>
      <c r="J674" s="3">
        <v>7380</v>
      </c>
      <c r="K674" s="3">
        <v>600</v>
      </c>
      <c r="L674" s="3">
        <v>6000</v>
      </c>
      <c r="M674" s="3">
        <v>1380</v>
      </c>
      <c r="N674" s="4">
        <v>0.18699186991869918</v>
      </c>
    </row>
    <row r="675" spans="1:14" x14ac:dyDescent="0.3">
      <c r="A675" s="6">
        <v>45706</v>
      </c>
      <c r="B675" s="1" t="s">
        <v>858</v>
      </c>
      <c r="C675" s="1" t="s">
        <v>29</v>
      </c>
      <c r="D675" t="s">
        <v>34</v>
      </c>
      <c r="E675" t="s">
        <v>359</v>
      </c>
      <c r="F675" t="s">
        <v>24</v>
      </c>
      <c r="G675" t="s">
        <v>25</v>
      </c>
      <c r="H675" s="3">
        <v>6</v>
      </c>
      <c r="I675" s="3">
        <v>3625</v>
      </c>
      <c r="J675" s="3">
        <v>21750</v>
      </c>
      <c r="K675" s="3">
        <v>2500</v>
      </c>
      <c r="L675" s="3">
        <v>15000</v>
      </c>
      <c r="M675" s="3">
        <v>6750</v>
      </c>
      <c r="N675" s="4">
        <v>0.31034482758620691</v>
      </c>
    </row>
    <row r="676" spans="1:14" x14ac:dyDescent="0.3">
      <c r="A676" s="6">
        <v>45706</v>
      </c>
      <c r="B676" s="1" t="s">
        <v>859</v>
      </c>
      <c r="C676" s="1" t="s">
        <v>29</v>
      </c>
      <c r="D676" t="s">
        <v>30</v>
      </c>
      <c r="E676" t="s">
        <v>129</v>
      </c>
      <c r="F676" t="s">
        <v>14</v>
      </c>
      <c r="G676" t="s">
        <v>15</v>
      </c>
      <c r="H676" s="3">
        <v>4</v>
      </c>
      <c r="I676" s="3">
        <v>57600</v>
      </c>
      <c r="J676" s="3">
        <v>230400</v>
      </c>
      <c r="K676" s="3">
        <v>45000</v>
      </c>
      <c r="L676" s="3">
        <v>180000</v>
      </c>
      <c r="M676" s="3">
        <v>50400</v>
      </c>
      <c r="N676" s="4">
        <v>0.21875</v>
      </c>
    </row>
    <row r="677" spans="1:14" x14ac:dyDescent="0.3">
      <c r="A677" s="6">
        <v>45706</v>
      </c>
      <c r="B677" s="1" t="s">
        <v>860</v>
      </c>
      <c r="C677" s="1" t="s">
        <v>26</v>
      </c>
      <c r="D677" t="s">
        <v>35</v>
      </c>
      <c r="E677" t="s">
        <v>163</v>
      </c>
      <c r="F677" t="s">
        <v>24</v>
      </c>
      <c r="G677" t="s">
        <v>25</v>
      </c>
      <c r="H677" s="3">
        <v>2</v>
      </c>
      <c r="I677" s="3">
        <v>3150</v>
      </c>
      <c r="J677" s="3">
        <v>6300</v>
      </c>
      <c r="K677" s="3">
        <v>2500</v>
      </c>
      <c r="L677" s="3">
        <v>5000</v>
      </c>
      <c r="M677" s="3">
        <v>1300</v>
      </c>
      <c r="N677" s="4">
        <v>0.20634920634920634</v>
      </c>
    </row>
    <row r="678" spans="1:14" x14ac:dyDescent="0.3">
      <c r="A678" s="6">
        <v>45706</v>
      </c>
      <c r="B678" s="1" t="s">
        <v>861</v>
      </c>
      <c r="C678" s="1" t="s">
        <v>28</v>
      </c>
      <c r="D678" t="s">
        <v>31</v>
      </c>
      <c r="E678" t="s">
        <v>122</v>
      </c>
      <c r="F678" t="s">
        <v>19</v>
      </c>
      <c r="G678" t="s">
        <v>20</v>
      </c>
      <c r="H678" s="3">
        <v>2</v>
      </c>
      <c r="I678" s="3">
        <v>1206</v>
      </c>
      <c r="J678" s="3">
        <v>2412</v>
      </c>
      <c r="K678" s="3">
        <v>900</v>
      </c>
      <c r="L678" s="3">
        <v>1800</v>
      </c>
      <c r="M678" s="3">
        <v>612</v>
      </c>
      <c r="N678" s="4">
        <v>0.2537313432835821</v>
      </c>
    </row>
    <row r="679" spans="1:14" x14ac:dyDescent="0.3">
      <c r="A679" s="6">
        <v>45706</v>
      </c>
      <c r="B679" s="1" t="s">
        <v>862</v>
      </c>
      <c r="C679" s="1" t="s">
        <v>27</v>
      </c>
      <c r="D679" t="s">
        <v>30</v>
      </c>
      <c r="E679" t="s">
        <v>436</v>
      </c>
      <c r="F679" t="s">
        <v>22</v>
      </c>
      <c r="G679" t="s">
        <v>18</v>
      </c>
      <c r="H679" s="3">
        <v>4</v>
      </c>
      <c r="I679" s="3">
        <v>9450</v>
      </c>
      <c r="J679" s="3">
        <v>37800</v>
      </c>
      <c r="K679" s="3">
        <v>7000</v>
      </c>
      <c r="L679" s="3">
        <v>28000</v>
      </c>
      <c r="M679" s="3">
        <v>9800</v>
      </c>
      <c r="N679" s="4">
        <v>0.25925925925925924</v>
      </c>
    </row>
    <row r="680" spans="1:14" x14ac:dyDescent="0.3">
      <c r="A680" s="6">
        <v>45706</v>
      </c>
      <c r="B680" s="1" t="s">
        <v>863</v>
      </c>
      <c r="C680" s="1" t="s">
        <v>27</v>
      </c>
      <c r="D680" t="s">
        <v>33</v>
      </c>
      <c r="E680" t="s">
        <v>83</v>
      </c>
      <c r="F680" t="s">
        <v>22</v>
      </c>
      <c r="G680" t="s">
        <v>18</v>
      </c>
      <c r="H680" s="3">
        <v>4</v>
      </c>
      <c r="I680" s="3">
        <v>9310</v>
      </c>
      <c r="J680" s="3">
        <v>37240</v>
      </c>
      <c r="K680" s="3">
        <v>7000</v>
      </c>
      <c r="L680" s="3">
        <v>28000</v>
      </c>
      <c r="M680" s="3">
        <v>9240</v>
      </c>
      <c r="N680" s="4">
        <v>0.24812030075187969</v>
      </c>
    </row>
    <row r="681" spans="1:14" x14ac:dyDescent="0.3">
      <c r="A681" s="6">
        <v>45706</v>
      </c>
      <c r="B681" s="1" t="s">
        <v>864</v>
      </c>
      <c r="C681" s="1" t="s">
        <v>29</v>
      </c>
      <c r="D681" t="s">
        <v>30</v>
      </c>
      <c r="E681" t="s">
        <v>548</v>
      </c>
      <c r="F681" t="s">
        <v>17</v>
      </c>
      <c r="G681" t="s">
        <v>18</v>
      </c>
      <c r="H681" s="3">
        <v>1</v>
      </c>
      <c r="I681" s="3">
        <v>10795</v>
      </c>
      <c r="J681" s="3">
        <v>10795</v>
      </c>
      <c r="K681" s="3">
        <v>8500</v>
      </c>
      <c r="L681" s="3">
        <v>8500</v>
      </c>
      <c r="M681" s="3">
        <v>2295</v>
      </c>
      <c r="N681" s="4">
        <v>0.2125984251968504</v>
      </c>
    </row>
    <row r="682" spans="1:14" x14ac:dyDescent="0.3">
      <c r="A682" s="6">
        <v>45706</v>
      </c>
      <c r="B682" s="1" t="s">
        <v>865</v>
      </c>
      <c r="C682" s="1" t="s">
        <v>26</v>
      </c>
      <c r="D682" t="s">
        <v>35</v>
      </c>
      <c r="E682" t="s">
        <v>142</v>
      </c>
      <c r="F682" t="s">
        <v>16</v>
      </c>
      <c r="G682" t="s">
        <v>15</v>
      </c>
      <c r="H682" s="3">
        <v>5</v>
      </c>
      <c r="I682" s="3">
        <v>52820.000000000007</v>
      </c>
      <c r="J682" s="3">
        <v>264100.00000000006</v>
      </c>
      <c r="K682" s="3">
        <v>38000</v>
      </c>
      <c r="L682" s="3">
        <v>190000</v>
      </c>
      <c r="M682" s="3">
        <v>74100.000000000058</v>
      </c>
      <c r="N682" s="4">
        <v>0.28057553956834547</v>
      </c>
    </row>
    <row r="683" spans="1:14" x14ac:dyDescent="0.3">
      <c r="A683" s="6">
        <v>45706</v>
      </c>
      <c r="B683" s="1" t="s">
        <v>866</v>
      </c>
      <c r="C683" s="1" t="s">
        <v>29</v>
      </c>
      <c r="D683" t="s">
        <v>32</v>
      </c>
      <c r="E683" t="s">
        <v>59</v>
      </c>
      <c r="F683" t="s">
        <v>19</v>
      </c>
      <c r="G683" t="s">
        <v>20</v>
      </c>
      <c r="H683" s="3">
        <v>3</v>
      </c>
      <c r="I683" s="3">
        <v>1116</v>
      </c>
      <c r="J683" s="3">
        <v>3348</v>
      </c>
      <c r="K683" s="3">
        <v>900</v>
      </c>
      <c r="L683" s="3">
        <v>2700</v>
      </c>
      <c r="M683" s="3">
        <v>648</v>
      </c>
      <c r="N683" s="4">
        <v>0.19354838709677419</v>
      </c>
    </row>
    <row r="684" spans="1:14" x14ac:dyDescent="0.3">
      <c r="A684" s="6">
        <v>45706</v>
      </c>
      <c r="B684" s="1" t="s">
        <v>867</v>
      </c>
      <c r="C684" s="1" t="s">
        <v>27</v>
      </c>
      <c r="D684" t="s">
        <v>33</v>
      </c>
      <c r="E684" t="s">
        <v>69</v>
      </c>
      <c r="F684" t="s">
        <v>21</v>
      </c>
      <c r="G684" t="s">
        <v>20</v>
      </c>
      <c r="H684" s="3">
        <v>7</v>
      </c>
      <c r="I684" s="3">
        <v>852</v>
      </c>
      <c r="J684" s="3">
        <v>5964</v>
      </c>
      <c r="K684" s="3">
        <v>600</v>
      </c>
      <c r="L684" s="3">
        <v>4200</v>
      </c>
      <c r="M684" s="3">
        <v>1764</v>
      </c>
      <c r="N684" s="4">
        <v>0.29577464788732394</v>
      </c>
    </row>
    <row r="685" spans="1:14" x14ac:dyDescent="0.3">
      <c r="A685" s="6">
        <v>45706</v>
      </c>
      <c r="B685" s="1" t="s">
        <v>868</v>
      </c>
      <c r="C685" s="1" t="s">
        <v>26</v>
      </c>
      <c r="D685" t="s">
        <v>35</v>
      </c>
      <c r="E685" t="s">
        <v>74</v>
      </c>
      <c r="F685" t="s">
        <v>17</v>
      </c>
      <c r="G685" t="s">
        <v>18</v>
      </c>
      <c r="H685" s="3">
        <v>8</v>
      </c>
      <c r="I685" s="3">
        <v>10285</v>
      </c>
      <c r="J685" s="3">
        <v>82280</v>
      </c>
      <c r="K685" s="3">
        <v>8500</v>
      </c>
      <c r="L685" s="3">
        <v>68000</v>
      </c>
      <c r="M685" s="3">
        <v>14280</v>
      </c>
      <c r="N685" s="4">
        <v>0.17355371900826447</v>
      </c>
    </row>
    <row r="686" spans="1:14" x14ac:dyDescent="0.3">
      <c r="A686" s="6">
        <v>45707</v>
      </c>
      <c r="B686" s="1" t="s">
        <v>869</v>
      </c>
      <c r="C686" s="1" t="s">
        <v>26</v>
      </c>
      <c r="D686" t="s">
        <v>35</v>
      </c>
      <c r="E686" t="s">
        <v>308</v>
      </c>
      <c r="F686" t="s">
        <v>23</v>
      </c>
      <c r="G686" t="s">
        <v>25</v>
      </c>
      <c r="H686" s="3">
        <v>2</v>
      </c>
      <c r="I686" s="3">
        <v>4512</v>
      </c>
      <c r="J686" s="3">
        <v>9024</v>
      </c>
      <c r="K686" s="3">
        <v>3200</v>
      </c>
      <c r="L686" s="3">
        <v>6400</v>
      </c>
      <c r="M686" s="3">
        <v>2624</v>
      </c>
      <c r="N686" s="4">
        <v>0.29078014184397161</v>
      </c>
    </row>
    <row r="687" spans="1:14" x14ac:dyDescent="0.3">
      <c r="A687" s="6">
        <v>45707</v>
      </c>
      <c r="B687" s="1" t="s">
        <v>870</v>
      </c>
      <c r="C687" s="1" t="s">
        <v>28</v>
      </c>
      <c r="D687" t="s">
        <v>34</v>
      </c>
      <c r="E687" t="s">
        <v>37</v>
      </c>
      <c r="F687" t="s">
        <v>17</v>
      </c>
      <c r="G687" t="s">
        <v>18</v>
      </c>
      <c r="H687" s="3">
        <v>2</v>
      </c>
      <c r="I687" s="3">
        <v>11390</v>
      </c>
      <c r="J687" s="3">
        <v>22780</v>
      </c>
      <c r="K687" s="3">
        <v>8500</v>
      </c>
      <c r="L687" s="3">
        <v>17000</v>
      </c>
      <c r="M687" s="3">
        <v>5780</v>
      </c>
      <c r="N687" s="4">
        <v>0.2537313432835821</v>
      </c>
    </row>
    <row r="688" spans="1:14" x14ac:dyDescent="0.3">
      <c r="A688" s="6">
        <v>45707</v>
      </c>
      <c r="B688" s="1" t="s">
        <v>871</v>
      </c>
      <c r="C688" s="1" t="s">
        <v>28</v>
      </c>
      <c r="D688" t="s">
        <v>31</v>
      </c>
      <c r="E688" t="s">
        <v>193</v>
      </c>
      <c r="F688" t="s">
        <v>23</v>
      </c>
      <c r="G688" t="s">
        <v>25</v>
      </c>
      <c r="H688" s="3">
        <v>7</v>
      </c>
      <c r="I688" s="3">
        <v>4416</v>
      </c>
      <c r="J688" s="3">
        <v>30912</v>
      </c>
      <c r="K688" s="3">
        <v>3200</v>
      </c>
      <c r="L688" s="3">
        <v>22400</v>
      </c>
      <c r="M688" s="3">
        <v>8512</v>
      </c>
      <c r="N688" s="4">
        <v>0.27536231884057971</v>
      </c>
    </row>
    <row r="689" spans="1:14" x14ac:dyDescent="0.3">
      <c r="A689" s="6">
        <v>45707</v>
      </c>
      <c r="B689" s="1" t="s">
        <v>872</v>
      </c>
      <c r="C689" s="1" t="s">
        <v>28</v>
      </c>
      <c r="D689" t="s">
        <v>33</v>
      </c>
      <c r="E689" t="s">
        <v>698</v>
      </c>
      <c r="F689" t="s">
        <v>24</v>
      </c>
      <c r="G689" t="s">
        <v>25</v>
      </c>
      <c r="H689" s="3">
        <v>5</v>
      </c>
      <c r="I689" s="3">
        <v>3375</v>
      </c>
      <c r="J689" s="3">
        <v>16875</v>
      </c>
      <c r="K689" s="3">
        <v>2500</v>
      </c>
      <c r="L689" s="3">
        <v>12500</v>
      </c>
      <c r="M689" s="3">
        <v>4375</v>
      </c>
      <c r="N689" s="4">
        <v>0.25925925925925924</v>
      </c>
    </row>
    <row r="690" spans="1:14" x14ac:dyDescent="0.3">
      <c r="A690" s="6">
        <v>45707</v>
      </c>
      <c r="B690" s="1" t="s">
        <v>873</v>
      </c>
      <c r="C690" s="1" t="s">
        <v>26</v>
      </c>
      <c r="D690" t="s">
        <v>32</v>
      </c>
      <c r="E690" t="s">
        <v>342</v>
      </c>
      <c r="F690" t="s">
        <v>21</v>
      </c>
      <c r="G690" t="s">
        <v>20</v>
      </c>
      <c r="H690" s="3">
        <v>3</v>
      </c>
      <c r="I690" s="3">
        <v>810</v>
      </c>
      <c r="J690" s="3">
        <v>2430</v>
      </c>
      <c r="K690" s="3">
        <v>600</v>
      </c>
      <c r="L690" s="3">
        <v>1800</v>
      </c>
      <c r="M690" s="3">
        <v>630</v>
      </c>
      <c r="N690" s="4">
        <v>0.25925925925925924</v>
      </c>
    </row>
    <row r="691" spans="1:14" x14ac:dyDescent="0.3">
      <c r="A691" s="6">
        <v>45707</v>
      </c>
      <c r="B691" s="1" t="s">
        <v>874</v>
      </c>
      <c r="C691" s="1" t="s">
        <v>26</v>
      </c>
      <c r="D691" t="s">
        <v>31</v>
      </c>
      <c r="E691" t="s">
        <v>137</v>
      </c>
      <c r="F691" t="s">
        <v>19</v>
      </c>
      <c r="G691" t="s">
        <v>20</v>
      </c>
      <c r="H691" s="3">
        <v>9</v>
      </c>
      <c r="I691" s="3">
        <v>1098</v>
      </c>
      <c r="J691" s="3">
        <v>9882</v>
      </c>
      <c r="K691" s="3">
        <v>900</v>
      </c>
      <c r="L691" s="3">
        <v>8100</v>
      </c>
      <c r="M691" s="3">
        <v>1782</v>
      </c>
      <c r="N691" s="4">
        <v>0.18032786885245902</v>
      </c>
    </row>
    <row r="692" spans="1:14" x14ac:dyDescent="0.3">
      <c r="A692" s="6">
        <v>45707</v>
      </c>
      <c r="B692" s="1" t="s">
        <v>875</v>
      </c>
      <c r="C692" s="1" t="s">
        <v>27</v>
      </c>
      <c r="D692" t="s">
        <v>32</v>
      </c>
      <c r="E692" t="s">
        <v>431</v>
      </c>
      <c r="F692" t="s">
        <v>19</v>
      </c>
      <c r="G692" t="s">
        <v>20</v>
      </c>
      <c r="H692" s="3">
        <v>8</v>
      </c>
      <c r="I692" s="3">
        <v>1251</v>
      </c>
      <c r="J692" s="3">
        <v>10008</v>
      </c>
      <c r="K692" s="3">
        <v>900</v>
      </c>
      <c r="L692" s="3">
        <v>7200</v>
      </c>
      <c r="M692" s="3">
        <v>2808</v>
      </c>
      <c r="N692" s="4">
        <v>0.2805755395683453</v>
      </c>
    </row>
    <row r="693" spans="1:14" x14ac:dyDescent="0.3">
      <c r="A693" s="6">
        <v>45707</v>
      </c>
      <c r="B693" s="1" t="s">
        <v>876</v>
      </c>
      <c r="C693" s="1" t="s">
        <v>29</v>
      </c>
      <c r="D693" t="s">
        <v>33</v>
      </c>
      <c r="E693" t="s">
        <v>239</v>
      </c>
      <c r="F693" t="s">
        <v>22</v>
      </c>
      <c r="G693" t="s">
        <v>18</v>
      </c>
      <c r="H693" s="3">
        <v>2</v>
      </c>
      <c r="I693" s="3">
        <v>8610</v>
      </c>
      <c r="J693" s="3">
        <v>17220</v>
      </c>
      <c r="K693" s="3">
        <v>7000</v>
      </c>
      <c r="L693" s="3">
        <v>14000</v>
      </c>
      <c r="M693" s="3">
        <v>3220</v>
      </c>
      <c r="N693" s="4">
        <v>0.18699186991869918</v>
      </c>
    </row>
    <row r="694" spans="1:14" x14ac:dyDescent="0.3">
      <c r="A694" s="6">
        <v>45707</v>
      </c>
      <c r="B694" s="1" t="s">
        <v>877</v>
      </c>
      <c r="C694" s="1" t="s">
        <v>27</v>
      </c>
      <c r="D694" t="s">
        <v>31</v>
      </c>
      <c r="E694" t="s">
        <v>411</v>
      </c>
      <c r="F694" t="s">
        <v>21</v>
      </c>
      <c r="G694" t="s">
        <v>20</v>
      </c>
      <c r="H694" s="3">
        <v>2</v>
      </c>
      <c r="I694" s="3">
        <v>756</v>
      </c>
      <c r="J694" s="3">
        <v>1512</v>
      </c>
      <c r="K694" s="3">
        <v>600</v>
      </c>
      <c r="L694" s="3">
        <v>1200</v>
      </c>
      <c r="M694" s="3">
        <v>312</v>
      </c>
      <c r="N694" s="4">
        <v>0.20634920634920634</v>
      </c>
    </row>
    <row r="695" spans="1:14" x14ac:dyDescent="0.3">
      <c r="A695" s="6">
        <v>45707</v>
      </c>
      <c r="B695" s="1" t="s">
        <v>878</v>
      </c>
      <c r="C695" s="1" t="s">
        <v>29</v>
      </c>
      <c r="D695" t="s">
        <v>34</v>
      </c>
      <c r="E695" t="s">
        <v>218</v>
      </c>
      <c r="F695" t="s">
        <v>17</v>
      </c>
      <c r="G695" t="s">
        <v>18</v>
      </c>
      <c r="H695" s="3">
        <v>4</v>
      </c>
      <c r="I695" s="3">
        <v>11815.000000000002</v>
      </c>
      <c r="J695" s="3">
        <v>47260.000000000007</v>
      </c>
      <c r="K695" s="3">
        <v>8500</v>
      </c>
      <c r="L695" s="3">
        <v>34000</v>
      </c>
      <c r="M695" s="3">
        <v>13260.000000000007</v>
      </c>
      <c r="N695" s="4">
        <v>0.28057553956834541</v>
      </c>
    </row>
    <row r="696" spans="1:14" x14ac:dyDescent="0.3">
      <c r="A696" s="6">
        <v>45707</v>
      </c>
      <c r="B696" s="1" t="s">
        <v>879</v>
      </c>
      <c r="C696" s="1" t="s">
        <v>27</v>
      </c>
      <c r="D696" t="s">
        <v>35</v>
      </c>
      <c r="E696" t="s">
        <v>83</v>
      </c>
      <c r="F696" t="s">
        <v>24</v>
      </c>
      <c r="G696" t="s">
        <v>25</v>
      </c>
      <c r="H696" s="3">
        <v>1</v>
      </c>
      <c r="I696" s="3">
        <v>3350</v>
      </c>
      <c r="J696" s="3">
        <v>3350</v>
      </c>
      <c r="K696" s="3">
        <v>2500</v>
      </c>
      <c r="L696" s="3">
        <v>2500</v>
      </c>
      <c r="M696" s="3">
        <v>850</v>
      </c>
      <c r="N696" s="4">
        <v>0.2537313432835821</v>
      </c>
    </row>
    <row r="697" spans="1:14" x14ac:dyDescent="0.3">
      <c r="A697" s="6">
        <v>45707</v>
      </c>
      <c r="B697" s="1" t="s">
        <v>880</v>
      </c>
      <c r="C697" s="1" t="s">
        <v>27</v>
      </c>
      <c r="D697" t="s">
        <v>35</v>
      </c>
      <c r="E697" t="s">
        <v>355</v>
      </c>
      <c r="F697" t="s">
        <v>17</v>
      </c>
      <c r="G697" t="s">
        <v>18</v>
      </c>
      <c r="H697" s="3">
        <v>5</v>
      </c>
      <c r="I697" s="3">
        <v>12240</v>
      </c>
      <c r="J697" s="3">
        <v>61200</v>
      </c>
      <c r="K697" s="3">
        <v>8500</v>
      </c>
      <c r="L697" s="3">
        <v>42500</v>
      </c>
      <c r="M697" s="3">
        <v>18700</v>
      </c>
      <c r="N697" s="4">
        <v>0.30555555555555558</v>
      </c>
    </row>
    <row r="698" spans="1:14" x14ac:dyDescent="0.3">
      <c r="A698" s="6">
        <v>45707</v>
      </c>
      <c r="B698" s="1" t="s">
        <v>881</v>
      </c>
      <c r="C698" s="1" t="s">
        <v>27</v>
      </c>
      <c r="D698" t="s">
        <v>35</v>
      </c>
      <c r="E698" t="s">
        <v>69</v>
      </c>
      <c r="F698" t="s">
        <v>22</v>
      </c>
      <c r="G698" t="s">
        <v>18</v>
      </c>
      <c r="H698" s="3">
        <v>8</v>
      </c>
      <c r="I698" s="3">
        <v>9030</v>
      </c>
      <c r="J698" s="3">
        <v>72240</v>
      </c>
      <c r="K698" s="3">
        <v>7000</v>
      </c>
      <c r="L698" s="3">
        <v>56000</v>
      </c>
      <c r="M698" s="3">
        <v>16240</v>
      </c>
      <c r="N698" s="4">
        <v>0.22480620155038761</v>
      </c>
    </row>
    <row r="699" spans="1:14" x14ac:dyDescent="0.3">
      <c r="A699" s="6">
        <v>45707</v>
      </c>
      <c r="B699" s="1" t="s">
        <v>882</v>
      </c>
      <c r="C699" s="1" t="s">
        <v>29</v>
      </c>
      <c r="D699" t="s">
        <v>34</v>
      </c>
      <c r="E699" t="s">
        <v>83</v>
      </c>
      <c r="F699" t="s">
        <v>17</v>
      </c>
      <c r="G699" t="s">
        <v>18</v>
      </c>
      <c r="H699" s="3">
        <v>9</v>
      </c>
      <c r="I699" s="3">
        <v>12070</v>
      </c>
      <c r="J699" s="3">
        <v>108630</v>
      </c>
      <c r="K699" s="3">
        <v>8500</v>
      </c>
      <c r="L699" s="3">
        <v>76500</v>
      </c>
      <c r="M699" s="3">
        <v>32130</v>
      </c>
      <c r="N699" s="4">
        <v>0.29577464788732394</v>
      </c>
    </row>
    <row r="700" spans="1:14" x14ac:dyDescent="0.3">
      <c r="A700" s="6">
        <v>45708</v>
      </c>
      <c r="B700" s="1" t="s">
        <v>883</v>
      </c>
      <c r="C700" s="1" t="s">
        <v>28</v>
      </c>
      <c r="D700" t="s">
        <v>33</v>
      </c>
      <c r="E700" t="s">
        <v>129</v>
      </c>
      <c r="F700" t="s">
        <v>14</v>
      </c>
      <c r="G700" t="s">
        <v>15</v>
      </c>
      <c r="H700" s="3">
        <v>1</v>
      </c>
      <c r="I700" s="3">
        <v>56700</v>
      </c>
      <c r="J700" s="3">
        <v>56700</v>
      </c>
      <c r="K700" s="3">
        <v>45000</v>
      </c>
      <c r="L700" s="3">
        <v>45000</v>
      </c>
      <c r="M700" s="3">
        <v>11700</v>
      </c>
      <c r="N700" s="4">
        <v>0.20634920634920634</v>
      </c>
    </row>
    <row r="701" spans="1:14" x14ac:dyDescent="0.3">
      <c r="A701" s="6">
        <v>45708</v>
      </c>
      <c r="B701" s="1" t="s">
        <v>884</v>
      </c>
      <c r="C701" s="1" t="s">
        <v>28</v>
      </c>
      <c r="D701" t="s">
        <v>32</v>
      </c>
      <c r="E701" t="s">
        <v>698</v>
      </c>
      <c r="F701" t="s">
        <v>21</v>
      </c>
      <c r="G701" t="s">
        <v>20</v>
      </c>
      <c r="H701" s="3">
        <v>6</v>
      </c>
      <c r="I701" s="3">
        <v>738</v>
      </c>
      <c r="J701" s="3">
        <v>4428</v>
      </c>
      <c r="K701" s="3">
        <v>600</v>
      </c>
      <c r="L701" s="3">
        <v>3600</v>
      </c>
      <c r="M701" s="3">
        <v>828</v>
      </c>
      <c r="N701" s="4">
        <v>0.18699186991869918</v>
      </c>
    </row>
    <row r="702" spans="1:14" x14ac:dyDescent="0.3">
      <c r="A702" s="6">
        <v>45708</v>
      </c>
      <c r="B702" s="1" t="s">
        <v>885</v>
      </c>
      <c r="C702" s="1" t="s">
        <v>28</v>
      </c>
      <c r="D702" t="s">
        <v>31</v>
      </c>
      <c r="E702" t="s">
        <v>263</v>
      </c>
      <c r="F702" t="s">
        <v>23</v>
      </c>
      <c r="G702" t="s">
        <v>25</v>
      </c>
      <c r="H702" s="3">
        <v>8</v>
      </c>
      <c r="I702" s="3">
        <v>3936</v>
      </c>
      <c r="J702" s="3">
        <v>31488</v>
      </c>
      <c r="K702" s="3">
        <v>3200</v>
      </c>
      <c r="L702" s="3">
        <v>25600</v>
      </c>
      <c r="M702" s="3">
        <v>5888</v>
      </c>
      <c r="N702" s="4">
        <v>0.18699186991869918</v>
      </c>
    </row>
    <row r="703" spans="1:14" x14ac:dyDescent="0.3">
      <c r="A703" s="6">
        <v>45708</v>
      </c>
      <c r="B703" s="1" t="s">
        <v>886</v>
      </c>
      <c r="C703" s="1" t="s">
        <v>28</v>
      </c>
      <c r="D703" t="s">
        <v>34</v>
      </c>
      <c r="E703" t="s">
        <v>226</v>
      </c>
      <c r="F703" t="s">
        <v>24</v>
      </c>
      <c r="G703" t="s">
        <v>25</v>
      </c>
      <c r="H703" s="3">
        <v>1</v>
      </c>
      <c r="I703" s="3">
        <v>3025</v>
      </c>
      <c r="J703" s="3">
        <v>3025</v>
      </c>
      <c r="K703" s="3">
        <v>2500</v>
      </c>
      <c r="L703" s="3">
        <v>2500</v>
      </c>
      <c r="M703" s="3">
        <v>525</v>
      </c>
      <c r="N703" s="4">
        <v>0.17355371900826447</v>
      </c>
    </row>
    <row r="704" spans="1:14" x14ac:dyDescent="0.3">
      <c r="A704" s="6">
        <v>45708</v>
      </c>
      <c r="B704" s="1" t="s">
        <v>887</v>
      </c>
      <c r="C704" s="1" t="s">
        <v>29</v>
      </c>
      <c r="D704" t="s">
        <v>35</v>
      </c>
      <c r="E704" t="s">
        <v>407</v>
      </c>
      <c r="F704" t="s">
        <v>16</v>
      </c>
      <c r="G704" t="s">
        <v>15</v>
      </c>
      <c r="H704" s="3">
        <v>9</v>
      </c>
      <c r="I704" s="3">
        <v>50920</v>
      </c>
      <c r="J704" s="3">
        <v>458280</v>
      </c>
      <c r="K704" s="3">
        <v>38000</v>
      </c>
      <c r="L704" s="3">
        <v>342000</v>
      </c>
      <c r="M704" s="3">
        <v>116280</v>
      </c>
      <c r="N704" s="4">
        <v>0.2537313432835821</v>
      </c>
    </row>
    <row r="705" spans="1:14" x14ac:dyDescent="0.3">
      <c r="A705" s="6">
        <v>45708</v>
      </c>
      <c r="B705" s="1" t="s">
        <v>888</v>
      </c>
      <c r="C705" s="1" t="s">
        <v>28</v>
      </c>
      <c r="D705" t="s">
        <v>30</v>
      </c>
      <c r="E705" t="s">
        <v>180</v>
      </c>
      <c r="F705" t="s">
        <v>17</v>
      </c>
      <c r="G705" t="s">
        <v>18</v>
      </c>
      <c r="H705" s="3">
        <v>6</v>
      </c>
      <c r="I705" s="3">
        <v>10625</v>
      </c>
      <c r="J705" s="3">
        <v>63750</v>
      </c>
      <c r="K705" s="3">
        <v>8500</v>
      </c>
      <c r="L705" s="3">
        <v>51000</v>
      </c>
      <c r="M705" s="3">
        <v>12750</v>
      </c>
      <c r="N705" s="4">
        <v>0.2</v>
      </c>
    </row>
    <row r="706" spans="1:14" x14ac:dyDescent="0.3">
      <c r="A706" s="6">
        <v>45708</v>
      </c>
      <c r="B706" s="1" t="s">
        <v>889</v>
      </c>
      <c r="C706" s="1" t="s">
        <v>28</v>
      </c>
      <c r="D706" t="s">
        <v>35</v>
      </c>
      <c r="E706" t="s">
        <v>196</v>
      </c>
      <c r="F706" t="s">
        <v>23</v>
      </c>
      <c r="G706" t="s">
        <v>25</v>
      </c>
      <c r="H706" s="3">
        <v>6</v>
      </c>
      <c r="I706" s="3">
        <v>4416</v>
      </c>
      <c r="J706" s="3">
        <v>26496</v>
      </c>
      <c r="K706" s="3">
        <v>3200</v>
      </c>
      <c r="L706" s="3">
        <v>19200</v>
      </c>
      <c r="M706" s="3">
        <v>7296</v>
      </c>
      <c r="N706" s="4">
        <v>0.27536231884057971</v>
      </c>
    </row>
    <row r="707" spans="1:14" x14ac:dyDescent="0.3">
      <c r="A707" s="6">
        <v>45708</v>
      </c>
      <c r="B707" s="1" t="s">
        <v>890</v>
      </c>
      <c r="C707" s="1" t="s">
        <v>27</v>
      </c>
      <c r="D707" t="s">
        <v>33</v>
      </c>
      <c r="E707" t="s">
        <v>220</v>
      </c>
      <c r="F707" t="s">
        <v>19</v>
      </c>
      <c r="G707" t="s">
        <v>20</v>
      </c>
      <c r="H707" s="3">
        <v>2</v>
      </c>
      <c r="I707" s="3">
        <v>1278</v>
      </c>
      <c r="J707" s="3">
        <v>2556</v>
      </c>
      <c r="K707" s="3">
        <v>900</v>
      </c>
      <c r="L707" s="3">
        <v>1800</v>
      </c>
      <c r="M707" s="3">
        <v>756</v>
      </c>
      <c r="N707" s="4">
        <v>0.29577464788732394</v>
      </c>
    </row>
    <row r="708" spans="1:14" x14ac:dyDescent="0.3">
      <c r="A708" s="6">
        <v>45708</v>
      </c>
      <c r="B708" s="1" t="s">
        <v>891</v>
      </c>
      <c r="C708" s="1" t="s">
        <v>27</v>
      </c>
      <c r="D708" t="s">
        <v>35</v>
      </c>
      <c r="E708" t="s">
        <v>108</v>
      </c>
      <c r="F708" t="s">
        <v>23</v>
      </c>
      <c r="G708" t="s">
        <v>25</v>
      </c>
      <c r="H708" s="3">
        <v>7</v>
      </c>
      <c r="I708" s="3">
        <v>4640</v>
      </c>
      <c r="J708" s="3">
        <v>32480</v>
      </c>
      <c r="K708" s="3">
        <v>3200</v>
      </c>
      <c r="L708" s="3">
        <v>22400</v>
      </c>
      <c r="M708" s="3">
        <v>10080</v>
      </c>
      <c r="N708" s="4">
        <v>0.31034482758620691</v>
      </c>
    </row>
    <row r="709" spans="1:14" x14ac:dyDescent="0.3">
      <c r="A709" s="6">
        <v>45708</v>
      </c>
      <c r="B709" s="1" t="s">
        <v>892</v>
      </c>
      <c r="C709" s="1" t="s">
        <v>29</v>
      </c>
      <c r="D709" t="s">
        <v>35</v>
      </c>
      <c r="E709" t="s">
        <v>331</v>
      </c>
      <c r="F709" t="s">
        <v>22</v>
      </c>
      <c r="G709" t="s">
        <v>18</v>
      </c>
      <c r="H709" s="3">
        <v>4</v>
      </c>
      <c r="I709" s="3">
        <v>8820</v>
      </c>
      <c r="J709" s="3">
        <v>35280</v>
      </c>
      <c r="K709" s="3">
        <v>7000</v>
      </c>
      <c r="L709" s="3">
        <v>28000</v>
      </c>
      <c r="M709" s="3">
        <v>7280</v>
      </c>
      <c r="N709" s="4">
        <v>0.20634920634920634</v>
      </c>
    </row>
    <row r="710" spans="1:14" x14ac:dyDescent="0.3">
      <c r="A710" s="6">
        <v>45708</v>
      </c>
      <c r="B710" s="1" t="s">
        <v>893</v>
      </c>
      <c r="C710" s="1" t="s">
        <v>27</v>
      </c>
      <c r="D710" t="s">
        <v>35</v>
      </c>
      <c r="E710" t="s">
        <v>447</v>
      </c>
      <c r="F710" t="s">
        <v>17</v>
      </c>
      <c r="G710" t="s">
        <v>18</v>
      </c>
      <c r="H710" s="3">
        <v>7</v>
      </c>
      <c r="I710" s="3">
        <v>11390</v>
      </c>
      <c r="J710" s="3">
        <v>79730</v>
      </c>
      <c r="K710" s="3">
        <v>8500</v>
      </c>
      <c r="L710" s="3">
        <v>59500</v>
      </c>
      <c r="M710" s="3">
        <v>20230</v>
      </c>
      <c r="N710" s="4">
        <v>0.2537313432835821</v>
      </c>
    </row>
    <row r="711" spans="1:14" x14ac:dyDescent="0.3">
      <c r="A711" s="6">
        <v>45708</v>
      </c>
      <c r="B711" s="1" t="s">
        <v>894</v>
      </c>
      <c r="C711" s="1" t="s">
        <v>28</v>
      </c>
      <c r="D711" t="s">
        <v>33</v>
      </c>
      <c r="E711" t="s">
        <v>98</v>
      </c>
      <c r="F711" t="s">
        <v>14</v>
      </c>
      <c r="G711" t="s">
        <v>15</v>
      </c>
      <c r="H711" s="3">
        <v>3</v>
      </c>
      <c r="I711" s="3">
        <v>54900</v>
      </c>
      <c r="J711" s="3">
        <v>164700</v>
      </c>
      <c r="K711" s="3">
        <v>45000</v>
      </c>
      <c r="L711" s="3">
        <v>135000</v>
      </c>
      <c r="M711" s="3">
        <v>29700</v>
      </c>
      <c r="N711" s="4">
        <v>0.18032786885245902</v>
      </c>
    </row>
    <row r="712" spans="1:14" x14ac:dyDescent="0.3">
      <c r="A712" s="6">
        <v>45708</v>
      </c>
      <c r="B712" s="1" t="s">
        <v>895</v>
      </c>
      <c r="C712" s="1" t="s">
        <v>26</v>
      </c>
      <c r="D712" t="s">
        <v>31</v>
      </c>
      <c r="E712" t="s">
        <v>807</v>
      </c>
      <c r="F712" t="s">
        <v>16</v>
      </c>
      <c r="G712" t="s">
        <v>15</v>
      </c>
      <c r="H712" s="3">
        <v>6</v>
      </c>
      <c r="I712" s="3">
        <v>45980</v>
      </c>
      <c r="J712" s="3">
        <v>275880</v>
      </c>
      <c r="K712" s="3">
        <v>38000</v>
      </c>
      <c r="L712" s="3">
        <v>228000</v>
      </c>
      <c r="M712" s="3">
        <v>47880</v>
      </c>
      <c r="N712" s="4">
        <v>0.17355371900826447</v>
      </c>
    </row>
    <row r="713" spans="1:14" x14ac:dyDescent="0.3">
      <c r="A713" s="6">
        <v>45708</v>
      </c>
      <c r="B713" s="1" t="s">
        <v>896</v>
      </c>
      <c r="C713" s="1" t="s">
        <v>26</v>
      </c>
      <c r="D713" t="s">
        <v>33</v>
      </c>
      <c r="E713" t="s">
        <v>61</v>
      </c>
      <c r="F713" t="s">
        <v>14</v>
      </c>
      <c r="G713" t="s">
        <v>15</v>
      </c>
      <c r="H713" s="3">
        <v>5</v>
      </c>
      <c r="I713" s="3">
        <v>54900</v>
      </c>
      <c r="J713" s="3">
        <v>274500</v>
      </c>
      <c r="K713" s="3">
        <v>45000</v>
      </c>
      <c r="L713" s="3">
        <v>225000</v>
      </c>
      <c r="M713" s="3">
        <v>49500</v>
      </c>
      <c r="N713" s="4">
        <v>0.18032786885245902</v>
      </c>
    </row>
    <row r="714" spans="1:14" x14ac:dyDescent="0.3">
      <c r="A714" s="6">
        <v>45709</v>
      </c>
      <c r="B714" s="1" t="s">
        <v>897</v>
      </c>
      <c r="C714" s="1" t="s">
        <v>27</v>
      </c>
      <c r="D714" t="s">
        <v>35</v>
      </c>
      <c r="E714" t="s">
        <v>83</v>
      </c>
      <c r="F714" t="s">
        <v>23</v>
      </c>
      <c r="G714" t="s">
        <v>25</v>
      </c>
      <c r="H714" s="3">
        <v>5</v>
      </c>
      <c r="I714" s="3">
        <v>4128</v>
      </c>
      <c r="J714" s="3">
        <v>20640</v>
      </c>
      <c r="K714" s="3">
        <v>3200</v>
      </c>
      <c r="L714" s="3">
        <v>16000</v>
      </c>
      <c r="M714" s="3">
        <v>4640</v>
      </c>
      <c r="N714" s="4">
        <v>0.22480620155038761</v>
      </c>
    </row>
    <row r="715" spans="1:14" x14ac:dyDescent="0.3">
      <c r="A715" s="6">
        <v>45709</v>
      </c>
      <c r="B715" s="1" t="s">
        <v>898</v>
      </c>
      <c r="C715" s="1" t="s">
        <v>29</v>
      </c>
      <c r="D715" t="s">
        <v>32</v>
      </c>
      <c r="E715" t="s">
        <v>442</v>
      </c>
      <c r="F715" t="s">
        <v>22</v>
      </c>
      <c r="G715" t="s">
        <v>18</v>
      </c>
      <c r="H715" s="3">
        <v>3</v>
      </c>
      <c r="I715" s="3">
        <v>8960</v>
      </c>
      <c r="J715" s="3">
        <v>26880</v>
      </c>
      <c r="K715" s="3">
        <v>7000</v>
      </c>
      <c r="L715" s="3">
        <v>21000</v>
      </c>
      <c r="M715" s="3">
        <v>5880</v>
      </c>
      <c r="N715" s="4">
        <v>0.21875</v>
      </c>
    </row>
    <row r="716" spans="1:14" x14ac:dyDescent="0.3">
      <c r="A716" s="6">
        <v>45709</v>
      </c>
      <c r="B716" s="1" t="s">
        <v>899</v>
      </c>
      <c r="C716" s="1" t="s">
        <v>26</v>
      </c>
      <c r="D716" t="s">
        <v>33</v>
      </c>
      <c r="E716" t="s">
        <v>76</v>
      </c>
      <c r="F716" t="s">
        <v>22</v>
      </c>
      <c r="G716" t="s">
        <v>18</v>
      </c>
      <c r="H716" s="3">
        <v>9</v>
      </c>
      <c r="I716" s="3">
        <v>9590</v>
      </c>
      <c r="J716" s="3">
        <v>86310</v>
      </c>
      <c r="K716" s="3">
        <v>7000</v>
      </c>
      <c r="L716" s="3">
        <v>63000</v>
      </c>
      <c r="M716" s="3">
        <v>23310</v>
      </c>
      <c r="N716" s="4">
        <v>0.27007299270072993</v>
      </c>
    </row>
    <row r="717" spans="1:14" x14ac:dyDescent="0.3">
      <c r="A717" s="6">
        <v>45709</v>
      </c>
      <c r="B717" s="1" t="s">
        <v>900</v>
      </c>
      <c r="C717" s="1" t="s">
        <v>29</v>
      </c>
      <c r="D717" t="s">
        <v>33</v>
      </c>
      <c r="E717" t="s">
        <v>65</v>
      </c>
      <c r="F717" t="s">
        <v>22</v>
      </c>
      <c r="G717" t="s">
        <v>18</v>
      </c>
      <c r="H717" s="3">
        <v>10</v>
      </c>
      <c r="I717" s="3">
        <v>8750</v>
      </c>
      <c r="J717" s="3">
        <v>87500</v>
      </c>
      <c r="K717" s="3">
        <v>7000</v>
      </c>
      <c r="L717" s="3">
        <v>70000</v>
      </c>
      <c r="M717" s="3">
        <v>17500</v>
      </c>
      <c r="N717" s="4">
        <v>0.2</v>
      </c>
    </row>
    <row r="718" spans="1:14" x14ac:dyDescent="0.3">
      <c r="A718" s="6">
        <v>45709</v>
      </c>
      <c r="B718" s="1" t="s">
        <v>901</v>
      </c>
      <c r="C718" s="1" t="s">
        <v>29</v>
      </c>
      <c r="D718" t="s">
        <v>32</v>
      </c>
      <c r="E718" t="s">
        <v>78</v>
      </c>
      <c r="F718" t="s">
        <v>21</v>
      </c>
      <c r="G718" t="s">
        <v>20</v>
      </c>
      <c r="H718" s="3">
        <v>9</v>
      </c>
      <c r="I718" s="3">
        <v>864</v>
      </c>
      <c r="J718" s="3">
        <v>7776</v>
      </c>
      <c r="K718" s="3">
        <v>600</v>
      </c>
      <c r="L718" s="3">
        <v>5400</v>
      </c>
      <c r="M718" s="3">
        <v>2376</v>
      </c>
      <c r="N718" s="4">
        <v>0.30555555555555558</v>
      </c>
    </row>
    <row r="719" spans="1:14" x14ac:dyDescent="0.3">
      <c r="A719" s="6">
        <v>45709</v>
      </c>
      <c r="B719" s="1" t="s">
        <v>902</v>
      </c>
      <c r="C719" s="1" t="s">
        <v>26</v>
      </c>
      <c r="D719" t="s">
        <v>31</v>
      </c>
      <c r="E719" t="s">
        <v>180</v>
      </c>
      <c r="F719" t="s">
        <v>22</v>
      </c>
      <c r="G719" t="s">
        <v>18</v>
      </c>
      <c r="H719" s="3">
        <v>8</v>
      </c>
      <c r="I719" s="3">
        <v>9170</v>
      </c>
      <c r="J719" s="3">
        <v>73360</v>
      </c>
      <c r="K719" s="3">
        <v>7000</v>
      </c>
      <c r="L719" s="3">
        <v>56000</v>
      </c>
      <c r="M719" s="3">
        <v>17360</v>
      </c>
      <c r="N719" s="4">
        <v>0.23664122137404581</v>
      </c>
    </row>
    <row r="720" spans="1:14" x14ac:dyDescent="0.3">
      <c r="A720" s="6">
        <v>45709</v>
      </c>
      <c r="B720" s="1" t="s">
        <v>903</v>
      </c>
      <c r="C720" s="1" t="s">
        <v>29</v>
      </c>
      <c r="D720" t="s">
        <v>35</v>
      </c>
      <c r="E720" t="s">
        <v>196</v>
      </c>
      <c r="F720" t="s">
        <v>17</v>
      </c>
      <c r="G720" t="s">
        <v>18</v>
      </c>
      <c r="H720" s="3">
        <v>8</v>
      </c>
      <c r="I720" s="3">
        <v>10455</v>
      </c>
      <c r="J720" s="3">
        <v>83640</v>
      </c>
      <c r="K720" s="3">
        <v>8500</v>
      </c>
      <c r="L720" s="3">
        <v>68000</v>
      </c>
      <c r="M720" s="3">
        <v>15640</v>
      </c>
      <c r="N720" s="4">
        <v>0.18699186991869918</v>
      </c>
    </row>
    <row r="721" spans="1:14" x14ac:dyDescent="0.3">
      <c r="A721" s="6">
        <v>45709</v>
      </c>
      <c r="B721" s="1" t="s">
        <v>904</v>
      </c>
      <c r="C721" s="1" t="s">
        <v>26</v>
      </c>
      <c r="D721" t="s">
        <v>34</v>
      </c>
      <c r="E721" t="s">
        <v>506</v>
      </c>
      <c r="F721" t="s">
        <v>14</v>
      </c>
      <c r="G721" t="s">
        <v>15</v>
      </c>
      <c r="H721" s="3">
        <v>9</v>
      </c>
      <c r="I721" s="3">
        <v>62550.000000000007</v>
      </c>
      <c r="J721" s="3">
        <v>562950.00000000012</v>
      </c>
      <c r="K721" s="3">
        <v>45000</v>
      </c>
      <c r="L721" s="3">
        <v>405000</v>
      </c>
      <c r="M721" s="3">
        <v>157950.00000000012</v>
      </c>
      <c r="N721" s="4">
        <v>0.28057553956834547</v>
      </c>
    </row>
    <row r="722" spans="1:14" x14ac:dyDescent="0.3">
      <c r="A722" s="6">
        <v>45709</v>
      </c>
      <c r="B722" s="1" t="s">
        <v>905</v>
      </c>
      <c r="C722" s="1" t="s">
        <v>28</v>
      </c>
      <c r="D722" t="s">
        <v>33</v>
      </c>
      <c r="E722" t="s">
        <v>151</v>
      </c>
      <c r="F722" t="s">
        <v>17</v>
      </c>
      <c r="G722" t="s">
        <v>18</v>
      </c>
      <c r="H722" s="3">
        <v>8</v>
      </c>
      <c r="I722" s="3">
        <v>10710</v>
      </c>
      <c r="J722" s="3">
        <v>85680</v>
      </c>
      <c r="K722" s="3">
        <v>8500</v>
      </c>
      <c r="L722" s="3">
        <v>68000</v>
      </c>
      <c r="M722" s="3">
        <v>17680</v>
      </c>
      <c r="N722" s="4">
        <v>0.20634920634920634</v>
      </c>
    </row>
    <row r="723" spans="1:14" x14ac:dyDescent="0.3">
      <c r="A723" s="6">
        <v>45709</v>
      </c>
      <c r="B723" s="1" t="s">
        <v>906</v>
      </c>
      <c r="C723" s="1" t="s">
        <v>28</v>
      </c>
      <c r="D723" t="s">
        <v>34</v>
      </c>
      <c r="E723" t="s">
        <v>292</v>
      </c>
      <c r="F723" t="s">
        <v>24</v>
      </c>
      <c r="G723" t="s">
        <v>25</v>
      </c>
      <c r="H723" s="3">
        <v>5</v>
      </c>
      <c r="I723" s="3">
        <v>3150</v>
      </c>
      <c r="J723" s="3">
        <v>15750</v>
      </c>
      <c r="K723" s="3">
        <v>2500</v>
      </c>
      <c r="L723" s="3">
        <v>12500</v>
      </c>
      <c r="M723" s="3">
        <v>3250</v>
      </c>
      <c r="N723" s="4">
        <v>0.20634920634920634</v>
      </c>
    </row>
    <row r="724" spans="1:14" x14ac:dyDescent="0.3">
      <c r="A724" s="6">
        <v>45709</v>
      </c>
      <c r="B724" s="1" t="s">
        <v>907</v>
      </c>
      <c r="C724" s="1" t="s">
        <v>26</v>
      </c>
      <c r="D724" t="s">
        <v>30</v>
      </c>
      <c r="E724" t="s">
        <v>142</v>
      </c>
      <c r="F724" t="s">
        <v>22</v>
      </c>
      <c r="G724" t="s">
        <v>18</v>
      </c>
      <c r="H724" s="3">
        <v>4</v>
      </c>
      <c r="I724" s="3">
        <v>9730</v>
      </c>
      <c r="J724" s="3">
        <v>38920</v>
      </c>
      <c r="K724" s="3">
        <v>7000</v>
      </c>
      <c r="L724" s="3">
        <v>28000</v>
      </c>
      <c r="M724" s="3">
        <v>10920</v>
      </c>
      <c r="N724" s="4">
        <v>0.2805755395683453</v>
      </c>
    </row>
    <row r="725" spans="1:14" x14ac:dyDescent="0.3">
      <c r="A725" s="6">
        <v>45709</v>
      </c>
      <c r="B725" s="1" t="s">
        <v>908</v>
      </c>
      <c r="C725" s="1" t="s">
        <v>28</v>
      </c>
      <c r="D725" t="s">
        <v>30</v>
      </c>
      <c r="E725" t="s">
        <v>169</v>
      </c>
      <c r="F725" t="s">
        <v>16</v>
      </c>
      <c r="G725" t="s">
        <v>15</v>
      </c>
      <c r="H725" s="3">
        <v>10</v>
      </c>
      <c r="I725" s="3">
        <v>48640</v>
      </c>
      <c r="J725" s="3">
        <v>486400</v>
      </c>
      <c r="K725" s="3">
        <v>38000</v>
      </c>
      <c r="L725" s="3">
        <v>380000</v>
      </c>
      <c r="M725" s="3">
        <v>106400</v>
      </c>
      <c r="N725" s="4">
        <v>0.21875</v>
      </c>
    </row>
    <row r="726" spans="1:14" x14ac:dyDescent="0.3">
      <c r="A726" s="6">
        <v>45709</v>
      </c>
      <c r="B726" s="1" t="s">
        <v>909</v>
      </c>
      <c r="C726" s="1" t="s">
        <v>29</v>
      </c>
      <c r="D726" t="s">
        <v>30</v>
      </c>
      <c r="E726" t="s">
        <v>424</v>
      </c>
      <c r="F726" t="s">
        <v>19</v>
      </c>
      <c r="G726" t="s">
        <v>20</v>
      </c>
      <c r="H726" s="3">
        <v>1</v>
      </c>
      <c r="I726" s="3">
        <v>1305</v>
      </c>
      <c r="J726" s="3">
        <v>1305</v>
      </c>
      <c r="K726" s="3">
        <v>900</v>
      </c>
      <c r="L726" s="3">
        <v>900</v>
      </c>
      <c r="M726" s="3">
        <v>405</v>
      </c>
      <c r="N726" s="4">
        <v>0.31034482758620691</v>
      </c>
    </row>
    <row r="727" spans="1:14" x14ac:dyDescent="0.3">
      <c r="A727" s="6">
        <v>45709</v>
      </c>
      <c r="B727" s="1" t="s">
        <v>910</v>
      </c>
      <c r="C727" s="1" t="s">
        <v>28</v>
      </c>
      <c r="D727" t="s">
        <v>32</v>
      </c>
      <c r="E727" t="s">
        <v>41</v>
      </c>
      <c r="F727" t="s">
        <v>14</v>
      </c>
      <c r="G727" t="s">
        <v>15</v>
      </c>
      <c r="H727" s="3">
        <v>6</v>
      </c>
      <c r="I727" s="3">
        <v>57600</v>
      </c>
      <c r="J727" s="3">
        <v>345600</v>
      </c>
      <c r="K727" s="3">
        <v>45000</v>
      </c>
      <c r="L727" s="3">
        <v>270000</v>
      </c>
      <c r="M727" s="3">
        <v>75600</v>
      </c>
      <c r="N727" s="4">
        <v>0.21875</v>
      </c>
    </row>
    <row r="728" spans="1:14" x14ac:dyDescent="0.3">
      <c r="A728" s="6">
        <v>45710</v>
      </c>
      <c r="B728" s="1" t="s">
        <v>911</v>
      </c>
      <c r="C728" s="1" t="s">
        <v>29</v>
      </c>
      <c r="D728" t="s">
        <v>31</v>
      </c>
      <c r="E728" t="s">
        <v>453</v>
      </c>
      <c r="F728" t="s">
        <v>22</v>
      </c>
      <c r="G728" t="s">
        <v>18</v>
      </c>
      <c r="H728" s="3">
        <v>6</v>
      </c>
      <c r="I728" s="3">
        <v>9730</v>
      </c>
      <c r="J728" s="3">
        <v>58380</v>
      </c>
      <c r="K728" s="3">
        <v>7000</v>
      </c>
      <c r="L728" s="3">
        <v>42000</v>
      </c>
      <c r="M728" s="3">
        <v>16380</v>
      </c>
      <c r="N728" s="4">
        <v>0.2805755395683453</v>
      </c>
    </row>
    <row r="729" spans="1:14" x14ac:dyDescent="0.3">
      <c r="A729" s="6">
        <v>45710</v>
      </c>
      <c r="B729" s="1" t="s">
        <v>912</v>
      </c>
      <c r="C729" s="1" t="s">
        <v>27</v>
      </c>
      <c r="D729" t="s">
        <v>35</v>
      </c>
      <c r="E729" t="s">
        <v>126</v>
      </c>
      <c r="F729" t="s">
        <v>24</v>
      </c>
      <c r="G729" t="s">
        <v>25</v>
      </c>
      <c r="H729" s="3">
        <v>2</v>
      </c>
      <c r="I729" s="3">
        <v>3175</v>
      </c>
      <c r="J729" s="3">
        <v>6350</v>
      </c>
      <c r="K729" s="3">
        <v>2500</v>
      </c>
      <c r="L729" s="3">
        <v>5000</v>
      </c>
      <c r="M729" s="3">
        <v>1350</v>
      </c>
      <c r="N729" s="4">
        <v>0.2125984251968504</v>
      </c>
    </row>
    <row r="730" spans="1:14" x14ac:dyDescent="0.3">
      <c r="A730" s="6">
        <v>45710</v>
      </c>
      <c r="B730" s="1" t="s">
        <v>913</v>
      </c>
      <c r="C730" s="1" t="s">
        <v>26</v>
      </c>
      <c r="D730" t="s">
        <v>32</v>
      </c>
      <c r="E730" t="s">
        <v>126</v>
      </c>
      <c r="F730" t="s">
        <v>19</v>
      </c>
      <c r="G730" t="s">
        <v>20</v>
      </c>
      <c r="H730" s="3">
        <v>2</v>
      </c>
      <c r="I730" s="3">
        <v>1233</v>
      </c>
      <c r="J730" s="3">
        <v>2466</v>
      </c>
      <c r="K730" s="3">
        <v>900</v>
      </c>
      <c r="L730" s="3">
        <v>1800</v>
      </c>
      <c r="M730" s="3">
        <v>666</v>
      </c>
      <c r="N730" s="4">
        <v>0.27007299270072993</v>
      </c>
    </row>
    <row r="731" spans="1:14" x14ac:dyDescent="0.3">
      <c r="A731" s="6">
        <v>45710</v>
      </c>
      <c r="B731" s="1" t="s">
        <v>914</v>
      </c>
      <c r="C731" s="1" t="s">
        <v>27</v>
      </c>
      <c r="D731" t="s">
        <v>34</v>
      </c>
      <c r="E731" t="s">
        <v>100</v>
      </c>
      <c r="F731" t="s">
        <v>24</v>
      </c>
      <c r="G731" t="s">
        <v>25</v>
      </c>
      <c r="H731" s="3">
        <v>7</v>
      </c>
      <c r="I731" s="3">
        <v>3350</v>
      </c>
      <c r="J731" s="3">
        <v>23450</v>
      </c>
      <c r="K731" s="3">
        <v>2500</v>
      </c>
      <c r="L731" s="3">
        <v>17500</v>
      </c>
      <c r="M731" s="3">
        <v>5950</v>
      </c>
      <c r="N731" s="4">
        <v>0.2537313432835821</v>
      </c>
    </row>
    <row r="732" spans="1:14" x14ac:dyDescent="0.3">
      <c r="A732" s="6">
        <v>45710</v>
      </c>
      <c r="B732" s="1" t="s">
        <v>915</v>
      </c>
      <c r="C732" s="1" t="s">
        <v>27</v>
      </c>
      <c r="D732" t="s">
        <v>35</v>
      </c>
      <c r="E732" t="s">
        <v>268</v>
      </c>
      <c r="F732" t="s">
        <v>16</v>
      </c>
      <c r="G732" t="s">
        <v>15</v>
      </c>
      <c r="H732" s="3">
        <v>8</v>
      </c>
      <c r="I732" s="3">
        <v>45980</v>
      </c>
      <c r="J732" s="3">
        <v>367840</v>
      </c>
      <c r="K732" s="3">
        <v>38000</v>
      </c>
      <c r="L732" s="3">
        <v>304000</v>
      </c>
      <c r="M732" s="3">
        <v>63840</v>
      </c>
      <c r="N732" s="4">
        <v>0.17355371900826447</v>
      </c>
    </row>
    <row r="733" spans="1:14" x14ac:dyDescent="0.3">
      <c r="A733" s="6">
        <v>45710</v>
      </c>
      <c r="B733" s="1" t="s">
        <v>916</v>
      </c>
      <c r="C733" s="1" t="s">
        <v>26</v>
      </c>
      <c r="D733" t="s">
        <v>32</v>
      </c>
      <c r="E733" t="s">
        <v>574</v>
      </c>
      <c r="F733" t="s">
        <v>17</v>
      </c>
      <c r="G733" t="s">
        <v>18</v>
      </c>
      <c r="H733" s="3">
        <v>8</v>
      </c>
      <c r="I733" s="3">
        <v>11305</v>
      </c>
      <c r="J733" s="3">
        <v>90440</v>
      </c>
      <c r="K733" s="3">
        <v>8500</v>
      </c>
      <c r="L733" s="3">
        <v>68000</v>
      </c>
      <c r="M733" s="3">
        <v>22440</v>
      </c>
      <c r="N733" s="4">
        <v>0.24812030075187969</v>
      </c>
    </row>
    <row r="734" spans="1:14" x14ac:dyDescent="0.3">
      <c r="A734" s="6">
        <v>45710</v>
      </c>
      <c r="B734" s="1" t="s">
        <v>917</v>
      </c>
      <c r="C734" s="1" t="s">
        <v>27</v>
      </c>
      <c r="D734" t="s">
        <v>32</v>
      </c>
      <c r="E734" t="s">
        <v>53</v>
      </c>
      <c r="F734" t="s">
        <v>14</v>
      </c>
      <c r="G734" t="s">
        <v>15</v>
      </c>
      <c r="H734" s="3">
        <v>8</v>
      </c>
      <c r="I734" s="3">
        <v>59400</v>
      </c>
      <c r="J734" s="3">
        <v>475200</v>
      </c>
      <c r="K734" s="3">
        <v>45000</v>
      </c>
      <c r="L734" s="3">
        <v>360000</v>
      </c>
      <c r="M734" s="3">
        <v>115200</v>
      </c>
      <c r="N734" s="4">
        <v>0.24242424242424243</v>
      </c>
    </row>
    <row r="735" spans="1:14" x14ac:dyDescent="0.3">
      <c r="A735" s="6">
        <v>45710</v>
      </c>
      <c r="B735" s="1" t="s">
        <v>918</v>
      </c>
      <c r="C735" s="1" t="s">
        <v>27</v>
      </c>
      <c r="D735" t="s">
        <v>34</v>
      </c>
      <c r="E735" t="s">
        <v>157</v>
      </c>
      <c r="F735" t="s">
        <v>17</v>
      </c>
      <c r="G735" t="s">
        <v>18</v>
      </c>
      <c r="H735" s="3">
        <v>4</v>
      </c>
      <c r="I735" s="3">
        <v>12325</v>
      </c>
      <c r="J735" s="3">
        <v>49300</v>
      </c>
      <c r="K735" s="3">
        <v>8500</v>
      </c>
      <c r="L735" s="3">
        <v>34000</v>
      </c>
      <c r="M735" s="3">
        <v>15300</v>
      </c>
      <c r="N735" s="4">
        <v>0.31034482758620691</v>
      </c>
    </row>
    <row r="736" spans="1:14" x14ac:dyDescent="0.3">
      <c r="A736" s="6">
        <v>45710</v>
      </c>
      <c r="B736" s="1" t="s">
        <v>919</v>
      </c>
      <c r="C736" s="1" t="s">
        <v>28</v>
      </c>
      <c r="D736" t="s">
        <v>32</v>
      </c>
      <c r="E736" t="s">
        <v>538</v>
      </c>
      <c r="F736" t="s">
        <v>14</v>
      </c>
      <c r="G736" t="s">
        <v>15</v>
      </c>
      <c r="H736" s="3">
        <v>10</v>
      </c>
      <c r="I736" s="3">
        <v>55350</v>
      </c>
      <c r="J736" s="3">
        <v>553500</v>
      </c>
      <c r="K736" s="3">
        <v>45000</v>
      </c>
      <c r="L736" s="3">
        <v>450000</v>
      </c>
      <c r="M736" s="3">
        <v>103500</v>
      </c>
      <c r="N736" s="4">
        <v>0.18699186991869918</v>
      </c>
    </row>
    <row r="737" spans="1:14" x14ac:dyDescent="0.3">
      <c r="A737" s="6">
        <v>45710</v>
      </c>
      <c r="B737" s="1" t="s">
        <v>920</v>
      </c>
      <c r="C737" s="1" t="s">
        <v>27</v>
      </c>
      <c r="D737" t="s">
        <v>30</v>
      </c>
      <c r="E737" t="s">
        <v>116</v>
      </c>
      <c r="F737" t="s">
        <v>24</v>
      </c>
      <c r="G737" t="s">
        <v>25</v>
      </c>
      <c r="H737" s="3">
        <v>6</v>
      </c>
      <c r="I737" s="3">
        <v>3350</v>
      </c>
      <c r="J737" s="3">
        <v>20100</v>
      </c>
      <c r="K737" s="3">
        <v>2500</v>
      </c>
      <c r="L737" s="3">
        <v>15000</v>
      </c>
      <c r="M737" s="3">
        <v>5100</v>
      </c>
      <c r="N737" s="4">
        <v>0.2537313432835821</v>
      </c>
    </row>
    <row r="738" spans="1:14" x14ac:dyDescent="0.3">
      <c r="A738" s="6">
        <v>45710</v>
      </c>
      <c r="B738" s="1" t="s">
        <v>921</v>
      </c>
      <c r="C738" s="1" t="s">
        <v>29</v>
      </c>
      <c r="D738" t="s">
        <v>33</v>
      </c>
      <c r="E738" t="s">
        <v>371</v>
      </c>
      <c r="F738" t="s">
        <v>24</v>
      </c>
      <c r="G738" t="s">
        <v>25</v>
      </c>
      <c r="H738" s="3">
        <v>5</v>
      </c>
      <c r="I738" s="3">
        <v>3075</v>
      </c>
      <c r="J738" s="3">
        <v>15375</v>
      </c>
      <c r="K738" s="3">
        <v>2500</v>
      </c>
      <c r="L738" s="3">
        <v>12500</v>
      </c>
      <c r="M738" s="3">
        <v>2875</v>
      </c>
      <c r="N738" s="4">
        <v>0.18699186991869918</v>
      </c>
    </row>
    <row r="739" spans="1:14" x14ac:dyDescent="0.3">
      <c r="A739" s="6">
        <v>45710</v>
      </c>
      <c r="B739" s="1" t="s">
        <v>922</v>
      </c>
      <c r="C739" s="1" t="s">
        <v>26</v>
      </c>
      <c r="D739" t="s">
        <v>33</v>
      </c>
      <c r="E739" t="s">
        <v>548</v>
      </c>
      <c r="F739" t="s">
        <v>24</v>
      </c>
      <c r="G739" t="s">
        <v>25</v>
      </c>
      <c r="H739" s="3">
        <v>3</v>
      </c>
      <c r="I739" s="3">
        <v>3150</v>
      </c>
      <c r="J739" s="3">
        <v>9450</v>
      </c>
      <c r="K739" s="3">
        <v>2500</v>
      </c>
      <c r="L739" s="3">
        <v>7500</v>
      </c>
      <c r="M739" s="3">
        <v>1950</v>
      </c>
      <c r="N739" s="4">
        <v>0.20634920634920634</v>
      </c>
    </row>
    <row r="740" spans="1:14" x14ac:dyDescent="0.3">
      <c r="A740" s="6">
        <v>45710</v>
      </c>
      <c r="B740" s="1" t="s">
        <v>923</v>
      </c>
      <c r="C740" s="1" t="s">
        <v>26</v>
      </c>
      <c r="D740" t="s">
        <v>33</v>
      </c>
      <c r="E740" t="s">
        <v>321</v>
      </c>
      <c r="F740" t="s">
        <v>24</v>
      </c>
      <c r="G740" t="s">
        <v>25</v>
      </c>
      <c r="H740" s="3">
        <v>10</v>
      </c>
      <c r="I740" s="3">
        <v>3325</v>
      </c>
      <c r="J740" s="3">
        <v>33250</v>
      </c>
      <c r="K740" s="3">
        <v>2500</v>
      </c>
      <c r="L740" s="3">
        <v>25000</v>
      </c>
      <c r="M740" s="3">
        <v>8250</v>
      </c>
      <c r="N740" s="4">
        <v>0.24812030075187969</v>
      </c>
    </row>
    <row r="741" spans="1:14" x14ac:dyDescent="0.3">
      <c r="A741" s="6">
        <v>45710</v>
      </c>
      <c r="B741" s="1" t="s">
        <v>924</v>
      </c>
      <c r="C741" s="1" t="s">
        <v>27</v>
      </c>
      <c r="D741" t="s">
        <v>30</v>
      </c>
      <c r="E741" t="s">
        <v>379</v>
      </c>
      <c r="F741" t="s">
        <v>16</v>
      </c>
      <c r="G741" t="s">
        <v>15</v>
      </c>
      <c r="H741" s="3">
        <v>4</v>
      </c>
      <c r="I741" s="3">
        <v>47120</v>
      </c>
      <c r="J741" s="3">
        <v>188480</v>
      </c>
      <c r="K741" s="3">
        <v>38000</v>
      </c>
      <c r="L741" s="3">
        <v>152000</v>
      </c>
      <c r="M741" s="3">
        <v>36480</v>
      </c>
      <c r="N741" s="4">
        <v>0.19354838709677419</v>
      </c>
    </row>
    <row r="742" spans="1:14" x14ac:dyDescent="0.3">
      <c r="A742" s="6">
        <v>45711</v>
      </c>
      <c r="B742" s="1" t="s">
        <v>925</v>
      </c>
      <c r="C742" s="1" t="s">
        <v>26</v>
      </c>
      <c r="D742" t="s">
        <v>30</v>
      </c>
      <c r="E742" t="s">
        <v>94</v>
      </c>
      <c r="F742" t="s">
        <v>19</v>
      </c>
      <c r="G742" t="s">
        <v>20</v>
      </c>
      <c r="H742" s="3">
        <v>9</v>
      </c>
      <c r="I742" s="3">
        <v>1170</v>
      </c>
      <c r="J742" s="3">
        <v>10530</v>
      </c>
      <c r="K742" s="3">
        <v>900</v>
      </c>
      <c r="L742" s="3">
        <v>8100</v>
      </c>
      <c r="M742" s="3">
        <v>2430</v>
      </c>
      <c r="N742" s="4">
        <v>0.23076923076923078</v>
      </c>
    </row>
    <row r="743" spans="1:14" x14ac:dyDescent="0.3">
      <c r="A743" s="6">
        <v>45711</v>
      </c>
      <c r="B743" s="1" t="s">
        <v>926</v>
      </c>
      <c r="C743" s="1" t="s">
        <v>29</v>
      </c>
      <c r="D743" t="s">
        <v>31</v>
      </c>
      <c r="E743" t="s">
        <v>265</v>
      </c>
      <c r="F743" t="s">
        <v>21</v>
      </c>
      <c r="G743" t="s">
        <v>20</v>
      </c>
      <c r="H743" s="3">
        <v>6</v>
      </c>
      <c r="I743" s="3">
        <v>780</v>
      </c>
      <c r="J743" s="3">
        <v>4680</v>
      </c>
      <c r="K743" s="3">
        <v>600</v>
      </c>
      <c r="L743" s="3">
        <v>3600</v>
      </c>
      <c r="M743" s="3">
        <v>1080</v>
      </c>
      <c r="N743" s="4">
        <v>0.23076923076923078</v>
      </c>
    </row>
    <row r="744" spans="1:14" x14ac:dyDescent="0.3">
      <c r="A744" s="6">
        <v>45711</v>
      </c>
      <c r="B744" s="1" t="s">
        <v>927</v>
      </c>
      <c r="C744" s="1" t="s">
        <v>26</v>
      </c>
      <c r="D744" t="s">
        <v>31</v>
      </c>
      <c r="E744" t="s">
        <v>275</v>
      </c>
      <c r="F744" t="s">
        <v>19</v>
      </c>
      <c r="G744" t="s">
        <v>20</v>
      </c>
      <c r="H744" s="3">
        <v>5</v>
      </c>
      <c r="I744" s="3">
        <v>1215</v>
      </c>
      <c r="J744" s="3">
        <v>6075</v>
      </c>
      <c r="K744" s="3">
        <v>900</v>
      </c>
      <c r="L744" s="3">
        <v>4500</v>
      </c>
      <c r="M744" s="3">
        <v>1575</v>
      </c>
      <c r="N744" s="4">
        <v>0.25925925925925924</v>
      </c>
    </row>
    <row r="745" spans="1:14" x14ac:dyDescent="0.3">
      <c r="A745" s="6">
        <v>45711</v>
      </c>
      <c r="B745" s="1" t="s">
        <v>928</v>
      </c>
      <c r="C745" s="1" t="s">
        <v>26</v>
      </c>
      <c r="D745" t="s">
        <v>32</v>
      </c>
      <c r="E745" t="s">
        <v>304</v>
      </c>
      <c r="F745" t="s">
        <v>19</v>
      </c>
      <c r="G745" t="s">
        <v>20</v>
      </c>
      <c r="H745" s="3">
        <v>7</v>
      </c>
      <c r="I745" s="3">
        <v>1125</v>
      </c>
      <c r="J745" s="3">
        <v>7875</v>
      </c>
      <c r="K745" s="3">
        <v>900</v>
      </c>
      <c r="L745" s="3">
        <v>6300</v>
      </c>
      <c r="M745" s="3">
        <v>1575</v>
      </c>
      <c r="N745" s="4">
        <v>0.2</v>
      </c>
    </row>
    <row r="746" spans="1:14" x14ac:dyDescent="0.3">
      <c r="A746" s="6">
        <v>45711</v>
      </c>
      <c r="B746" s="1" t="s">
        <v>929</v>
      </c>
      <c r="C746" s="1" t="s">
        <v>29</v>
      </c>
      <c r="D746" t="s">
        <v>33</v>
      </c>
      <c r="E746" t="s">
        <v>524</v>
      </c>
      <c r="F746" t="s">
        <v>23</v>
      </c>
      <c r="G746" t="s">
        <v>25</v>
      </c>
      <c r="H746" s="3">
        <v>8</v>
      </c>
      <c r="I746" s="3">
        <v>4320</v>
      </c>
      <c r="J746" s="3">
        <v>34560</v>
      </c>
      <c r="K746" s="3">
        <v>3200</v>
      </c>
      <c r="L746" s="3">
        <v>25600</v>
      </c>
      <c r="M746" s="3">
        <v>8960</v>
      </c>
      <c r="N746" s="4">
        <v>0.25925925925925924</v>
      </c>
    </row>
    <row r="747" spans="1:14" x14ac:dyDescent="0.3">
      <c r="A747" s="6">
        <v>45711</v>
      </c>
      <c r="B747" s="1" t="s">
        <v>930</v>
      </c>
      <c r="C747" s="1" t="s">
        <v>28</v>
      </c>
      <c r="D747" t="s">
        <v>34</v>
      </c>
      <c r="E747" t="s">
        <v>88</v>
      </c>
      <c r="F747" t="s">
        <v>17</v>
      </c>
      <c r="G747" t="s">
        <v>18</v>
      </c>
      <c r="H747" s="3">
        <v>5</v>
      </c>
      <c r="I747" s="3">
        <v>11305</v>
      </c>
      <c r="J747" s="3">
        <v>56525</v>
      </c>
      <c r="K747" s="3">
        <v>8500</v>
      </c>
      <c r="L747" s="3">
        <v>42500</v>
      </c>
      <c r="M747" s="3">
        <v>14025</v>
      </c>
      <c r="N747" s="4">
        <v>0.24812030075187969</v>
      </c>
    </row>
    <row r="748" spans="1:14" x14ac:dyDescent="0.3">
      <c r="A748" s="6">
        <v>45711</v>
      </c>
      <c r="B748" s="1" t="s">
        <v>931</v>
      </c>
      <c r="C748" s="1" t="s">
        <v>29</v>
      </c>
      <c r="D748" t="s">
        <v>33</v>
      </c>
      <c r="E748" t="s">
        <v>283</v>
      </c>
      <c r="F748" t="s">
        <v>23</v>
      </c>
      <c r="G748" t="s">
        <v>25</v>
      </c>
      <c r="H748" s="3">
        <v>8</v>
      </c>
      <c r="I748" s="3">
        <v>4384</v>
      </c>
      <c r="J748" s="3">
        <v>35072</v>
      </c>
      <c r="K748" s="3">
        <v>3200</v>
      </c>
      <c r="L748" s="3">
        <v>25600</v>
      </c>
      <c r="M748" s="3">
        <v>9472</v>
      </c>
      <c r="N748" s="4">
        <v>0.27007299270072993</v>
      </c>
    </row>
    <row r="749" spans="1:14" x14ac:dyDescent="0.3">
      <c r="A749" s="6">
        <v>45711</v>
      </c>
      <c r="B749" s="1" t="s">
        <v>932</v>
      </c>
      <c r="C749" s="1" t="s">
        <v>27</v>
      </c>
      <c r="D749" t="s">
        <v>31</v>
      </c>
      <c r="E749" t="s">
        <v>155</v>
      </c>
      <c r="F749" t="s">
        <v>19</v>
      </c>
      <c r="G749" t="s">
        <v>20</v>
      </c>
      <c r="H749" s="3">
        <v>10</v>
      </c>
      <c r="I749" s="3">
        <v>1152</v>
      </c>
      <c r="J749" s="3">
        <v>11520</v>
      </c>
      <c r="K749" s="3">
        <v>900</v>
      </c>
      <c r="L749" s="3">
        <v>9000</v>
      </c>
      <c r="M749" s="3">
        <v>2520</v>
      </c>
      <c r="N749" s="4">
        <v>0.21875</v>
      </c>
    </row>
    <row r="750" spans="1:14" x14ac:dyDescent="0.3">
      <c r="A750" s="6">
        <v>45711</v>
      </c>
      <c r="B750" s="1" t="s">
        <v>933</v>
      </c>
      <c r="C750" s="1" t="s">
        <v>27</v>
      </c>
      <c r="D750" t="s">
        <v>34</v>
      </c>
      <c r="E750" t="s">
        <v>180</v>
      </c>
      <c r="F750" t="s">
        <v>14</v>
      </c>
      <c r="G750" t="s">
        <v>15</v>
      </c>
      <c r="H750" s="3">
        <v>6</v>
      </c>
      <c r="I750" s="3">
        <v>56250</v>
      </c>
      <c r="J750" s="3">
        <v>337500</v>
      </c>
      <c r="K750" s="3">
        <v>45000</v>
      </c>
      <c r="L750" s="3">
        <v>270000</v>
      </c>
      <c r="M750" s="3">
        <v>67500</v>
      </c>
      <c r="N750" s="4">
        <v>0.2</v>
      </c>
    </row>
    <row r="751" spans="1:14" x14ac:dyDescent="0.3">
      <c r="A751" s="6">
        <v>45711</v>
      </c>
      <c r="B751" s="1" t="s">
        <v>934</v>
      </c>
      <c r="C751" s="1" t="s">
        <v>29</v>
      </c>
      <c r="D751" t="s">
        <v>32</v>
      </c>
      <c r="E751" t="s">
        <v>319</v>
      </c>
      <c r="F751" t="s">
        <v>21</v>
      </c>
      <c r="G751" t="s">
        <v>20</v>
      </c>
      <c r="H751" s="3">
        <v>4</v>
      </c>
      <c r="I751" s="3">
        <v>726</v>
      </c>
      <c r="J751" s="3">
        <v>2904</v>
      </c>
      <c r="K751" s="3">
        <v>600</v>
      </c>
      <c r="L751" s="3">
        <v>2400</v>
      </c>
      <c r="M751" s="3">
        <v>504</v>
      </c>
      <c r="N751" s="4">
        <v>0.17355371900826447</v>
      </c>
    </row>
    <row r="752" spans="1:14" x14ac:dyDescent="0.3">
      <c r="A752" s="6">
        <v>45711</v>
      </c>
      <c r="B752" s="1" t="s">
        <v>936</v>
      </c>
      <c r="C752" s="1" t="s">
        <v>26</v>
      </c>
      <c r="D752" t="s">
        <v>31</v>
      </c>
      <c r="E752" t="s">
        <v>161</v>
      </c>
      <c r="F752" t="s">
        <v>19</v>
      </c>
      <c r="G752" t="s">
        <v>20</v>
      </c>
      <c r="H752" s="3">
        <v>8</v>
      </c>
      <c r="I752" s="3">
        <v>1089</v>
      </c>
      <c r="J752" s="3">
        <v>8712</v>
      </c>
      <c r="K752" s="3">
        <v>900</v>
      </c>
      <c r="L752" s="3">
        <v>7200</v>
      </c>
      <c r="M752" s="3">
        <v>1512</v>
      </c>
      <c r="N752" s="4">
        <v>0.17355371900826447</v>
      </c>
    </row>
    <row r="753" spans="1:14" x14ac:dyDescent="0.3">
      <c r="A753" s="6">
        <v>45711</v>
      </c>
      <c r="B753" s="1" t="s">
        <v>937</v>
      </c>
      <c r="C753" s="1" t="s">
        <v>27</v>
      </c>
      <c r="D753" t="s">
        <v>32</v>
      </c>
      <c r="E753" t="s">
        <v>363</v>
      </c>
      <c r="F753" t="s">
        <v>23</v>
      </c>
      <c r="G753" t="s">
        <v>25</v>
      </c>
      <c r="H753" s="3">
        <v>2</v>
      </c>
      <c r="I753" s="3">
        <v>4416</v>
      </c>
      <c r="J753" s="3">
        <v>8832</v>
      </c>
      <c r="K753" s="3">
        <v>3200</v>
      </c>
      <c r="L753" s="3">
        <v>6400</v>
      </c>
      <c r="M753" s="3">
        <v>2432</v>
      </c>
      <c r="N753" s="4">
        <v>0.27536231884057971</v>
      </c>
    </row>
    <row r="754" spans="1:14" x14ac:dyDescent="0.3">
      <c r="A754" s="6">
        <v>45711</v>
      </c>
      <c r="B754" s="1" t="s">
        <v>938</v>
      </c>
      <c r="C754" s="1" t="s">
        <v>29</v>
      </c>
      <c r="D754" t="s">
        <v>34</v>
      </c>
      <c r="E754" t="s">
        <v>94</v>
      </c>
      <c r="F754" t="s">
        <v>19</v>
      </c>
      <c r="G754" t="s">
        <v>20</v>
      </c>
      <c r="H754" s="3">
        <v>10</v>
      </c>
      <c r="I754" s="3">
        <v>1170</v>
      </c>
      <c r="J754" s="3">
        <v>11700</v>
      </c>
      <c r="K754" s="3">
        <v>900</v>
      </c>
      <c r="L754" s="3">
        <v>9000</v>
      </c>
      <c r="M754" s="3">
        <v>2700</v>
      </c>
      <c r="N754" s="4">
        <v>0.23076923076923078</v>
      </c>
    </row>
    <row r="755" spans="1:14" x14ac:dyDescent="0.3">
      <c r="A755" s="6">
        <v>45711</v>
      </c>
      <c r="B755" s="1" t="s">
        <v>939</v>
      </c>
      <c r="C755" s="1" t="s">
        <v>27</v>
      </c>
      <c r="D755" t="s">
        <v>30</v>
      </c>
      <c r="E755" t="s">
        <v>351</v>
      </c>
      <c r="F755" t="s">
        <v>16</v>
      </c>
      <c r="G755" t="s">
        <v>15</v>
      </c>
      <c r="H755" s="3">
        <v>4</v>
      </c>
      <c r="I755" s="3">
        <v>45600</v>
      </c>
      <c r="J755" s="3">
        <v>182400</v>
      </c>
      <c r="K755" s="3">
        <v>38000</v>
      </c>
      <c r="L755" s="3">
        <v>152000</v>
      </c>
      <c r="M755" s="3">
        <v>30400</v>
      </c>
      <c r="N755" s="4">
        <v>0.16666666666666666</v>
      </c>
    </row>
    <row r="756" spans="1:14" x14ac:dyDescent="0.3">
      <c r="A756" s="6">
        <v>45712</v>
      </c>
      <c r="B756" s="1" t="s">
        <v>940</v>
      </c>
      <c r="C756" s="1" t="s">
        <v>27</v>
      </c>
      <c r="D756" t="s">
        <v>32</v>
      </c>
      <c r="E756" t="s">
        <v>129</v>
      </c>
      <c r="F756" t="s">
        <v>14</v>
      </c>
      <c r="G756" t="s">
        <v>15</v>
      </c>
      <c r="H756" s="3">
        <v>3</v>
      </c>
      <c r="I756" s="3">
        <v>59850</v>
      </c>
      <c r="J756" s="3">
        <v>179550</v>
      </c>
      <c r="K756" s="3">
        <v>45000</v>
      </c>
      <c r="L756" s="3">
        <v>135000</v>
      </c>
      <c r="M756" s="3">
        <v>44550</v>
      </c>
      <c r="N756" s="4">
        <v>0.24812030075187969</v>
      </c>
    </row>
    <row r="757" spans="1:14" x14ac:dyDescent="0.3">
      <c r="A757" s="6">
        <v>45712</v>
      </c>
      <c r="B757" s="1" t="s">
        <v>941</v>
      </c>
      <c r="C757" s="1" t="s">
        <v>27</v>
      </c>
      <c r="D757" t="s">
        <v>34</v>
      </c>
      <c r="E757" t="s">
        <v>139</v>
      </c>
      <c r="F757" t="s">
        <v>24</v>
      </c>
      <c r="G757" t="s">
        <v>25</v>
      </c>
      <c r="H757" s="3">
        <v>2</v>
      </c>
      <c r="I757" s="3">
        <v>3025</v>
      </c>
      <c r="J757" s="3">
        <v>6050</v>
      </c>
      <c r="K757" s="3">
        <v>2500</v>
      </c>
      <c r="L757" s="3">
        <v>5000</v>
      </c>
      <c r="M757" s="3">
        <v>1050</v>
      </c>
      <c r="N757" s="4">
        <v>0.17355371900826447</v>
      </c>
    </row>
    <row r="758" spans="1:14" x14ac:dyDescent="0.3">
      <c r="A758" s="6">
        <v>45712</v>
      </c>
      <c r="B758" s="1" t="s">
        <v>942</v>
      </c>
      <c r="C758" s="1" t="s">
        <v>29</v>
      </c>
      <c r="D758" t="s">
        <v>34</v>
      </c>
      <c r="E758" t="s">
        <v>186</v>
      </c>
      <c r="F758" t="s">
        <v>21</v>
      </c>
      <c r="G758" t="s">
        <v>20</v>
      </c>
      <c r="H758" s="3">
        <v>8</v>
      </c>
      <c r="I758" s="3">
        <v>786</v>
      </c>
      <c r="J758" s="3">
        <v>6288</v>
      </c>
      <c r="K758" s="3">
        <v>600</v>
      </c>
      <c r="L758" s="3">
        <v>4800</v>
      </c>
      <c r="M758" s="3">
        <v>1488</v>
      </c>
      <c r="N758" s="4">
        <v>0.23664122137404581</v>
      </c>
    </row>
    <row r="759" spans="1:14" x14ac:dyDescent="0.3">
      <c r="A759" s="6">
        <v>45712</v>
      </c>
      <c r="B759" s="1" t="s">
        <v>943</v>
      </c>
      <c r="C759" s="1" t="s">
        <v>26</v>
      </c>
      <c r="D759" t="s">
        <v>30</v>
      </c>
      <c r="E759" t="s">
        <v>275</v>
      </c>
      <c r="F759" t="s">
        <v>24</v>
      </c>
      <c r="G759" t="s">
        <v>25</v>
      </c>
      <c r="H759" s="3">
        <v>9</v>
      </c>
      <c r="I759" s="3">
        <v>3100</v>
      </c>
      <c r="J759" s="3">
        <v>27900</v>
      </c>
      <c r="K759" s="3">
        <v>2500</v>
      </c>
      <c r="L759" s="3">
        <v>22500</v>
      </c>
      <c r="M759" s="3">
        <v>5400</v>
      </c>
      <c r="N759" s="4">
        <v>0.19354838709677419</v>
      </c>
    </row>
    <row r="760" spans="1:14" x14ac:dyDescent="0.3">
      <c r="A760" s="6">
        <v>45712</v>
      </c>
      <c r="B760" s="1" t="s">
        <v>944</v>
      </c>
      <c r="C760" s="1" t="s">
        <v>29</v>
      </c>
      <c r="D760" t="s">
        <v>33</v>
      </c>
      <c r="E760" t="s">
        <v>431</v>
      </c>
      <c r="F760" t="s">
        <v>19</v>
      </c>
      <c r="G760" t="s">
        <v>20</v>
      </c>
      <c r="H760" s="3">
        <v>1</v>
      </c>
      <c r="I760" s="3">
        <v>1098</v>
      </c>
      <c r="J760" s="3">
        <v>1098</v>
      </c>
      <c r="K760" s="3">
        <v>900</v>
      </c>
      <c r="L760" s="3">
        <v>900</v>
      </c>
      <c r="M760" s="3">
        <v>198</v>
      </c>
      <c r="N760" s="4">
        <v>0.18032786885245902</v>
      </c>
    </row>
    <row r="761" spans="1:14" x14ac:dyDescent="0.3">
      <c r="A761" s="6">
        <v>45712</v>
      </c>
      <c r="B761" s="1" t="s">
        <v>945</v>
      </c>
      <c r="C761" s="1" t="s">
        <v>28</v>
      </c>
      <c r="D761" t="s">
        <v>35</v>
      </c>
      <c r="E761" t="s">
        <v>129</v>
      </c>
      <c r="F761" t="s">
        <v>23</v>
      </c>
      <c r="G761" t="s">
        <v>25</v>
      </c>
      <c r="H761" s="3">
        <v>7</v>
      </c>
      <c r="I761" s="3">
        <v>4288</v>
      </c>
      <c r="J761" s="3">
        <v>30016</v>
      </c>
      <c r="K761" s="3">
        <v>3200</v>
      </c>
      <c r="L761" s="3">
        <v>22400</v>
      </c>
      <c r="M761" s="3">
        <v>7616</v>
      </c>
      <c r="N761" s="4">
        <v>0.2537313432835821</v>
      </c>
    </row>
    <row r="762" spans="1:14" x14ac:dyDescent="0.3">
      <c r="A762" s="6">
        <v>45712</v>
      </c>
      <c r="B762" s="1" t="s">
        <v>946</v>
      </c>
      <c r="C762" s="1" t="s">
        <v>27</v>
      </c>
      <c r="D762" t="s">
        <v>33</v>
      </c>
      <c r="E762" t="s">
        <v>53</v>
      </c>
      <c r="F762" t="s">
        <v>22</v>
      </c>
      <c r="G762" t="s">
        <v>18</v>
      </c>
      <c r="H762" s="3">
        <v>2</v>
      </c>
      <c r="I762" s="3">
        <v>9240</v>
      </c>
      <c r="J762" s="3">
        <v>18480</v>
      </c>
      <c r="K762" s="3">
        <v>7000</v>
      </c>
      <c r="L762" s="3">
        <v>14000</v>
      </c>
      <c r="M762" s="3">
        <v>4480</v>
      </c>
      <c r="N762" s="4">
        <v>0.24242424242424243</v>
      </c>
    </row>
    <row r="763" spans="1:14" x14ac:dyDescent="0.3">
      <c r="A763" s="6">
        <v>45712</v>
      </c>
      <c r="B763" s="1" t="s">
        <v>947</v>
      </c>
      <c r="C763" s="1" t="s">
        <v>26</v>
      </c>
      <c r="D763" t="s">
        <v>34</v>
      </c>
      <c r="E763" t="s">
        <v>327</v>
      </c>
      <c r="F763" t="s">
        <v>24</v>
      </c>
      <c r="G763" t="s">
        <v>25</v>
      </c>
      <c r="H763" s="3">
        <v>9</v>
      </c>
      <c r="I763" s="3">
        <v>3325</v>
      </c>
      <c r="J763" s="3">
        <v>29925</v>
      </c>
      <c r="K763" s="3">
        <v>2500</v>
      </c>
      <c r="L763" s="3">
        <v>22500</v>
      </c>
      <c r="M763" s="3">
        <v>7425</v>
      </c>
      <c r="N763" s="4">
        <v>0.24812030075187969</v>
      </c>
    </row>
    <row r="764" spans="1:14" x14ac:dyDescent="0.3">
      <c r="A764" s="6">
        <v>45712</v>
      </c>
      <c r="B764" s="1" t="s">
        <v>948</v>
      </c>
      <c r="C764" s="1" t="s">
        <v>29</v>
      </c>
      <c r="D764" t="s">
        <v>32</v>
      </c>
      <c r="E764" t="s">
        <v>400</v>
      </c>
      <c r="F764" t="s">
        <v>19</v>
      </c>
      <c r="G764" t="s">
        <v>20</v>
      </c>
      <c r="H764" s="3">
        <v>1</v>
      </c>
      <c r="I764" s="3">
        <v>1206</v>
      </c>
      <c r="J764" s="3">
        <v>1206</v>
      </c>
      <c r="K764" s="3">
        <v>900</v>
      </c>
      <c r="L764" s="3">
        <v>900</v>
      </c>
      <c r="M764" s="3">
        <v>306</v>
      </c>
      <c r="N764" s="4">
        <v>0.2537313432835821</v>
      </c>
    </row>
    <row r="765" spans="1:14" x14ac:dyDescent="0.3">
      <c r="A765" s="6">
        <v>45712</v>
      </c>
      <c r="B765" s="1" t="s">
        <v>949</v>
      </c>
      <c r="C765" s="1" t="s">
        <v>29</v>
      </c>
      <c r="D765" t="s">
        <v>33</v>
      </c>
      <c r="E765" t="s">
        <v>349</v>
      </c>
      <c r="F765" t="s">
        <v>19</v>
      </c>
      <c r="G765" t="s">
        <v>20</v>
      </c>
      <c r="H765" s="3">
        <v>7</v>
      </c>
      <c r="I765" s="3">
        <v>1233</v>
      </c>
      <c r="J765" s="3">
        <v>8631</v>
      </c>
      <c r="K765" s="3">
        <v>900</v>
      </c>
      <c r="L765" s="3">
        <v>6300</v>
      </c>
      <c r="M765" s="3">
        <v>2331</v>
      </c>
      <c r="N765" s="4">
        <v>0.27007299270072993</v>
      </c>
    </row>
    <row r="766" spans="1:14" x14ac:dyDescent="0.3">
      <c r="A766" s="6">
        <v>45712</v>
      </c>
      <c r="B766" s="1" t="s">
        <v>950</v>
      </c>
      <c r="C766" s="1" t="s">
        <v>28</v>
      </c>
      <c r="D766" t="s">
        <v>35</v>
      </c>
      <c r="E766" t="s">
        <v>193</v>
      </c>
      <c r="F766" t="s">
        <v>23</v>
      </c>
      <c r="G766" t="s">
        <v>25</v>
      </c>
      <c r="H766" s="3">
        <v>2</v>
      </c>
      <c r="I766" s="3">
        <v>4608</v>
      </c>
      <c r="J766" s="3">
        <v>9216</v>
      </c>
      <c r="K766" s="3">
        <v>3200</v>
      </c>
      <c r="L766" s="3">
        <v>6400</v>
      </c>
      <c r="M766" s="3">
        <v>2816</v>
      </c>
      <c r="N766" s="4">
        <v>0.30555555555555558</v>
      </c>
    </row>
    <row r="767" spans="1:14" x14ac:dyDescent="0.3">
      <c r="A767" s="6">
        <v>45712</v>
      </c>
      <c r="B767" s="1" t="s">
        <v>951</v>
      </c>
      <c r="C767" s="1" t="s">
        <v>29</v>
      </c>
      <c r="D767" t="s">
        <v>32</v>
      </c>
      <c r="E767" t="s">
        <v>147</v>
      </c>
      <c r="F767" t="s">
        <v>14</v>
      </c>
      <c r="G767" t="s">
        <v>15</v>
      </c>
      <c r="H767" s="3">
        <v>8</v>
      </c>
      <c r="I767" s="3">
        <v>63450</v>
      </c>
      <c r="J767" s="3">
        <v>507600</v>
      </c>
      <c r="K767" s="3">
        <v>45000</v>
      </c>
      <c r="L767" s="3">
        <v>360000</v>
      </c>
      <c r="M767" s="3">
        <v>147600</v>
      </c>
      <c r="N767" s="4">
        <v>0.29078014184397161</v>
      </c>
    </row>
    <row r="768" spans="1:14" x14ac:dyDescent="0.3">
      <c r="A768" s="6">
        <v>45712</v>
      </c>
      <c r="B768" s="1" t="s">
        <v>952</v>
      </c>
      <c r="C768" s="1" t="s">
        <v>26</v>
      </c>
      <c r="D768" t="s">
        <v>34</v>
      </c>
      <c r="E768" t="s">
        <v>175</v>
      </c>
      <c r="F768" t="s">
        <v>14</v>
      </c>
      <c r="G768" t="s">
        <v>15</v>
      </c>
      <c r="H768" s="3">
        <v>6</v>
      </c>
      <c r="I768" s="3">
        <v>60300</v>
      </c>
      <c r="J768" s="3">
        <v>361800</v>
      </c>
      <c r="K768" s="3">
        <v>45000</v>
      </c>
      <c r="L768" s="3">
        <v>270000</v>
      </c>
      <c r="M768" s="3">
        <v>91800</v>
      </c>
      <c r="N768" s="4">
        <v>0.2537313432835821</v>
      </c>
    </row>
    <row r="769" spans="1:14" x14ac:dyDescent="0.3">
      <c r="A769" s="6">
        <v>45712</v>
      </c>
      <c r="B769" s="1" t="s">
        <v>953</v>
      </c>
      <c r="C769" s="1" t="s">
        <v>29</v>
      </c>
      <c r="D769" t="s">
        <v>33</v>
      </c>
      <c r="E769" t="s">
        <v>228</v>
      </c>
      <c r="F769" t="s">
        <v>16</v>
      </c>
      <c r="G769" t="s">
        <v>15</v>
      </c>
      <c r="H769" s="3">
        <v>10</v>
      </c>
      <c r="I769" s="3">
        <v>50160</v>
      </c>
      <c r="J769" s="3">
        <v>501600</v>
      </c>
      <c r="K769" s="3">
        <v>38000</v>
      </c>
      <c r="L769" s="3">
        <v>380000</v>
      </c>
      <c r="M769" s="3">
        <v>121600</v>
      </c>
      <c r="N769" s="4">
        <v>0.24242424242424243</v>
      </c>
    </row>
    <row r="770" spans="1:14" x14ac:dyDescent="0.3">
      <c r="A770" s="6">
        <v>45713</v>
      </c>
      <c r="B770" s="1" t="s">
        <v>954</v>
      </c>
      <c r="C770" s="1" t="s">
        <v>28</v>
      </c>
      <c r="D770" t="s">
        <v>30</v>
      </c>
      <c r="E770" t="s">
        <v>255</v>
      </c>
      <c r="F770" t="s">
        <v>17</v>
      </c>
      <c r="G770" t="s">
        <v>18</v>
      </c>
      <c r="H770" s="3">
        <v>2</v>
      </c>
      <c r="I770" s="3">
        <v>10880</v>
      </c>
      <c r="J770" s="3">
        <v>21760</v>
      </c>
      <c r="K770" s="3">
        <v>8500</v>
      </c>
      <c r="L770" s="3">
        <v>17000</v>
      </c>
      <c r="M770" s="3">
        <v>4760</v>
      </c>
      <c r="N770" s="4">
        <v>0.21875</v>
      </c>
    </row>
    <row r="771" spans="1:14" x14ac:dyDescent="0.3">
      <c r="A771" s="6">
        <v>45713</v>
      </c>
      <c r="B771" s="1" t="s">
        <v>955</v>
      </c>
      <c r="C771" s="1" t="s">
        <v>26</v>
      </c>
      <c r="D771" t="s">
        <v>32</v>
      </c>
      <c r="E771" t="s">
        <v>159</v>
      </c>
      <c r="F771" t="s">
        <v>22</v>
      </c>
      <c r="G771" t="s">
        <v>18</v>
      </c>
      <c r="H771" s="3">
        <v>1</v>
      </c>
      <c r="I771" s="3">
        <v>8750</v>
      </c>
      <c r="J771" s="3">
        <v>8750</v>
      </c>
      <c r="K771" s="3">
        <v>7000</v>
      </c>
      <c r="L771" s="3">
        <v>7000</v>
      </c>
      <c r="M771" s="3">
        <v>1750</v>
      </c>
      <c r="N771" s="4">
        <v>0.2</v>
      </c>
    </row>
    <row r="772" spans="1:14" x14ac:dyDescent="0.3">
      <c r="A772" s="6">
        <v>45713</v>
      </c>
      <c r="B772" s="1" t="s">
        <v>956</v>
      </c>
      <c r="C772" s="1" t="s">
        <v>26</v>
      </c>
      <c r="D772" t="s">
        <v>34</v>
      </c>
      <c r="E772" t="s">
        <v>61</v>
      </c>
      <c r="F772" t="s">
        <v>17</v>
      </c>
      <c r="G772" t="s">
        <v>18</v>
      </c>
      <c r="H772" s="3">
        <v>10</v>
      </c>
      <c r="I772" s="3">
        <v>10625</v>
      </c>
      <c r="J772" s="3">
        <v>106250</v>
      </c>
      <c r="K772" s="3">
        <v>8500</v>
      </c>
      <c r="L772" s="3">
        <v>85000</v>
      </c>
      <c r="M772" s="3">
        <v>21250</v>
      </c>
      <c r="N772" s="4">
        <v>0.2</v>
      </c>
    </row>
    <row r="773" spans="1:14" x14ac:dyDescent="0.3">
      <c r="A773" s="6">
        <v>45713</v>
      </c>
      <c r="B773" s="1" t="s">
        <v>957</v>
      </c>
      <c r="C773" s="1" t="s">
        <v>27</v>
      </c>
      <c r="D773" t="s">
        <v>32</v>
      </c>
      <c r="E773" t="s">
        <v>186</v>
      </c>
      <c r="F773" t="s">
        <v>14</v>
      </c>
      <c r="G773" t="s">
        <v>15</v>
      </c>
      <c r="H773" s="3">
        <v>6</v>
      </c>
      <c r="I773" s="3">
        <v>56250</v>
      </c>
      <c r="J773" s="3">
        <v>337500</v>
      </c>
      <c r="K773" s="3">
        <v>45000</v>
      </c>
      <c r="L773" s="3">
        <v>270000</v>
      </c>
      <c r="M773" s="3">
        <v>67500</v>
      </c>
      <c r="N773" s="4">
        <v>0.2</v>
      </c>
    </row>
    <row r="774" spans="1:14" x14ac:dyDescent="0.3">
      <c r="A774" s="6">
        <v>45713</v>
      </c>
      <c r="B774" s="1" t="s">
        <v>958</v>
      </c>
      <c r="C774" s="1" t="s">
        <v>28</v>
      </c>
      <c r="D774" t="s">
        <v>32</v>
      </c>
      <c r="E774" t="s">
        <v>51</v>
      </c>
      <c r="F774" t="s">
        <v>14</v>
      </c>
      <c r="G774" t="s">
        <v>15</v>
      </c>
      <c r="H774" s="3">
        <v>1</v>
      </c>
      <c r="I774" s="3">
        <v>58050</v>
      </c>
      <c r="J774" s="3">
        <v>58050</v>
      </c>
      <c r="K774" s="3">
        <v>45000</v>
      </c>
      <c r="L774" s="3">
        <v>45000</v>
      </c>
      <c r="M774" s="3">
        <v>13050</v>
      </c>
      <c r="N774" s="4">
        <v>0.22480620155038761</v>
      </c>
    </row>
    <row r="775" spans="1:14" x14ac:dyDescent="0.3">
      <c r="A775" s="6">
        <v>45713</v>
      </c>
      <c r="B775" s="1" t="s">
        <v>959</v>
      </c>
      <c r="C775" s="1" t="s">
        <v>29</v>
      </c>
      <c r="D775" t="s">
        <v>35</v>
      </c>
      <c r="E775" t="s">
        <v>357</v>
      </c>
      <c r="F775" t="s">
        <v>16</v>
      </c>
      <c r="G775" t="s">
        <v>15</v>
      </c>
      <c r="H775" s="3">
        <v>5</v>
      </c>
      <c r="I775" s="3">
        <v>47880</v>
      </c>
      <c r="J775" s="3">
        <v>239400</v>
      </c>
      <c r="K775" s="3">
        <v>38000</v>
      </c>
      <c r="L775" s="3">
        <v>190000</v>
      </c>
      <c r="M775" s="3">
        <v>49400</v>
      </c>
      <c r="N775" s="4">
        <v>0.20634920634920634</v>
      </c>
    </row>
    <row r="776" spans="1:14" x14ac:dyDescent="0.3">
      <c r="A776" s="6">
        <v>45713</v>
      </c>
      <c r="B776" s="1" t="s">
        <v>960</v>
      </c>
      <c r="C776" s="1" t="s">
        <v>26</v>
      </c>
      <c r="D776" t="s">
        <v>33</v>
      </c>
      <c r="E776" t="s">
        <v>59</v>
      </c>
      <c r="F776" t="s">
        <v>19</v>
      </c>
      <c r="G776" t="s">
        <v>20</v>
      </c>
      <c r="H776" s="3">
        <v>4</v>
      </c>
      <c r="I776" s="3">
        <v>1251</v>
      </c>
      <c r="J776" s="3">
        <v>5004</v>
      </c>
      <c r="K776" s="3">
        <v>900</v>
      </c>
      <c r="L776" s="3">
        <v>3600</v>
      </c>
      <c r="M776" s="3">
        <v>1404</v>
      </c>
      <c r="N776" s="4">
        <v>0.2805755395683453</v>
      </c>
    </row>
    <row r="777" spans="1:14" x14ac:dyDescent="0.3">
      <c r="A777" s="6">
        <v>45713</v>
      </c>
      <c r="B777" s="1" t="s">
        <v>961</v>
      </c>
      <c r="C777" s="1" t="s">
        <v>26</v>
      </c>
      <c r="D777" t="s">
        <v>32</v>
      </c>
      <c r="E777" t="s">
        <v>189</v>
      </c>
      <c r="F777" t="s">
        <v>17</v>
      </c>
      <c r="G777" t="s">
        <v>18</v>
      </c>
      <c r="H777" s="3">
        <v>9</v>
      </c>
      <c r="I777" s="3">
        <v>12070</v>
      </c>
      <c r="J777" s="3">
        <v>108630</v>
      </c>
      <c r="K777" s="3">
        <v>8500</v>
      </c>
      <c r="L777" s="3">
        <v>76500</v>
      </c>
      <c r="M777" s="3">
        <v>32130</v>
      </c>
      <c r="N777" s="4">
        <v>0.29577464788732394</v>
      </c>
    </row>
    <row r="778" spans="1:14" x14ac:dyDescent="0.3">
      <c r="A778" s="6">
        <v>45713</v>
      </c>
      <c r="B778" s="1" t="s">
        <v>962</v>
      </c>
      <c r="C778" s="1" t="s">
        <v>29</v>
      </c>
      <c r="D778" t="s">
        <v>33</v>
      </c>
      <c r="E778" t="s">
        <v>524</v>
      </c>
      <c r="F778" t="s">
        <v>23</v>
      </c>
      <c r="G778" t="s">
        <v>25</v>
      </c>
      <c r="H778" s="3">
        <v>1</v>
      </c>
      <c r="I778" s="3">
        <v>3968</v>
      </c>
      <c r="J778" s="3">
        <v>3968</v>
      </c>
      <c r="K778" s="3">
        <v>3200</v>
      </c>
      <c r="L778" s="3">
        <v>3200</v>
      </c>
      <c r="M778" s="3">
        <v>768</v>
      </c>
      <c r="N778" s="4">
        <v>0.19354838709677419</v>
      </c>
    </row>
    <row r="779" spans="1:14" x14ac:dyDescent="0.3">
      <c r="A779" s="6">
        <v>45713</v>
      </c>
      <c r="B779" s="1" t="s">
        <v>963</v>
      </c>
      <c r="C779" s="1" t="s">
        <v>26</v>
      </c>
      <c r="D779" t="s">
        <v>31</v>
      </c>
      <c r="E779" t="s">
        <v>157</v>
      </c>
      <c r="F779" t="s">
        <v>24</v>
      </c>
      <c r="G779" t="s">
        <v>25</v>
      </c>
      <c r="H779" s="3">
        <v>2</v>
      </c>
      <c r="I779" s="3">
        <v>3300</v>
      </c>
      <c r="J779" s="3">
        <v>6600</v>
      </c>
      <c r="K779" s="3">
        <v>2500</v>
      </c>
      <c r="L779" s="3">
        <v>5000</v>
      </c>
      <c r="M779" s="3">
        <v>1600</v>
      </c>
      <c r="N779" s="4">
        <v>0.24242424242424243</v>
      </c>
    </row>
    <row r="780" spans="1:14" x14ac:dyDescent="0.3">
      <c r="A780" s="6">
        <v>45713</v>
      </c>
      <c r="B780" s="1" t="s">
        <v>964</v>
      </c>
      <c r="C780" s="1" t="s">
        <v>26</v>
      </c>
      <c r="D780" t="s">
        <v>34</v>
      </c>
      <c r="E780" t="s">
        <v>114</v>
      </c>
      <c r="F780" t="s">
        <v>23</v>
      </c>
      <c r="G780" t="s">
        <v>25</v>
      </c>
      <c r="H780" s="3">
        <v>2</v>
      </c>
      <c r="I780" s="3">
        <v>3872</v>
      </c>
      <c r="J780" s="3">
        <v>7744</v>
      </c>
      <c r="K780" s="3">
        <v>3200</v>
      </c>
      <c r="L780" s="3">
        <v>6400</v>
      </c>
      <c r="M780" s="3">
        <v>1344</v>
      </c>
      <c r="N780" s="4">
        <v>0.17355371900826447</v>
      </c>
    </row>
    <row r="781" spans="1:14" x14ac:dyDescent="0.3">
      <c r="A781" s="6">
        <v>45713</v>
      </c>
      <c r="B781" s="1" t="s">
        <v>965</v>
      </c>
      <c r="C781" s="1" t="s">
        <v>28</v>
      </c>
      <c r="D781" t="s">
        <v>30</v>
      </c>
      <c r="E781" t="s">
        <v>538</v>
      </c>
      <c r="F781" t="s">
        <v>23</v>
      </c>
      <c r="G781" t="s">
        <v>25</v>
      </c>
      <c r="H781" s="3">
        <v>6</v>
      </c>
      <c r="I781" s="3">
        <v>3840</v>
      </c>
      <c r="J781" s="3">
        <v>23040</v>
      </c>
      <c r="K781" s="3">
        <v>3200</v>
      </c>
      <c r="L781" s="3">
        <v>19200</v>
      </c>
      <c r="M781" s="3">
        <v>3840</v>
      </c>
      <c r="N781" s="4">
        <v>0.16666666666666666</v>
      </c>
    </row>
    <row r="782" spans="1:14" x14ac:dyDescent="0.3">
      <c r="A782" s="6">
        <v>45713</v>
      </c>
      <c r="B782" s="1" t="s">
        <v>966</v>
      </c>
      <c r="C782" s="1" t="s">
        <v>28</v>
      </c>
      <c r="D782" t="s">
        <v>31</v>
      </c>
      <c r="E782" t="s">
        <v>94</v>
      </c>
      <c r="F782" t="s">
        <v>24</v>
      </c>
      <c r="G782" t="s">
        <v>25</v>
      </c>
      <c r="H782" s="3">
        <v>3</v>
      </c>
      <c r="I782" s="3">
        <v>3250</v>
      </c>
      <c r="J782" s="3">
        <v>9750</v>
      </c>
      <c r="K782" s="3">
        <v>2500</v>
      </c>
      <c r="L782" s="3">
        <v>7500</v>
      </c>
      <c r="M782" s="3">
        <v>2250</v>
      </c>
      <c r="N782" s="4">
        <v>0.23076923076923078</v>
      </c>
    </row>
    <row r="783" spans="1:14" x14ac:dyDescent="0.3">
      <c r="A783" s="6">
        <v>45713</v>
      </c>
      <c r="B783" s="1" t="s">
        <v>967</v>
      </c>
      <c r="C783" s="1" t="s">
        <v>27</v>
      </c>
      <c r="D783" t="s">
        <v>35</v>
      </c>
      <c r="E783" t="s">
        <v>85</v>
      </c>
      <c r="F783" t="s">
        <v>24</v>
      </c>
      <c r="G783" t="s">
        <v>25</v>
      </c>
      <c r="H783" s="3">
        <v>8</v>
      </c>
      <c r="I783" s="3">
        <v>3025</v>
      </c>
      <c r="J783" s="3">
        <v>24200</v>
      </c>
      <c r="K783" s="3">
        <v>2500</v>
      </c>
      <c r="L783" s="3">
        <v>20000</v>
      </c>
      <c r="M783" s="3">
        <v>4200</v>
      </c>
      <c r="N783" s="4">
        <v>0.17355371900826447</v>
      </c>
    </row>
    <row r="784" spans="1:14" x14ac:dyDescent="0.3">
      <c r="A784" s="6">
        <v>45714</v>
      </c>
      <c r="B784" s="1" t="s">
        <v>968</v>
      </c>
      <c r="C784" s="1" t="s">
        <v>27</v>
      </c>
      <c r="D784" t="s">
        <v>33</v>
      </c>
      <c r="E784" t="s">
        <v>935</v>
      </c>
      <c r="F784" t="s">
        <v>14</v>
      </c>
      <c r="G784" t="s">
        <v>15</v>
      </c>
      <c r="H784" s="3">
        <v>5</v>
      </c>
      <c r="I784" s="3">
        <v>62999.999999999993</v>
      </c>
      <c r="J784" s="3">
        <v>314999.99999999994</v>
      </c>
      <c r="K784" s="3">
        <v>45000</v>
      </c>
      <c r="L784" s="3">
        <v>225000</v>
      </c>
      <c r="M784" s="3">
        <v>89999.999999999942</v>
      </c>
      <c r="N784" s="4">
        <v>0.28571428571428559</v>
      </c>
    </row>
    <row r="785" spans="1:14" x14ac:dyDescent="0.3">
      <c r="A785" s="6">
        <v>45714</v>
      </c>
      <c r="B785" s="1" t="s">
        <v>969</v>
      </c>
      <c r="C785" s="1" t="s">
        <v>28</v>
      </c>
      <c r="D785" t="s">
        <v>35</v>
      </c>
      <c r="E785" t="s">
        <v>131</v>
      </c>
      <c r="F785" t="s">
        <v>17</v>
      </c>
      <c r="G785" t="s">
        <v>18</v>
      </c>
      <c r="H785" s="3">
        <v>2</v>
      </c>
      <c r="I785" s="3">
        <v>11985</v>
      </c>
      <c r="J785" s="3">
        <v>23970</v>
      </c>
      <c r="K785" s="3">
        <v>8500</v>
      </c>
      <c r="L785" s="3">
        <v>17000</v>
      </c>
      <c r="M785" s="3">
        <v>6970</v>
      </c>
      <c r="N785" s="4">
        <v>0.29078014184397161</v>
      </c>
    </row>
    <row r="786" spans="1:14" x14ac:dyDescent="0.3">
      <c r="A786" s="6">
        <v>45714</v>
      </c>
      <c r="B786" s="1" t="s">
        <v>970</v>
      </c>
      <c r="C786" s="1" t="s">
        <v>27</v>
      </c>
      <c r="D786" t="s">
        <v>35</v>
      </c>
      <c r="E786" t="s">
        <v>201</v>
      </c>
      <c r="F786" t="s">
        <v>21</v>
      </c>
      <c r="G786" t="s">
        <v>20</v>
      </c>
      <c r="H786" s="3">
        <v>4</v>
      </c>
      <c r="I786" s="3">
        <v>815.99999999999989</v>
      </c>
      <c r="J786" s="3">
        <v>3263.9999999999995</v>
      </c>
      <c r="K786" s="3">
        <v>600</v>
      </c>
      <c r="L786" s="3">
        <v>2400</v>
      </c>
      <c r="M786" s="3">
        <v>863.99999999999955</v>
      </c>
      <c r="N786" s="4">
        <v>0.26470588235294107</v>
      </c>
    </row>
    <row r="787" spans="1:14" x14ac:dyDescent="0.3">
      <c r="A787" s="6">
        <v>45714</v>
      </c>
      <c r="B787" s="1" t="s">
        <v>971</v>
      </c>
      <c r="C787" s="1" t="s">
        <v>27</v>
      </c>
      <c r="D787" t="s">
        <v>30</v>
      </c>
      <c r="E787" t="s">
        <v>331</v>
      </c>
      <c r="F787" t="s">
        <v>23</v>
      </c>
      <c r="G787" t="s">
        <v>25</v>
      </c>
      <c r="H787" s="3">
        <v>9</v>
      </c>
      <c r="I787" s="3">
        <v>4192</v>
      </c>
      <c r="J787" s="3">
        <v>37728</v>
      </c>
      <c r="K787" s="3">
        <v>3200</v>
      </c>
      <c r="L787" s="3">
        <v>28800</v>
      </c>
      <c r="M787" s="3">
        <v>8928</v>
      </c>
      <c r="N787" s="4">
        <v>0.23664122137404581</v>
      </c>
    </row>
    <row r="788" spans="1:14" x14ac:dyDescent="0.3">
      <c r="A788" s="6">
        <v>45714</v>
      </c>
      <c r="B788" s="1" t="s">
        <v>972</v>
      </c>
      <c r="C788" s="1" t="s">
        <v>27</v>
      </c>
      <c r="D788" t="s">
        <v>32</v>
      </c>
      <c r="E788" t="s">
        <v>233</v>
      </c>
      <c r="F788" t="s">
        <v>14</v>
      </c>
      <c r="G788" t="s">
        <v>15</v>
      </c>
      <c r="H788" s="3">
        <v>5</v>
      </c>
      <c r="I788" s="3">
        <v>58500</v>
      </c>
      <c r="J788" s="3">
        <v>292500</v>
      </c>
      <c r="K788" s="3">
        <v>45000</v>
      </c>
      <c r="L788" s="3">
        <v>225000</v>
      </c>
      <c r="M788" s="3">
        <v>67500</v>
      </c>
      <c r="N788" s="4">
        <v>0.23076923076923078</v>
      </c>
    </row>
    <row r="789" spans="1:14" x14ac:dyDescent="0.3">
      <c r="A789" s="6">
        <v>45714</v>
      </c>
      <c r="B789" s="1" t="s">
        <v>973</v>
      </c>
      <c r="C789" s="1" t="s">
        <v>26</v>
      </c>
      <c r="D789" t="s">
        <v>35</v>
      </c>
      <c r="E789" t="s">
        <v>163</v>
      </c>
      <c r="F789" t="s">
        <v>24</v>
      </c>
      <c r="G789" t="s">
        <v>25</v>
      </c>
      <c r="H789" s="3">
        <v>1</v>
      </c>
      <c r="I789" s="3">
        <v>3200</v>
      </c>
      <c r="J789" s="3">
        <v>3200</v>
      </c>
      <c r="K789" s="3">
        <v>2500</v>
      </c>
      <c r="L789" s="3">
        <v>2500</v>
      </c>
      <c r="M789" s="3">
        <v>700</v>
      </c>
      <c r="N789" s="4">
        <v>0.21875</v>
      </c>
    </row>
    <row r="790" spans="1:14" x14ac:dyDescent="0.3">
      <c r="A790" s="6">
        <v>45714</v>
      </c>
      <c r="B790" s="1" t="s">
        <v>974</v>
      </c>
      <c r="C790" s="1" t="s">
        <v>26</v>
      </c>
      <c r="D790" t="s">
        <v>30</v>
      </c>
      <c r="E790" t="s">
        <v>78</v>
      </c>
      <c r="F790" t="s">
        <v>21</v>
      </c>
      <c r="G790" t="s">
        <v>20</v>
      </c>
      <c r="H790" s="3">
        <v>8</v>
      </c>
      <c r="I790" s="3">
        <v>858</v>
      </c>
      <c r="J790" s="3">
        <v>6864</v>
      </c>
      <c r="K790" s="3">
        <v>600</v>
      </c>
      <c r="L790" s="3">
        <v>4800</v>
      </c>
      <c r="M790" s="3">
        <v>2064</v>
      </c>
      <c r="N790" s="4">
        <v>0.30069930069930068</v>
      </c>
    </row>
    <row r="791" spans="1:14" x14ac:dyDescent="0.3">
      <c r="A791" s="6">
        <v>45714</v>
      </c>
      <c r="B791" s="1" t="s">
        <v>975</v>
      </c>
      <c r="C791" s="1" t="s">
        <v>27</v>
      </c>
      <c r="D791" t="s">
        <v>32</v>
      </c>
      <c r="E791" t="s">
        <v>126</v>
      </c>
      <c r="F791" t="s">
        <v>17</v>
      </c>
      <c r="G791" t="s">
        <v>18</v>
      </c>
      <c r="H791" s="3">
        <v>8</v>
      </c>
      <c r="I791" s="3">
        <v>10200</v>
      </c>
      <c r="J791" s="3">
        <v>81600</v>
      </c>
      <c r="K791" s="3">
        <v>8500</v>
      </c>
      <c r="L791" s="3">
        <v>68000</v>
      </c>
      <c r="M791" s="3">
        <v>13600</v>
      </c>
      <c r="N791" s="4">
        <v>0.16666666666666666</v>
      </c>
    </row>
    <row r="792" spans="1:14" x14ac:dyDescent="0.3">
      <c r="A792" s="6">
        <v>45714</v>
      </c>
      <c r="B792" s="1" t="s">
        <v>976</v>
      </c>
      <c r="C792" s="1" t="s">
        <v>28</v>
      </c>
      <c r="D792" t="s">
        <v>33</v>
      </c>
      <c r="E792" t="s">
        <v>65</v>
      </c>
      <c r="F792" t="s">
        <v>19</v>
      </c>
      <c r="G792" t="s">
        <v>20</v>
      </c>
      <c r="H792" s="3">
        <v>9</v>
      </c>
      <c r="I792" s="3">
        <v>1278</v>
      </c>
      <c r="J792" s="3">
        <v>11502</v>
      </c>
      <c r="K792" s="3">
        <v>900</v>
      </c>
      <c r="L792" s="3">
        <v>8100</v>
      </c>
      <c r="M792" s="3">
        <v>3402</v>
      </c>
      <c r="N792" s="4">
        <v>0.29577464788732394</v>
      </c>
    </row>
    <row r="793" spans="1:14" x14ac:dyDescent="0.3">
      <c r="A793" s="6">
        <v>45714</v>
      </c>
      <c r="B793" s="1" t="s">
        <v>977</v>
      </c>
      <c r="C793" s="1" t="s">
        <v>27</v>
      </c>
      <c r="D793" t="s">
        <v>35</v>
      </c>
      <c r="E793" t="s">
        <v>88</v>
      </c>
      <c r="F793" t="s">
        <v>21</v>
      </c>
      <c r="G793" t="s">
        <v>20</v>
      </c>
      <c r="H793" s="3">
        <v>10</v>
      </c>
      <c r="I793" s="3">
        <v>852</v>
      </c>
      <c r="J793" s="3">
        <v>8520</v>
      </c>
      <c r="K793" s="3">
        <v>600</v>
      </c>
      <c r="L793" s="3">
        <v>6000</v>
      </c>
      <c r="M793" s="3">
        <v>2520</v>
      </c>
      <c r="N793" s="4">
        <v>0.29577464788732394</v>
      </c>
    </row>
    <row r="794" spans="1:14" x14ac:dyDescent="0.3">
      <c r="A794" s="6">
        <v>45714</v>
      </c>
      <c r="B794" s="1" t="s">
        <v>978</v>
      </c>
      <c r="C794" s="1" t="s">
        <v>27</v>
      </c>
      <c r="D794" t="s">
        <v>31</v>
      </c>
      <c r="E794" t="s">
        <v>98</v>
      </c>
      <c r="F794" t="s">
        <v>19</v>
      </c>
      <c r="G794" t="s">
        <v>20</v>
      </c>
      <c r="H794" s="3">
        <v>8</v>
      </c>
      <c r="I794" s="3">
        <v>1134</v>
      </c>
      <c r="J794" s="3">
        <v>9072</v>
      </c>
      <c r="K794" s="3">
        <v>900</v>
      </c>
      <c r="L794" s="3">
        <v>7200</v>
      </c>
      <c r="M794" s="3">
        <v>1872</v>
      </c>
      <c r="N794" s="4">
        <v>0.20634920634920634</v>
      </c>
    </row>
    <row r="795" spans="1:14" x14ac:dyDescent="0.3">
      <c r="A795" s="6">
        <v>45714</v>
      </c>
      <c r="B795" s="1" t="s">
        <v>979</v>
      </c>
      <c r="C795" s="1" t="s">
        <v>28</v>
      </c>
      <c r="D795" t="s">
        <v>34</v>
      </c>
      <c r="E795" t="s">
        <v>400</v>
      </c>
      <c r="F795" t="s">
        <v>23</v>
      </c>
      <c r="G795" t="s">
        <v>25</v>
      </c>
      <c r="H795" s="3">
        <v>3</v>
      </c>
      <c r="I795" s="3">
        <v>4160</v>
      </c>
      <c r="J795" s="3">
        <v>12480</v>
      </c>
      <c r="K795" s="3">
        <v>3200</v>
      </c>
      <c r="L795" s="3">
        <v>9600</v>
      </c>
      <c r="M795" s="3">
        <v>2880</v>
      </c>
      <c r="N795" s="4">
        <v>0.23076923076923078</v>
      </c>
    </row>
    <row r="796" spans="1:14" x14ac:dyDescent="0.3">
      <c r="A796" s="6">
        <v>45714</v>
      </c>
      <c r="B796" s="1" t="s">
        <v>980</v>
      </c>
      <c r="C796" s="1" t="s">
        <v>27</v>
      </c>
      <c r="D796" t="s">
        <v>32</v>
      </c>
      <c r="E796" t="s">
        <v>184</v>
      </c>
      <c r="F796" t="s">
        <v>22</v>
      </c>
      <c r="G796" t="s">
        <v>18</v>
      </c>
      <c r="H796" s="3">
        <v>3</v>
      </c>
      <c r="I796" s="3">
        <v>8890</v>
      </c>
      <c r="J796" s="3">
        <v>26670</v>
      </c>
      <c r="K796" s="3">
        <v>7000</v>
      </c>
      <c r="L796" s="3">
        <v>21000</v>
      </c>
      <c r="M796" s="3">
        <v>5670</v>
      </c>
      <c r="N796" s="4">
        <v>0.2125984251968504</v>
      </c>
    </row>
    <row r="797" spans="1:14" x14ac:dyDescent="0.3">
      <c r="A797" s="6">
        <v>45714</v>
      </c>
      <c r="B797" s="1" t="s">
        <v>981</v>
      </c>
      <c r="C797" s="1" t="s">
        <v>28</v>
      </c>
      <c r="D797" t="s">
        <v>31</v>
      </c>
      <c r="E797" t="s">
        <v>411</v>
      </c>
      <c r="F797" t="s">
        <v>22</v>
      </c>
      <c r="G797" t="s">
        <v>18</v>
      </c>
      <c r="H797" s="3">
        <v>10</v>
      </c>
      <c r="I797" s="3">
        <v>9870</v>
      </c>
      <c r="J797" s="3">
        <v>98700</v>
      </c>
      <c r="K797" s="3">
        <v>7000</v>
      </c>
      <c r="L797" s="3">
        <v>70000</v>
      </c>
      <c r="M797" s="3">
        <v>28700</v>
      </c>
      <c r="N797" s="4">
        <v>0.29078014184397161</v>
      </c>
    </row>
    <row r="798" spans="1:14" x14ac:dyDescent="0.3">
      <c r="A798" s="6">
        <v>45715</v>
      </c>
      <c r="B798" s="1" t="s">
        <v>982</v>
      </c>
      <c r="C798" s="1" t="s">
        <v>27</v>
      </c>
      <c r="D798" t="s">
        <v>34</v>
      </c>
      <c r="E798" t="s">
        <v>153</v>
      </c>
      <c r="F798" t="s">
        <v>16</v>
      </c>
      <c r="G798" t="s">
        <v>15</v>
      </c>
      <c r="H798" s="3">
        <v>8</v>
      </c>
      <c r="I798" s="3">
        <v>50540</v>
      </c>
      <c r="J798" s="3">
        <v>404320</v>
      </c>
      <c r="K798" s="3">
        <v>38000</v>
      </c>
      <c r="L798" s="3">
        <v>304000</v>
      </c>
      <c r="M798" s="3">
        <v>100320</v>
      </c>
      <c r="N798" s="4">
        <v>0.24812030075187969</v>
      </c>
    </row>
    <row r="799" spans="1:14" x14ac:dyDescent="0.3">
      <c r="A799" s="6">
        <v>45715</v>
      </c>
      <c r="B799" s="1" t="s">
        <v>983</v>
      </c>
      <c r="C799" s="1" t="s">
        <v>29</v>
      </c>
      <c r="D799" t="s">
        <v>34</v>
      </c>
      <c r="E799" t="s">
        <v>427</v>
      </c>
      <c r="F799" t="s">
        <v>14</v>
      </c>
      <c r="G799" t="s">
        <v>15</v>
      </c>
      <c r="H799" s="3">
        <v>4</v>
      </c>
      <c r="I799" s="3">
        <v>65250</v>
      </c>
      <c r="J799" s="3">
        <v>261000</v>
      </c>
      <c r="K799" s="3">
        <v>45000</v>
      </c>
      <c r="L799" s="3">
        <v>180000</v>
      </c>
      <c r="M799" s="3">
        <v>81000</v>
      </c>
      <c r="N799" s="4">
        <v>0.31034482758620691</v>
      </c>
    </row>
    <row r="800" spans="1:14" x14ac:dyDescent="0.3">
      <c r="A800" s="6">
        <v>45715</v>
      </c>
      <c r="B800" s="1" t="s">
        <v>984</v>
      </c>
      <c r="C800" s="1" t="s">
        <v>29</v>
      </c>
      <c r="D800" t="s">
        <v>34</v>
      </c>
      <c r="E800" t="s">
        <v>114</v>
      </c>
      <c r="F800" t="s">
        <v>14</v>
      </c>
      <c r="G800" t="s">
        <v>15</v>
      </c>
      <c r="H800" s="3">
        <v>6</v>
      </c>
      <c r="I800" s="3">
        <v>61199.999999999993</v>
      </c>
      <c r="J800" s="3">
        <v>367199.99999999994</v>
      </c>
      <c r="K800" s="3">
        <v>45000</v>
      </c>
      <c r="L800" s="3">
        <v>270000</v>
      </c>
      <c r="M800" s="3">
        <v>97199.999999999942</v>
      </c>
      <c r="N800" s="4">
        <v>0.26470588235294107</v>
      </c>
    </row>
    <row r="801" spans="1:14" x14ac:dyDescent="0.3">
      <c r="A801" s="6">
        <v>45715</v>
      </c>
      <c r="B801" s="1" t="s">
        <v>985</v>
      </c>
      <c r="C801" s="1" t="s">
        <v>26</v>
      </c>
      <c r="D801" t="s">
        <v>33</v>
      </c>
      <c r="E801" t="s">
        <v>255</v>
      </c>
      <c r="F801" t="s">
        <v>19</v>
      </c>
      <c r="G801" t="s">
        <v>20</v>
      </c>
      <c r="H801" s="3">
        <v>9</v>
      </c>
      <c r="I801" s="3">
        <v>1170</v>
      </c>
      <c r="J801" s="3">
        <v>10530</v>
      </c>
      <c r="K801" s="3">
        <v>900</v>
      </c>
      <c r="L801" s="3">
        <v>8100</v>
      </c>
      <c r="M801" s="3">
        <v>2430</v>
      </c>
      <c r="N801" s="4">
        <v>0.23076923076923078</v>
      </c>
    </row>
    <row r="802" spans="1:14" x14ac:dyDescent="0.3">
      <c r="A802" s="6">
        <v>45715</v>
      </c>
      <c r="B802" s="1" t="s">
        <v>986</v>
      </c>
      <c r="C802" s="1" t="s">
        <v>27</v>
      </c>
      <c r="D802" t="s">
        <v>35</v>
      </c>
      <c r="E802" t="s">
        <v>506</v>
      </c>
      <c r="F802" t="s">
        <v>23</v>
      </c>
      <c r="G802" t="s">
        <v>25</v>
      </c>
      <c r="H802" s="3">
        <v>1</v>
      </c>
      <c r="I802" s="3">
        <v>4352</v>
      </c>
      <c r="J802" s="3">
        <v>4352</v>
      </c>
      <c r="K802" s="3">
        <v>3200</v>
      </c>
      <c r="L802" s="3">
        <v>3200</v>
      </c>
      <c r="M802" s="3">
        <v>1152</v>
      </c>
      <c r="N802" s="4">
        <v>0.26470588235294118</v>
      </c>
    </row>
    <row r="803" spans="1:14" x14ac:dyDescent="0.3">
      <c r="A803" s="6">
        <v>45715</v>
      </c>
      <c r="B803" s="1" t="s">
        <v>987</v>
      </c>
      <c r="C803" s="1" t="s">
        <v>28</v>
      </c>
      <c r="D803" t="s">
        <v>33</v>
      </c>
      <c r="E803" t="s">
        <v>196</v>
      </c>
      <c r="F803" t="s">
        <v>17</v>
      </c>
      <c r="G803" t="s">
        <v>18</v>
      </c>
      <c r="H803" s="3">
        <v>4</v>
      </c>
      <c r="I803" s="3">
        <v>10880</v>
      </c>
      <c r="J803" s="3">
        <v>43520</v>
      </c>
      <c r="K803" s="3">
        <v>8500</v>
      </c>
      <c r="L803" s="3">
        <v>34000</v>
      </c>
      <c r="M803" s="3">
        <v>9520</v>
      </c>
      <c r="N803" s="4">
        <v>0.21875</v>
      </c>
    </row>
    <row r="804" spans="1:14" x14ac:dyDescent="0.3">
      <c r="A804" s="6">
        <v>45715</v>
      </c>
      <c r="B804" s="1" t="s">
        <v>988</v>
      </c>
      <c r="C804" s="1" t="s">
        <v>26</v>
      </c>
      <c r="D804" t="s">
        <v>35</v>
      </c>
      <c r="E804" t="s">
        <v>51</v>
      </c>
      <c r="F804" t="s">
        <v>16</v>
      </c>
      <c r="G804" t="s">
        <v>15</v>
      </c>
      <c r="H804" s="3">
        <v>1</v>
      </c>
      <c r="I804" s="3">
        <v>49780</v>
      </c>
      <c r="J804" s="3">
        <v>49780</v>
      </c>
      <c r="K804" s="3">
        <v>38000</v>
      </c>
      <c r="L804" s="3">
        <v>38000</v>
      </c>
      <c r="M804" s="3">
        <v>11780</v>
      </c>
      <c r="N804" s="4">
        <v>0.23664122137404581</v>
      </c>
    </row>
    <row r="805" spans="1:14" x14ac:dyDescent="0.3">
      <c r="A805" s="6">
        <v>45715</v>
      </c>
      <c r="B805" s="1" t="s">
        <v>989</v>
      </c>
      <c r="C805" s="1" t="s">
        <v>29</v>
      </c>
      <c r="D805" t="s">
        <v>34</v>
      </c>
      <c r="E805" t="s">
        <v>280</v>
      </c>
      <c r="F805" t="s">
        <v>14</v>
      </c>
      <c r="G805" t="s">
        <v>15</v>
      </c>
      <c r="H805" s="3">
        <v>9</v>
      </c>
      <c r="I805" s="3">
        <v>57600</v>
      </c>
      <c r="J805" s="3">
        <v>518400</v>
      </c>
      <c r="K805" s="3">
        <v>45000</v>
      </c>
      <c r="L805" s="3">
        <v>405000</v>
      </c>
      <c r="M805" s="3">
        <v>113400</v>
      </c>
      <c r="N805" s="4">
        <v>0.21875</v>
      </c>
    </row>
    <row r="806" spans="1:14" x14ac:dyDescent="0.3">
      <c r="A806" s="6">
        <v>45715</v>
      </c>
      <c r="B806" s="1" t="s">
        <v>990</v>
      </c>
      <c r="C806" s="1" t="s">
        <v>28</v>
      </c>
      <c r="D806" t="s">
        <v>34</v>
      </c>
      <c r="E806" t="s">
        <v>239</v>
      </c>
      <c r="F806" t="s">
        <v>24</v>
      </c>
      <c r="G806" t="s">
        <v>25</v>
      </c>
      <c r="H806" s="3">
        <v>5</v>
      </c>
      <c r="I806" s="3">
        <v>3399.9999999999995</v>
      </c>
      <c r="J806" s="3">
        <v>16999.999999999996</v>
      </c>
      <c r="K806" s="3">
        <v>2500</v>
      </c>
      <c r="L806" s="3">
        <v>12500</v>
      </c>
      <c r="M806" s="3">
        <v>4499.9999999999964</v>
      </c>
      <c r="N806" s="4">
        <v>0.26470588235294101</v>
      </c>
    </row>
    <row r="807" spans="1:14" x14ac:dyDescent="0.3">
      <c r="A807" s="6">
        <v>45715</v>
      </c>
      <c r="B807" s="1" t="s">
        <v>991</v>
      </c>
      <c r="C807" s="1" t="s">
        <v>29</v>
      </c>
      <c r="D807" t="s">
        <v>35</v>
      </c>
      <c r="E807" t="s">
        <v>447</v>
      </c>
      <c r="F807" t="s">
        <v>22</v>
      </c>
      <c r="G807" t="s">
        <v>18</v>
      </c>
      <c r="H807" s="3">
        <v>4</v>
      </c>
      <c r="I807" s="3">
        <v>9800</v>
      </c>
      <c r="J807" s="3">
        <v>39200</v>
      </c>
      <c r="K807" s="3">
        <v>7000</v>
      </c>
      <c r="L807" s="3">
        <v>28000</v>
      </c>
      <c r="M807" s="3">
        <v>11200</v>
      </c>
      <c r="N807" s="4">
        <v>0.2857142857142857</v>
      </c>
    </row>
    <row r="808" spans="1:14" x14ac:dyDescent="0.3">
      <c r="A808" s="6">
        <v>45715</v>
      </c>
      <c r="B808" s="1" t="s">
        <v>992</v>
      </c>
      <c r="C808" s="1" t="s">
        <v>28</v>
      </c>
      <c r="D808" t="s">
        <v>30</v>
      </c>
      <c r="E808" t="s">
        <v>169</v>
      </c>
      <c r="F808" t="s">
        <v>19</v>
      </c>
      <c r="G808" t="s">
        <v>20</v>
      </c>
      <c r="H808" s="3">
        <v>5</v>
      </c>
      <c r="I808" s="3">
        <v>1287</v>
      </c>
      <c r="J808" s="3">
        <v>6435</v>
      </c>
      <c r="K808" s="3">
        <v>900</v>
      </c>
      <c r="L808" s="3">
        <v>4500</v>
      </c>
      <c r="M808" s="3">
        <v>1935</v>
      </c>
      <c r="N808" s="4">
        <v>0.30069930069930068</v>
      </c>
    </row>
    <row r="809" spans="1:14" x14ac:dyDescent="0.3">
      <c r="A809" s="6">
        <v>45715</v>
      </c>
      <c r="B809" s="1" t="s">
        <v>993</v>
      </c>
      <c r="C809" s="1" t="s">
        <v>26</v>
      </c>
      <c r="D809" t="s">
        <v>34</v>
      </c>
      <c r="E809" t="s">
        <v>122</v>
      </c>
      <c r="F809" t="s">
        <v>21</v>
      </c>
      <c r="G809" t="s">
        <v>20</v>
      </c>
      <c r="H809" s="3">
        <v>6</v>
      </c>
      <c r="I809" s="3">
        <v>846</v>
      </c>
      <c r="J809" s="3">
        <v>5076</v>
      </c>
      <c r="K809" s="3">
        <v>600</v>
      </c>
      <c r="L809" s="3">
        <v>3600</v>
      </c>
      <c r="M809" s="3">
        <v>1476</v>
      </c>
      <c r="N809" s="4">
        <v>0.29078014184397161</v>
      </c>
    </row>
    <row r="810" spans="1:14" x14ac:dyDescent="0.3">
      <c r="A810" s="6">
        <v>45715</v>
      </c>
      <c r="B810" s="1" t="s">
        <v>994</v>
      </c>
      <c r="C810" s="1" t="s">
        <v>26</v>
      </c>
      <c r="D810" t="s">
        <v>35</v>
      </c>
      <c r="E810" t="s">
        <v>193</v>
      </c>
      <c r="F810" t="s">
        <v>24</v>
      </c>
      <c r="G810" t="s">
        <v>25</v>
      </c>
      <c r="H810" s="3">
        <v>7</v>
      </c>
      <c r="I810" s="3">
        <v>3399.9999999999995</v>
      </c>
      <c r="J810" s="3">
        <v>23799.999999999996</v>
      </c>
      <c r="K810" s="3">
        <v>2500</v>
      </c>
      <c r="L810" s="3">
        <v>17500</v>
      </c>
      <c r="M810" s="3">
        <v>6299.9999999999964</v>
      </c>
      <c r="N810" s="4">
        <v>0.26470588235294107</v>
      </c>
    </row>
    <row r="811" spans="1:14" x14ac:dyDescent="0.3">
      <c r="A811" s="6">
        <v>45715</v>
      </c>
      <c r="B811" s="1" t="s">
        <v>995</v>
      </c>
      <c r="C811" s="1" t="s">
        <v>28</v>
      </c>
      <c r="D811" t="s">
        <v>30</v>
      </c>
      <c r="E811" t="s">
        <v>159</v>
      </c>
      <c r="F811" t="s">
        <v>16</v>
      </c>
      <c r="G811" t="s">
        <v>15</v>
      </c>
      <c r="H811" s="3">
        <v>4</v>
      </c>
      <c r="I811" s="3">
        <v>53200</v>
      </c>
      <c r="J811" s="3">
        <v>212800</v>
      </c>
      <c r="K811" s="3">
        <v>38000</v>
      </c>
      <c r="L811" s="3">
        <v>152000</v>
      </c>
      <c r="M811" s="3">
        <v>60800</v>
      </c>
      <c r="N811" s="4">
        <v>0.2857142857142857</v>
      </c>
    </row>
    <row r="812" spans="1:14" x14ac:dyDescent="0.3">
      <c r="A812" s="6">
        <v>45716</v>
      </c>
      <c r="B812" s="1" t="s">
        <v>996</v>
      </c>
      <c r="C812" s="1" t="s">
        <v>26</v>
      </c>
      <c r="D812" t="s">
        <v>33</v>
      </c>
      <c r="E812" t="s">
        <v>524</v>
      </c>
      <c r="F812" t="s">
        <v>16</v>
      </c>
      <c r="G812" t="s">
        <v>15</v>
      </c>
      <c r="H812" s="3">
        <v>2</v>
      </c>
      <c r="I812" s="3">
        <v>53580</v>
      </c>
      <c r="J812" s="3">
        <v>107160</v>
      </c>
      <c r="K812" s="3">
        <v>38000</v>
      </c>
      <c r="L812" s="3">
        <v>76000</v>
      </c>
      <c r="M812" s="3">
        <v>31160</v>
      </c>
      <c r="N812" s="4">
        <v>0.29078014184397161</v>
      </c>
    </row>
    <row r="813" spans="1:14" x14ac:dyDescent="0.3">
      <c r="A813" s="6">
        <v>45716</v>
      </c>
      <c r="B813" s="1" t="s">
        <v>997</v>
      </c>
      <c r="C813" s="1" t="s">
        <v>26</v>
      </c>
      <c r="D813" t="s">
        <v>34</v>
      </c>
      <c r="E813" t="s">
        <v>142</v>
      </c>
      <c r="F813" t="s">
        <v>22</v>
      </c>
      <c r="G813" t="s">
        <v>18</v>
      </c>
      <c r="H813" s="3">
        <v>2</v>
      </c>
      <c r="I813" s="3">
        <v>9450</v>
      </c>
      <c r="J813" s="3">
        <v>18900</v>
      </c>
      <c r="K813" s="3">
        <v>7000</v>
      </c>
      <c r="L813" s="3">
        <v>14000</v>
      </c>
      <c r="M813" s="3">
        <v>4900</v>
      </c>
      <c r="N813" s="4">
        <v>0.25925925925925924</v>
      </c>
    </row>
    <row r="814" spans="1:14" x14ac:dyDescent="0.3">
      <c r="A814" s="6">
        <v>45716</v>
      </c>
      <c r="B814" s="1" t="s">
        <v>998</v>
      </c>
      <c r="C814" s="1" t="s">
        <v>29</v>
      </c>
      <c r="D814" t="s">
        <v>33</v>
      </c>
      <c r="E814" t="s">
        <v>74</v>
      </c>
      <c r="F814" t="s">
        <v>23</v>
      </c>
      <c r="G814" t="s">
        <v>25</v>
      </c>
      <c r="H814" s="3">
        <v>4</v>
      </c>
      <c r="I814" s="3">
        <v>4416</v>
      </c>
      <c r="J814" s="3">
        <v>17664</v>
      </c>
      <c r="K814" s="3">
        <v>3200</v>
      </c>
      <c r="L814" s="3">
        <v>12800</v>
      </c>
      <c r="M814" s="3">
        <v>4864</v>
      </c>
      <c r="N814" s="4">
        <v>0.27536231884057971</v>
      </c>
    </row>
    <row r="815" spans="1:14" x14ac:dyDescent="0.3">
      <c r="A815" s="6">
        <v>45716</v>
      </c>
      <c r="B815" s="1" t="s">
        <v>999</v>
      </c>
      <c r="C815" s="1" t="s">
        <v>29</v>
      </c>
      <c r="D815" t="s">
        <v>33</v>
      </c>
      <c r="E815" t="s">
        <v>275</v>
      </c>
      <c r="F815" t="s">
        <v>17</v>
      </c>
      <c r="G815" t="s">
        <v>18</v>
      </c>
      <c r="H815" s="3">
        <v>2</v>
      </c>
      <c r="I815" s="3">
        <v>10625</v>
      </c>
      <c r="J815" s="3">
        <v>21250</v>
      </c>
      <c r="K815" s="3">
        <v>8500</v>
      </c>
      <c r="L815" s="3">
        <v>17000</v>
      </c>
      <c r="M815" s="3">
        <v>4250</v>
      </c>
      <c r="N815" s="4">
        <v>0.2</v>
      </c>
    </row>
    <row r="816" spans="1:14" x14ac:dyDescent="0.3">
      <c r="A816" s="6">
        <v>45716</v>
      </c>
      <c r="B816" s="1" t="s">
        <v>1000</v>
      </c>
      <c r="C816" s="1" t="s">
        <v>26</v>
      </c>
      <c r="D816" t="s">
        <v>35</v>
      </c>
      <c r="E816" t="s">
        <v>189</v>
      </c>
      <c r="F816" t="s">
        <v>24</v>
      </c>
      <c r="G816" t="s">
        <v>25</v>
      </c>
      <c r="H816" s="3">
        <v>6</v>
      </c>
      <c r="I816" s="3">
        <v>3175</v>
      </c>
      <c r="J816" s="3">
        <v>19050</v>
      </c>
      <c r="K816" s="3">
        <v>2500</v>
      </c>
      <c r="L816" s="3">
        <v>15000</v>
      </c>
      <c r="M816" s="3">
        <v>4050</v>
      </c>
      <c r="N816" s="4">
        <v>0.2125984251968504</v>
      </c>
    </row>
    <row r="817" spans="1:14" x14ac:dyDescent="0.3">
      <c r="A817" s="6">
        <v>45716</v>
      </c>
      <c r="B817" s="1" t="s">
        <v>1001</v>
      </c>
      <c r="C817" s="1" t="s">
        <v>27</v>
      </c>
      <c r="D817" t="s">
        <v>30</v>
      </c>
      <c r="E817" t="s">
        <v>142</v>
      </c>
      <c r="F817" t="s">
        <v>24</v>
      </c>
      <c r="G817" t="s">
        <v>25</v>
      </c>
      <c r="H817" s="3">
        <v>2</v>
      </c>
      <c r="I817" s="3">
        <v>3625</v>
      </c>
      <c r="J817" s="3">
        <v>7250</v>
      </c>
      <c r="K817" s="3">
        <v>2500</v>
      </c>
      <c r="L817" s="3">
        <v>5000</v>
      </c>
      <c r="M817" s="3">
        <v>2250</v>
      </c>
      <c r="N817" s="4">
        <v>0.31034482758620691</v>
      </c>
    </row>
    <row r="818" spans="1:14" x14ac:dyDescent="0.3">
      <c r="A818" s="6">
        <v>45716</v>
      </c>
      <c r="B818" s="1" t="s">
        <v>1002</v>
      </c>
      <c r="C818" s="1" t="s">
        <v>26</v>
      </c>
      <c r="D818" t="s">
        <v>34</v>
      </c>
      <c r="E818" t="s">
        <v>359</v>
      </c>
      <c r="F818" t="s">
        <v>22</v>
      </c>
      <c r="G818" t="s">
        <v>18</v>
      </c>
      <c r="H818" s="3">
        <v>1</v>
      </c>
      <c r="I818" s="3">
        <v>9450</v>
      </c>
      <c r="J818" s="3">
        <v>9450</v>
      </c>
      <c r="K818" s="3">
        <v>7000</v>
      </c>
      <c r="L818" s="3">
        <v>7000</v>
      </c>
      <c r="M818" s="3">
        <v>2450</v>
      </c>
      <c r="N818" s="4">
        <v>0.25925925925925924</v>
      </c>
    </row>
    <row r="819" spans="1:14" x14ac:dyDescent="0.3">
      <c r="A819" s="6">
        <v>45716</v>
      </c>
      <c r="B819" s="1" t="s">
        <v>1003</v>
      </c>
      <c r="C819" s="1" t="s">
        <v>29</v>
      </c>
      <c r="D819" t="s">
        <v>35</v>
      </c>
      <c r="E819" t="s">
        <v>43</v>
      </c>
      <c r="F819" t="s">
        <v>23</v>
      </c>
      <c r="G819" t="s">
        <v>25</v>
      </c>
      <c r="H819" s="3">
        <v>5</v>
      </c>
      <c r="I819" s="3">
        <v>4224</v>
      </c>
      <c r="J819" s="3">
        <v>21120</v>
      </c>
      <c r="K819" s="3">
        <v>3200</v>
      </c>
      <c r="L819" s="3">
        <v>16000</v>
      </c>
      <c r="M819" s="3">
        <v>5120</v>
      </c>
      <c r="N819" s="4">
        <v>0.24242424242424243</v>
      </c>
    </row>
    <row r="820" spans="1:14" x14ac:dyDescent="0.3">
      <c r="A820" s="6">
        <v>45716</v>
      </c>
      <c r="B820" s="1" t="s">
        <v>1004</v>
      </c>
      <c r="C820" s="1" t="s">
        <v>28</v>
      </c>
      <c r="D820" t="s">
        <v>35</v>
      </c>
      <c r="E820" t="s">
        <v>124</v>
      </c>
      <c r="F820" t="s">
        <v>23</v>
      </c>
      <c r="G820" t="s">
        <v>25</v>
      </c>
      <c r="H820" s="3">
        <v>8</v>
      </c>
      <c r="I820" s="3">
        <v>4512</v>
      </c>
      <c r="J820" s="3">
        <v>36096</v>
      </c>
      <c r="K820" s="3">
        <v>3200</v>
      </c>
      <c r="L820" s="3">
        <v>25600</v>
      </c>
      <c r="M820" s="3">
        <v>10496</v>
      </c>
      <c r="N820" s="4">
        <v>0.29078014184397161</v>
      </c>
    </row>
    <row r="821" spans="1:14" x14ac:dyDescent="0.3">
      <c r="A821" s="6">
        <v>45716</v>
      </c>
      <c r="B821" s="1" t="s">
        <v>1005</v>
      </c>
      <c r="C821" s="1" t="s">
        <v>26</v>
      </c>
      <c r="D821" t="s">
        <v>33</v>
      </c>
      <c r="E821" t="s">
        <v>807</v>
      </c>
      <c r="F821" t="s">
        <v>23</v>
      </c>
      <c r="G821" t="s">
        <v>25</v>
      </c>
      <c r="H821" s="3">
        <v>6</v>
      </c>
      <c r="I821" s="3">
        <v>3936</v>
      </c>
      <c r="J821" s="3">
        <v>23616</v>
      </c>
      <c r="K821" s="3">
        <v>3200</v>
      </c>
      <c r="L821" s="3">
        <v>19200</v>
      </c>
      <c r="M821" s="3">
        <v>4416</v>
      </c>
      <c r="N821" s="4">
        <v>0.18699186991869918</v>
      </c>
    </row>
    <row r="822" spans="1:14" x14ac:dyDescent="0.3">
      <c r="A822" s="6">
        <v>45716</v>
      </c>
      <c r="B822" s="1" t="s">
        <v>1006</v>
      </c>
      <c r="C822" s="1" t="s">
        <v>27</v>
      </c>
      <c r="D822" t="s">
        <v>33</v>
      </c>
      <c r="E822" t="s">
        <v>436</v>
      </c>
      <c r="F822" t="s">
        <v>14</v>
      </c>
      <c r="G822" t="s">
        <v>15</v>
      </c>
      <c r="H822" s="3">
        <v>9</v>
      </c>
      <c r="I822" s="3">
        <v>65250</v>
      </c>
      <c r="J822" s="3">
        <v>587250</v>
      </c>
      <c r="K822" s="3">
        <v>45000</v>
      </c>
      <c r="L822" s="3">
        <v>405000</v>
      </c>
      <c r="M822" s="3">
        <v>182250</v>
      </c>
      <c r="N822" s="4">
        <v>0.31034482758620691</v>
      </c>
    </row>
    <row r="823" spans="1:14" x14ac:dyDescent="0.3">
      <c r="A823" s="6">
        <v>45716</v>
      </c>
      <c r="B823" s="1" t="s">
        <v>1007</v>
      </c>
      <c r="C823" s="1" t="s">
        <v>29</v>
      </c>
      <c r="D823" t="s">
        <v>32</v>
      </c>
      <c r="E823" t="s">
        <v>81</v>
      </c>
      <c r="F823" t="s">
        <v>14</v>
      </c>
      <c r="G823" t="s">
        <v>15</v>
      </c>
      <c r="H823" s="3">
        <v>1</v>
      </c>
      <c r="I823" s="3">
        <v>59850</v>
      </c>
      <c r="J823" s="3">
        <v>59850</v>
      </c>
      <c r="K823" s="3">
        <v>45000</v>
      </c>
      <c r="L823" s="3">
        <v>45000</v>
      </c>
      <c r="M823" s="3">
        <v>14850</v>
      </c>
      <c r="N823" s="4">
        <v>0.24812030075187969</v>
      </c>
    </row>
    <row r="824" spans="1:14" x14ac:dyDescent="0.3">
      <c r="A824" s="6">
        <v>45716</v>
      </c>
      <c r="B824" s="1" t="s">
        <v>1008</v>
      </c>
      <c r="C824" s="1" t="s">
        <v>27</v>
      </c>
      <c r="D824" t="s">
        <v>33</v>
      </c>
      <c r="E824" t="s">
        <v>61</v>
      </c>
      <c r="F824" t="s">
        <v>14</v>
      </c>
      <c r="G824" t="s">
        <v>15</v>
      </c>
      <c r="H824" s="3">
        <v>7</v>
      </c>
      <c r="I824" s="3">
        <v>58950</v>
      </c>
      <c r="J824" s="3">
        <v>412650</v>
      </c>
      <c r="K824" s="3">
        <v>45000</v>
      </c>
      <c r="L824" s="3">
        <v>315000</v>
      </c>
      <c r="M824" s="3">
        <v>97650</v>
      </c>
      <c r="N824" s="4">
        <v>0.23664122137404581</v>
      </c>
    </row>
    <row r="825" spans="1:14" x14ac:dyDescent="0.3">
      <c r="A825" s="6">
        <v>45716</v>
      </c>
      <c r="B825" s="1" t="s">
        <v>1009</v>
      </c>
      <c r="C825" s="1" t="s">
        <v>29</v>
      </c>
      <c r="D825" t="s">
        <v>30</v>
      </c>
      <c r="E825" t="s">
        <v>147</v>
      </c>
      <c r="F825" t="s">
        <v>17</v>
      </c>
      <c r="G825" t="s">
        <v>18</v>
      </c>
      <c r="H825" s="3">
        <v>1</v>
      </c>
      <c r="I825" s="3">
        <v>10625</v>
      </c>
      <c r="J825" s="3">
        <v>10625</v>
      </c>
      <c r="K825" s="3">
        <v>8500</v>
      </c>
      <c r="L825" s="3">
        <v>8500</v>
      </c>
      <c r="M825" s="3">
        <v>2125</v>
      </c>
      <c r="N825" s="4">
        <v>0.2</v>
      </c>
    </row>
    <row r="826" spans="1:14" x14ac:dyDescent="0.3">
      <c r="A826" s="6">
        <v>45717</v>
      </c>
      <c r="B826" s="1" t="s">
        <v>1010</v>
      </c>
      <c r="C826" s="1" t="s">
        <v>27</v>
      </c>
      <c r="D826" t="s">
        <v>35</v>
      </c>
      <c r="E826" t="s">
        <v>508</v>
      </c>
      <c r="F826" t="s">
        <v>19</v>
      </c>
      <c r="G826" t="s">
        <v>20</v>
      </c>
      <c r="H826" s="3">
        <v>5</v>
      </c>
      <c r="I826" s="3">
        <v>1080</v>
      </c>
      <c r="J826" s="3">
        <v>5400</v>
      </c>
      <c r="K826" s="3">
        <v>900</v>
      </c>
      <c r="L826" s="3">
        <v>4500</v>
      </c>
      <c r="M826" s="3">
        <v>900</v>
      </c>
      <c r="N826" s="4">
        <v>0.16666666666666666</v>
      </c>
    </row>
    <row r="827" spans="1:14" x14ac:dyDescent="0.3">
      <c r="A827" s="6">
        <v>45717</v>
      </c>
      <c r="B827" s="1" t="s">
        <v>1011</v>
      </c>
      <c r="C827" s="1" t="s">
        <v>29</v>
      </c>
      <c r="D827" t="s">
        <v>33</v>
      </c>
      <c r="E827" t="s">
        <v>275</v>
      </c>
      <c r="F827" t="s">
        <v>19</v>
      </c>
      <c r="G827" t="s">
        <v>20</v>
      </c>
      <c r="H827" s="3">
        <v>7</v>
      </c>
      <c r="I827" s="3">
        <v>1287</v>
      </c>
      <c r="J827" s="3">
        <v>9009</v>
      </c>
      <c r="K827" s="3">
        <v>900</v>
      </c>
      <c r="L827" s="3">
        <v>6300</v>
      </c>
      <c r="M827" s="3">
        <v>2709</v>
      </c>
      <c r="N827" s="4">
        <v>0.30069930069930068</v>
      </c>
    </row>
    <row r="828" spans="1:14" x14ac:dyDescent="0.3">
      <c r="A828" s="6">
        <v>45717</v>
      </c>
      <c r="B828" s="1" t="s">
        <v>1012</v>
      </c>
      <c r="C828" s="1" t="s">
        <v>27</v>
      </c>
      <c r="D828" t="s">
        <v>33</v>
      </c>
      <c r="E828" t="s">
        <v>78</v>
      </c>
      <c r="F828" t="s">
        <v>14</v>
      </c>
      <c r="G828" t="s">
        <v>15</v>
      </c>
      <c r="H828" s="3">
        <v>4</v>
      </c>
      <c r="I828" s="3">
        <v>63900</v>
      </c>
      <c r="J828" s="3">
        <v>255600</v>
      </c>
      <c r="K828" s="3">
        <v>45000</v>
      </c>
      <c r="L828" s="3">
        <v>180000</v>
      </c>
      <c r="M828" s="3">
        <v>75600</v>
      </c>
      <c r="N828" s="4">
        <v>0.29577464788732394</v>
      </c>
    </row>
    <row r="829" spans="1:14" x14ac:dyDescent="0.3">
      <c r="A829" s="6">
        <v>45717</v>
      </c>
      <c r="B829" s="1" t="s">
        <v>1013</v>
      </c>
      <c r="C829" s="1" t="s">
        <v>28</v>
      </c>
      <c r="D829" t="s">
        <v>31</v>
      </c>
      <c r="E829" t="s">
        <v>453</v>
      </c>
      <c r="F829" t="s">
        <v>19</v>
      </c>
      <c r="G829" t="s">
        <v>20</v>
      </c>
      <c r="H829" s="3">
        <v>8</v>
      </c>
      <c r="I829" s="3">
        <v>1215</v>
      </c>
      <c r="J829" s="3">
        <v>9720</v>
      </c>
      <c r="K829" s="3">
        <v>900</v>
      </c>
      <c r="L829" s="3">
        <v>7200</v>
      </c>
      <c r="M829" s="3">
        <v>2520</v>
      </c>
      <c r="N829" s="4">
        <v>0.25925925925925924</v>
      </c>
    </row>
    <row r="830" spans="1:14" x14ac:dyDescent="0.3">
      <c r="A830" s="6">
        <v>45717</v>
      </c>
      <c r="B830" s="1" t="s">
        <v>1014</v>
      </c>
      <c r="C830" s="1" t="s">
        <v>26</v>
      </c>
      <c r="D830" t="s">
        <v>35</v>
      </c>
      <c r="E830" t="s">
        <v>157</v>
      </c>
      <c r="F830" t="s">
        <v>23</v>
      </c>
      <c r="G830" t="s">
        <v>25</v>
      </c>
      <c r="H830" s="3">
        <v>5</v>
      </c>
      <c r="I830" s="3">
        <v>4480</v>
      </c>
      <c r="J830" s="3">
        <v>22400</v>
      </c>
      <c r="K830" s="3">
        <v>3200</v>
      </c>
      <c r="L830" s="3">
        <v>16000</v>
      </c>
      <c r="M830" s="3">
        <v>6400</v>
      </c>
      <c r="N830" s="4">
        <v>0.2857142857142857</v>
      </c>
    </row>
    <row r="831" spans="1:14" x14ac:dyDescent="0.3">
      <c r="A831" s="6">
        <v>45717</v>
      </c>
      <c r="B831" s="1" t="s">
        <v>1015</v>
      </c>
      <c r="C831" s="1" t="s">
        <v>26</v>
      </c>
      <c r="D831" t="s">
        <v>30</v>
      </c>
      <c r="E831" t="s">
        <v>409</v>
      </c>
      <c r="F831" t="s">
        <v>19</v>
      </c>
      <c r="G831" t="s">
        <v>20</v>
      </c>
      <c r="H831" s="3">
        <v>7</v>
      </c>
      <c r="I831" s="3">
        <v>1197</v>
      </c>
      <c r="J831" s="3">
        <v>8379</v>
      </c>
      <c r="K831" s="3">
        <v>900</v>
      </c>
      <c r="L831" s="3">
        <v>6300</v>
      </c>
      <c r="M831" s="3">
        <v>2079</v>
      </c>
      <c r="N831" s="4">
        <v>0.24812030075187969</v>
      </c>
    </row>
    <row r="832" spans="1:14" x14ac:dyDescent="0.3">
      <c r="A832" s="6">
        <v>45717</v>
      </c>
      <c r="B832" s="1" t="s">
        <v>1016</v>
      </c>
      <c r="C832" s="1" t="s">
        <v>26</v>
      </c>
      <c r="D832" t="s">
        <v>33</v>
      </c>
      <c r="E832" t="s">
        <v>142</v>
      </c>
      <c r="F832" t="s">
        <v>16</v>
      </c>
      <c r="G832" t="s">
        <v>15</v>
      </c>
      <c r="H832" s="3">
        <v>9</v>
      </c>
      <c r="I832" s="3">
        <v>52060.000000000007</v>
      </c>
      <c r="J832" s="3">
        <v>468540.00000000006</v>
      </c>
      <c r="K832" s="3">
        <v>38000</v>
      </c>
      <c r="L832" s="3">
        <v>342000</v>
      </c>
      <c r="M832" s="3">
        <v>126540.00000000006</v>
      </c>
      <c r="N832" s="4">
        <v>0.27007299270073004</v>
      </c>
    </row>
    <row r="833" spans="1:14" x14ac:dyDescent="0.3">
      <c r="A833" s="6">
        <v>45717</v>
      </c>
      <c r="B833" s="1" t="s">
        <v>1017</v>
      </c>
      <c r="C833" s="1" t="s">
        <v>27</v>
      </c>
      <c r="D833" t="s">
        <v>32</v>
      </c>
      <c r="E833" t="s">
        <v>129</v>
      </c>
      <c r="F833" t="s">
        <v>16</v>
      </c>
      <c r="G833" t="s">
        <v>15</v>
      </c>
      <c r="H833" s="3">
        <v>5</v>
      </c>
      <c r="I833" s="3">
        <v>47500</v>
      </c>
      <c r="J833" s="3">
        <v>237500</v>
      </c>
      <c r="K833" s="3">
        <v>38000</v>
      </c>
      <c r="L833" s="3">
        <v>190000</v>
      </c>
      <c r="M833" s="3">
        <v>47500</v>
      </c>
      <c r="N833" s="4">
        <v>0.2</v>
      </c>
    </row>
    <row r="834" spans="1:14" x14ac:dyDescent="0.3">
      <c r="A834" s="6">
        <v>45717</v>
      </c>
      <c r="B834" s="1" t="s">
        <v>1018</v>
      </c>
      <c r="C834" s="1" t="s">
        <v>28</v>
      </c>
      <c r="D834" t="s">
        <v>30</v>
      </c>
      <c r="E834" t="s">
        <v>371</v>
      </c>
      <c r="F834" t="s">
        <v>16</v>
      </c>
      <c r="G834" t="s">
        <v>15</v>
      </c>
      <c r="H834" s="3">
        <v>1</v>
      </c>
      <c r="I834" s="3">
        <v>46360</v>
      </c>
      <c r="J834" s="3">
        <v>46360</v>
      </c>
      <c r="K834" s="3">
        <v>38000</v>
      </c>
      <c r="L834" s="3">
        <v>38000</v>
      </c>
      <c r="M834" s="3">
        <v>8360</v>
      </c>
      <c r="N834" s="4">
        <v>0.18032786885245902</v>
      </c>
    </row>
    <row r="835" spans="1:14" x14ac:dyDescent="0.3">
      <c r="A835" s="6">
        <v>45717</v>
      </c>
      <c r="B835" s="1" t="s">
        <v>1019</v>
      </c>
      <c r="C835" s="1" t="s">
        <v>28</v>
      </c>
      <c r="D835" t="s">
        <v>34</v>
      </c>
      <c r="E835" t="s">
        <v>308</v>
      </c>
      <c r="F835" t="s">
        <v>23</v>
      </c>
      <c r="G835" t="s">
        <v>25</v>
      </c>
      <c r="H835" s="3">
        <v>4</v>
      </c>
      <c r="I835" s="3">
        <v>3968</v>
      </c>
      <c r="J835" s="3">
        <v>15872</v>
      </c>
      <c r="K835" s="3">
        <v>3200</v>
      </c>
      <c r="L835" s="3">
        <v>12800</v>
      </c>
      <c r="M835" s="3">
        <v>3072</v>
      </c>
      <c r="N835" s="4">
        <v>0.19354838709677419</v>
      </c>
    </row>
    <row r="836" spans="1:14" x14ac:dyDescent="0.3">
      <c r="A836" s="6">
        <v>45717</v>
      </c>
      <c r="B836" s="1" t="s">
        <v>1020</v>
      </c>
      <c r="C836" s="1" t="s">
        <v>29</v>
      </c>
      <c r="D836" t="s">
        <v>33</v>
      </c>
      <c r="E836" t="s">
        <v>336</v>
      </c>
      <c r="F836" t="s">
        <v>16</v>
      </c>
      <c r="G836" t="s">
        <v>15</v>
      </c>
      <c r="H836" s="3">
        <v>5</v>
      </c>
      <c r="I836" s="3">
        <v>45980</v>
      </c>
      <c r="J836" s="3">
        <v>229900</v>
      </c>
      <c r="K836" s="3">
        <v>38000</v>
      </c>
      <c r="L836" s="3">
        <v>190000</v>
      </c>
      <c r="M836" s="3">
        <v>39900</v>
      </c>
      <c r="N836" s="4">
        <v>0.17355371900826447</v>
      </c>
    </row>
    <row r="837" spans="1:14" x14ac:dyDescent="0.3">
      <c r="A837" s="6">
        <v>45717</v>
      </c>
      <c r="B837" s="1" t="s">
        <v>1021</v>
      </c>
      <c r="C837" s="1" t="s">
        <v>28</v>
      </c>
      <c r="D837" t="s">
        <v>33</v>
      </c>
      <c r="E837" t="s">
        <v>90</v>
      </c>
      <c r="F837" t="s">
        <v>16</v>
      </c>
      <c r="G837" t="s">
        <v>15</v>
      </c>
      <c r="H837" s="3">
        <v>10</v>
      </c>
      <c r="I837" s="3">
        <v>54720</v>
      </c>
      <c r="J837" s="3">
        <v>547200</v>
      </c>
      <c r="K837" s="3">
        <v>38000</v>
      </c>
      <c r="L837" s="3">
        <v>380000</v>
      </c>
      <c r="M837" s="3">
        <v>167200</v>
      </c>
      <c r="N837" s="4">
        <v>0.30555555555555558</v>
      </c>
    </row>
    <row r="838" spans="1:14" x14ac:dyDescent="0.3">
      <c r="A838" s="6">
        <v>45717</v>
      </c>
      <c r="B838" s="1" t="s">
        <v>1022</v>
      </c>
      <c r="C838" s="1" t="s">
        <v>29</v>
      </c>
      <c r="D838" t="s">
        <v>34</v>
      </c>
      <c r="E838" t="s">
        <v>108</v>
      </c>
      <c r="F838" t="s">
        <v>14</v>
      </c>
      <c r="G838" t="s">
        <v>15</v>
      </c>
      <c r="H838" s="3">
        <v>5</v>
      </c>
      <c r="I838" s="3">
        <v>60300</v>
      </c>
      <c r="J838" s="3">
        <v>301500</v>
      </c>
      <c r="K838" s="3">
        <v>45000</v>
      </c>
      <c r="L838" s="3">
        <v>225000</v>
      </c>
      <c r="M838" s="3">
        <v>76500</v>
      </c>
      <c r="N838" s="4">
        <v>0.2537313432835821</v>
      </c>
    </row>
    <row r="839" spans="1:14" x14ac:dyDescent="0.3">
      <c r="A839" s="6">
        <v>45717</v>
      </c>
      <c r="B839" s="1" t="s">
        <v>1023</v>
      </c>
      <c r="C839" s="1" t="s">
        <v>29</v>
      </c>
      <c r="D839" t="s">
        <v>32</v>
      </c>
      <c r="E839" t="s">
        <v>214</v>
      </c>
      <c r="F839" t="s">
        <v>14</v>
      </c>
      <c r="G839" t="s">
        <v>15</v>
      </c>
      <c r="H839" s="3">
        <v>3</v>
      </c>
      <c r="I839" s="3">
        <v>60750.000000000007</v>
      </c>
      <c r="J839" s="3">
        <v>182250.00000000003</v>
      </c>
      <c r="K839" s="3">
        <v>45000</v>
      </c>
      <c r="L839" s="3">
        <v>135000</v>
      </c>
      <c r="M839" s="3">
        <v>47250.000000000029</v>
      </c>
      <c r="N839" s="4">
        <v>0.25925925925925936</v>
      </c>
    </row>
    <row r="840" spans="1:14" x14ac:dyDescent="0.3">
      <c r="A840" s="6">
        <v>45718</v>
      </c>
      <c r="B840" s="1" t="s">
        <v>1024</v>
      </c>
      <c r="C840" s="1" t="s">
        <v>28</v>
      </c>
      <c r="D840" t="s">
        <v>30</v>
      </c>
      <c r="E840" t="s">
        <v>286</v>
      </c>
      <c r="F840" t="s">
        <v>19</v>
      </c>
      <c r="G840" t="s">
        <v>20</v>
      </c>
      <c r="H840" s="3">
        <v>5</v>
      </c>
      <c r="I840" s="3">
        <v>1260</v>
      </c>
      <c r="J840" s="3">
        <v>6300</v>
      </c>
      <c r="K840" s="3">
        <v>900</v>
      </c>
      <c r="L840" s="3">
        <v>4500</v>
      </c>
      <c r="M840" s="3">
        <v>1800</v>
      </c>
      <c r="N840" s="4">
        <v>0.2857142857142857</v>
      </c>
    </row>
    <row r="841" spans="1:14" x14ac:dyDescent="0.3">
      <c r="A841" s="6">
        <v>45718</v>
      </c>
      <c r="B841" s="1" t="s">
        <v>1025</v>
      </c>
      <c r="C841" s="1" t="s">
        <v>26</v>
      </c>
      <c r="D841" t="s">
        <v>34</v>
      </c>
      <c r="E841" t="s">
        <v>304</v>
      </c>
      <c r="F841" t="s">
        <v>22</v>
      </c>
      <c r="G841" t="s">
        <v>18</v>
      </c>
      <c r="H841" s="3">
        <v>7</v>
      </c>
      <c r="I841" s="3">
        <v>8610</v>
      </c>
      <c r="J841" s="3">
        <v>60270</v>
      </c>
      <c r="K841" s="3">
        <v>7000</v>
      </c>
      <c r="L841" s="3">
        <v>49000</v>
      </c>
      <c r="M841" s="3">
        <v>11270</v>
      </c>
      <c r="N841" s="4">
        <v>0.18699186991869918</v>
      </c>
    </row>
    <row r="842" spans="1:14" x14ac:dyDescent="0.3">
      <c r="A842" s="6">
        <v>45718</v>
      </c>
      <c r="B842" s="1" t="s">
        <v>1026</v>
      </c>
      <c r="C842" s="1" t="s">
        <v>29</v>
      </c>
      <c r="D842" t="s">
        <v>30</v>
      </c>
      <c r="E842" t="s">
        <v>407</v>
      </c>
      <c r="F842" t="s">
        <v>23</v>
      </c>
      <c r="G842" t="s">
        <v>25</v>
      </c>
      <c r="H842" s="3">
        <v>6</v>
      </c>
      <c r="I842" s="3">
        <v>4384</v>
      </c>
      <c r="J842" s="3">
        <v>26304</v>
      </c>
      <c r="K842" s="3">
        <v>3200</v>
      </c>
      <c r="L842" s="3">
        <v>19200</v>
      </c>
      <c r="M842" s="3">
        <v>7104</v>
      </c>
      <c r="N842" s="4">
        <v>0.27007299270072993</v>
      </c>
    </row>
    <row r="843" spans="1:14" x14ac:dyDescent="0.3">
      <c r="A843" s="6">
        <v>45718</v>
      </c>
      <c r="B843" s="1" t="s">
        <v>1027</v>
      </c>
      <c r="C843" s="1" t="s">
        <v>29</v>
      </c>
      <c r="D843" t="s">
        <v>35</v>
      </c>
      <c r="E843" t="s">
        <v>108</v>
      </c>
      <c r="F843" t="s">
        <v>14</v>
      </c>
      <c r="G843" t="s">
        <v>15</v>
      </c>
      <c r="H843" s="3">
        <v>10</v>
      </c>
      <c r="I843" s="3">
        <v>63450</v>
      </c>
      <c r="J843" s="3">
        <v>634500</v>
      </c>
      <c r="K843" s="3">
        <v>45000</v>
      </c>
      <c r="L843" s="3">
        <v>450000</v>
      </c>
      <c r="M843" s="3">
        <v>184500</v>
      </c>
      <c r="N843" s="4">
        <v>0.29078014184397161</v>
      </c>
    </row>
    <row r="844" spans="1:14" x14ac:dyDescent="0.3">
      <c r="A844" s="6">
        <v>45718</v>
      </c>
      <c r="B844" s="1" t="s">
        <v>1028</v>
      </c>
      <c r="C844" s="1" t="s">
        <v>28</v>
      </c>
      <c r="D844" t="s">
        <v>33</v>
      </c>
      <c r="E844" t="s">
        <v>65</v>
      </c>
      <c r="F844" t="s">
        <v>16</v>
      </c>
      <c r="G844" t="s">
        <v>15</v>
      </c>
      <c r="H844" s="3">
        <v>2</v>
      </c>
      <c r="I844" s="3">
        <v>47500</v>
      </c>
      <c r="J844" s="3">
        <v>95000</v>
      </c>
      <c r="K844" s="3">
        <v>38000</v>
      </c>
      <c r="L844" s="3">
        <v>76000</v>
      </c>
      <c r="M844" s="3">
        <v>19000</v>
      </c>
      <c r="N844" s="4">
        <v>0.2</v>
      </c>
    </row>
    <row r="845" spans="1:14" x14ac:dyDescent="0.3">
      <c r="A845" s="6">
        <v>45718</v>
      </c>
      <c r="B845" s="1" t="s">
        <v>1029</v>
      </c>
      <c r="C845" s="1" t="s">
        <v>29</v>
      </c>
      <c r="D845" t="s">
        <v>33</v>
      </c>
      <c r="E845" t="s">
        <v>263</v>
      </c>
      <c r="F845" t="s">
        <v>17</v>
      </c>
      <c r="G845" t="s">
        <v>18</v>
      </c>
      <c r="H845" s="3">
        <v>10</v>
      </c>
      <c r="I845" s="3">
        <v>10710</v>
      </c>
      <c r="J845" s="3">
        <v>107100</v>
      </c>
      <c r="K845" s="3">
        <v>8500</v>
      </c>
      <c r="L845" s="3">
        <v>85000</v>
      </c>
      <c r="M845" s="3">
        <v>22100</v>
      </c>
      <c r="N845" s="4">
        <v>0.20634920634920634</v>
      </c>
    </row>
    <row r="846" spans="1:14" x14ac:dyDescent="0.3">
      <c r="A846" s="6">
        <v>45718</v>
      </c>
      <c r="B846" s="1" t="s">
        <v>1030</v>
      </c>
      <c r="C846" s="1" t="s">
        <v>26</v>
      </c>
      <c r="D846" t="s">
        <v>31</v>
      </c>
      <c r="E846" t="s">
        <v>317</v>
      </c>
      <c r="F846" t="s">
        <v>14</v>
      </c>
      <c r="G846" t="s">
        <v>15</v>
      </c>
      <c r="H846" s="3">
        <v>7</v>
      </c>
      <c r="I846" s="3">
        <v>65250</v>
      </c>
      <c r="J846" s="3">
        <v>456750</v>
      </c>
      <c r="K846" s="3">
        <v>45000</v>
      </c>
      <c r="L846" s="3">
        <v>315000</v>
      </c>
      <c r="M846" s="3">
        <v>141750</v>
      </c>
      <c r="N846" s="4">
        <v>0.31034482758620691</v>
      </c>
    </row>
    <row r="847" spans="1:14" x14ac:dyDescent="0.3">
      <c r="A847" s="6">
        <v>45718</v>
      </c>
      <c r="B847" s="1" t="s">
        <v>1031</v>
      </c>
      <c r="C847" s="1" t="s">
        <v>29</v>
      </c>
      <c r="D847" t="s">
        <v>35</v>
      </c>
      <c r="E847" t="s">
        <v>751</v>
      </c>
      <c r="F847" t="s">
        <v>17</v>
      </c>
      <c r="G847" t="s">
        <v>18</v>
      </c>
      <c r="H847" s="3">
        <v>6</v>
      </c>
      <c r="I847" s="3">
        <v>10200</v>
      </c>
      <c r="J847" s="3">
        <v>61200</v>
      </c>
      <c r="K847" s="3">
        <v>8500</v>
      </c>
      <c r="L847" s="3">
        <v>51000</v>
      </c>
      <c r="M847" s="3">
        <v>10200</v>
      </c>
      <c r="N847" s="4">
        <v>0.16666666666666666</v>
      </c>
    </row>
    <row r="848" spans="1:14" x14ac:dyDescent="0.3">
      <c r="A848" s="6">
        <v>45718</v>
      </c>
      <c r="B848" s="1" t="s">
        <v>1032</v>
      </c>
      <c r="C848" s="1" t="s">
        <v>28</v>
      </c>
      <c r="D848" t="s">
        <v>33</v>
      </c>
      <c r="E848" t="s">
        <v>196</v>
      </c>
      <c r="F848" t="s">
        <v>16</v>
      </c>
      <c r="G848" t="s">
        <v>15</v>
      </c>
      <c r="H848" s="3">
        <v>5</v>
      </c>
      <c r="I848" s="3">
        <v>54720</v>
      </c>
      <c r="J848" s="3">
        <v>273600</v>
      </c>
      <c r="K848" s="3">
        <v>38000</v>
      </c>
      <c r="L848" s="3">
        <v>190000</v>
      </c>
      <c r="M848" s="3">
        <v>83600</v>
      </c>
      <c r="N848" s="4">
        <v>0.30555555555555558</v>
      </c>
    </row>
    <row r="849" spans="1:14" x14ac:dyDescent="0.3">
      <c r="A849" s="6">
        <v>45718</v>
      </c>
      <c r="B849" s="1" t="s">
        <v>1033</v>
      </c>
      <c r="C849" s="1" t="s">
        <v>26</v>
      </c>
      <c r="D849" t="s">
        <v>30</v>
      </c>
      <c r="E849" t="s">
        <v>424</v>
      </c>
      <c r="F849" t="s">
        <v>21</v>
      </c>
      <c r="G849" t="s">
        <v>20</v>
      </c>
      <c r="H849" s="3">
        <v>10</v>
      </c>
      <c r="I849" s="3">
        <v>738</v>
      </c>
      <c r="J849" s="3">
        <v>7380</v>
      </c>
      <c r="K849" s="3">
        <v>600</v>
      </c>
      <c r="L849" s="3">
        <v>6000</v>
      </c>
      <c r="M849" s="3">
        <v>1380</v>
      </c>
      <c r="N849" s="4">
        <v>0.18699186991869918</v>
      </c>
    </row>
    <row r="850" spans="1:14" x14ac:dyDescent="0.3">
      <c r="A850" s="6">
        <v>45718</v>
      </c>
      <c r="B850" s="1" t="s">
        <v>1034</v>
      </c>
      <c r="C850" s="1" t="s">
        <v>28</v>
      </c>
      <c r="D850" t="s">
        <v>30</v>
      </c>
      <c r="E850" t="s">
        <v>129</v>
      </c>
      <c r="F850" t="s">
        <v>17</v>
      </c>
      <c r="G850" t="s">
        <v>18</v>
      </c>
      <c r="H850" s="3">
        <v>9</v>
      </c>
      <c r="I850" s="3">
        <v>10880</v>
      </c>
      <c r="J850" s="3">
        <v>97920</v>
      </c>
      <c r="K850" s="3">
        <v>8500</v>
      </c>
      <c r="L850" s="3">
        <v>76500</v>
      </c>
      <c r="M850" s="3">
        <v>21420</v>
      </c>
      <c r="N850" s="4">
        <v>0.21875</v>
      </c>
    </row>
    <row r="851" spans="1:14" x14ac:dyDescent="0.3">
      <c r="A851" s="6">
        <v>45718</v>
      </c>
      <c r="B851" s="1" t="s">
        <v>1035</v>
      </c>
      <c r="C851" s="1" t="s">
        <v>26</v>
      </c>
      <c r="D851" t="s">
        <v>32</v>
      </c>
      <c r="E851" t="s">
        <v>85</v>
      </c>
      <c r="F851" t="s">
        <v>22</v>
      </c>
      <c r="G851" t="s">
        <v>18</v>
      </c>
      <c r="H851" s="3">
        <v>8</v>
      </c>
      <c r="I851" s="3">
        <v>8960</v>
      </c>
      <c r="J851" s="3">
        <v>71680</v>
      </c>
      <c r="K851" s="3">
        <v>7000</v>
      </c>
      <c r="L851" s="3">
        <v>56000</v>
      </c>
      <c r="M851" s="3">
        <v>15680</v>
      </c>
      <c r="N851" s="4">
        <v>0.21875</v>
      </c>
    </row>
    <row r="852" spans="1:14" x14ac:dyDescent="0.3">
      <c r="A852" s="6">
        <v>45718</v>
      </c>
      <c r="B852" s="1" t="s">
        <v>1036</v>
      </c>
      <c r="C852" s="1" t="s">
        <v>27</v>
      </c>
      <c r="D852" t="s">
        <v>33</v>
      </c>
      <c r="E852" t="s">
        <v>166</v>
      </c>
      <c r="F852" t="s">
        <v>24</v>
      </c>
      <c r="G852" t="s">
        <v>25</v>
      </c>
      <c r="H852" s="3">
        <v>1</v>
      </c>
      <c r="I852" s="3">
        <v>3350</v>
      </c>
      <c r="J852" s="3">
        <v>3350</v>
      </c>
      <c r="K852" s="3">
        <v>2500</v>
      </c>
      <c r="L852" s="3">
        <v>2500</v>
      </c>
      <c r="M852" s="3">
        <v>850</v>
      </c>
      <c r="N852" s="4">
        <v>0.2537313432835821</v>
      </c>
    </row>
    <row r="853" spans="1:14" x14ac:dyDescent="0.3">
      <c r="A853" s="6">
        <v>45718</v>
      </c>
      <c r="B853" s="1" t="s">
        <v>1037</v>
      </c>
      <c r="C853" s="1" t="s">
        <v>27</v>
      </c>
      <c r="D853" t="s">
        <v>32</v>
      </c>
      <c r="E853" t="s">
        <v>49</v>
      </c>
      <c r="F853" t="s">
        <v>21</v>
      </c>
      <c r="G853" t="s">
        <v>20</v>
      </c>
      <c r="H853" s="3">
        <v>9</v>
      </c>
      <c r="I853" s="3">
        <v>815.99999999999989</v>
      </c>
      <c r="J853" s="3">
        <v>7343.9999999999991</v>
      </c>
      <c r="K853" s="3">
        <v>600</v>
      </c>
      <c r="L853" s="3">
        <v>5400</v>
      </c>
      <c r="M853" s="3">
        <v>1943.9999999999991</v>
      </c>
      <c r="N853" s="4">
        <v>0.26470588235294107</v>
      </c>
    </row>
    <row r="854" spans="1:14" x14ac:dyDescent="0.3">
      <c r="A854" s="6">
        <v>45719</v>
      </c>
      <c r="B854" s="1" t="s">
        <v>1038</v>
      </c>
      <c r="C854" s="1" t="s">
        <v>29</v>
      </c>
      <c r="D854" t="s">
        <v>34</v>
      </c>
      <c r="E854" t="s">
        <v>198</v>
      </c>
      <c r="F854" t="s">
        <v>22</v>
      </c>
      <c r="G854" t="s">
        <v>18</v>
      </c>
      <c r="H854" s="3">
        <v>8</v>
      </c>
      <c r="I854" s="3">
        <v>10010</v>
      </c>
      <c r="J854" s="3">
        <v>80080</v>
      </c>
      <c r="K854" s="3">
        <v>7000</v>
      </c>
      <c r="L854" s="3">
        <v>56000</v>
      </c>
      <c r="M854" s="3">
        <v>24080</v>
      </c>
      <c r="N854" s="4">
        <v>0.30069930069930068</v>
      </c>
    </row>
    <row r="855" spans="1:14" x14ac:dyDescent="0.3">
      <c r="A855" s="6">
        <v>45719</v>
      </c>
      <c r="B855" s="1" t="s">
        <v>1039</v>
      </c>
      <c r="C855" s="1" t="s">
        <v>29</v>
      </c>
      <c r="D855" t="s">
        <v>33</v>
      </c>
      <c r="E855" t="s">
        <v>273</v>
      </c>
      <c r="F855" t="s">
        <v>17</v>
      </c>
      <c r="G855" t="s">
        <v>18</v>
      </c>
      <c r="H855" s="3">
        <v>5</v>
      </c>
      <c r="I855" s="3">
        <v>11135</v>
      </c>
      <c r="J855" s="3">
        <v>55675</v>
      </c>
      <c r="K855" s="3">
        <v>8500</v>
      </c>
      <c r="L855" s="3">
        <v>42500</v>
      </c>
      <c r="M855" s="3">
        <v>13175</v>
      </c>
      <c r="N855" s="4">
        <v>0.23664122137404581</v>
      </c>
    </row>
    <row r="856" spans="1:14" x14ac:dyDescent="0.3">
      <c r="A856" s="6">
        <v>45719</v>
      </c>
      <c r="B856" s="1" t="s">
        <v>1040</v>
      </c>
      <c r="C856" s="1" t="s">
        <v>28</v>
      </c>
      <c r="D856" t="s">
        <v>34</v>
      </c>
      <c r="E856" t="s">
        <v>37</v>
      </c>
      <c r="F856" t="s">
        <v>17</v>
      </c>
      <c r="G856" t="s">
        <v>18</v>
      </c>
      <c r="H856" s="3">
        <v>6</v>
      </c>
      <c r="I856" s="3">
        <v>10370</v>
      </c>
      <c r="J856" s="3">
        <v>62220</v>
      </c>
      <c r="K856" s="3">
        <v>8500</v>
      </c>
      <c r="L856" s="3">
        <v>51000</v>
      </c>
      <c r="M856" s="3">
        <v>11220</v>
      </c>
      <c r="N856" s="4">
        <v>0.18032786885245902</v>
      </c>
    </row>
    <row r="857" spans="1:14" x14ac:dyDescent="0.3">
      <c r="A857" s="6">
        <v>45719</v>
      </c>
      <c r="B857" s="1" t="s">
        <v>1041</v>
      </c>
      <c r="C857" s="1" t="s">
        <v>26</v>
      </c>
      <c r="D857" t="s">
        <v>35</v>
      </c>
      <c r="E857" t="s">
        <v>142</v>
      </c>
      <c r="F857" t="s">
        <v>21</v>
      </c>
      <c r="G857" t="s">
        <v>20</v>
      </c>
      <c r="H857" s="3">
        <v>6</v>
      </c>
      <c r="I857" s="3">
        <v>738</v>
      </c>
      <c r="J857" s="3">
        <v>4428</v>
      </c>
      <c r="K857" s="3">
        <v>600</v>
      </c>
      <c r="L857" s="3">
        <v>3600</v>
      </c>
      <c r="M857" s="3">
        <v>828</v>
      </c>
      <c r="N857" s="4">
        <v>0.18699186991869918</v>
      </c>
    </row>
    <row r="858" spans="1:14" x14ac:dyDescent="0.3">
      <c r="A858" s="6">
        <v>45719</v>
      </c>
      <c r="B858" s="1" t="s">
        <v>1042</v>
      </c>
      <c r="C858" s="1" t="s">
        <v>26</v>
      </c>
      <c r="D858" t="s">
        <v>34</v>
      </c>
      <c r="E858" t="s">
        <v>104</v>
      </c>
      <c r="F858" t="s">
        <v>23</v>
      </c>
      <c r="G858" t="s">
        <v>25</v>
      </c>
      <c r="H858" s="3">
        <v>7</v>
      </c>
      <c r="I858" s="3">
        <v>3936</v>
      </c>
      <c r="J858" s="3">
        <v>27552</v>
      </c>
      <c r="K858" s="3">
        <v>3200</v>
      </c>
      <c r="L858" s="3">
        <v>22400</v>
      </c>
      <c r="M858" s="3">
        <v>5152</v>
      </c>
      <c r="N858" s="4">
        <v>0.18699186991869918</v>
      </c>
    </row>
    <row r="859" spans="1:14" x14ac:dyDescent="0.3">
      <c r="A859" s="6">
        <v>45719</v>
      </c>
      <c r="B859" s="1" t="s">
        <v>1043</v>
      </c>
      <c r="C859" s="1" t="s">
        <v>27</v>
      </c>
      <c r="D859" t="s">
        <v>30</v>
      </c>
      <c r="E859" t="s">
        <v>76</v>
      </c>
      <c r="F859" t="s">
        <v>21</v>
      </c>
      <c r="G859" t="s">
        <v>20</v>
      </c>
      <c r="H859" s="3">
        <v>5</v>
      </c>
      <c r="I859" s="3">
        <v>810</v>
      </c>
      <c r="J859" s="3">
        <v>4050</v>
      </c>
      <c r="K859" s="3">
        <v>600</v>
      </c>
      <c r="L859" s="3">
        <v>3000</v>
      </c>
      <c r="M859" s="3">
        <v>1050</v>
      </c>
      <c r="N859" s="4">
        <v>0.25925925925925924</v>
      </c>
    </row>
    <row r="860" spans="1:14" x14ac:dyDescent="0.3">
      <c r="A860" s="6">
        <v>45719</v>
      </c>
      <c r="B860" s="1" t="s">
        <v>1044</v>
      </c>
      <c r="C860" s="1" t="s">
        <v>27</v>
      </c>
      <c r="D860" t="s">
        <v>35</v>
      </c>
      <c r="E860" t="s">
        <v>321</v>
      </c>
      <c r="F860" t="s">
        <v>16</v>
      </c>
      <c r="G860" t="s">
        <v>15</v>
      </c>
      <c r="H860" s="3">
        <v>5</v>
      </c>
      <c r="I860" s="3">
        <v>54340</v>
      </c>
      <c r="J860" s="3">
        <v>271700</v>
      </c>
      <c r="K860" s="3">
        <v>38000</v>
      </c>
      <c r="L860" s="3">
        <v>190000</v>
      </c>
      <c r="M860" s="3">
        <v>81700</v>
      </c>
      <c r="N860" s="4">
        <v>0.30069930069930068</v>
      </c>
    </row>
    <row r="861" spans="1:14" x14ac:dyDescent="0.3">
      <c r="A861" s="6">
        <v>45719</v>
      </c>
      <c r="B861" s="1" t="s">
        <v>1045</v>
      </c>
      <c r="C861" s="1" t="s">
        <v>26</v>
      </c>
      <c r="D861" t="s">
        <v>35</v>
      </c>
      <c r="E861" t="s">
        <v>226</v>
      </c>
      <c r="F861" t="s">
        <v>21</v>
      </c>
      <c r="G861" t="s">
        <v>20</v>
      </c>
      <c r="H861" s="3">
        <v>4</v>
      </c>
      <c r="I861" s="3">
        <v>774</v>
      </c>
      <c r="J861" s="3">
        <v>3096</v>
      </c>
      <c r="K861" s="3">
        <v>600</v>
      </c>
      <c r="L861" s="3">
        <v>2400</v>
      </c>
      <c r="M861" s="3">
        <v>696</v>
      </c>
      <c r="N861" s="4">
        <v>0.22480620155038761</v>
      </c>
    </row>
    <row r="862" spans="1:14" x14ac:dyDescent="0.3">
      <c r="A862" s="6">
        <v>45719</v>
      </c>
      <c r="B862" s="1" t="s">
        <v>1046</v>
      </c>
      <c r="C862" s="1" t="s">
        <v>29</v>
      </c>
      <c r="D862" t="s">
        <v>34</v>
      </c>
      <c r="E862" t="s">
        <v>304</v>
      </c>
      <c r="F862" t="s">
        <v>17</v>
      </c>
      <c r="G862" t="s">
        <v>18</v>
      </c>
      <c r="H862" s="3">
        <v>6</v>
      </c>
      <c r="I862" s="3">
        <v>10710</v>
      </c>
      <c r="J862" s="3">
        <v>64260</v>
      </c>
      <c r="K862" s="3">
        <v>8500</v>
      </c>
      <c r="L862" s="3">
        <v>51000</v>
      </c>
      <c r="M862" s="3">
        <v>13260</v>
      </c>
      <c r="N862" s="4">
        <v>0.20634920634920634</v>
      </c>
    </row>
    <row r="863" spans="1:14" x14ac:dyDescent="0.3">
      <c r="A863" s="6">
        <v>45719</v>
      </c>
      <c r="B863" s="1" t="s">
        <v>1047</v>
      </c>
      <c r="C863" s="1" t="s">
        <v>29</v>
      </c>
      <c r="D863" t="s">
        <v>34</v>
      </c>
      <c r="E863" t="s">
        <v>453</v>
      </c>
      <c r="F863" t="s">
        <v>14</v>
      </c>
      <c r="G863" t="s">
        <v>15</v>
      </c>
      <c r="H863" s="3">
        <v>5</v>
      </c>
      <c r="I863" s="3">
        <v>61199.999999999993</v>
      </c>
      <c r="J863" s="3">
        <v>305999.99999999994</v>
      </c>
      <c r="K863" s="3">
        <v>45000</v>
      </c>
      <c r="L863" s="3">
        <v>225000</v>
      </c>
      <c r="M863" s="3">
        <v>80999.999999999942</v>
      </c>
      <c r="N863" s="4">
        <v>0.26470588235294101</v>
      </c>
    </row>
    <row r="864" spans="1:14" x14ac:dyDescent="0.3">
      <c r="A864" s="6">
        <v>45719</v>
      </c>
      <c r="B864" s="1" t="s">
        <v>1048</v>
      </c>
      <c r="C864" s="1" t="s">
        <v>28</v>
      </c>
      <c r="D864" t="s">
        <v>35</v>
      </c>
      <c r="E864" t="s">
        <v>275</v>
      </c>
      <c r="F864" t="s">
        <v>16</v>
      </c>
      <c r="G864" t="s">
        <v>15</v>
      </c>
      <c r="H864" s="3">
        <v>4</v>
      </c>
      <c r="I864" s="3">
        <v>49020</v>
      </c>
      <c r="J864" s="3">
        <v>196080</v>
      </c>
      <c r="K864" s="3">
        <v>38000</v>
      </c>
      <c r="L864" s="3">
        <v>152000</v>
      </c>
      <c r="M864" s="3">
        <v>44080</v>
      </c>
      <c r="N864" s="4">
        <v>0.22480620155038761</v>
      </c>
    </row>
    <row r="865" spans="1:14" x14ac:dyDescent="0.3">
      <c r="A865" s="6">
        <v>45719</v>
      </c>
      <c r="B865" s="1" t="s">
        <v>1049</v>
      </c>
      <c r="C865" s="1" t="s">
        <v>26</v>
      </c>
      <c r="D865" t="s">
        <v>35</v>
      </c>
      <c r="E865" t="s">
        <v>231</v>
      </c>
      <c r="F865" t="s">
        <v>23</v>
      </c>
      <c r="G865" t="s">
        <v>25</v>
      </c>
      <c r="H865" s="3">
        <v>3</v>
      </c>
      <c r="I865" s="3">
        <v>4576</v>
      </c>
      <c r="J865" s="3">
        <v>13728</v>
      </c>
      <c r="K865" s="3">
        <v>3200</v>
      </c>
      <c r="L865" s="3">
        <v>9600</v>
      </c>
      <c r="M865" s="3">
        <v>4128</v>
      </c>
      <c r="N865" s="4">
        <v>0.30069930069930068</v>
      </c>
    </row>
    <row r="866" spans="1:14" x14ac:dyDescent="0.3">
      <c r="A866" s="6">
        <v>45719</v>
      </c>
      <c r="B866" s="1" t="s">
        <v>1050</v>
      </c>
      <c r="C866" s="1" t="s">
        <v>27</v>
      </c>
      <c r="D866" t="s">
        <v>31</v>
      </c>
      <c r="E866" t="s">
        <v>239</v>
      </c>
      <c r="F866" t="s">
        <v>22</v>
      </c>
      <c r="G866" t="s">
        <v>18</v>
      </c>
      <c r="H866" s="3">
        <v>8</v>
      </c>
      <c r="I866" s="3">
        <v>9450</v>
      </c>
      <c r="J866" s="3">
        <v>75600</v>
      </c>
      <c r="K866" s="3">
        <v>7000</v>
      </c>
      <c r="L866" s="3">
        <v>56000</v>
      </c>
      <c r="M866" s="3">
        <v>19600</v>
      </c>
      <c r="N866" s="4">
        <v>0.25925925925925924</v>
      </c>
    </row>
    <row r="867" spans="1:14" x14ac:dyDescent="0.3">
      <c r="A867" s="6">
        <v>45719</v>
      </c>
      <c r="B867" s="1" t="s">
        <v>1051</v>
      </c>
      <c r="C867" s="1" t="s">
        <v>27</v>
      </c>
      <c r="D867" t="s">
        <v>33</v>
      </c>
      <c r="E867" t="s">
        <v>81</v>
      </c>
      <c r="F867" t="s">
        <v>24</v>
      </c>
      <c r="G867" t="s">
        <v>25</v>
      </c>
      <c r="H867" s="3">
        <v>6</v>
      </c>
      <c r="I867" s="3">
        <v>3200</v>
      </c>
      <c r="J867" s="3">
        <v>19200</v>
      </c>
      <c r="K867" s="3">
        <v>2500</v>
      </c>
      <c r="L867" s="3">
        <v>15000</v>
      </c>
      <c r="M867" s="3">
        <v>4200</v>
      </c>
      <c r="N867" s="4">
        <v>0.21875</v>
      </c>
    </row>
    <row r="868" spans="1:14" x14ac:dyDescent="0.3">
      <c r="A868" s="6">
        <v>45720</v>
      </c>
      <c r="B868" s="1" t="s">
        <v>1052</v>
      </c>
      <c r="C868" s="1" t="s">
        <v>27</v>
      </c>
      <c r="D868" t="s">
        <v>30</v>
      </c>
      <c r="E868" t="s">
        <v>153</v>
      </c>
      <c r="F868" t="s">
        <v>22</v>
      </c>
      <c r="G868" t="s">
        <v>18</v>
      </c>
      <c r="H868" s="3">
        <v>9</v>
      </c>
      <c r="I868" s="3">
        <v>8470</v>
      </c>
      <c r="J868" s="3">
        <v>76230</v>
      </c>
      <c r="K868" s="3">
        <v>7000</v>
      </c>
      <c r="L868" s="3">
        <v>63000</v>
      </c>
      <c r="M868" s="3">
        <v>13230</v>
      </c>
      <c r="N868" s="4">
        <v>0.17355371900826447</v>
      </c>
    </row>
    <row r="869" spans="1:14" x14ac:dyDescent="0.3">
      <c r="A869" s="6">
        <v>45720</v>
      </c>
      <c r="B869" s="1" t="s">
        <v>1053</v>
      </c>
      <c r="C869" s="1" t="s">
        <v>26</v>
      </c>
      <c r="D869" t="s">
        <v>30</v>
      </c>
      <c r="E869" t="s">
        <v>102</v>
      </c>
      <c r="F869" t="s">
        <v>19</v>
      </c>
      <c r="G869" t="s">
        <v>20</v>
      </c>
      <c r="H869" s="3">
        <v>10</v>
      </c>
      <c r="I869" s="3">
        <v>1125</v>
      </c>
      <c r="J869" s="3">
        <v>11250</v>
      </c>
      <c r="K869" s="3">
        <v>900</v>
      </c>
      <c r="L869" s="3">
        <v>9000</v>
      </c>
      <c r="M869" s="3">
        <v>2250</v>
      </c>
      <c r="N869" s="4">
        <v>0.2</v>
      </c>
    </row>
    <row r="870" spans="1:14" x14ac:dyDescent="0.3">
      <c r="A870" s="6">
        <v>45720</v>
      </c>
      <c r="B870" s="1" t="s">
        <v>1054</v>
      </c>
      <c r="C870" s="1" t="s">
        <v>29</v>
      </c>
      <c r="D870" t="s">
        <v>34</v>
      </c>
      <c r="E870" t="s">
        <v>67</v>
      </c>
      <c r="F870" t="s">
        <v>17</v>
      </c>
      <c r="G870" t="s">
        <v>18</v>
      </c>
      <c r="H870" s="3">
        <v>3</v>
      </c>
      <c r="I870" s="3">
        <v>11985</v>
      </c>
      <c r="J870" s="3">
        <v>35955</v>
      </c>
      <c r="K870" s="3">
        <v>8500</v>
      </c>
      <c r="L870" s="3">
        <v>25500</v>
      </c>
      <c r="M870" s="3">
        <v>10455</v>
      </c>
      <c r="N870" s="4">
        <v>0.29078014184397161</v>
      </c>
    </row>
    <row r="871" spans="1:14" x14ac:dyDescent="0.3">
      <c r="A871" s="6">
        <v>45720</v>
      </c>
      <c r="B871" s="1" t="s">
        <v>1055</v>
      </c>
      <c r="C871" s="1" t="s">
        <v>28</v>
      </c>
      <c r="D871" t="s">
        <v>34</v>
      </c>
      <c r="E871" t="s">
        <v>574</v>
      </c>
      <c r="F871" t="s">
        <v>21</v>
      </c>
      <c r="G871" t="s">
        <v>20</v>
      </c>
      <c r="H871" s="3">
        <v>10</v>
      </c>
      <c r="I871" s="3">
        <v>774</v>
      </c>
      <c r="J871" s="3">
        <v>7740</v>
      </c>
      <c r="K871" s="3">
        <v>600</v>
      </c>
      <c r="L871" s="3">
        <v>6000</v>
      </c>
      <c r="M871" s="3">
        <v>1740</v>
      </c>
      <c r="N871" s="4">
        <v>0.22480620155038761</v>
      </c>
    </row>
    <row r="872" spans="1:14" x14ac:dyDescent="0.3">
      <c r="A872" s="6">
        <v>45720</v>
      </c>
      <c r="B872" s="1" t="s">
        <v>1056</v>
      </c>
      <c r="C872" s="1" t="s">
        <v>27</v>
      </c>
      <c r="D872" t="s">
        <v>31</v>
      </c>
      <c r="E872" t="s">
        <v>94</v>
      </c>
      <c r="F872" t="s">
        <v>23</v>
      </c>
      <c r="G872" t="s">
        <v>25</v>
      </c>
      <c r="H872" s="3">
        <v>3</v>
      </c>
      <c r="I872" s="3">
        <v>4256</v>
      </c>
      <c r="J872" s="3">
        <v>12768</v>
      </c>
      <c r="K872" s="3">
        <v>3200</v>
      </c>
      <c r="L872" s="3">
        <v>9600</v>
      </c>
      <c r="M872" s="3">
        <v>3168</v>
      </c>
      <c r="N872" s="4">
        <v>0.24812030075187969</v>
      </c>
    </row>
    <row r="873" spans="1:14" x14ac:dyDescent="0.3">
      <c r="A873" s="6">
        <v>45720</v>
      </c>
      <c r="B873" s="1" t="s">
        <v>1057</v>
      </c>
      <c r="C873" s="1" t="s">
        <v>28</v>
      </c>
      <c r="D873" t="s">
        <v>34</v>
      </c>
      <c r="E873" t="s">
        <v>74</v>
      </c>
      <c r="F873" t="s">
        <v>22</v>
      </c>
      <c r="G873" t="s">
        <v>18</v>
      </c>
      <c r="H873" s="3">
        <v>8</v>
      </c>
      <c r="I873" s="3">
        <v>9660</v>
      </c>
      <c r="J873" s="3">
        <v>77280</v>
      </c>
      <c r="K873" s="3">
        <v>7000</v>
      </c>
      <c r="L873" s="3">
        <v>56000</v>
      </c>
      <c r="M873" s="3">
        <v>21280</v>
      </c>
      <c r="N873" s="4">
        <v>0.27536231884057971</v>
      </c>
    </row>
    <row r="874" spans="1:14" x14ac:dyDescent="0.3">
      <c r="A874" s="6">
        <v>45720</v>
      </c>
      <c r="B874" s="1" t="s">
        <v>1058</v>
      </c>
      <c r="C874" s="1" t="s">
        <v>28</v>
      </c>
      <c r="D874" t="s">
        <v>32</v>
      </c>
      <c r="E874" t="s">
        <v>390</v>
      </c>
      <c r="F874" t="s">
        <v>23</v>
      </c>
      <c r="G874" t="s">
        <v>25</v>
      </c>
      <c r="H874" s="3">
        <v>2</v>
      </c>
      <c r="I874" s="3">
        <v>3936</v>
      </c>
      <c r="J874" s="3">
        <v>7872</v>
      </c>
      <c r="K874" s="3">
        <v>3200</v>
      </c>
      <c r="L874" s="3">
        <v>6400</v>
      </c>
      <c r="M874" s="3">
        <v>1472</v>
      </c>
      <c r="N874" s="4">
        <v>0.18699186991869918</v>
      </c>
    </row>
    <row r="875" spans="1:14" x14ac:dyDescent="0.3">
      <c r="A875" s="6">
        <v>45720</v>
      </c>
      <c r="B875" s="1" t="s">
        <v>1059</v>
      </c>
      <c r="C875" s="1" t="s">
        <v>26</v>
      </c>
      <c r="D875" t="s">
        <v>32</v>
      </c>
      <c r="E875" t="s">
        <v>336</v>
      </c>
      <c r="F875" t="s">
        <v>21</v>
      </c>
      <c r="G875" t="s">
        <v>20</v>
      </c>
      <c r="H875" s="3">
        <v>1</v>
      </c>
      <c r="I875" s="3">
        <v>858</v>
      </c>
      <c r="J875" s="3">
        <v>858</v>
      </c>
      <c r="K875" s="3">
        <v>600</v>
      </c>
      <c r="L875" s="3">
        <v>600</v>
      </c>
      <c r="M875" s="3">
        <v>258</v>
      </c>
      <c r="N875" s="4">
        <v>0.30069930069930068</v>
      </c>
    </row>
    <row r="876" spans="1:14" x14ac:dyDescent="0.3">
      <c r="A876" s="6">
        <v>45720</v>
      </c>
      <c r="B876" s="1" t="s">
        <v>1060</v>
      </c>
      <c r="C876" s="1" t="s">
        <v>26</v>
      </c>
      <c r="D876" t="s">
        <v>30</v>
      </c>
      <c r="E876" t="s">
        <v>85</v>
      </c>
      <c r="F876" t="s">
        <v>19</v>
      </c>
      <c r="G876" t="s">
        <v>20</v>
      </c>
      <c r="H876" s="3">
        <v>4</v>
      </c>
      <c r="I876" s="3">
        <v>1296</v>
      </c>
      <c r="J876" s="3">
        <v>5184</v>
      </c>
      <c r="K876" s="3">
        <v>900</v>
      </c>
      <c r="L876" s="3">
        <v>3600</v>
      </c>
      <c r="M876" s="3">
        <v>1584</v>
      </c>
      <c r="N876" s="4">
        <v>0.30555555555555558</v>
      </c>
    </row>
    <row r="877" spans="1:14" x14ac:dyDescent="0.3">
      <c r="A877" s="6">
        <v>45720</v>
      </c>
      <c r="B877" s="1" t="s">
        <v>1061</v>
      </c>
      <c r="C877" s="1" t="s">
        <v>28</v>
      </c>
      <c r="D877" t="s">
        <v>32</v>
      </c>
      <c r="E877" t="s">
        <v>427</v>
      </c>
      <c r="F877" t="s">
        <v>17</v>
      </c>
      <c r="G877" t="s">
        <v>18</v>
      </c>
      <c r="H877" s="3">
        <v>3</v>
      </c>
      <c r="I877" s="3">
        <v>10710</v>
      </c>
      <c r="J877" s="3">
        <v>32130</v>
      </c>
      <c r="K877" s="3">
        <v>8500</v>
      </c>
      <c r="L877" s="3">
        <v>25500</v>
      </c>
      <c r="M877" s="3">
        <v>6630</v>
      </c>
      <c r="N877" s="4">
        <v>0.20634920634920634</v>
      </c>
    </row>
    <row r="878" spans="1:14" x14ac:dyDescent="0.3">
      <c r="A878" s="6">
        <v>45720</v>
      </c>
      <c r="B878" s="1" t="s">
        <v>1062</v>
      </c>
      <c r="C878" s="1" t="s">
        <v>29</v>
      </c>
      <c r="D878" t="s">
        <v>30</v>
      </c>
      <c r="E878" t="s">
        <v>37</v>
      </c>
      <c r="F878" t="s">
        <v>17</v>
      </c>
      <c r="G878" t="s">
        <v>18</v>
      </c>
      <c r="H878" s="3">
        <v>5</v>
      </c>
      <c r="I878" s="3">
        <v>10540</v>
      </c>
      <c r="J878" s="3">
        <v>52700</v>
      </c>
      <c r="K878" s="3">
        <v>8500</v>
      </c>
      <c r="L878" s="3">
        <v>42500</v>
      </c>
      <c r="M878" s="3">
        <v>10200</v>
      </c>
      <c r="N878" s="4">
        <v>0.19354838709677419</v>
      </c>
    </row>
    <row r="879" spans="1:14" x14ac:dyDescent="0.3">
      <c r="A879" s="6">
        <v>45720</v>
      </c>
      <c r="B879" s="1" t="s">
        <v>1063</v>
      </c>
      <c r="C879" s="1" t="s">
        <v>29</v>
      </c>
      <c r="D879" t="s">
        <v>35</v>
      </c>
      <c r="E879" t="s">
        <v>81</v>
      </c>
      <c r="F879" t="s">
        <v>23</v>
      </c>
      <c r="G879" t="s">
        <v>25</v>
      </c>
      <c r="H879" s="3">
        <v>9</v>
      </c>
      <c r="I879" s="3">
        <v>4064</v>
      </c>
      <c r="J879" s="3">
        <v>36576</v>
      </c>
      <c r="K879" s="3">
        <v>3200</v>
      </c>
      <c r="L879" s="3">
        <v>28800</v>
      </c>
      <c r="M879" s="3">
        <v>7776</v>
      </c>
      <c r="N879" s="4">
        <v>0.2125984251968504</v>
      </c>
    </row>
    <row r="880" spans="1:14" x14ac:dyDescent="0.3">
      <c r="A880" s="6">
        <v>45720</v>
      </c>
      <c r="B880" s="1" t="s">
        <v>1064</v>
      </c>
      <c r="C880" s="1" t="s">
        <v>28</v>
      </c>
      <c r="D880" t="s">
        <v>31</v>
      </c>
      <c r="E880" t="s">
        <v>342</v>
      </c>
      <c r="F880" t="s">
        <v>22</v>
      </c>
      <c r="G880" t="s">
        <v>18</v>
      </c>
      <c r="H880" s="3">
        <v>3</v>
      </c>
      <c r="I880" s="3">
        <v>8680</v>
      </c>
      <c r="J880" s="3">
        <v>26040</v>
      </c>
      <c r="K880" s="3">
        <v>7000</v>
      </c>
      <c r="L880" s="3">
        <v>21000</v>
      </c>
      <c r="M880" s="3">
        <v>5040</v>
      </c>
      <c r="N880" s="4">
        <v>0.19354838709677419</v>
      </c>
    </row>
    <row r="881" spans="1:14" x14ac:dyDescent="0.3">
      <c r="A881" s="6">
        <v>45720</v>
      </c>
      <c r="B881" s="1" t="s">
        <v>1065</v>
      </c>
      <c r="C881" s="1" t="s">
        <v>26</v>
      </c>
      <c r="D881" t="s">
        <v>33</v>
      </c>
      <c r="E881" t="s">
        <v>275</v>
      </c>
      <c r="F881" t="s">
        <v>24</v>
      </c>
      <c r="G881" t="s">
        <v>25</v>
      </c>
      <c r="H881" s="3">
        <v>8</v>
      </c>
      <c r="I881" s="3">
        <v>3350</v>
      </c>
      <c r="J881" s="3">
        <v>26800</v>
      </c>
      <c r="K881" s="3">
        <v>2500</v>
      </c>
      <c r="L881" s="3">
        <v>20000</v>
      </c>
      <c r="M881" s="3">
        <v>6800</v>
      </c>
      <c r="N881" s="4">
        <v>0.2537313432835821</v>
      </c>
    </row>
    <row r="882" spans="1:14" x14ac:dyDescent="0.3">
      <c r="A882" s="6">
        <v>45721</v>
      </c>
      <c r="B882" s="1" t="s">
        <v>1066</v>
      </c>
      <c r="C882" s="1" t="s">
        <v>27</v>
      </c>
      <c r="D882" t="s">
        <v>32</v>
      </c>
      <c r="E882" t="s">
        <v>126</v>
      </c>
      <c r="F882" t="s">
        <v>14</v>
      </c>
      <c r="G882" t="s">
        <v>15</v>
      </c>
      <c r="H882" s="3">
        <v>2</v>
      </c>
      <c r="I882" s="3">
        <v>58950</v>
      </c>
      <c r="J882" s="3">
        <v>117900</v>
      </c>
      <c r="K882" s="3">
        <v>45000</v>
      </c>
      <c r="L882" s="3">
        <v>90000</v>
      </c>
      <c r="M882" s="3">
        <v>27900</v>
      </c>
      <c r="N882" s="4">
        <v>0.23664122137404581</v>
      </c>
    </row>
    <row r="883" spans="1:14" x14ac:dyDescent="0.3">
      <c r="A883" s="6">
        <v>45721</v>
      </c>
      <c r="B883" s="1" t="s">
        <v>1067</v>
      </c>
      <c r="C883" s="1" t="s">
        <v>29</v>
      </c>
      <c r="D883" t="s">
        <v>33</v>
      </c>
      <c r="E883" t="s">
        <v>204</v>
      </c>
      <c r="F883" t="s">
        <v>19</v>
      </c>
      <c r="G883" t="s">
        <v>20</v>
      </c>
      <c r="H883" s="3">
        <v>9</v>
      </c>
      <c r="I883" s="3">
        <v>1170</v>
      </c>
      <c r="J883" s="3">
        <v>10530</v>
      </c>
      <c r="K883" s="3">
        <v>900</v>
      </c>
      <c r="L883" s="3">
        <v>8100</v>
      </c>
      <c r="M883" s="3">
        <v>2430</v>
      </c>
      <c r="N883" s="4">
        <v>0.23076923076923078</v>
      </c>
    </row>
    <row r="884" spans="1:14" x14ac:dyDescent="0.3">
      <c r="A884" s="6">
        <v>45721</v>
      </c>
      <c r="B884" s="1" t="s">
        <v>1068</v>
      </c>
      <c r="C884" s="1" t="s">
        <v>29</v>
      </c>
      <c r="D884" t="s">
        <v>33</v>
      </c>
      <c r="E884" t="s">
        <v>698</v>
      </c>
      <c r="F884" t="s">
        <v>23</v>
      </c>
      <c r="G884" t="s">
        <v>25</v>
      </c>
      <c r="H884" s="3">
        <v>3</v>
      </c>
      <c r="I884" s="3">
        <v>4000</v>
      </c>
      <c r="J884" s="3">
        <v>12000</v>
      </c>
      <c r="K884" s="3">
        <v>3200</v>
      </c>
      <c r="L884" s="3">
        <v>9600</v>
      </c>
      <c r="M884" s="3">
        <v>2400</v>
      </c>
      <c r="N884" s="4">
        <v>0.2</v>
      </c>
    </row>
    <row r="885" spans="1:14" x14ac:dyDescent="0.3">
      <c r="A885" s="6">
        <v>45721</v>
      </c>
      <c r="B885" s="1" t="s">
        <v>1069</v>
      </c>
      <c r="C885" s="1" t="s">
        <v>28</v>
      </c>
      <c r="D885" t="s">
        <v>33</v>
      </c>
      <c r="E885" t="s">
        <v>65</v>
      </c>
      <c r="F885" t="s">
        <v>19</v>
      </c>
      <c r="G885" t="s">
        <v>20</v>
      </c>
      <c r="H885" s="3">
        <v>7</v>
      </c>
      <c r="I885" s="3">
        <v>1197</v>
      </c>
      <c r="J885" s="3">
        <v>8379</v>
      </c>
      <c r="K885" s="3">
        <v>900</v>
      </c>
      <c r="L885" s="3">
        <v>6300</v>
      </c>
      <c r="M885" s="3">
        <v>2079</v>
      </c>
      <c r="N885" s="4">
        <v>0.24812030075187969</v>
      </c>
    </row>
    <row r="886" spans="1:14" x14ac:dyDescent="0.3">
      <c r="A886" s="6">
        <v>45721</v>
      </c>
      <c r="B886" s="1" t="s">
        <v>1070</v>
      </c>
      <c r="C886" s="1" t="s">
        <v>27</v>
      </c>
      <c r="D886" t="s">
        <v>33</v>
      </c>
      <c r="E886" t="s">
        <v>371</v>
      </c>
      <c r="F886" t="s">
        <v>14</v>
      </c>
      <c r="G886" t="s">
        <v>15</v>
      </c>
      <c r="H886" s="3">
        <v>9</v>
      </c>
      <c r="I886" s="3">
        <v>65250</v>
      </c>
      <c r="J886" s="3">
        <v>587250</v>
      </c>
      <c r="K886" s="3">
        <v>45000</v>
      </c>
      <c r="L886" s="3">
        <v>405000</v>
      </c>
      <c r="M886" s="3">
        <v>182250</v>
      </c>
      <c r="N886" s="4">
        <v>0.31034482758620691</v>
      </c>
    </row>
    <row r="887" spans="1:14" x14ac:dyDescent="0.3">
      <c r="A887" s="6">
        <v>45721</v>
      </c>
      <c r="B887" s="1" t="s">
        <v>1071</v>
      </c>
      <c r="C887" s="1" t="s">
        <v>27</v>
      </c>
      <c r="D887" t="s">
        <v>33</v>
      </c>
      <c r="E887" t="s">
        <v>751</v>
      </c>
      <c r="F887" t="s">
        <v>24</v>
      </c>
      <c r="G887" t="s">
        <v>25</v>
      </c>
      <c r="H887" s="3">
        <v>5</v>
      </c>
      <c r="I887" s="3">
        <v>3425.0000000000005</v>
      </c>
      <c r="J887" s="3">
        <v>17125.000000000004</v>
      </c>
      <c r="K887" s="3">
        <v>2500</v>
      </c>
      <c r="L887" s="3">
        <v>12500</v>
      </c>
      <c r="M887" s="3">
        <v>4625.0000000000036</v>
      </c>
      <c r="N887" s="4">
        <v>0.2700729927007301</v>
      </c>
    </row>
    <row r="888" spans="1:14" x14ac:dyDescent="0.3">
      <c r="A888" s="6">
        <v>45721</v>
      </c>
      <c r="B888" s="1" t="s">
        <v>1072</v>
      </c>
      <c r="C888" s="1" t="s">
        <v>26</v>
      </c>
      <c r="D888" t="s">
        <v>35</v>
      </c>
      <c r="E888" t="s">
        <v>108</v>
      </c>
      <c r="F888" t="s">
        <v>23</v>
      </c>
      <c r="G888" t="s">
        <v>25</v>
      </c>
      <c r="H888" s="3">
        <v>8</v>
      </c>
      <c r="I888" s="3">
        <v>3936</v>
      </c>
      <c r="J888" s="3">
        <v>31488</v>
      </c>
      <c r="K888" s="3">
        <v>3200</v>
      </c>
      <c r="L888" s="3">
        <v>25600</v>
      </c>
      <c r="M888" s="3">
        <v>5888</v>
      </c>
      <c r="N888" s="4">
        <v>0.18699186991869918</v>
      </c>
    </row>
    <row r="889" spans="1:14" x14ac:dyDescent="0.3">
      <c r="A889" s="6">
        <v>45721</v>
      </c>
      <c r="B889" s="1" t="s">
        <v>1073</v>
      </c>
      <c r="C889" s="1" t="s">
        <v>27</v>
      </c>
      <c r="D889" t="s">
        <v>32</v>
      </c>
      <c r="E889" t="s">
        <v>100</v>
      </c>
      <c r="F889" t="s">
        <v>16</v>
      </c>
      <c r="G889" t="s">
        <v>15</v>
      </c>
      <c r="H889" s="3">
        <v>2</v>
      </c>
      <c r="I889" s="3">
        <v>48260</v>
      </c>
      <c r="J889" s="3">
        <v>96520</v>
      </c>
      <c r="K889" s="3">
        <v>38000</v>
      </c>
      <c r="L889" s="3">
        <v>76000</v>
      </c>
      <c r="M889" s="3">
        <v>20520</v>
      </c>
      <c r="N889" s="4">
        <v>0.2125984251968504</v>
      </c>
    </row>
    <row r="890" spans="1:14" x14ac:dyDescent="0.3">
      <c r="A890" s="6">
        <v>45721</v>
      </c>
      <c r="B890" s="1" t="s">
        <v>1074</v>
      </c>
      <c r="C890" s="1" t="s">
        <v>29</v>
      </c>
      <c r="D890" t="s">
        <v>33</v>
      </c>
      <c r="E890" t="s">
        <v>249</v>
      </c>
      <c r="F890" t="s">
        <v>22</v>
      </c>
      <c r="G890" t="s">
        <v>18</v>
      </c>
      <c r="H890" s="3">
        <v>9</v>
      </c>
      <c r="I890" s="3">
        <v>9380</v>
      </c>
      <c r="J890" s="3">
        <v>84420</v>
      </c>
      <c r="K890" s="3">
        <v>7000</v>
      </c>
      <c r="L890" s="3">
        <v>63000</v>
      </c>
      <c r="M890" s="3">
        <v>21420</v>
      </c>
      <c r="N890" s="4">
        <v>0.2537313432835821</v>
      </c>
    </row>
    <row r="891" spans="1:14" x14ac:dyDescent="0.3">
      <c r="A891" s="6">
        <v>45721</v>
      </c>
      <c r="B891" s="1" t="s">
        <v>1075</v>
      </c>
      <c r="C891" s="1" t="s">
        <v>26</v>
      </c>
      <c r="D891" t="s">
        <v>35</v>
      </c>
      <c r="E891" t="s">
        <v>231</v>
      </c>
      <c r="F891" t="s">
        <v>16</v>
      </c>
      <c r="G891" t="s">
        <v>15</v>
      </c>
      <c r="H891" s="3">
        <v>9</v>
      </c>
      <c r="I891" s="3">
        <v>46360</v>
      </c>
      <c r="J891" s="3">
        <v>417240</v>
      </c>
      <c r="K891" s="3">
        <v>38000</v>
      </c>
      <c r="L891" s="3">
        <v>342000</v>
      </c>
      <c r="M891" s="3">
        <v>75240</v>
      </c>
      <c r="N891" s="4">
        <v>0.18032786885245902</v>
      </c>
    </row>
    <row r="892" spans="1:14" x14ac:dyDescent="0.3">
      <c r="A892" s="6">
        <v>45721</v>
      </c>
      <c r="B892" s="1" t="s">
        <v>1076</v>
      </c>
      <c r="C892" s="1" t="s">
        <v>28</v>
      </c>
      <c r="D892" t="s">
        <v>30</v>
      </c>
      <c r="E892" t="s">
        <v>116</v>
      </c>
      <c r="F892" t="s">
        <v>21</v>
      </c>
      <c r="G892" t="s">
        <v>20</v>
      </c>
      <c r="H892" s="3">
        <v>10</v>
      </c>
      <c r="I892" s="3">
        <v>840</v>
      </c>
      <c r="J892" s="3">
        <v>8400</v>
      </c>
      <c r="K892" s="3">
        <v>600</v>
      </c>
      <c r="L892" s="3">
        <v>6000</v>
      </c>
      <c r="M892" s="3">
        <v>2400</v>
      </c>
      <c r="N892" s="4">
        <v>0.2857142857142857</v>
      </c>
    </row>
    <row r="893" spans="1:14" x14ac:dyDescent="0.3">
      <c r="A893" s="6">
        <v>45721</v>
      </c>
      <c r="B893" s="1" t="s">
        <v>1077</v>
      </c>
      <c r="C893" s="1" t="s">
        <v>27</v>
      </c>
      <c r="D893" t="s">
        <v>30</v>
      </c>
      <c r="E893" t="s">
        <v>453</v>
      </c>
      <c r="F893" t="s">
        <v>14</v>
      </c>
      <c r="G893" t="s">
        <v>15</v>
      </c>
      <c r="H893" s="3">
        <v>8</v>
      </c>
      <c r="I893" s="3">
        <v>62999.999999999993</v>
      </c>
      <c r="J893" s="3">
        <v>503999.99999999994</v>
      </c>
      <c r="K893" s="3">
        <v>45000</v>
      </c>
      <c r="L893" s="3">
        <v>360000</v>
      </c>
      <c r="M893" s="3">
        <v>143999.99999999994</v>
      </c>
      <c r="N893" s="4">
        <v>0.28571428571428564</v>
      </c>
    </row>
    <row r="894" spans="1:14" x14ac:dyDescent="0.3">
      <c r="A894" s="6">
        <v>45721</v>
      </c>
      <c r="B894" s="1" t="s">
        <v>1078</v>
      </c>
      <c r="C894" s="1" t="s">
        <v>28</v>
      </c>
      <c r="D894" t="s">
        <v>31</v>
      </c>
      <c r="E894" t="s">
        <v>118</v>
      </c>
      <c r="F894" t="s">
        <v>14</v>
      </c>
      <c r="G894" t="s">
        <v>15</v>
      </c>
      <c r="H894" s="3">
        <v>2</v>
      </c>
      <c r="I894" s="3">
        <v>60750.000000000007</v>
      </c>
      <c r="J894" s="3">
        <v>121500.00000000001</v>
      </c>
      <c r="K894" s="3">
        <v>45000</v>
      </c>
      <c r="L894" s="3">
        <v>90000</v>
      </c>
      <c r="M894" s="3">
        <v>31500.000000000015</v>
      </c>
      <c r="N894" s="4">
        <v>0.25925925925925936</v>
      </c>
    </row>
    <row r="895" spans="1:14" x14ac:dyDescent="0.3">
      <c r="A895" s="6">
        <v>45721</v>
      </c>
      <c r="B895" s="1" t="s">
        <v>1079</v>
      </c>
      <c r="C895" s="1" t="s">
        <v>29</v>
      </c>
      <c r="D895" t="s">
        <v>34</v>
      </c>
      <c r="E895" t="s">
        <v>357</v>
      </c>
      <c r="F895" t="s">
        <v>14</v>
      </c>
      <c r="G895" t="s">
        <v>15</v>
      </c>
      <c r="H895" s="3">
        <v>4</v>
      </c>
      <c r="I895" s="3">
        <v>62999.999999999993</v>
      </c>
      <c r="J895" s="3">
        <v>251999.99999999997</v>
      </c>
      <c r="K895" s="3">
        <v>45000</v>
      </c>
      <c r="L895" s="3">
        <v>180000</v>
      </c>
      <c r="M895" s="3">
        <v>71999.999999999971</v>
      </c>
      <c r="N895" s="4">
        <v>0.28571428571428564</v>
      </c>
    </row>
    <row r="896" spans="1:14" x14ac:dyDescent="0.3">
      <c r="A896" s="6">
        <v>45722</v>
      </c>
      <c r="B896" s="1" t="s">
        <v>1080</v>
      </c>
      <c r="C896" s="1" t="s">
        <v>29</v>
      </c>
      <c r="D896" t="s">
        <v>32</v>
      </c>
      <c r="E896" t="s">
        <v>57</v>
      </c>
      <c r="F896" t="s">
        <v>22</v>
      </c>
      <c r="G896" t="s">
        <v>18</v>
      </c>
      <c r="H896" s="3">
        <v>9</v>
      </c>
      <c r="I896" s="3">
        <v>10080</v>
      </c>
      <c r="J896" s="3">
        <v>90720</v>
      </c>
      <c r="K896" s="3">
        <v>7000</v>
      </c>
      <c r="L896" s="3">
        <v>63000</v>
      </c>
      <c r="M896" s="3">
        <v>27720</v>
      </c>
      <c r="N896" s="4">
        <v>0.30555555555555558</v>
      </c>
    </row>
    <row r="897" spans="1:14" x14ac:dyDescent="0.3">
      <c r="A897" s="6">
        <v>45722</v>
      </c>
      <c r="B897" s="1" t="s">
        <v>1081</v>
      </c>
      <c r="C897" s="1" t="s">
        <v>26</v>
      </c>
      <c r="D897" t="s">
        <v>33</v>
      </c>
      <c r="E897" t="s">
        <v>166</v>
      </c>
      <c r="F897" t="s">
        <v>24</v>
      </c>
      <c r="G897" t="s">
        <v>25</v>
      </c>
      <c r="H897" s="3">
        <v>7</v>
      </c>
      <c r="I897" s="3">
        <v>3399.9999999999995</v>
      </c>
      <c r="J897" s="3">
        <v>23799.999999999996</v>
      </c>
      <c r="K897" s="3">
        <v>2500</v>
      </c>
      <c r="L897" s="3">
        <v>17500</v>
      </c>
      <c r="M897" s="3">
        <v>6299.9999999999964</v>
      </c>
      <c r="N897" s="4">
        <v>0.26470588235294107</v>
      </c>
    </row>
    <row r="898" spans="1:14" x14ac:dyDescent="0.3">
      <c r="A898" s="6">
        <v>45722</v>
      </c>
      <c r="B898" s="1" t="s">
        <v>1082</v>
      </c>
      <c r="C898" s="1" t="s">
        <v>27</v>
      </c>
      <c r="D898" t="s">
        <v>32</v>
      </c>
      <c r="E898" t="s">
        <v>116</v>
      </c>
      <c r="F898" t="s">
        <v>14</v>
      </c>
      <c r="G898" t="s">
        <v>15</v>
      </c>
      <c r="H898" s="3">
        <v>5</v>
      </c>
      <c r="I898" s="3">
        <v>62099.999999999993</v>
      </c>
      <c r="J898" s="3">
        <v>310499.99999999994</v>
      </c>
      <c r="K898" s="3">
        <v>45000</v>
      </c>
      <c r="L898" s="3">
        <v>225000</v>
      </c>
      <c r="M898" s="3">
        <v>85499.999999999942</v>
      </c>
      <c r="N898" s="4">
        <v>0.2753623188405796</v>
      </c>
    </row>
    <row r="899" spans="1:14" x14ac:dyDescent="0.3">
      <c r="A899" s="6">
        <v>45722</v>
      </c>
      <c r="B899" s="1" t="s">
        <v>1083</v>
      </c>
      <c r="C899" s="1" t="s">
        <v>27</v>
      </c>
      <c r="D899" t="s">
        <v>34</v>
      </c>
      <c r="E899" t="s">
        <v>69</v>
      </c>
      <c r="F899" t="s">
        <v>14</v>
      </c>
      <c r="G899" t="s">
        <v>15</v>
      </c>
      <c r="H899" s="3">
        <v>3</v>
      </c>
      <c r="I899" s="3">
        <v>63450</v>
      </c>
      <c r="J899" s="3">
        <v>190350</v>
      </c>
      <c r="K899" s="3">
        <v>45000</v>
      </c>
      <c r="L899" s="3">
        <v>135000</v>
      </c>
      <c r="M899" s="3">
        <v>55350</v>
      </c>
      <c r="N899" s="4">
        <v>0.29078014184397161</v>
      </c>
    </row>
    <row r="900" spans="1:14" x14ac:dyDescent="0.3">
      <c r="A900" s="6">
        <v>45722</v>
      </c>
      <c r="B900" s="1" t="s">
        <v>1084</v>
      </c>
      <c r="C900" s="1" t="s">
        <v>28</v>
      </c>
      <c r="D900" t="s">
        <v>32</v>
      </c>
      <c r="E900" t="s">
        <v>98</v>
      </c>
      <c r="F900" t="s">
        <v>21</v>
      </c>
      <c r="G900" t="s">
        <v>20</v>
      </c>
      <c r="H900" s="3">
        <v>7</v>
      </c>
      <c r="I900" s="3">
        <v>786</v>
      </c>
      <c r="J900" s="3">
        <v>5502</v>
      </c>
      <c r="K900" s="3">
        <v>600</v>
      </c>
      <c r="L900" s="3">
        <v>4200</v>
      </c>
      <c r="M900" s="3">
        <v>1302</v>
      </c>
      <c r="N900" s="4">
        <v>0.23664122137404581</v>
      </c>
    </row>
    <row r="901" spans="1:14" x14ac:dyDescent="0.3">
      <c r="A901" s="6">
        <v>45722</v>
      </c>
      <c r="B901" s="1" t="s">
        <v>1085</v>
      </c>
      <c r="C901" s="1" t="s">
        <v>26</v>
      </c>
      <c r="D901" t="s">
        <v>31</v>
      </c>
      <c r="E901" t="s">
        <v>159</v>
      </c>
      <c r="F901" t="s">
        <v>23</v>
      </c>
      <c r="G901" t="s">
        <v>25</v>
      </c>
      <c r="H901" s="3">
        <v>3</v>
      </c>
      <c r="I901" s="3">
        <v>4608</v>
      </c>
      <c r="J901" s="3">
        <v>13824</v>
      </c>
      <c r="K901" s="3">
        <v>3200</v>
      </c>
      <c r="L901" s="3">
        <v>9600</v>
      </c>
      <c r="M901" s="3">
        <v>4224</v>
      </c>
      <c r="N901" s="4">
        <v>0.30555555555555558</v>
      </c>
    </row>
    <row r="902" spans="1:14" x14ac:dyDescent="0.3">
      <c r="A902" s="6">
        <v>45722</v>
      </c>
      <c r="B902" s="1" t="s">
        <v>1086</v>
      </c>
      <c r="C902" s="1" t="s">
        <v>26</v>
      </c>
      <c r="D902" t="s">
        <v>30</v>
      </c>
      <c r="E902" t="s">
        <v>342</v>
      </c>
      <c r="F902" t="s">
        <v>14</v>
      </c>
      <c r="G902" t="s">
        <v>15</v>
      </c>
      <c r="H902" s="3">
        <v>6</v>
      </c>
      <c r="I902" s="3">
        <v>59400</v>
      </c>
      <c r="J902" s="3">
        <v>356400</v>
      </c>
      <c r="K902" s="3">
        <v>45000</v>
      </c>
      <c r="L902" s="3">
        <v>270000</v>
      </c>
      <c r="M902" s="3">
        <v>86400</v>
      </c>
      <c r="N902" s="4">
        <v>0.24242424242424243</v>
      </c>
    </row>
    <row r="903" spans="1:14" x14ac:dyDescent="0.3">
      <c r="A903" s="6">
        <v>45722</v>
      </c>
      <c r="B903" s="1" t="s">
        <v>1087</v>
      </c>
      <c r="C903" s="1" t="s">
        <v>27</v>
      </c>
      <c r="D903" t="s">
        <v>32</v>
      </c>
      <c r="E903" t="s">
        <v>43</v>
      </c>
      <c r="F903" t="s">
        <v>21</v>
      </c>
      <c r="G903" t="s">
        <v>20</v>
      </c>
      <c r="H903" s="3">
        <v>4</v>
      </c>
      <c r="I903" s="3">
        <v>827.99999999999989</v>
      </c>
      <c r="J903" s="3">
        <v>3311.9999999999995</v>
      </c>
      <c r="K903" s="3">
        <v>600</v>
      </c>
      <c r="L903" s="3">
        <v>2400</v>
      </c>
      <c r="M903" s="3">
        <v>911.99999999999955</v>
      </c>
      <c r="N903" s="4">
        <v>0.2753623188405796</v>
      </c>
    </row>
    <row r="904" spans="1:14" x14ac:dyDescent="0.3">
      <c r="A904" s="6">
        <v>45722</v>
      </c>
      <c r="B904" s="1" t="s">
        <v>1088</v>
      </c>
      <c r="C904" s="1" t="s">
        <v>26</v>
      </c>
      <c r="D904" t="s">
        <v>32</v>
      </c>
      <c r="E904" t="s">
        <v>88</v>
      </c>
      <c r="F904" t="s">
        <v>23</v>
      </c>
      <c r="G904" t="s">
        <v>25</v>
      </c>
      <c r="H904" s="3">
        <v>1</v>
      </c>
      <c r="I904" s="3">
        <v>3936</v>
      </c>
      <c r="J904" s="3">
        <v>3936</v>
      </c>
      <c r="K904" s="3">
        <v>3200</v>
      </c>
      <c r="L904" s="3">
        <v>3200</v>
      </c>
      <c r="M904" s="3">
        <v>736</v>
      </c>
      <c r="N904" s="4">
        <v>0.18699186991869918</v>
      </c>
    </row>
    <row r="905" spans="1:14" x14ac:dyDescent="0.3">
      <c r="A905" s="6">
        <v>45722</v>
      </c>
      <c r="B905" s="1" t="s">
        <v>1089</v>
      </c>
      <c r="C905" s="1" t="s">
        <v>26</v>
      </c>
      <c r="D905" t="s">
        <v>31</v>
      </c>
      <c r="E905" t="s">
        <v>218</v>
      </c>
      <c r="F905" t="s">
        <v>14</v>
      </c>
      <c r="G905" t="s">
        <v>15</v>
      </c>
      <c r="H905" s="3">
        <v>4</v>
      </c>
      <c r="I905" s="3">
        <v>61650.000000000007</v>
      </c>
      <c r="J905" s="3">
        <v>246600.00000000003</v>
      </c>
      <c r="K905" s="3">
        <v>45000</v>
      </c>
      <c r="L905" s="3">
        <v>180000</v>
      </c>
      <c r="M905" s="3">
        <v>66600.000000000029</v>
      </c>
      <c r="N905" s="4">
        <v>0.27007299270072999</v>
      </c>
    </row>
    <row r="906" spans="1:14" x14ac:dyDescent="0.3">
      <c r="A906" s="6">
        <v>45722</v>
      </c>
      <c r="B906" s="1" t="s">
        <v>1090</v>
      </c>
      <c r="C906" s="1" t="s">
        <v>28</v>
      </c>
      <c r="D906" t="s">
        <v>34</v>
      </c>
      <c r="E906" t="s">
        <v>327</v>
      </c>
      <c r="F906" t="s">
        <v>22</v>
      </c>
      <c r="G906" t="s">
        <v>18</v>
      </c>
      <c r="H906" s="3">
        <v>9</v>
      </c>
      <c r="I906" s="3">
        <v>9240</v>
      </c>
      <c r="J906" s="3">
        <v>83160</v>
      </c>
      <c r="K906" s="3">
        <v>7000</v>
      </c>
      <c r="L906" s="3">
        <v>63000</v>
      </c>
      <c r="M906" s="3">
        <v>20160</v>
      </c>
      <c r="N906" s="4">
        <v>0.24242424242424243</v>
      </c>
    </row>
    <row r="907" spans="1:14" x14ac:dyDescent="0.3">
      <c r="A907" s="6">
        <v>45722</v>
      </c>
      <c r="B907" s="1" t="s">
        <v>1091</v>
      </c>
      <c r="C907" s="1" t="s">
        <v>28</v>
      </c>
      <c r="D907" t="s">
        <v>34</v>
      </c>
      <c r="E907" t="s">
        <v>90</v>
      </c>
      <c r="F907" t="s">
        <v>23</v>
      </c>
      <c r="G907" t="s">
        <v>25</v>
      </c>
      <c r="H907" s="3">
        <v>8</v>
      </c>
      <c r="I907" s="3">
        <v>4384</v>
      </c>
      <c r="J907" s="3">
        <v>35072</v>
      </c>
      <c r="K907" s="3">
        <v>3200</v>
      </c>
      <c r="L907" s="3">
        <v>25600</v>
      </c>
      <c r="M907" s="3">
        <v>9472</v>
      </c>
      <c r="N907" s="4">
        <v>0.27007299270072993</v>
      </c>
    </row>
    <row r="908" spans="1:14" x14ac:dyDescent="0.3">
      <c r="A908" s="6">
        <v>45722</v>
      </c>
      <c r="B908" s="1" t="s">
        <v>1092</v>
      </c>
      <c r="C908" s="1" t="s">
        <v>29</v>
      </c>
      <c r="D908" t="s">
        <v>34</v>
      </c>
      <c r="E908" t="s">
        <v>220</v>
      </c>
      <c r="F908" t="s">
        <v>22</v>
      </c>
      <c r="G908" t="s">
        <v>18</v>
      </c>
      <c r="H908" s="3">
        <v>4</v>
      </c>
      <c r="I908" s="3">
        <v>8960</v>
      </c>
      <c r="J908" s="3">
        <v>35840</v>
      </c>
      <c r="K908" s="3">
        <v>7000</v>
      </c>
      <c r="L908" s="3">
        <v>28000</v>
      </c>
      <c r="M908" s="3">
        <v>7840</v>
      </c>
      <c r="N908" s="4">
        <v>0.21875</v>
      </c>
    </row>
    <row r="909" spans="1:14" x14ac:dyDescent="0.3">
      <c r="A909" s="6">
        <v>45722</v>
      </c>
      <c r="B909" s="1" t="s">
        <v>1093</v>
      </c>
      <c r="C909" s="1" t="s">
        <v>29</v>
      </c>
      <c r="D909" t="s">
        <v>33</v>
      </c>
      <c r="E909" t="s">
        <v>67</v>
      </c>
      <c r="F909" t="s">
        <v>16</v>
      </c>
      <c r="G909" t="s">
        <v>15</v>
      </c>
      <c r="H909" s="3">
        <v>3</v>
      </c>
      <c r="I909" s="3">
        <v>46740</v>
      </c>
      <c r="J909" s="3">
        <v>140220</v>
      </c>
      <c r="K909" s="3">
        <v>38000</v>
      </c>
      <c r="L909" s="3">
        <v>114000</v>
      </c>
      <c r="M909" s="3">
        <v>26220</v>
      </c>
      <c r="N909" s="4">
        <v>0.18699186991869918</v>
      </c>
    </row>
    <row r="910" spans="1:14" x14ac:dyDescent="0.3">
      <c r="A910" s="6">
        <v>45723</v>
      </c>
      <c r="B910" s="1" t="s">
        <v>1094</v>
      </c>
      <c r="C910" s="1" t="s">
        <v>27</v>
      </c>
      <c r="D910" t="s">
        <v>32</v>
      </c>
      <c r="E910" t="s">
        <v>55</v>
      </c>
      <c r="F910" t="s">
        <v>17</v>
      </c>
      <c r="G910" t="s">
        <v>18</v>
      </c>
      <c r="H910" s="3">
        <v>7</v>
      </c>
      <c r="I910" s="3">
        <v>11900</v>
      </c>
      <c r="J910" s="3">
        <v>83300</v>
      </c>
      <c r="K910" s="3">
        <v>8500</v>
      </c>
      <c r="L910" s="3">
        <v>59500</v>
      </c>
      <c r="M910" s="3">
        <v>23800</v>
      </c>
      <c r="N910" s="4">
        <v>0.2857142857142857</v>
      </c>
    </row>
    <row r="911" spans="1:14" x14ac:dyDescent="0.3">
      <c r="A911" s="6">
        <v>45723</v>
      </c>
      <c r="B911" s="1" t="s">
        <v>1095</v>
      </c>
      <c r="C911" s="1" t="s">
        <v>29</v>
      </c>
      <c r="D911" t="s">
        <v>30</v>
      </c>
      <c r="E911" t="s">
        <v>198</v>
      </c>
      <c r="F911" t="s">
        <v>21</v>
      </c>
      <c r="G911" t="s">
        <v>20</v>
      </c>
      <c r="H911" s="3">
        <v>2</v>
      </c>
      <c r="I911" s="3">
        <v>726</v>
      </c>
      <c r="J911" s="3">
        <v>1452</v>
      </c>
      <c r="K911" s="3">
        <v>600</v>
      </c>
      <c r="L911" s="3">
        <v>1200</v>
      </c>
      <c r="M911" s="3">
        <v>252</v>
      </c>
      <c r="N911" s="4">
        <v>0.17355371900826447</v>
      </c>
    </row>
    <row r="912" spans="1:14" x14ac:dyDescent="0.3">
      <c r="A912" s="6">
        <v>45723</v>
      </c>
      <c r="B912" s="1" t="s">
        <v>1096</v>
      </c>
      <c r="C912" s="1" t="s">
        <v>26</v>
      </c>
      <c r="D912" t="s">
        <v>32</v>
      </c>
      <c r="E912" t="s">
        <v>78</v>
      </c>
      <c r="F912" t="s">
        <v>22</v>
      </c>
      <c r="G912" t="s">
        <v>18</v>
      </c>
      <c r="H912" s="3">
        <v>5</v>
      </c>
      <c r="I912" s="3">
        <v>8960</v>
      </c>
      <c r="J912" s="3">
        <v>44800</v>
      </c>
      <c r="K912" s="3">
        <v>7000</v>
      </c>
      <c r="L912" s="3">
        <v>35000</v>
      </c>
      <c r="M912" s="3">
        <v>9800</v>
      </c>
      <c r="N912" s="4">
        <v>0.21875</v>
      </c>
    </row>
    <row r="913" spans="1:14" x14ac:dyDescent="0.3">
      <c r="A913" s="6">
        <v>45723</v>
      </c>
      <c r="B913" s="1" t="s">
        <v>1097</v>
      </c>
      <c r="C913" s="1" t="s">
        <v>29</v>
      </c>
      <c r="D913" t="s">
        <v>35</v>
      </c>
      <c r="E913" t="s">
        <v>351</v>
      </c>
      <c r="F913" t="s">
        <v>22</v>
      </c>
      <c r="G913" t="s">
        <v>18</v>
      </c>
      <c r="H913" s="3">
        <v>10</v>
      </c>
      <c r="I913" s="3">
        <v>8680</v>
      </c>
      <c r="J913" s="3">
        <v>86800</v>
      </c>
      <c r="K913" s="3">
        <v>7000</v>
      </c>
      <c r="L913" s="3">
        <v>70000</v>
      </c>
      <c r="M913" s="3">
        <v>16800</v>
      </c>
      <c r="N913" s="4">
        <v>0.19354838709677419</v>
      </c>
    </row>
    <row r="914" spans="1:14" x14ac:dyDescent="0.3">
      <c r="A914" s="6">
        <v>45723</v>
      </c>
      <c r="B914" s="1" t="s">
        <v>1098</v>
      </c>
      <c r="C914" s="1" t="s">
        <v>29</v>
      </c>
      <c r="D914" t="s">
        <v>30</v>
      </c>
      <c r="E914" t="s">
        <v>85</v>
      </c>
      <c r="F914" t="s">
        <v>23</v>
      </c>
      <c r="G914" t="s">
        <v>25</v>
      </c>
      <c r="H914" s="3">
        <v>3</v>
      </c>
      <c r="I914" s="3">
        <v>3968</v>
      </c>
      <c r="J914" s="3">
        <v>11904</v>
      </c>
      <c r="K914" s="3">
        <v>3200</v>
      </c>
      <c r="L914" s="3">
        <v>9600</v>
      </c>
      <c r="M914" s="3">
        <v>2304</v>
      </c>
      <c r="N914" s="4">
        <v>0.19354838709677419</v>
      </c>
    </row>
    <row r="915" spans="1:14" x14ac:dyDescent="0.3">
      <c r="A915" s="6">
        <v>45723</v>
      </c>
      <c r="B915" s="1" t="s">
        <v>1099</v>
      </c>
      <c r="C915" s="1" t="s">
        <v>29</v>
      </c>
      <c r="D915" t="s">
        <v>35</v>
      </c>
      <c r="E915" t="s">
        <v>306</v>
      </c>
      <c r="F915" t="s">
        <v>17</v>
      </c>
      <c r="G915" t="s">
        <v>18</v>
      </c>
      <c r="H915" s="3">
        <v>9</v>
      </c>
      <c r="I915" s="3">
        <v>11900</v>
      </c>
      <c r="J915" s="3">
        <v>107100</v>
      </c>
      <c r="K915" s="3">
        <v>8500</v>
      </c>
      <c r="L915" s="3">
        <v>76500</v>
      </c>
      <c r="M915" s="3">
        <v>30600</v>
      </c>
      <c r="N915" s="4">
        <v>0.2857142857142857</v>
      </c>
    </row>
    <row r="916" spans="1:14" x14ac:dyDescent="0.3">
      <c r="A916" s="6">
        <v>45723</v>
      </c>
      <c r="B916" s="1" t="s">
        <v>1100</v>
      </c>
      <c r="C916" s="1" t="s">
        <v>28</v>
      </c>
      <c r="D916" t="s">
        <v>32</v>
      </c>
      <c r="E916" t="s">
        <v>189</v>
      </c>
      <c r="F916" t="s">
        <v>14</v>
      </c>
      <c r="G916" t="s">
        <v>15</v>
      </c>
      <c r="H916" s="3">
        <v>8</v>
      </c>
      <c r="I916" s="3">
        <v>55350</v>
      </c>
      <c r="J916" s="3">
        <v>442800</v>
      </c>
      <c r="K916" s="3">
        <v>45000</v>
      </c>
      <c r="L916" s="3">
        <v>360000</v>
      </c>
      <c r="M916" s="3">
        <v>82800</v>
      </c>
      <c r="N916" s="4">
        <v>0.18699186991869918</v>
      </c>
    </row>
    <row r="917" spans="1:14" x14ac:dyDescent="0.3">
      <c r="A917" s="6">
        <v>45723</v>
      </c>
      <c r="B917" s="1" t="s">
        <v>1101</v>
      </c>
      <c r="C917" s="1" t="s">
        <v>27</v>
      </c>
      <c r="D917" t="s">
        <v>30</v>
      </c>
      <c r="E917" t="s">
        <v>106</v>
      </c>
      <c r="F917" t="s">
        <v>16</v>
      </c>
      <c r="G917" t="s">
        <v>15</v>
      </c>
      <c r="H917" s="3">
        <v>6</v>
      </c>
      <c r="I917" s="3">
        <v>46360</v>
      </c>
      <c r="J917" s="3">
        <v>278160</v>
      </c>
      <c r="K917" s="3">
        <v>38000</v>
      </c>
      <c r="L917" s="3">
        <v>228000</v>
      </c>
      <c r="M917" s="3">
        <v>50160</v>
      </c>
      <c r="N917" s="4">
        <v>0.18032786885245902</v>
      </c>
    </row>
    <row r="918" spans="1:14" x14ac:dyDescent="0.3">
      <c r="A918" s="6">
        <v>45723</v>
      </c>
      <c r="B918" s="1" t="s">
        <v>1102</v>
      </c>
      <c r="C918" s="1" t="s">
        <v>26</v>
      </c>
      <c r="D918" t="s">
        <v>34</v>
      </c>
      <c r="E918" t="s">
        <v>436</v>
      </c>
      <c r="F918" t="s">
        <v>14</v>
      </c>
      <c r="G918" t="s">
        <v>15</v>
      </c>
      <c r="H918" s="3">
        <v>9</v>
      </c>
      <c r="I918" s="3">
        <v>60750.000000000007</v>
      </c>
      <c r="J918" s="3">
        <v>546750.00000000012</v>
      </c>
      <c r="K918" s="3">
        <v>45000</v>
      </c>
      <c r="L918" s="3">
        <v>405000</v>
      </c>
      <c r="M918" s="3">
        <v>141750.00000000012</v>
      </c>
      <c r="N918" s="4">
        <v>0.25925925925925941</v>
      </c>
    </row>
    <row r="919" spans="1:14" x14ac:dyDescent="0.3">
      <c r="A919" s="6">
        <v>45723</v>
      </c>
      <c r="B919" s="1" t="s">
        <v>1103</v>
      </c>
      <c r="C919" s="1" t="s">
        <v>29</v>
      </c>
      <c r="D919" t="s">
        <v>33</v>
      </c>
      <c r="E919" t="s">
        <v>424</v>
      </c>
      <c r="F919" t="s">
        <v>14</v>
      </c>
      <c r="G919" t="s">
        <v>15</v>
      </c>
      <c r="H919" s="3">
        <v>10</v>
      </c>
      <c r="I919" s="3">
        <v>55800</v>
      </c>
      <c r="J919" s="3">
        <v>558000</v>
      </c>
      <c r="K919" s="3">
        <v>45000</v>
      </c>
      <c r="L919" s="3">
        <v>450000</v>
      </c>
      <c r="M919" s="3">
        <v>108000</v>
      </c>
      <c r="N919" s="4">
        <v>0.19354838709677419</v>
      </c>
    </row>
    <row r="920" spans="1:14" x14ac:dyDescent="0.3">
      <c r="A920" s="6">
        <v>45723</v>
      </c>
      <c r="B920" s="1" t="s">
        <v>1104</v>
      </c>
      <c r="C920" s="1" t="s">
        <v>27</v>
      </c>
      <c r="D920" t="s">
        <v>33</v>
      </c>
      <c r="E920" t="s">
        <v>169</v>
      </c>
      <c r="F920" t="s">
        <v>17</v>
      </c>
      <c r="G920" t="s">
        <v>18</v>
      </c>
      <c r="H920" s="3">
        <v>9</v>
      </c>
      <c r="I920" s="3">
        <v>12325</v>
      </c>
      <c r="J920" s="3">
        <v>110925</v>
      </c>
      <c r="K920" s="3">
        <v>8500</v>
      </c>
      <c r="L920" s="3">
        <v>76500</v>
      </c>
      <c r="M920" s="3">
        <v>34425</v>
      </c>
      <c r="N920" s="4">
        <v>0.31034482758620691</v>
      </c>
    </row>
    <row r="921" spans="1:14" x14ac:dyDescent="0.3">
      <c r="A921" s="6">
        <v>45723</v>
      </c>
      <c r="B921" s="1" t="s">
        <v>1105</v>
      </c>
      <c r="C921" s="1" t="s">
        <v>28</v>
      </c>
      <c r="D921" t="s">
        <v>30</v>
      </c>
      <c r="E921" t="s">
        <v>74</v>
      </c>
      <c r="F921" t="s">
        <v>19</v>
      </c>
      <c r="G921" t="s">
        <v>20</v>
      </c>
      <c r="H921" s="3">
        <v>9</v>
      </c>
      <c r="I921" s="3">
        <v>1296</v>
      </c>
      <c r="J921" s="3">
        <v>11664</v>
      </c>
      <c r="K921" s="3">
        <v>900</v>
      </c>
      <c r="L921" s="3">
        <v>8100</v>
      </c>
      <c r="M921" s="3">
        <v>3564</v>
      </c>
      <c r="N921" s="4">
        <v>0.30555555555555558</v>
      </c>
    </row>
    <row r="922" spans="1:14" x14ac:dyDescent="0.3">
      <c r="A922" s="6">
        <v>45723</v>
      </c>
      <c r="B922" s="1" t="s">
        <v>1106</v>
      </c>
      <c r="C922" s="1" t="s">
        <v>29</v>
      </c>
      <c r="D922" t="s">
        <v>32</v>
      </c>
      <c r="E922" t="s">
        <v>357</v>
      </c>
      <c r="F922" t="s">
        <v>19</v>
      </c>
      <c r="G922" t="s">
        <v>20</v>
      </c>
      <c r="H922" s="3">
        <v>8</v>
      </c>
      <c r="I922" s="3">
        <v>1098</v>
      </c>
      <c r="J922" s="3">
        <v>8784</v>
      </c>
      <c r="K922" s="3">
        <v>900</v>
      </c>
      <c r="L922" s="3">
        <v>7200</v>
      </c>
      <c r="M922" s="3">
        <v>1584</v>
      </c>
      <c r="N922" s="4">
        <v>0.18032786885245902</v>
      </c>
    </row>
    <row r="923" spans="1:14" x14ac:dyDescent="0.3">
      <c r="A923" s="6">
        <v>45723</v>
      </c>
      <c r="B923" s="1" t="s">
        <v>1107</v>
      </c>
      <c r="C923" s="1" t="s">
        <v>28</v>
      </c>
      <c r="D923" t="s">
        <v>30</v>
      </c>
      <c r="E923" t="s">
        <v>83</v>
      </c>
      <c r="F923" t="s">
        <v>24</v>
      </c>
      <c r="G923" t="s">
        <v>25</v>
      </c>
      <c r="H923" s="3">
        <v>5</v>
      </c>
      <c r="I923" s="3">
        <v>3525</v>
      </c>
      <c r="J923" s="3">
        <v>17625</v>
      </c>
      <c r="K923" s="3">
        <v>2500</v>
      </c>
      <c r="L923" s="3">
        <v>12500</v>
      </c>
      <c r="M923" s="3">
        <v>5125</v>
      </c>
      <c r="N923" s="4">
        <v>0.29078014184397161</v>
      </c>
    </row>
    <row r="924" spans="1:14" x14ac:dyDescent="0.3">
      <c r="A924" s="6">
        <v>45724</v>
      </c>
      <c r="B924" s="1" t="s">
        <v>1108</v>
      </c>
      <c r="C924" s="1" t="s">
        <v>26</v>
      </c>
      <c r="D924" t="s">
        <v>32</v>
      </c>
      <c r="E924" t="s">
        <v>239</v>
      </c>
      <c r="F924" t="s">
        <v>16</v>
      </c>
      <c r="G924" t="s">
        <v>15</v>
      </c>
      <c r="H924" s="3">
        <v>6</v>
      </c>
      <c r="I924" s="3">
        <v>51300</v>
      </c>
      <c r="J924" s="3">
        <v>307800</v>
      </c>
      <c r="K924" s="3">
        <v>38000</v>
      </c>
      <c r="L924" s="3">
        <v>228000</v>
      </c>
      <c r="M924" s="3">
        <v>79800</v>
      </c>
      <c r="N924" s="4">
        <v>0.25925925925925924</v>
      </c>
    </row>
    <row r="925" spans="1:14" x14ac:dyDescent="0.3">
      <c r="A925" s="6">
        <v>45724</v>
      </c>
      <c r="B925" s="1" t="s">
        <v>1109</v>
      </c>
      <c r="C925" s="1" t="s">
        <v>27</v>
      </c>
      <c r="D925" t="s">
        <v>30</v>
      </c>
      <c r="E925" t="s">
        <v>427</v>
      </c>
      <c r="F925" t="s">
        <v>21</v>
      </c>
      <c r="G925" t="s">
        <v>20</v>
      </c>
      <c r="H925" s="3">
        <v>9</v>
      </c>
      <c r="I925" s="3">
        <v>780</v>
      </c>
      <c r="J925" s="3">
        <v>7020</v>
      </c>
      <c r="K925" s="3">
        <v>600</v>
      </c>
      <c r="L925" s="3">
        <v>5400</v>
      </c>
      <c r="M925" s="3">
        <v>1620</v>
      </c>
      <c r="N925" s="4">
        <v>0.23076923076923078</v>
      </c>
    </row>
    <row r="926" spans="1:14" x14ac:dyDescent="0.3">
      <c r="A926" s="6">
        <v>45724</v>
      </c>
      <c r="B926" s="1" t="s">
        <v>1110</v>
      </c>
      <c r="C926" s="1" t="s">
        <v>29</v>
      </c>
      <c r="D926" t="s">
        <v>31</v>
      </c>
      <c r="E926" t="s">
        <v>189</v>
      </c>
      <c r="F926" t="s">
        <v>24</v>
      </c>
      <c r="G926" t="s">
        <v>25</v>
      </c>
      <c r="H926" s="3">
        <v>10</v>
      </c>
      <c r="I926" s="3">
        <v>3100</v>
      </c>
      <c r="J926" s="3">
        <v>31000</v>
      </c>
      <c r="K926" s="3">
        <v>2500</v>
      </c>
      <c r="L926" s="3">
        <v>25000</v>
      </c>
      <c r="M926" s="3">
        <v>6000</v>
      </c>
      <c r="N926" s="4">
        <v>0.19354838709677419</v>
      </c>
    </row>
    <row r="927" spans="1:14" x14ac:dyDescent="0.3">
      <c r="A927" s="6">
        <v>45724</v>
      </c>
      <c r="B927" s="1" t="s">
        <v>1111</v>
      </c>
      <c r="C927" s="1" t="s">
        <v>27</v>
      </c>
      <c r="D927" t="s">
        <v>32</v>
      </c>
      <c r="E927" t="s">
        <v>306</v>
      </c>
      <c r="F927" t="s">
        <v>21</v>
      </c>
      <c r="G927" t="s">
        <v>20</v>
      </c>
      <c r="H927" s="3">
        <v>10</v>
      </c>
      <c r="I927" s="3">
        <v>744</v>
      </c>
      <c r="J927" s="3">
        <v>7440</v>
      </c>
      <c r="K927" s="3">
        <v>600</v>
      </c>
      <c r="L927" s="3">
        <v>6000</v>
      </c>
      <c r="M927" s="3">
        <v>1440</v>
      </c>
      <c r="N927" s="4">
        <v>0.19354838709677419</v>
      </c>
    </row>
    <row r="928" spans="1:14" x14ac:dyDescent="0.3">
      <c r="A928" s="6">
        <v>45724</v>
      </c>
      <c r="B928" s="1" t="s">
        <v>1112</v>
      </c>
      <c r="C928" s="1" t="s">
        <v>29</v>
      </c>
      <c r="D928" t="s">
        <v>35</v>
      </c>
      <c r="E928" t="s">
        <v>226</v>
      </c>
      <c r="F928" t="s">
        <v>24</v>
      </c>
      <c r="G928" t="s">
        <v>25</v>
      </c>
      <c r="H928" s="3">
        <v>5</v>
      </c>
      <c r="I928" s="3">
        <v>3325</v>
      </c>
      <c r="J928" s="3">
        <v>16625</v>
      </c>
      <c r="K928" s="3">
        <v>2500</v>
      </c>
      <c r="L928" s="3">
        <v>12500</v>
      </c>
      <c r="M928" s="3">
        <v>4125</v>
      </c>
      <c r="N928" s="4">
        <v>0.24812030075187969</v>
      </c>
    </row>
    <row r="929" spans="1:14" x14ac:dyDescent="0.3">
      <c r="A929" s="6">
        <v>45724</v>
      </c>
      <c r="B929" s="1" t="s">
        <v>1113</v>
      </c>
      <c r="C929" s="1" t="s">
        <v>28</v>
      </c>
      <c r="D929" t="s">
        <v>33</v>
      </c>
      <c r="E929" t="s">
        <v>198</v>
      </c>
      <c r="F929" t="s">
        <v>23</v>
      </c>
      <c r="G929" t="s">
        <v>25</v>
      </c>
      <c r="H929" s="3">
        <v>9</v>
      </c>
      <c r="I929" s="3">
        <v>3872</v>
      </c>
      <c r="J929" s="3">
        <v>34848</v>
      </c>
      <c r="K929" s="3">
        <v>3200</v>
      </c>
      <c r="L929" s="3">
        <v>28800</v>
      </c>
      <c r="M929" s="3">
        <v>6048</v>
      </c>
      <c r="N929" s="4">
        <v>0.17355371900826447</v>
      </c>
    </row>
    <row r="930" spans="1:14" x14ac:dyDescent="0.3">
      <c r="A930" s="6">
        <v>45724</v>
      </c>
      <c r="B930" s="1" t="s">
        <v>1114</v>
      </c>
      <c r="C930" s="1" t="s">
        <v>29</v>
      </c>
      <c r="D930" t="s">
        <v>32</v>
      </c>
      <c r="E930" t="s">
        <v>371</v>
      </c>
      <c r="F930" t="s">
        <v>24</v>
      </c>
      <c r="G930" t="s">
        <v>25</v>
      </c>
      <c r="H930" s="3">
        <v>4</v>
      </c>
      <c r="I930" s="3">
        <v>3525</v>
      </c>
      <c r="J930" s="3">
        <v>14100</v>
      </c>
      <c r="K930" s="3">
        <v>2500</v>
      </c>
      <c r="L930" s="3">
        <v>10000</v>
      </c>
      <c r="M930" s="3">
        <v>4100</v>
      </c>
      <c r="N930" s="4">
        <v>0.29078014184397161</v>
      </c>
    </row>
    <row r="931" spans="1:14" x14ac:dyDescent="0.3">
      <c r="A931" s="6">
        <v>45724</v>
      </c>
      <c r="B931" s="1" t="s">
        <v>1115</v>
      </c>
      <c r="C931" s="1" t="s">
        <v>28</v>
      </c>
      <c r="D931" t="s">
        <v>32</v>
      </c>
      <c r="E931" t="s">
        <v>116</v>
      </c>
      <c r="F931" t="s">
        <v>23</v>
      </c>
      <c r="G931" t="s">
        <v>25</v>
      </c>
      <c r="H931" s="3">
        <v>1</v>
      </c>
      <c r="I931" s="3">
        <v>4320</v>
      </c>
      <c r="J931" s="3">
        <v>4320</v>
      </c>
      <c r="K931" s="3">
        <v>3200</v>
      </c>
      <c r="L931" s="3">
        <v>3200</v>
      </c>
      <c r="M931" s="3">
        <v>1120</v>
      </c>
      <c r="N931" s="4">
        <v>0.25925925925925924</v>
      </c>
    </row>
    <row r="932" spans="1:14" x14ac:dyDescent="0.3">
      <c r="A932" s="6">
        <v>45724</v>
      </c>
      <c r="B932" s="1" t="s">
        <v>1116</v>
      </c>
      <c r="C932" s="1" t="s">
        <v>26</v>
      </c>
      <c r="D932" t="s">
        <v>30</v>
      </c>
      <c r="E932" t="s">
        <v>565</v>
      </c>
      <c r="F932" t="s">
        <v>16</v>
      </c>
      <c r="G932" t="s">
        <v>15</v>
      </c>
      <c r="H932" s="3">
        <v>2</v>
      </c>
      <c r="I932" s="3">
        <v>49780</v>
      </c>
      <c r="J932" s="3">
        <v>99560</v>
      </c>
      <c r="K932" s="3">
        <v>38000</v>
      </c>
      <c r="L932" s="3">
        <v>76000</v>
      </c>
      <c r="M932" s="3">
        <v>23560</v>
      </c>
      <c r="N932" s="4">
        <v>0.23664122137404581</v>
      </c>
    </row>
    <row r="933" spans="1:14" x14ac:dyDescent="0.3">
      <c r="A933" s="6">
        <v>45724</v>
      </c>
      <c r="B933" s="1" t="s">
        <v>1117</v>
      </c>
      <c r="C933" s="1" t="s">
        <v>26</v>
      </c>
      <c r="D933" t="s">
        <v>34</v>
      </c>
      <c r="E933" t="s">
        <v>228</v>
      </c>
      <c r="F933" t="s">
        <v>24</v>
      </c>
      <c r="G933" t="s">
        <v>25</v>
      </c>
      <c r="H933" s="3">
        <v>5</v>
      </c>
      <c r="I933" s="3">
        <v>3375</v>
      </c>
      <c r="J933" s="3">
        <v>16875</v>
      </c>
      <c r="K933" s="3">
        <v>2500</v>
      </c>
      <c r="L933" s="3">
        <v>12500</v>
      </c>
      <c r="M933" s="3">
        <v>4375</v>
      </c>
      <c r="N933" s="4">
        <v>0.25925925925925924</v>
      </c>
    </row>
    <row r="934" spans="1:14" x14ac:dyDescent="0.3">
      <c r="A934" s="6">
        <v>45724</v>
      </c>
      <c r="B934" s="1" t="s">
        <v>1118</v>
      </c>
      <c r="C934" s="1" t="s">
        <v>28</v>
      </c>
      <c r="D934" t="s">
        <v>32</v>
      </c>
      <c r="E934" t="s">
        <v>565</v>
      </c>
      <c r="F934" t="s">
        <v>19</v>
      </c>
      <c r="G934" t="s">
        <v>20</v>
      </c>
      <c r="H934" s="3">
        <v>2</v>
      </c>
      <c r="I934" s="3">
        <v>1161</v>
      </c>
      <c r="J934" s="3">
        <v>2322</v>
      </c>
      <c r="K934" s="3">
        <v>900</v>
      </c>
      <c r="L934" s="3">
        <v>1800</v>
      </c>
      <c r="M934" s="3">
        <v>522</v>
      </c>
      <c r="N934" s="4">
        <v>0.22480620155038761</v>
      </c>
    </row>
    <row r="935" spans="1:14" x14ac:dyDescent="0.3">
      <c r="A935" s="6">
        <v>45724</v>
      </c>
      <c r="B935" s="1" t="s">
        <v>1119</v>
      </c>
      <c r="C935" s="1" t="s">
        <v>26</v>
      </c>
      <c r="D935" t="s">
        <v>32</v>
      </c>
      <c r="E935" t="s">
        <v>220</v>
      </c>
      <c r="F935" t="s">
        <v>21</v>
      </c>
      <c r="G935" t="s">
        <v>20</v>
      </c>
      <c r="H935" s="3">
        <v>6</v>
      </c>
      <c r="I935" s="3">
        <v>768</v>
      </c>
      <c r="J935" s="3">
        <v>4608</v>
      </c>
      <c r="K935" s="3">
        <v>600</v>
      </c>
      <c r="L935" s="3">
        <v>3600</v>
      </c>
      <c r="M935" s="3">
        <v>1008</v>
      </c>
      <c r="N935" s="4">
        <v>0.21875</v>
      </c>
    </row>
    <row r="936" spans="1:14" x14ac:dyDescent="0.3">
      <c r="A936" s="6">
        <v>45724</v>
      </c>
      <c r="B936" s="1" t="s">
        <v>1120</v>
      </c>
      <c r="C936" s="1" t="s">
        <v>28</v>
      </c>
      <c r="D936" t="s">
        <v>31</v>
      </c>
      <c r="E936" t="s">
        <v>151</v>
      </c>
      <c r="F936" t="s">
        <v>22</v>
      </c>
      <c r="G936" t="s">
        <v>18</v>
      </c>
      <c r="H936" s="3">
        <v>2</v>
      </c>
      <c r="I936" s="3">
        <v>8680</v>
      </c>
      <c r="J936" s="3">
        <v>17360</v>
      </c>
      <c r="K936" s="3">
        <v>7000</v>
      </c>
      <c r="L936" s="3">
        <v>14000</v>
      </c>
      <c r="M936" s="3">
        <v>3360</v>
      </c>
      <c r="N936" s="4">
        <v>0.19354838709677419</v>
      </c>
    </row>
    <row r="937" spans="1:14" x14ac:dyDescent="0.3">
      <c r="A937" s="6">
        <v>45724</v>
      </c>
      <c r="B937" s="1" t="s">
        <v>1121</v>
      </c>
      <c r="C937" s="1" t="s">
        <v>28</v>
      </c>
      <c r="D937" t="s">
        <v>32</v>
      </c>
      <c r="E937" t="s">
        <v>198</v>
      </c>
      <c r="F937" t="s">
        <v>16</v>
      </c>
      <c r="G937" t="s">
        <v>15</v>
      </c>
      <c r="H937" s="3">
        <v>2</v>
      </c>
      <c r="I937" s="3">
        <v>52060.000000000007</v>
      </c>
      <c r="J937" s="3">
        <v>104120.00000000001</v>
      </c>
      <c r="K937" s="3">
        <v>38000</v>
      </c>
      <c r="L937" s="3">
        <v>76000</v>
      </c>
      <c r="M937" s="3">
        <v>28120.000000000015</v>
      </c>
      <c r="N937" s="4">
        <v>0.27007299270073004</v>
      </c>
    </row>
    <row r="938" spans="1:14" x14ac:dyDescent="0.3">
      <c r="A938" s="6">
        <v>45725</v>
      </c>
      <c r="B938" s="1" t="s">
        <v>1122</v>
      </c>
      <c r="C938" s="1" t="s">
        <v>27</v>
      </c>
      <c r="D938" t="s">
        <v>32</v>
      </c>
      <c r="E938" t="s">
        <v>175</v>
      </c>
      <c r="F938" t="s">
        <v>17</v>
      </c>
      <c r="G938" t="s">
        <v>18</v>
      </c>
      <c r="H938" s="3">
        <v>4</v>
      </c>
      <c r="I938" s="3">
        <v>11220</v>
      </c>
      <c r="J938" s="3">
        <v>44880</v>
      </c>
      <c r="K938" s="3">
        <v>8500</v>
      </c>
      <c r="L938" s="3">
        <v>34000</v>
      </c>
      <c r="M938" s="3">
        <v>10880</v>
      </c>
      <c r="N938" s="4">
        <v>0.24242424242424243</v>
      </c>
    </row>
    <row r="939" spans="1:14" x14ac:dyDescent="0.3">
      <c r="A939" s="6">
        <v>45725</v>
      </c>
      <c r="B939" s="1" t="s">
        <v>1123</v>
      </c>
      <c r="C939" s="1" t="s">
        <v>29</v>
      </c>
      <c r="D939" t="s">
        <v>35</v>
      </c>
      <c r="E939" t="s">
        <v>98</v>
      </c>
      <c r="F939" t="s">
        <v>17</v>
      </c>
      <c r="G939" t="s">
        <v>18</v>
      </c>
      <c r="H939" s="3">
        <v>6</v>
      </c>
      <c r="I939" s="3">
        <v>11815.000000000002</v>
      </c>
      <c r="J939" s="3">
        <v>70890.000000000015</v>
      </c>
      <c r="K939" s="3">
        <v>8500</v>
      </c>
      <c r="L939" s="3">
        <v>51000</v>
      </c>
      <c r="M939" s="3">
        <v>19890.000000000015</v>
      </c>
      <c r="N939" s="4">
        <v>0.28057553956834547</v>
      </c>
    </row>
    <row r="940" spans="1:14" x14ac:dyDescent="0.3">
      <c r="A940" s="6">
        <v>45725</v>
      </c>
      <c r="B940" s="1" t="s">
        <v>1124</v>
      </c>
      <c r="C940" s="1" t="s">
        <v>26</v>
      </c>
      <c r="D940" t="s">
        <v>32</v>
      </c>
      <c r="E940" t="s">
        <v>355</v>
      </c>
      <c r="F940" t="s">
        <v>17</v>
      </c>
      <c r="G940" t="s">
        <v>18</v>
      </c>
      <c r="H940" s="3">
        <v>8</v>
      </c>
      <c r="I940" s="3">
        <v>12325</v>
      </c>
      <c r="J940" s="3">
        <v>98600</v>
      </c>
      <c r="K940" s="3">
        <v>8500</v>
      </c>
      <c r="L940" s="3">
        <v>68000</v>
      </c>
      <c r="M940" s="3">
        <v>30600</v>
      </c>
      <c r="N940" s="4">
        <v>0.31034482758620691</v>
      </c>
    </row>
    <row r="941" spans="1:14" x14ac:dyDescent="0.3">
      <c r="A941" s="6">
        <v>45725</v>
      </c>
      <c r="B941" s="1" t="s">
        <v>1125</v>
      </c>
      <c r="C941" s="1" t="s">
        <v>26</v>
      </c>
      <c r="D941" t="s">
        <v>35</v>
      </c>
      <c r="E941" t="s">
        <v>67</v>
      </c>
      <c r="F941" t="s">
        <v>23</v>
      </c>
      <c r="G941" t="s">
        <v>25</v>
      </c>
      <c r="H941" s="3">
        <v>2</v>
      </c>
      <c r="I941" s="3">
        <v>4128</v>
      </c>
      <c r="J941" s="3">
        <v>8256</v>
      </c>
      <c r="K941" s="3">
        <v>3200</v>
      </c>
      <c r="L941" s="3">
        <v>6400</v>
      </c>
      <c r="M941" s="3">
        <v>1856</v>
      </c>
      <c r="N941" s="4">
        <v>0.22480620155038761</v>
      </c>
    </row>
    <row r="942" spans="1:14" x14ac:dyDescent="0.3">
      <c r="A942" s="6">
        <v>45725</v>
      </c>
      <c r="B942" s="1" t="s">
        <v>1126</v>
      </c>
      <c r="C942" s="1" t="s">
        <v>29</v>
      </c>
      <c r="D942" t="s">
        <v>31</v>
      </c>
      <c r="E942" t="s">
        <v>336</v>
      </c>
      <c r="F942" t="s">
        <v>19</v>
      </c>
      <c r="G942" t="s">
        <v>20</v>
      </c>
      <c r="H942" s="3">
        <v>3</v>
      </c>
      <c r="I942" s="3">
        <v>1233</v>
      </c>
      <c r="J942" s="3">
        <v>3699</v>
      </c>
      <c r="K942" s="3">
        <v>900</v>
      </c>
      <c r="L942" s="3">
        <v>2700</v>
      </c>
      <c r="M942" s="3">
        <v>999</v>
      </c>
      <c r="N942" s="4">
        <v>0.27007299270072993</v>
      </c>
    </row>
    <row r="943" spans="1:14" x14ac:dyDescent="0.3">
      <c r="A943" s="6">
        <v>45725</v>
      </c>
      <c r="B943" s="1" t="s">
        <v>1127</v>
      </c>
      <c r="C943" s="1" t="s">
        <v>29</v>
      </c>
      <c r="D943" t="s">
        <v>34</v>
      </c>
      <c r="E943" t="s">
        <v>98</v>
      </c>
      <c r="F943" t="s">
        <v>24</v>
      </c>
      <c r="G943" t="s">
        <v>25</v>
      </c>
      <c r="H943" s="3">
        <v>9</v>
      </c>
      <c r="I943" s="3">
        <v>3125</v>
      </c>
      <c r="J943" s="3">
        <v>28125</v>
      </c>
      <c r="K943" s="3">
        <v>2500</v>
      </c>
      <c r="L943" s="3">
        <v>22500</v>
      </c>
      <c r="M943" s="3">
        <v>5625</v>
      </c>
      <c r="N943" s="4">
        <v>0.2</v>
      </c>
    </row>
    <row r="944" spans="1:14" x14ac:dyDescent="0.3">
      <c r="A944" s="6">
        <v>45725</v>
      </c>
      <c r="B944" s="1" t="s">
        <v>1128</v>
      </c>
      <c r="C944" s="1" t="s">
        <v>26</v>
      </c>
      <c r="D944" t="s">
        <v>30</v>
      </c>
      <c r="E944" t="s">
        <v>233</v>
      </c>
      <c r="F944" t="s">
        <v>24</v>
      </c>
      <c r="G944" t="s">
        <v>25</v>
      </c>
      <c r="H944" s="3">
        <v>4</v>
      </c>
      <c r="I944" s="3">
        <v>3250</v>
      </c>
      <c r="J944" s="3">
        <v>13000</v>
      </c>
      <c r="K944" s="3">
        <v>2500</v>
      </c>
      <c r="L944" s="3">
        <v>10000</v>
      </c>
      <c r="M944" s="3">
        <v>3000</v>
      </c>
      <c r="N944" s="4">
        <v>0.23076923076923078</v>
      </c>
    </row>
    <row r="945" spans="1:14" x14ac:dyDescent="0.3">
      <c r="A945" s="6">
        <v>45725</v>
      </c>
      <c r="B945" s="1" t="s">
        <v>1129</v>
      </c>
      <c r="C945" s="1" t="s">
        <v>28</v>
      </c>
      <c r="D945" t="s">
        <v>31</v>
      </c>
      <c r="E945" t="s">
        <v>118</v>
      </c>
      <c r="F945" t="s">
        <v>22</v>
      </c>
      <c r="G945" t="s">
        <v>18</v>
      </c>
      <c r="H945" s="3">
        <v>2</v>
      </c>
      <c r="I945" s="3">
        <v>9170</v>
      </c>
      <c r="J945" s="3">
        <v>18340</v>
      </c>
      <c r="K945" s="3">
        <v>7000</v>
      </c>
      <c r="L945" s="3">
        <v>14000</v>
      </c>
      <c r="M945" s="3">
        <v>4340</v>
      </c>
      <c r="N945" s="4">
        <v>0.23664122137404581</v>
      </c>
    </row>
    <row r="946" spans="1:14" x14ac:dyDescent="0.3">
      <c r="A946" s="6">
        <v>45725</v>
      </c>
      <c r="B946" s="1" t="s">
        <v>1130</v>
      </c>
      <c r="C946" s="1" t="s">
        <v>28</v>
      </c>
      <c r="D946" t="s">
        <v>33</v>
      </c>
      <c r="E946" t="s">
        <v>169</v>
      </c>
      <c r="F946" t="s">
        <v>22</v>
      </c>
      <c r="G946" t="s">
        <v>18</v>
      </c>
      <c r="H946" s="3">
        <v>2</v>
      </c>
      <c r="I946" s="3">
        <v>9730</v>
      </c>
      <c r="J946" s="3">
        <v>19460</v>
      </c>
      <c r="K946" s="3">
        <v>7000</v>
      </c>
      <c r="L946" s="3">
        <v>14000</v>
      </c>
      <c r="M946" s="3">
        <v>5460</v>
      </c>
      <c r="N946" s="4">
        <v>0.2805755395683453</v>
      </c>
    </row>
    <row r="947" spans="1:14" x14ac:dyDescent="0.3">
      <c r="A947" s="6">
        <v>45725</v>
      </c>
      <c r="B947" s="1" t="s">
        <v>1131</v>
      </c>
      <c r="C947" s="1" t="s">
        <v>27</v>
      </c>
      <c r="D947" t="s">
        <v>34</v>
      </c>
      <c r="E947" t="s">
        <v>363</v>
      </c>
      <c r="F947" t="s">
        <v>16</v>
      </c>
      <c r="G947" t="s">
        <v>15</v>
      </c>
      <c r="H947" s="3">
        <v>7</v>
      </c>
      <c r="I947" s="3">
        <v>49400</v>
      </c>
      <c r="J947" s="3">
        <v>345800</v>
      </c>
      <c r="K947" s="3">
        <v>38000</v>
      </c>
      <c r="L947" s="3">
        <v>266000</v>
      </c>
      <c r="M947" s="3">
        <v>79800</v>
      </c>
      <c r="N947" s="4">
        <v>0.23076923076923078</v>
      </c>
    </row>
    <row r="948" spans="1:14" x14ac:dyDescent="0.3">
      <c r="A948" s="6">
        <v>45725</v>
      </c>
      <c r="B948" s="1" t="s">
        <v>1132</v>
      </c>
      <c r="C948" s="1" t="s">
        <v>28</v>
      </c>
      <c r="D948" t="s">
        <v>30</v>
      </c>
      <c r="E948" t="s">
        <v>355</v>
      </c>
      <c r="F948" t="s">
        <v>22</v>
      </c>
      <c r="G948" t="s">
        <v>18</v>
      </c>
      <c r="H948" s="3">
        <v>4</v>
      </c>
      <c r="I948" s="3">
        <v>9730</v>
      </c>
      <c r="J948" s="3">
        <v>38920</v>
      </c>
      <c r="K948" s="3">
        <v>7000</v>
      </c>
      <c r="L948" s="3">
        <v>28000</v>
      </c>
      <c r="M948" s="3">
        <v>10920</v>
      </c>
      <c r="N948" s="4">
        <v>0.2805755395683453</v>
      </c>
    </row>
    <row r="949" spans="1:14" x14ac:dyDescent="0.3">
      <c r="A949" s="6">
        <v>45725</v>
      </c>
      <c r="B949" s="1" t="s">
        <v>1133</v>
      </c>
      <c r="C949" s="1" t="s">
        <v>29</v>
      </c>
      <c r="D949" t="s">
        <v>32</v>
      </c>
      <c r="E949" t="s">
        <v>698</v>
      </c>
      <c r="F949" t="s">
        <v>16</v>
      </c>
      <c r="G949" t="s">
        <v>15</v>
      </c>
      <c r="H949" s="3">
        <v>8</v>
      </c>
      <c r="I949" s="3">
        <v>50160</v>
      </c>
      <c r="J949" s="3">
        <v>401280</v>
      </c>
      <c r="K949" s="3">
        <v>38000</v>
      </c>
      <c r="L949" s="3">
        <v>304000</v>
      </c>
      <c r="M949" s="3">
        <v>97280</v>
      </c>
      <c r="N949" s="4">
        <v>0.24242424242424243</v>
      </c>
    </row>
    <row r="950" spans="1:14" x14ac:dyDescent="0.3">
      <c r="A950" s="6">
        <v>45725</v>
      </c>
      <c r="B950" s="1" t="s">
        <v>1134</v>
      </c>
      <c r="C950" s="1" t="s">
        <v>27</v>
      </c>
      <c r="D950" t="s">
        <v>35</v>
      </c>
      <c r="E950" t="s">
        <v>292</v>
      </c>
      <c r="F950" t="s">
        <v>22</v>
      </c>
      <c r="G950" t="s">
        <v>18</v>
      </c>
      <c r="H950" s="3">
        <v>7</v>
      </c>
      <c r="I950" s="3">
        <v>8960</v>
      </c>
      <c r="J950" s="3">
        <v>62720</v>
      </c>
      <c r="K950" s="3">
        <v>7000</v>
      </c>
      <c r="L950" s="3">
        <v>49000</v>
      </c>
      <c r="M950" s="3">
        <v>13720</v>
      </c>
      <c r="N950" s="4">
        <v>0.21875</v>
      </c>
    </row>
    <row r="951" spans="1:14" x14ac:dyDescent="0.3">
      <c r="A951" s="6">
        <v>45725</v>
      </c>
      <c r="B951" s="1" t="s">
        <v>1135</v>
      </c>
      <c r="C951" s="1" t="s">
        <v>29</v>
      </c>
      <c r="D951" t="s">
        <v>35</v>
      </c>
      <c r="E951" t="s">
        <v>521</v>
      </c>
      <c r="F951" t="s">
        <v>21</v>
      </c>
      <c r="G951" t="s">
        <v>20</v>
      </c>
      <c r="H951" s="3">
        <v>1</v>
      </c>
      <c r="I951" s="3">
        <v>864</v>
      </c>
      <c r="J951" s="3">
        <v>864</v>
      </c>
      <c r="K951" s="3">
        <v>600</v>
      </c>
      <c r="L951" s="3">
        <v>600</v>
      </c>
      <c r="M951" s="3">
        <v>264</v>
      </c>
      <c r="N951" s="4">
        <v>0.30555555555555558</v>
      </c>
    </row>
    <row r="952" spans="1:14" x14ac:dyDescent="0.3">
      <c r="A952" s="6">
        <v>45726</v>
      </c>
      <c r="B952" s="1" t="s">
        <v>1136</v>
      </c>
      <c r="C952" s="1" t="s">
        <v>26</v>
      </c>
      <c r="D952" t="s">
        <v>33</v>
      </c>
      <c r="E952" t="s">
        <v>110</v>
      </c>
      <c r="F952" t="s">
        <v>24</v>
      </c>
      <c r="G952" t="s">
        <v>25</v>
      </c>
      <c r="H952" s="3">
        <v>6</v>
      </c>
      <c r="I952" s="3">
        <v>3050</v>
      </c>
      <c r="J952" s="3">
        <v>18300</v>
      </c>
      <c r="K952" s="3">
        <v>2500</v>
      </c>
      <c r="L952" s="3">
        <v>15000</v>
      </c>
      <c r="M952" s="3">
        <v>3300</v>
      </c>
      <c r="N952" s="4">
        <v>0.18032786885245902</v>
      </c>
    </row>
    <row r="953" spans="1:14" x14ac:dyDescent="0.3">
      <c r="A953" s="6">
        <v>45726</v>
      </c>
      <c r="B953" s="1" t="s">
        <v>1137</v>
      </c>
      <c r="C953" s="1" t="s">
        <v>28</v>
      </c>
      <c r="D953" t="s">
        <v>31</v>
      </c>
      <c r="E953" t="s">
        <v>94</v>
      </c>
      <c r="F953" t="s">
        <v>22</v>
      </c>
      <c r="G953" t="s">
        <v>18</v>
      </c>
      <c r="H953" s="3">
        <v>3</v>
      </c>
      <c r="I953" s="3">
        <v>9800</v>
      </c>
      <c r="J953" s="3">
        <v>29400</v>
      </c>
      <c r="K953" s="3">
        <v>7000</v>
      </c>
      <c r="L953" s="3">
        <v>21000</v>
      </c>
      <c r="M953" s="3">
        <v>8400</v>
      </c>
      <c r="N953" s="4">
        <v>0.2857142857142857</v>
      </c>
    </row>
    <row r="954" spans="1:14" x14ac:dyDescent="0.3">
      <c r="A954" s="6">
        <v>45726</v>
      </c>
      <c r="B954" s="1" t="s">
        <v>1138</v>
      </c>
      <c r="C954" s="1" t="s">
        <v>27</v>
      </c>
      <c r="D954" t="s">
        <v>30</v>
      </c>
      <c r="E954" t="s">
        <v>508</v>
      </c>
      <c r="F954" t="s">
        <v>23</v>
      </c>
      <c r="G954" t="s">
        <v>25</v>
      </c>
      <c r="H954" s="3">
        <v>4</v>
      </c>
      <c r="I954" s="3">
        <v>4448</v>
      </c>
      <c r="J954" s="3">
        <v>17792</v>
      </c>
      <c r="K954" s="3">
        <v>3200</v>
      </c>
      <c r="L954" s="3">
        <v>12800</v>
      </c>
      <c r="M954" s="3">
        <v>4992</v>
      </c>
      <c r="N954" s="4">
        <v>0.2805755395683453</v>
      </c>
    </row>
    <row r="955" spans="1:14" x14ac:dyDescent="0.3">
      <c r="A955" s="6">
        <v>45726</v>
      </c>
      <c r="B955" s="1" t="s">
        <v>1139</v>
      </c>
      <c r="C955" s="1" t="s">
        <v>26</v>
      </c>
      <c r="D955" t="s">
        <v>31</v>
      </c>
      <c r="E955" t="s">
        <v>453</v>
      </c>
      <c r="F955" t="s">
        <v>19</v>
      </c>
      <c r="G955" t="s">
        <v>20</v>
      </c>
      <c r="H955" s="3">
        <v>8</v>
      </c>
      <c r="I955" s="3">
        <v>1125</v>
      </c>
      <c r="J955" s="3">
        <v>9000</v>
      </c>
      <c r="K955" s="3">
        <v>900</v>
      </c>
      <c r="L955" s="3">
        <v>7200</v>
      </c>
      <c r="M955" s="3">
        <v>1800</v>
      </c>
      <c r="N955" s="4">
        <v>0.2</v>
      </c>
    </row>
    <row r="956" spans="1:14" x14ac:dyDescent="0.3">
      <c r="A956" s="6">
        <v>45726</v>
      </c>
      <c r="B956" s="1" t="s">
        <v>1140</v>
      </c>
      <c r="C956" s="1" t="s">
        <v>28</v>
      </c>
      <c r="D956" t="s">
        <v>34</v>
      </c>
      <c r="E956" t="s">
        <v>67</v>
      </c>
      <c r="F956" t="s">
        <v>17</v>
      </c>
      <c r="G956" t="s">
        <v>18</v>
      </c>
      <c r="H956" s="3">
        <v>6</v>
      </c>
      <c r="I956" s="3">
        <v>11220</v>
      </c>
      <c r="J956" s="3">
        <v>67320</v>
      </c>
      <c r="K956" s="3">
        <v>8500</v>
      </c>
      <c r="L956" s="3">
        <v>51000</v>
      </c>
      <c r="M956" s="3">
        <v>16320</v>
      </c>
      <c r="N956" s="4">
        <v>0.24242424242424243</v>
      </c>
    </row>
    <row r="957" spans="1:14" x14ac:dyDescent="0.3">
      <c r="A957" s="6">
        <v>45726</v>
      </c>
      <c r="B957" s="1" t="s">
        <v>1141</v>
      </c>
      <c r="C957" s="1" t="s">
        <v>27</v>
      </c>
      <c r="D957" t="s">
        <v>34</v>
      </c>
      <c r="E957" t="s">
        <v>249</v>
      </c>
      <c r="F957" t="s">
        <v>24</v>
      </c>
      <c r="G957" t="s">
        <v>25</v>
      </c>
      <c r="H957" s="3">
        <v>3</v>
      </c>
      <c r="I957" s="3">
        <v>3600</v>
      </c>
      <c r="J957" s="3">
        <v>10800</v>
      </c>
      <c r="K957" s="3">
        <v>2500</v>
      </c>
      <c r="L957" s="3">
        <v>7500</v>
      </c>
      <c r="M957" s="3">
        <v>3300</v>
      </c>
      <c r="N957" s="4">
        <v>0.30555555555555558</v>
      </c>
    </row>
    <row r="958" spans="1:14" x14ac:dyDescent="0.3">
      <c r="A958" s="6">
        <v>45726</v>
      </c>
      <c r="B958" s="1" t="s">
        <v>1142</v>
      </c>
      <c r="C958" s="1" t="s">
        <v>26</v>
      </c>
      <c r="D958" t="s">
        <v>35</v>
      </c>
      <c r="E958" t="s">
        <v>255</v>
      </c>
      <c r="F958" t="s">
        <v>14</v>
      </c>
      <c r="G958" t="s">
        <v>15</v>
      </c>
      <c r="H958" s="3">
        <v>7</v>
      </c>
      <c r="I958" s="3">
        <v>63900</v>
      </c>
      <c r="J958" s="3">
        <v>447300</v>
      </c>
      <c r="K958" s="3">
        <v>45000</v>
      </c>
      <c r="L958" s="3">
        <v>315000</v>
      </c>
      <c r="M958" s="3">
        <v>132300</v>
      </c>
      <c r="N958" s="4">
        <v>0.29577464788732394</v>
      </c>
    </row>
    <row r="959" spans="1:14" x14ac:dyDescent="0.3">
      <c r="A959" s="6">
        <v>45726</v>
      </c>
      <c r="B959" s="1" t="s">
        <v>1143</v>
      </c>
      <c r="C959" s="1" t="s">
        <v>29</v>
      </c>
      <c r="D959" t="s">
        <v>34</v>
      </c>
      <c r="E959" t="s">
        <v>216</v>
      </c>
      <c r="F959" t="s">
        <v>24</v>
      </c>
      <c r="G959" t="s">
        <v>25</v>
      </c>
      <c r="H959" s="3">
        <v>8</v>
      </c>
      <c r="I959" s="3">
        <v>3225</v>
      </c>
      <c r="J959" s="3">
        <v>25800</v>
      </c>
      <c r="K959" s="3">
        <v>2500</v>
      </c>
      <c r="L959" s="3">
        <v>20000</v>
      </c>
      <c r="M959" s="3">
        <v>5800</v>
      </c>
      <c r="N959" s="4">
        <v>0.22480620155038761</v>
      </c>
    </row>
    <row r="960" spans="1:14" x14ac:dyDescent="0.3">
      <c r="A960" s="6">
        <v>45726</v>
      </c>
      <c r="B960" s="1" t="s">
        <v>1144</v>
      </c>
      <c r="C960" s="1" t="s">
        <v>26</v>
      </c>
      <c r="D960" t="s">
        <v>30</v>
      </c>
      <c r="E960" t="s">
        <v>388</v>
      </c>
      <c r="F960" t="s">
        <v>21</v>
      </c>
      <c r="G960" t="s">
        <v>20</v>
      </c>
      <c r="H960" s="3">
        <v>9</v>
      </c>
      <c r="I960" s="3">
        <v>726</v>
      </c>
      <c r="J960" s="3">
        <v>6534</v>
      </c>
      <c r="K960" s="3">
        <v>600</v>
      </c>
      <c r="L960" s="3">
        <v>5400</v>
      </c>
      <c r="M960" s="3">
        <v>1134</v>
      </c>
      <c r="N960" s="4">
        <v>0.17355371900826447</v>
      </c>
    </row>
    <row r="961" spans="1:14" x14ac:dyDescent="0.3">
      <c r="A961" s="6">
        <v>45726</v>
      </c>
      <c r="B961" s="1" t="s">
        <v>1145</v>
      </c>
      <c r="C961" s="1" t="s">
        <v>29</v>
      </c>
      <c r="D961" t="s">
        <v>34</v>
      </c>
      <c r="E961" t="s">
        <v>120</v>
      </c>
      <c r="F961" t="s">
        <v>22</v>
      </c>
      <c r="G961" t="s">
        <v>18</v>
      </c>
      <c r="H961" s="3">
        <v>7</v>
      </c>
      <c r="I961" s="3">
        <v>8610</v>
      </c>
      <c r="J961" s="3">
        <v>60270</v>
      </c>
      <c r="K961" s="3">
        <v>7000</v>
      </c>
      <c r="L961" s="3">
        <v>49000</v>
      </c>
      <c r="M961" s="3">
        <v>11270</v>
      </c>
      <c r="N961" s="4">
        <v>0.18699186991869918</v>
      </c>
    </row>
    <row r="962" spans="1:14" x14ac:dyDescent="0.3">
      <c r="A962" s="6">
        <v>45726</v>
      </c>
      <c r="B962" s="1" t="s">
        <v>1146</v>
      </c>
      <c r="C962" s="1" t="s">
        <v>27</v>
      </c>
      <c r="D962" t="s">
        <v>35</v>
      </c>
      <c r="E962" t="s">
        <v>263</v>
      </c>
      <c r="F962" t="s">
        <v>19</v>
      </c>
      <c r="G962" t="s">
        <v>20</v>
      </c>
      <c r="H962" s="3">
        <v>1</v>
      </c>
      <c r="I962" s="3">
        <v>1152</v>
      </c>
      <c r="J962" s="3">
        <v>1152</v>
      </c>
      <c r="K962" s="3">
        <v>900</v>
      </c>
      <c r="L962" s="3">
        <v>900</v>
      </c>
      <c r="M962" s="3">
        <v>252</v>
      </c>
      <c r="N962" s="4">
        <v>0.21875</v>
      </c>
    </row>
    <row r="963" spans="1:14" x14ac:dyDescent="0.3">
      <c r="A963" s="6">
        <v>45726</v>
      </c>
      <c r="B963" s="1" t="s">
        <v>1147</v>
      </c>
      <c r="C963" s="1" t="s">
        <v>28</v>
      </c>
      <c r="D963" t="s">
        <v>35</v>
      </c>
      <c r="E963" t="s">
        <v>51</v>
      </c>
      <c r="F963" t="s">
        <v>24</v>
      </c>
      <c r="G963" t="s">
        <v>25</v>
      </c>
      <c r="H963" s="3">
        <v>4</v>
      </c>
      <c r="I963" s="3">
        <v>3350</v>
      </c>
      <c r="J963" s="3">
        <v>13400</v>
      </c>
      <c r="K963" s="3">
        <v>2500</v>
      </c>
      <c r="L963" s="3">
        <v>10000</v>
      </c>
      <c r="M963" s="3">
        <v>3400</v>
      </c>
      <c r="N963" s="4">
        <v>0.2537313432835821</v>
      </c>
    </row>
    <row r="964" spans="1:14" x14ac:dyDescent="0.3">
      <c r="A964" s="6">
        <v>45726</v>
      </c>
      <c r="B964" s="1" t="s">
        <v>1148</v>
      </c>
      <c r="C964" s="1" t="s">
        <v>27</v>
      </c>
      <c r="D964" t="s">
        <v>30</v>
      </c>
      <c r="E964" t="s">
        <v>157</v>
      </c>
      <c r="F964" t="s">
        <v>21</v>
      </c>
      <c r="G964" t="s">
        <v>20</v>
      </c>
      <c r="H964" s="3">
        <v>9</v>
      </c>
      <c r="I964" s="3">
        <v>827.99999999999989</v>
      </c>
      <c r="J964" s="3">
        <v>7451.9999999999991</v>
      </c>
      <c r="K964" s="3">
        <v>600</v>
      </c>
      <c r="L964" s="3">
        <v>5400</v>
      </c>
      <c r="M964" s="3">
        <v>2051.9999999999991</v>
      </c>
      <c r="N964" s="4">
        <v>0.2753623188405796</v>
      </c>
    </row>
    <row r="965" spans="1:14" x14ac:dyDescent="0.3">
      <c r="A965" s="6">
        <v>45726</v>
      </c>
      <c r="B965" s="1" t="s">
        <v>1149</v>
      </c>
      <c r="C965" s="1" t="s">
        <v>26</v>
      </c>
      <c r="D965" t="s">
        <v>32</v>
      </c>
      <c r="E965" t="s">
        <v>106</v>
      </c>
      <c r="F965" t="s">
        <v>23</v>
      </c>
      <c r="G965" t="s">
        <v>25</v>
      </c>
      <c r="H965" s="3">
        <v>9</v>
      </c>
      <c r="I965" s="3">
        <v>4448</v>
      </c>
      <c r="J965" s="3">
        <v>40032</v>
      </c>
      <c r="K965" s="3">
        <v>3200</v>
      </c>
      <c r="L965" s="3">
        <v>28800</v>
      </c>
      <c r="M965" s="3">
        <v>11232</v>
      </c>
      <c r="N965" s="4">
        <v>0.2805755395683453</v>
      </c>
    </row>
    <row r="966" spans="1:14" x14ac:dyDescent="0.3">
      <c r="A966" s="6">
        <v>45727</v>
      </c>
      <c r="B966" s="1" t="s">
        <v>1150</v>
      </c>
      <c r="C966" s="1" t="s">
        <v>29</v>
      </c>
      <c r="D966" t="s">
        <v>32</v>
      </c>
      <c r="E966" t="s">
        <v>67</v>
      </c>
      <c r="F966" t="s">
        <v>16</v>
      </c>
      <c r="G966" t="s">
        <v>15</v>
      </c>
      <c r="H966" s="3">
        <v>7</v>
      </c>
      <c r="I966" s="3">
        <v>48260</v>
      </c>
      <c r="J966" s="3">
        <v>337820</v>
      </c>
      <c r="K966" s="3">
        <v>38000</v>
      </c>
      <c r="L966" s="3">
        <v>266000</v>
      </c>
      <c r="M966" s="3">
        <v>71820</v>
      </c>
      <c r="N966" s="4">
        <v>0.2125984251968504</v>
      </c>
    </row>
    <row r="967" spans="1:14" x14ac:dyDescent="0.3">
      <c r="A967" s="6">
        <v>45727</v>
      </c>
      <c r="B967" s="1" t="s">
        <v>1151</v>
      </c>
      <c r="C967" s="1" t="s">
        <v>28</v>
      </c>
      <c r="D967" t="s">
        <v>32</v>
      </c>
      <c r="E967" t="s">
        <v>317</v>
      </c>
      <c r="F967" t="s">
        <v>14</v>
      </c>
      <c r="G967" t="s">
        <v>15</v>
      </c>
      <c r="H967" s="3">
        <v>5</v>
      </c>
      <c r="I967" s="3">
        <v>59400</v>
      </c>
      <c r="J967" s="3">
        <v>297000</v>
      </c>
      <c r="K967" s="3">
        <v>45000</v>
      </c>
      <c r="L967" s="3">
        <v>225000</v>
      </c>
      <c r="M967" s="3">
        <v>72000</v>
      </c>
      <c r="N967" s="4">
        <v>0.24242424242424243</v>
      </c>
    </row>
    <row r="968" spans="1:14" x14ac:dyDescent="0.3">
      <c r="A968" s="6">
        <v>45727</v>
      </c>
      <c r="B968" s="1" t="s">
        <v>1152</v>
      </c>
      <c r="C968" s="1" t="s">
        <v>28</v>
      </c>
      <c r="D968" t="s">
        <v>31</v>
      </c>
      <c r="E968" t="s">
        <v>538</v>
      </c>
      <c r="F968" t="s">
        <v>23</v>
      </c>
      <c r="G968" t="s">
        <v>25</v>
      </c>
      <c r="H968" s="3">
        <v>6</v>
      </c>
      <c r="I968" s="3">
        <v>4256</v>
      </c>
      <c r="J968" s="3">
        <v>25536</v>
      </c>
      <c r="K968" s="3">
        <v>3200</v>
      </c>
      <c r="L968" s="3">
        <v>19200</v>
      </c>
      <c r="M968" s="3">
        <v>6336</v>
      </c>
      <c r="N968" s="4">
        <v>0.24812030075187969</v>
      </c>
    </row>
    <row r="969" spans="1:14" x14ac:dyDescent="0.3">
      <c r="A969" s="6">
        <v>45727</v>
      </c>
      <c r="B969" s="1" t="s">
        <v>1153</v>
      </c>
      <c r="C969" s="1" t="s">
        <v>29</v>
      </c>
      <c r="D969" t="s">
        <v>35</v>
      </c>
      <c r="E969" t="s">
        <v>576</v>
      </c>
      <c r="F969" t="s">
        <v>23</v>
      </c>
      <c r="G969" t="s">
        <v>25</v>
      </c>
      <c r="H969" s="3">
        <v>8</v>
      </c>
      <c r="I969" s="3">
        <v>4480</v>
      </c>
      <c r="J969" s="3">
        <v>35840</v>
      </c>
      <c r="K969" s="3">
        <v>3200</v>
      </c>
      <c r="L969" s="3">
        <v>25600</v>
      </c>
      <c r="M969" s="3">
        <v>10240</v>
      </c>
      <c r="N969" s="4">
        <v>0.2857142857142857</v>
      </c>
    </row>
    <row r="970" spans="1:14" x14ac:dyDescent="0.3">
      <c r="A970" s="6">
        <v>45727</v>
      </c>
      <c r="B970" s="1" t="s">
        <v>1154</v>
      </c>
      <c r="C970" s="1" t="s">
        <v>29</v>
      </c>
      <c r="D970" t="s">
        <v>31</v>
      </c>
      <c r="E970" t="s">
        <v>508</v>
      </c>
      <c r="F970" t="s">
        <v>22</v>
      </c>
      <c r="G970" t="s">
        <v>18</v>
      </c>
      <c r="H970" s="3">
        <v>6</v>
      </c>
      <c r="I970" s="3">
        <v>9170</v>
      </c>
      <c r="J970" s="3">
        <v>55020</v>
      </c>
      <c r="K970" s="3">
        <v>7000</v>
      </c>
      <c r="L970" s="3">
        <v>42000</v>
      </c>
      <c r="M970" s="3">
        <v>13020</v>
      </c>
      <c r="N970" s="4">
        <v>0.23664122137404581</v>
      </c>
    </row>
    <row r="971" spans="1:14" x14ac:dyDescent="0.3">
      <c r="A971" s="6">
        <v>45727</v>
      </c>
      <c r="B971" s="1" t="s">
        <v>1155</v>
      </c>
      <c r="C971" s="1" t="s">
        <v>29</v>
      </c>
      <c r="D971" t="s">
        <v>33</v>
      </c>
      <c r="E971" t="s">
        <v>310</v>
      </c>
      <c r="F971" t="s">
        <v>23</v>
      </c>
      <c r="G971" t="s">
        <v>25</v>
      </c>
      <c r="H971" s="3">
        <v>5</v>
      </c>
      <c r="I971" s="3">
        <v>4640</v>
      </c>
      <c r="J971" s="3">
        <v>23200</v>
      </c>
      <c r="K971" s="3">
        <v>3200</v>
      </c>
      <c r="L971" s="3">
        <v>16000</v>
      </c>
      <c r="M971" s="3">
        <v>7200</v>
      </c>
      <c r="N971" s="4">
        <v>0.31034482758620691</v>
      </c>
    </row>
    <row r="972" spans="1:14" x14ac:dyDescent="0.3">
      <c r="A972" s="6">
        <v>45727</v>
      </c>
      <c r="B972" s="1" t="s">
        <v>1156</v>
      </c>
      <c r="C972" s="1" t="s">
        <v>28</v>
      </c>
      <c r="D972" t="s">
        <v>33</v>
      </c>
      <c r="E972" t="s">
        <v>189</v>
      </c>
      <c r="F972" t="s">
        <v>19</v>
      </c>
      <c r="G972" t="s">
        <v>20</v>
      </c>
      <c r="H972" s="3">
        <v>7</v>
      </c>
      <c r="I972" s="3">
        <v>1197</v>
      </c>
      <c r="J972" s="3">
        <v>8379</v>
      </c>
      <c r="K972" s="3">
        <v>900</v>
      </c>
      <c r="L972" s="3">
        <v>6300</v>
      </c>
      <c r="M972" s="3">
        <v>2079</v>
      </c>
      <c r="N972" s="4">
        <v>0.24812030075187969</v>
      </c>
    </row>
    <row r="973" spans="1:14" x14ac:dyDescent="0.3">
      <c r="A973" s="6">
        <v>45727</v>
      </c>
      <c r="B973" s="1" t="s">
        <v>1157</v>
      </c>
      <c r="C973" s="1" t="s">
        <v>27</v>
      </c>
      <c r="D973" t="s">
        <v>32</v>
      </c>
      <c r="E973" t="s">
        <v>139</v>
      </c>
      <c r="F973" t="s">
        <v>21</v>
      </c>
      <c r="G973" t="s">
        <v>20</v>
      </c>
      <c r="H973" s="3">
        <v>10</v>
      </c>
      <c r="I973" s="3">
        <v>780</v>
      </c>
      <c r="J973" s="3">
        <v>7800</v>
      </c>
      <c r="K973" s="3">
        <v>600</v>
      </c>
      <c r="L973" s="3">
        <v>6000</v>
      </c>
      <c r="M973" s="3">
        <v>1800</v>
      </c>
      <c r="N973" s="4">
        <v>0.23076923076923078</v>
      </c>
    </row>
    <row r="974" spans="1:14" x14ac:dyDescent="0.3">
      <c r="A974" s="6">
        <v>45727</v>
      </c>
      <c r="B974" s="1" t="s">
        <v>1158</v>
      </c>
      <c r="C974" s="1" t="s">
        <v>29</v>
      </c>
      <c r="D974" t="s">
        <v>34</v>
      </c>
      <c r="E974" t="s">
        <v>90</v>
      </c>
      <c r="F974" t="s">
        <v>16</v>
      </c>
      <c r="G974" t="s">
        <v>15</v>
      </c>
      <c r="H974" s="3">
        <v>8</v>
      </c>
      <c r="I974" s="3">
        <v>54340</v>
      </c>
      <c r="J974" s="3">
        <v>434720</v>
      </c>
      <c r="K974" s="3">
        <v>38000</v>
      </c>
      <c r="L974" s="3">
        <v>304000</v>
      </c>
      <c r="M974" s="3">
        <v>130720</v>
      </c>
      <c r="N974" s="4">
        <v>0.30069930069930068</v>
      </c>
    </row>
    <row r="975" spans="1:14" x14ac:dyDescent="0.3">
      <c r="A975" s="6">
        <v>45727</v>
      </c>
      <c r="B975" s="1" t="s">
        <v>1159</v>
      </c>
      <c r="C975" s="1" t="s">
        <v>29</v>
      </c>
      <c r="D975" t="s">
        <v>31</v>
      </c>
      <c r="E975" t="s">
        <v>407</v>
      </c>
      <c r="F975" t="s">
        <v>19</v>
      </c>
      <c r="G975" t="s">
        <v>20</v>
      </c>
      <c r="H975" s="3">
        <v>8</v>
      </c>
      <c r="I975" s="3">
        <v>1170</v>
      </c>
      <c r="J975" s="3">
        <v>9360</v>
      </c>
      <c r="K975" s="3">
        <v>900</v>
      </c>
      <c r="L975" s="3">
        <v>7200</v>
      </c>
      <c r="M975" s="3">
        <v>2160</v>
      </c>
      <c r="N975" s="4">
        <v>0.23076923076923078</v>
      </c>
    </row>
    <row r="976" spans="1:14" x14ac:dyDescent="0.3">
      <c r="A976" s="6">
        <v>45727</v>
      </c>
      <c r="B976" s="1" t="s">
        <v>1160</v>
      </c>
      <c r="C976" s="1" t="s">
        <v>26</v>
      </c>
      <c r="D976" t="s">
        <v>31</v>
      </c>
      <c r="E976" t="s">
        <v>369</v>
      </c>
      <c r="F976" t="s">
        <v>17</v>
      </c>
      <c r="G976" t="s">
        <v>18</v>
      </c>
      <c r="H976" s="3">
        <v>6</v>
      </c>
      <c r="I976" s="3">
        <v>10965</v>
      </c>
      <c r="J976" s="3">
        <v>65790</v>
      </c>
      <c r="K976" s="3">
        <v>8500</v>
      </c>
      <c r="L976" s="3">
        <v>51000</v>
      </c>
      <c r="M976" s="3">
        <v>14790</v>
      </c>
      <c r="N976" s="4">
        <v>0.22480620155038761</v>
      </c>
    </row>
    <row r="977" spans="1:14" x14ac:dyDescent="0.3">
      <c r="A977" s="6">
        <v>45727</v>
      </c>
      <c r="B977" s="1" t="s">
        <v>1161</v>
      </c>
      <c r="C977" s="1" t="s">
        <v>28</v>
      </c>
      <c r="D977" t="s">
        <v>35</v>
      </c>
      <c r="E977" t="s">
        <v>220</v>
      </c>
      <c r="F977" t="s">
        <v>19</v>
      </c>
      <c r="G977" t="s">
        <v>20</v>
      </c>
      <c r="H977" s="3">
        <v>9</v>
      </c>
      <c r="I977" s="3">
        <v>1134</v>
      </c>
      <c r="J977" s="3">
        <v>10206</v>
      </c>
      <c r="K977" s="3">
        <v>900</v>
      </c>
      <c r="L977" s="3">
        <v>8100</v>
      </c>
      <c r="M977" s="3">
        <v>2106</v>
      </c>
      <c r="N977" s="4">
        <v>0.20634920634920634</v>
      </c>
    </row>
    <row r="978" spans="1:14" x14ac:dyDescent="0.3">
      <c r="A978" s="6">
        <v>45727</v>
      </c>
      <c r="B978" s="1" t="s">
        <v>1162</v>
      </c>
      <c r="C978" s="1" t="s">
        <v>28</v>
      </c>
      <c r="D978" t="s">
        <v>31</v>
      </c>
      <c r="E978" t="s">
        <v>129</v>
      </c>
      <c r="F978" t="s">
        <v>16</v>
      </c>
      <c r="G978" t="s">
        <v>15</v>
      </c>
      <c r="H978" s="3">
        <v>7</v>
      </c>
      <c r="I978" s="3">
        <v>52060.000000000007</v>
      </c>
      <c r="J978" s="3">
        <v>364420.00000000006</v>
      </c>
      <c r="K978" s="3">
        <v>38000</v>
      </c>
      <c r="L978" s="3">
        <v>266000</v>
      </c>
      <c r="M978" s="3">
        <v>98420.000000000058</v>
      </c>
      <c r="N978" s="4">
        <v>0.27007299270073004</v>
      </c>
    </row>
    <row r="979" spans="1:14" x14ac:dyDescent="0.3">
      <c r="A979" s="6">
        <v>45727</v>
      </c>
      <c r="B979" s="1" t="s">
        <v>1163</v>
      </c>
      <c r="C979" s="1" t="s">
        <v>27</v>
      </c>
      <c r="D979" t="s">
        <v>34</v>
      </c>
      <c r="E979" t="s">
        <v>302</v>
      </c>
      <c r="F979" t="s">
        <v>22</v>
      </c>
      <c r="G979" t="s">
        <v>18</v>
      </c>
      <c r="H979" s="3">
        <v>9</v>
      </c>
      <c r="I979" s="3">
        <v>9940</v>
      </c>
      <c r="J979" s="3">
        <v>89460</v>
      </c>
      <c r="K979" s="3">
        <v>7000</v>
      </c>
      <c r="L979" s="3">
        <v>63000</v>
      </c>
      <c r="M979" s="3">
        <v>26460</v>
      </c>
      <c r="N979" s="4">
        <v>0.29577464788732394</v>
      </c>
    </row>
    <row r="980" spans="1:14" x14ac:dyDescent="0.3">
      <c r="A980" s="6">
        <v>45728</v>
      </c>
      <c r="B980" s="1" t="s">
        <v>1164</v>
      </c>
      <c r="C980" s="1" t="s">
        <v>26</v>
      </c>
      <c r="D980" t="s">
        <v>31</v>
      </c>
      <c r="E980" t="s">
        <v>365</v>
      </c>
      <c r="F980" t="s">
        <v>14</v>
      </c>
      <c r="G980" t="s">
        <v>15</v>
      </c>
      <c r="H980" s="3">
        <v>9</v>
      </c>
      <c r="I980" s="3">
        <v>62999.999999999993</v>
      </c>
      <c r="J980" s="3">
        <v>566999.99999999988</v>
      </c>
      <c r="K980" s="3">
        <v>45000</v>
      </c>
      <c r="L980" s="3">
        <v>405000</v>
      </c>
      <c r="M980" s="3">
        <v>161999.99999999988</v>
      </c>
      <c r="N980" s="4">
        <v>0.28571428571428559</v>
      </c>
    </row>
    <row r="981" spans="1:14" x14ac:dyDescent="0.3">
      <c r="A981" s="6">
        <v>45728</v>
      </c>
      <c r="B981" s="1" t="s">
        <v>1165</v>
      </c>
      <c r="C981" s="1" t="s">
        <v>26</v>
      </c>
      <c r="D981" t="s">
        <v>32</v>
      </c>
      <c r="E981" t="s">
        <v>153</v>
      </c>
      <c r="F981" t="s">
        <v>16</v>
      </c>
      <c r="G981" t="s">
        <v>15</v>
      </c>
      <c r="H981" s="3">
        <v>9</v>
      </c>
      <c r="I981" s="3">
        <v>52439.999999999993</v>
      </c>
      <c r="J981" s="3">
        <v>471959.99999999994</v>
      </c>
      <c r="K981" s="3">
        <v>38000</v>
      </c>
      <c r="L981" s="3">
        <v>342000</v>
      </c>
      <c r="M981" s="3">
        <v>129959.99999999994</v>
      </c>
      <c r="N981" s="4">
        <v>0.2753623188405796</v>
      </c>
    </row>
    <row r="982" spans="1:14" x14ac:dyDescent="0.3">
      <c r="A982" s="6">
        <v>45728</v>
      </c>
      <c r="B982" s="1" t="s">
        <v>1166</v>
      </c>
      <c r="C982" s="1" t="s">
        <v>28</v>
      </c>
      <c r="D982" t="s">
        <v>34</v>
      </c>
      <c r="E982" t="s">
        <v>94</v>
      </c>
      <c r="F982" t="s">
        <v>19</v>
      </c>
      <c r="G982" t="s">
        <v>20</v>
      </c>
      <c r="H982" s="3">
        <v>9</v>
      </c>
      <c r="I982" s="3">
        <v>1089</v>
      </c>
      <c r="J982" s="3">
        <v>9801</v>
      </c>
      <c r="K982" s="3">
        <v>900</v>
      </c>
      <c r="L982" s="3">
        <v>8100</v>
      </c>
      <c r="M982" s="3">
        <v>1701</v>
      </c>
      <c r="N982" s="4">
        <v>0.17355371900826447</v>
      </c>
    </row>
    <row r="983" spans="1:14" x14ac:dyDescent="0.3">
      <c r="A983" s="6">
        <v>45728</v>
      </c>
      <c r="B983" s="1" t="s">
        <v>1167</v>
      </c>
      <c r="C983" s="1" t="s">
        <v>27</v>
      </c>
      <c r="D983" t="s">
        <v>31</v>
      </c>
      <c r="E983" t="s">
        <v>147</v>
      </c>
      <c r="F983" t="s">
        <v>22</v>
      </c>
      <c r="G983" t="s">
        <v>18</v>
      </c>
      <c r="H983" s="3">
        <v>5</v>
      </c>
      <c r="I983" s="3">
        <v>9870</v>
      </c>
      <c r="J983" s="3">
        <v>49350</v>
      </c>
      <c r="K983" s="3">
        <v>7000</v>
      </c>
      <c r="L983" s="3">
        <v>35000</v>
      </c>
      <c r="M983" s="3">
        <v>14350</v>
      </c>
      <c r="N983" s="4">
        <v>0.29078014184397161</v>
      </c>
    </row>
    <row r="984" spans="1:14" x14ac:dyDescent="0.3">
      <c r="A984" s="6">
        <v>45728</v>
      </c>
      <c r="B984" s="1" t="s">
        <v>1168</v>
      </c>
      <c r="C984" s="1" t="s">
        <v>27</v>
      </c>
      <c r="D984" t="s">
        <v>31</v>
      </c>
      <c r="E984" t="s">
        <v>283</v>
      </c>
      <c r="F984" t="s">
        <v>23</v>
      </c>
      <c r="G984" t="s">
        <v>25</v>
      </c>
      <c r="H984" s="3">
        <v>4</v>
      </c>
      <c r="I984" s="3">
        <v>4160</v>
      </c>
      <c r="J984" s="3">
        <v>16640</v>
      </c>
      <c r="K984" s="3">
        <v>3200</v>
      </c>
      <c r="L984" s="3">
        <v>12800</v>
      </c>
      <c r="M984" s="3">
        <v>3840</v>
      </c>
      <c r="N984" s="4">
        <v>0.23076923076923078</v>
      </c>
    </row>
    <row r="985" spans="1:14" x14ac:dyDescent="0.3">
      <c r="A985" s="6">
        <v>45728</v>
      </c>
      <c r="B985" s="1" t="s">
        <v>1169</v>
      </c>
      <c r="C985" s="1" t="s">
        <v>29</v>
      </c>
      <c r="D985" t="s">
        <v>33</v>
      </c>
      <c r="E985" t="s">
        <v>361</v>
      </c>
      <c r="F985" t="s">
        <v>23</v>
      </c>
      <c r="G985" t="s">
        <v>25</v>
      </c>
      <c r="H985" s="3">
        <v>6</v>
      </c>
      <c r="I985" s="3">
        <v>4128</v>
      </c>
      <c r="J985" s="3">
        <v>24768</v>
      </c>
      <c r="K985" s="3">
        <v>3200</v>
      </c>
      <c r="L985" s="3">
        <v>19200</v>
      </c>
      <c r="M985" s="3">
        <v>5568</v>
      </c>
      <c r="N985" s="4">
        <v>0.22480620155038761</v>
      </c>
    </row>
    <row r="986" spans="1:14" x14ac:dyDescent="0.3">
      <c r="A986" s="6">
        <v>45728</v>
      </c>
      <c r="B986" s="1" t="s">
        <v>1170</v>
      </c>
      <c r="C986" s="1" t="s">
        <v>28</v>
      </c>
      <c r="D986" t="s">
        <v>31</v>
      </c>
      <c r="E986" t="s">
        <v>363</v>
      </c>
      <c r="F986" t="s">
        <v>21</v>
      </c>
      <c r="G986" t="s">
        <v>20</v>
      </c>
      <c r="H986" s="3">
        <v>8</v>
      </c>
      <c r="I986" s="3">
        <v>840</v>
      </c>
      <c r="J986" s="3">
        <v>6720</v>
      </c>
      <c r="K986" s="3">
        <v>600</v>
      </c>
      <c r="L986" s="3">
        <v>4800</v>
      </c>
      <c r="M986" s="3">
        <v>1920</v>
      </c>
      <c r="N986" s="4">
        <v>0.2857142857142857</v>
      </c>
    </row>
    <row r="987" spans="1:14" x14ac:dyDescent="0.3">
      <c r="A987" s="6">
        <v>45728</v>
      </c>
      <c r="B987" s="1" t="s">
        <v>1171</v>
      </c>
      <c r="C987" s="1" t="s">
        <v>26</v>
      </c>
      <c r="D987" t="s">
        <v>33</v>
      </c>
      <c r="E987" t="s">
        <v>453</v>
      </c>
      <c r="F987" t="s">
        <v>24</v>
      </c>
      <c r="G987" t="s">
        <v>25</v>
      </c>
      <c r="H987" s="3">
        <v>6</v>
      </c>
      <c r="I987" s="3">
        <v>3025</v>
      </c>
      <c r="J987" s="3">
        <v>18150</v>
      </c>
      <c r="K987" s="3">
        <v>2500</v>
      </c>
      <c r="L987" s="3">
        <v>15000</v>
      </c>
      <c r="M987" s="3">
        <v>3150</v>
      </c>
      <c r="N987" s="4">
        <v>0.17355371900826447</v>
      </c>
    </row>
    <row r="988" spans="1:14" x14ac:dyDescent="0.3">
      <c r="A988" s="6">
        <v>45728</v>
      </c>
      <c r="B988" s="1" t="s">
        <v>1172</v>
      </c>
      <c r="C988" s="1" t="s">
        <v>29</v>
      </c>
      <c r="D988" t="s">
        <v>35</v>
      </c>
      <c r="E988" t="s">
        <v>369</v>
      </c>
      <c r="F988" t="s">
        <v>23</v>
      </c>
      <c r="G988" t="s">
        <v>25</v>
      </c>
      <c r="H988" s="3">
        <v>8</v>
      </c>
      <c r="I988" s="3">
        <v>4224</v>
      </c>
      <c r="J988" s="3">
        <v>33792</v>
      </c>
      <c r="K988" s="3">
        <v>3200</v>
      </c>
      <c r="L988" s="3">
        <v>25600</v>
      </c>
      <c r="M988" s="3">
        <v>8192</v>
      </c>
      <c r="N988" s="4">
        <v>0.24242424242424243</v>
      </c>
    </row>
    <row r="989" spans="1:14" x14ac:dyDescent="0.3">
      <c r="A989" s="6">
        <v>45728</v>
      </c>
      <c r="B989" s="1" t="s">
        <v>1173</v>
      </c>
      <c r="C989" s="1" t="s">
        <v>26</v>
      </c>
      <c r="D989" t="s">
        <v>32</v>
      </c>
      <c r="E989" t="s">
        <v>359</v>
      </c>
      <c r="F989" t="s">
        <v>22</v>
      </c>
      <c r="G989" t="s">
        <v>18</v>
      </c>
      <c r="H989" s="3">
        <v>1</v>
      </c>
      <c r="I989" s="3">
        <v>9240</v>
      </c>
      <c r="J989" s="3">
        <v>9240</v>
      </c>
      <c r="K989" s="3">
        <v>7000</v>
      </c>
      <c r="L989" s="3">
        <v>7000</v>
      </c>
      <c r="M989" s="3">
        <v>2240</v>
      </c>
      <c r="N989" s="4">
        <v>0.24242424242424243</v>
      </c>
    </row>
    <row r="990" spans="1:14" x14ac:dyDescent="0.3">
      <c r="A990" s="6">
        <v>45728</v>
      </c>
      <c r="B990" s="1" t="s">
        <v>1174</v>
      </c>
      <c r="C990" s="1" t="s">
        <v>29</v>
      </c>
      <c r="D990" t="s">
        <v>32</v>
      </c>
      <c r="E990" t="s">
        <v>321</v>
      </c>
      <c r="F990" t="s">
        <v>23</v>
      </c>
      <c r="G990" t="s">
        <v>25</v>
      </c>
      <c r="H990" s="3">
        <v>1</v>
      </c>
      <c r="I990" s="3">
        <v>4352</v>
      </c>
      <c r="J990" s="3">
        <v>4352</v>
      </c>
      <c r="K990" s="3">
        <v>3200</v>
      </c>
      <c r="L990" s="3">
        <v>3200</v>
      </c>
      <c r="M990" s="3">
        <v>1152</v>
      </c>
      <c r="N990" s="4">
        <v>0.26470588235294118</v>
      </c>
    </row>
    <row r="991" spans="1:14" x14ac:dyDescent="0.3">
      <c r="A991" s="6">
        <v>45728</v>
      </c>
      <c r="B991" s="1" t="s">
        <v>1175</v>
      </c>
      <c r="C991" s="1" t="s">
        <v>26</v>
      </c>
      <c r="D991" t="s">
        <v>34</v>
      </c>
      <c r="E991" t="s">
        <v>157</v>
      </c>
      <c r="F991" t="s">
        <v>19</v>
      </c>
      <c r="G991" t="s">
        <v>20</v>
      </c>
      <c r="H991" s="3">
        <v>1</v>
      </c>
      <c r="I991" s="3">
        <v>1251</v>
      </c>
      <c r="J991" s="3">
        <v>1251</v>
      </c>
      <c r="K991" s="3">
        <v>900</v>
      </c>
      <c r="L991" s="3">
        <v>900</v>
      </c>
      <c r="M991" s="3">
        <v>351</v>
      </c>
      <c r="N991" s="4">
        <v>0.2805755395683453</v>
      </c>
    </row>
    <row r="992" spans="1:14" x14ac:dyDescent="0.3">
      <c r="A992" s="6">
        <v>45728</v>
      </c>
      <c r="B992" s="1" t="s">
        <v>1176</v>
      </c>
      <c r="C992" s="1" t="s">
        <v>27</v>
      </c>
      <c r="D992" t="s">
        <v>32</v>
      </c>
      <c r="E992" t="s">
        <v>427</v>
      </c>
      <c r="F992" t="s">
        <v>21</v>
      </c>
      <c r="G992" t="s">
        <v>20</v>
      </c>
      <c r="H992" s="3">
        <v>9</v>
      </c>
      <c r="I992" s="3">
        <v>840</v>
      </c>
      <c r="J992" s="3">
        <v>7560</v>
      </c>
      <c r="K992" s="3">
        <v>600</v>
      </c>
      <c r="L992" s="3">
        <v>5400</v>
      </c>
      <c r="M992" s="3">
        <v>2160</v>
      </c>
      <c r="N992" s="4">
        <v>0.2857142857142857</v>
      </c>
    </row>
    <row r="993" spans="1:14" x14ac:dyDescent="0.3">
      <c r="A993" s="6">
        <v>45728</v>
      </c>
      <c r="B993" s="1" t="s">
        <v>1177</v>
      </c>
      <c r="C993" s="1" t="s">
        <v>26</v>
      </c>
      <c r="D993" t="s">
        <v>35</v>
      </c>
      <c r="E993" t="s">
        <v>184</v>
      </c>
      <c r="F993" t="s">
        <v>22</v>
      </c>
      <c r="G993" t="s">
        <v>18</v>
      </c>
      <c r="H993" s="3">
        <v>10</v>
      </c>
      <c r="I993" s="3">
        <v>9030</v>
      </c>
      <c r="J993" s="3">
        <v>90300</v>
      </c>
      <c r="K993" s="3">
        <v>7000</v>
      </c>
      <c r="L993" s="3">
        <v>70000</v>
      </c>
      <c r="M993" s="3">
        <v>20300</v>
      </c>
      <c r="N993" s="4">
        <v>0.22480620155038761</v>
      </c>
    </row>
    <row r="994" spans="1:14" x14ac:dyDescent="0.3">
      <c r="A994" s="6">
        <v>45729</v>
      </c>
      <c r="B994" s="1" t="s">
        <v>1178</v>
      </c>
      <c r="C994" s="1" t="s">
        <v>29</v>
      </c>
      <c r="D994" t="s">
        <v>34</v>
      </c>
      <c r="E994" t="s">
        <v>142</v>
      </c>
      <c r="F994" t="s">
        <v>14</v>
      </c>
      <c r="G994" t="s">
        <v>15</v>
      </c>
      <c r="H994" s="3">
        <v>10</v>
      </c>
      <c r="I994" s="3">
        <v>62099.999999999993</v>
      </c>
      <c r="J994" s="3">
        <v>620999.99999999988</v>
      </c>
      <c r="K994" s="3">
        <v>45000</v>
      </c>
      <c r="L994" s="3">
        <v>450000</v>
      </c>
      <c r="M994" s="3">
        <v>170999.99999999988</v>
      </c>
      <c r="N994" s="4">
        <v>0.2753623188405796</v>
      </c>
    </row>
    <row r="995" spans="1:14" x14ac:dyDescent="0.3">
      <c r="A995" s="6">
        <v>45729</v>
      </c>
      <c r="B995" s="1" t="s">
        <v>1179</v>
      </c>
      <c r="C995" s="1" t="s">
        <v>26</v>
      </c>
      <c r="D995" t="s">
        <v>34</v>
      </c>
      <c r="E995" t="s">
        <v>204</v>
      </c>
      <c r="F995" t="s">
        <v>21</v>
      </c>
      <c r="G995" t="s">
        <v>20</v>
      </c>
      <c r="H995" s="3">
        <v>8</v>
      </c>
      <c r="I995" s="3">
        <v>774</v>
      </c>
      <c r="J995" s="3">
        <v>6192</v>
      </c>
      <c r="K995" s="3">
        <v>600</v>
      </c>
      <c r="L995" s="3">
        <v>4800</v>
      </c>
      <c r="M995" s="3">
        <v>1392</v>
      </c>
      <c r="N995" s="4">
        <v>0.22480620155038761</v>
      </c>
    </row>
    <row r="996" spans="1:14" x14ac:dyDescent="0.3">
      <c r="A996" s="6">
        <v>45729</v>
      </c>
      <c r="B996" s="1" t="s">
        <v>1180</v>
      </c>
      <c r="C996" s="1" t="s">
        <v>27</v>
      </c>
      <c r="D996" t="s">
        <v>34</v>
      </c>
      <c r="E996" t="s">
        <v>411</v>
      </c>
      <c r="F996" t="s">
        <v>23</v>
      </c>
      <c r="G996" t="s">
        <v>25</v>
      </c>
      <c r="H996" s="3">
        <v>7</v>
      </c>
      <c r="I996" s="3">
        <v>3872</v>
      </c>
      <c r="J996" s="3">
        <v>27104</v>
      </c>
      <c r="K996" s="3">
        <v>3200</v>
      </c>
      <c r="L996" s="3">
        <v>22400</v>
      </c>
      <c r="M996" s="3">
        <v>4704</v>
      </c>
      <c r="N996" s="4">
        <v>0.17355371900826447</v>
      </c>
    </row>
    <row r="997" spans="1:14" x14ac:dyDescent="0.3">
      <c r="A997" s="6">
        <v>45729</v>
      </c>
      <c r="B997" s="1" t="s">
        <v>1181</v>
      </c>
      <c r="C997" s="1" t="s">
        <v>28</v>
      </c>
      <c r="D997" t="s">
        <v>32</v>
      </c>
      <c r="E997" t="s">
        <v>273</v>
      </c>
      <c r="F997" t="s">
        <v>22</v>
      </c>
      <c r="G997" t="s">
        <v>18</v>
      </c>
      <c r="H997" s="3">
        <v>5</v>
      </c>
      <c r="I997" s="3">
        <v>8610</v>
      </c>
      <c r="J997" s="3">
        <v>43050</v>
      </c>
      <c r="K997" s="3">
        <v>7000</v>
      </c>
      <c r="L997" s="3">
        <v>35000</v>
      </c>
      <c r="M997" s="3">
        <v>8050</v>
      </c>
      <c r="N997" s="4">
        <v>0.18699186991869918</v>
      </c>
    </row>
    <row r="998" spans="1:14" x14ac:dyDescent="0.3">
      <c r="A998" s="6">
        <v>45729</v>
      </c>
      <c r="B998" s="1" t="s">
        <v>1182</v>
      </c>
      <c r="C998" s="1" t="s">
        <v>28</v>
      </c>
      <c r="D998" t="s">
        <v>33</v>
      </c>
      <c r="E998" t="s">
        <v>342</v>
      </c>
      <c r="F998" t="s">
        <v>22</v>
      </c>
      <c r="G998" t="s">
        <v>18</v>
      </c>
      <c r="H998" s="3">
        <v>10</v>
      </c>
      <c r="I998" s="3">
        <v>9030</v>
      </c>
      <c r="J998" s="3">
        <v>90300</v>
      </c>
      <c r="K998" s="3">
        <v>7000</v>
      </c>
      <c r="L998" s="3">
        <v>70000</v>
      </c>
      <c r="M998" s="3">
        <v>20300</v>
      </c>
      <c r="N998" s="4">
        <v>0.22480620155038761</v>
      </c>
    </row>
    <row r="999" spans="1:14" x14ac:dyDescent="0.3">
      <c r="A999" s="6">
        <v>45729</v>
      </c>
      <c r="B999" s="1" t="s">
        <v>1183</v>
      </c>
      <c r="C999" s="1" t="s">
        <v>29</v>
      </c>
      <c r="D999" t="s">
        <v>31</v>
      </c>
      <c r="E999" t="s">
        <v>319</v>
      </c>
      <c r="F999" t="s">
        <v>22</v>
      </c>
      <c r="G999" t="s">
        <v>18</v>
      </c>
      <c r="H999" s="3">
        <v>5</v>
      </c>
      <c r="I999" s="3">
        <v>9520</v>
      </c>
      <c r="J999" s="3">
        <v>47600</v>
      </c>
      <c r="K999" s="3">
        <v>7000</v>
      </c>
      <c r="L999" s="3">
        <v>35000</v>
      </c>
      <c r="M999" s="3">
        <v>12600</v>
      </c>
      <c r="N999" s="4">
        <v>0.26470588235294118</v>
      </c>
    </row>
    <row r="1000" spans="1:14" x14ac:dyDescent="0.3">
      <c r="A1000" s="6">
        <v>45729</v>
      </c>
      <c r="B1000" s="1" t="s">
        <v>1184</v>
      </c>
      <c r="C1000" s="1" t="s">
        <v>28</v>
      </c>
      <c r="D1000" t="s">
        <v>31</v>
      </c>
      <c r="E1000" t="s">
        <v>381</v>
      </c>
      <c r="F1000" t="s">
        <v>24</v>
      </c>
      <c r="G1000" t="s">
        <v>25</v>
      </c>
      <c r="H1000" s="3">
        <v>10</v>
      </c>
      <c r="I1000" s="3">
        <v>3525</v>
      </c>
      <c r="J1000" s="3">
        <v>35250</v>
      </c>
      <c r="K1000" s="3">
        <v>2500</v>
      </c>
      <c r="L1000" s="3">
        <v>25000</v>
      </c>
      <c r="M1000" s="3">
        <v>10250</v>
      </c>
      <c r="N1000" s="4">
        <v>0.29078014184397161</v>
      </c>
    </row>
    <row r="1001" spans="1:14" x14ac:dyDescent="0.3">
      <c r="A1001" s="6">
        <v>45729</v>
      </c>
      <c r="B1001" s="1" t="s">
        <v>1185</v>
      </c>
      <c r="C1001" s="1" t="s">
        <v>29</v>
      </c>
      <c r="D1001" t="s">
        <v>30</v>
      </c>
      <c r="E1001" t="s">
        <v>283</v>
      </c>
      <c r="F1001" t="s">
        <v>22</v>
      </c>
      <c r="G1001" t="s">
        <v>18</v>
      </c>
      <c r="H1001" s="3">
        <v>9</v>
      </c>
      <c r="I1001" s="3">
        <v>9450</v>
      </c>
      <c r="J1001" s="3">
        <v>85050</v>
      </c>
      <c r="K1001" s="3">
        <v>7000</v>
      </c>
      <c r="L1001" s="3">
        <v>63000</v>
      </c>
      <c r="M1001" s="3">
        <v>22050</v>
      </c>
      <c r="N1001" s="4">
        <v>0.25925925925925924</v>
      </c>
    </row>
    <row r="1002" spans="1:14" x14ac:dyDescent="0.3">
      <c r="A1002" s="6">
        <v>45729</v>
      </c>
      <c r="B1002" s="1" t="s">
        <v>1186</v>
      </c>
      <c r="C1002" s="1" t="s">
        <v>29</v>
      </c>
      <c r="D1002" t="s">
        <v>33</v>
      </c>
      <c r="E1002" t="s">
        <v>436</v>
      </c>
      <c r="F1002" t="s">
        <v>16</v>
      </c>
      <c r="G1002" t="s">
        <v>15</v>
      </c>
      <c r="H1002" s="3">
        <v>8</v>
      </c>
      <c r="I1002" s="3">
        <v>53580</v>
      </c>
      <c r="J1002" s="3">
        <v>428640</v>
      </c>
      <c r="K1002" s="3">
        <v>38000</v>
      </c>
      <c r="L1002" s="3">
        <v>304000</v>
      </c>
      <c r="M1002" s="3">
        <v>124640</v>
      </c>
      <c r="N1002" s="4">
        <v>0.29078014184397161</v>
      </c>
    </row>
    <row r="1003" spans="1:14" x14ac:dyDescent="0.3">
      <c r="A1003" s="6">
        <v>45729</v>
      </c>
      <c r="B1003" s="1" t="s">
        <v>1187</v>
      </c>
      <c r="C1003" s="1" t="s">
        <v>26</v>
      </c>
      <c r="D1003" t="s">
        <v>35</v>
      </c>
      <c r="E1003" t="s">
        <v>369</v>
      </c>
      <c r="F1003" t="s">
        <v>16</v>
      </c>
      <c r="G1003" t="s">
        <v>15</v>
      </c>
      <c r="H1003" s="3">
        <v>7</v>
      </c>
      <c r="I1003" s="3">
        <v>48260</v>
      </c>
      <c r="J1003" s="3">
        <v>337820</v>
      </c>
      <c r="K1003" s="3">
        <v>38000</v>
      </c>
      <c r="L1003" s="3">
        <v>266000</v>
      </c>
      <c r="M1003" s="3">
        <v>71820</v>
      </c>
      <c r="N1003" s="4">
        <v>0.2125984251968504</v>
      </c>
    </row>
    <row r="1004" spans="1:14" x14ac:dyDescent="0.3">
      <c r="A1004" s="6">
        <v>45729</v>
      </c>
      <c r="B1004" s="1" t="s">
        <v>1188</v>
      </c>
      <c r="C1004" s="1" t="s">
        <v>29</v>
      </c>
      <c r="D1004" t="s">
        <v>33</v>
      </c>
      <c r="E1004" t="s">
        <v>521</v>
      </c>
      <c r="F1004" t="s">
        <v>19</v>
      </c>
      <c r="G1004" t="s">
        <v>20</v>
      </c>
      <c r="H1004" s="3">
        <v>1</v>
      </c>
      <c r="I1004" s="3">
        <v>1233</v>
      </c>
      <c r="J1004" s="3">
        <v>1233</v>
      </c>
      <c r="K1004" s="3">
        <v>900</v>
      </c>
      <c r="L1004" s="3">
        <v>900</v>
      </c>
      <c r="M1004" s="3">
        <v>333</v>
      </c>
      <c r="N1004" s="4">
        <v>0.27007299270072993</v>
      </c>
    </row>
    <row r="1005" spans="1:14" x14ac:dyDescent="0.3">
      <c r="A1005" s="6">
        <v>45729</v>
      </c>
      <c r="B1005" s="1" t="s">
        <v>1189</v>
      </c>
      <c r="C1005" s="1" t="s">
        <v>28</v>
      </c>
      <c r="D1005" t="s">
        <v>31</v>
      </c>
      <c r="E1005" t="s">
        <v>196</v>
      </c>
      <c r="F1005" t="s">
        <v>22</v>
      </c>
      <c r="G1005" t="s">
        <v>18</v>
      </c>
      <c r="H1005" s="3">
        <v>1</v>
      </c>
      <c r="I1005" s="3">
        <v>9450</v>
      </c>
      <c r="J1005" s="3">
        <v>9450</v>
      </c>
      <c r="K1005" s="3">
        <v>7000</v>
      </c>
      <c r="L1005" s="3">
        <v>7000</v>
      </c>
      <c r="M1005" s="3">
        <v>2450</v>
      </c>
      <c r="N1005" s="4">
        <v>0.25925925925925924</v>
      </c>
    </row>
    <row r="1006" spans="1:14" x14ac:dyDescent="0.3">
      <c r="A1006" s="6">
        <v>45729</v>
      </c>
      <c r="B1006" s="1" t="s">
        <v>1190</v>
      </c>
      <c r="C1006" s="1" t="s">
        <v>26</v>
      </c>
      <c r="D1006" t="s">
        <v>32</v>
      </c>
      <c r="E1006" t="s">
        <v>521</v>
      </c>
      <c r="F1006" t="s">
        <v>24</v>
      </c>
      <c r="G1006" t="s">
        <v>25</v>
      </c>
      <c r="H1006" s="3">
        <v>2</v>
      </c>
      <c r="I1006" s="3">
        <v>3125</v>
      </c>
      <c r="J1006" s="3">
        <v>6250</v>
      </c>
      <c r="K1006" s="3">
        <v>2500</v>
      </c>
      <c r="L1006" s="3">
        <v>5000</v>
      </c>
      <c r="M1006" s="3">
        <v>1250</v>
      </c>
      <c r="N1006" s="4">
        <v>0.2</v>
      </c>
    </row>
    <row r="1007" spans="1:14" x14ac:dyDescent="0.3">
      <c r="A1007" s="6">
        <v>45729</v>
      </c>
      <c r="B1007" s="1" t="s">
        <v>1191</v>
      </c>
      <c r="C1007" s="1" t="s">
        <v>26</v>
      </c>
      <c r="D1007" t="s">
        <v>35</v>
      </c>
      <c r="E1007" t="s">
        <v>129</v>
      </c>
      <c r="F1007" t="s">
        <v>17</v>
      </c>
      <c r="G1007" t="s">
        <v>18</v>
      </c>
      <c r="H1007" s="3">
        <v>7</v>
      </c>
      <c r="I1007" s="3">
        <v>11985</v>
      </c>
      <c r="J1007" s="3">
        <v>83895</v>
      </c>
      <c r="K1007" s="3">
        <v>8500</v>
      </c>
      <c r="L1007" s="3">
        <v>59500</v>
      </c>
      <c r="M1007" s="3">
        <v>24395</v>
      </c>
      <c r="N1007" s="4">
        <v>0.29078014184397161</v>
      </c>
    </row>
    <row r="1008" spans="1:14" x14ac:dyDescent="0.3">
      <c r="A1008" s="6">
        <v>45730</v>
      </c>
      <c r="B1008" s="1" t="s">
        <v>1192</v>
      </c>
      <c r="C1008" s="1" t="s">
        <v>29</v>
      </c>
      <c r="D1008" t="s">
        <v>33</v>
      </c>
      <c r="E1008" t="s">
        <v>78</v>
      </c>
      <c r="F1008" t="s">
        <v>23</v>
      </c>
      <c r="G1008" t="s">
        <v>25</v>
      </c>
      <c r="H1008" s="3">
        <v>4</v>
      </c>
      <c r="I1008" s="3">
        <v>4384</v>
      </c>
      <c r="J1008" s="3">
        <v>17536</v>
      </c>
      <c r="K1008" s="3">
        <v>3200</v>
      </c>
      <c r="L1008" s="3">
        <v>12800</v>
      </c>
      <c r="M1008" s="3">
        <v>4736</v>
      </c>
      <c r="N1008" s="4">
        <v>0.27007299270072993</v>
      </c>
    </row>
    <row r="1009" spans="1:14" x14ac:dyDescent="0.3">
      <c r="A1009" s="6">
        <v>45730</v>
      </c>
      <c r="B1009" s="1" t="s">
        <v>1193</v>
      </c>
      <c r="C1009" s="1" t="s">
        <v>27</v>
      </c>
      <c r="D1009" t="s">
        <v>30</v>
      </c>
      <c r="E1009" t="s">
        <v>231</v>
      </c>
      <c r="F1009" t="s">
        <v>14</v>
      </c>
      <c r="G1009" t="s">
        <v>15</v>
      </c>
      <c r="H1009" s="3">
        <v>9</v>
      </c>
      <c r="I1009" s="3">
        <v>56250</v>
      </c>
      <c r="J1009" s="3">
        <v>506250</v>
      </c>
      <c r="K1009" s="3">
        <v>45000</v>
      </c>
      <c r="L1009" s="3">
        <v>405000</v>
      </c>
      <c r="M1009" s="3">
        <v>101250</v>
      </c>
      <c r="N1009" s="4">
        <v>0.2</v>
      </c>
    </row>
    <row r="1010" spans="1:14" x14ac:dyDescent="0.3">
      <c r="A1010" s="6">
        <v>45730</v>
      </c>
      <c r="B1010" s="1" t="s">
        <v>1194</v>
      </c>
      <c r="C1010" s="1" t="s">
        <v>28</v>
      </c>
      <c r="D1010" t="s">
        <v>31</v>
      </c>
      <c r="E1010" t="s">
        <v>159</v>
      </c>
      <c r="F1010" t="s">
        <v>23</v>
      </c>
      <c r="G1010" t="s">
        <v>25</v>
      </c>
      <c r="H1010" s="3">
        <v>7</v>
      </c>
      <c r="I1010" s="3">
        <v>4032</v>
      </c>
      <c r="J1010" s="3">
        <v>28224</v>
      </c>
      <c r="K1010" s="3">
        <v>3200</v>
      </c>
      <c r="L1010" s="3">
        <v>22400</v>
      </c>
      <c r="M1010" s="3">
        <v>5824</v>
      </c>
      <c r="N1010" s="4">
        <v>0.20634920634920634</v>
      </c>
    </row>
    <row r="1011" spans="1:14" x14ac:dyDescent="0.3">
      <c r="A1011" s="6">
        <v>45730</v>
      </c>
      <c r="B1011" s="1" t="s">
        <v>1195</v>
      </c>
      <c r="C1011" s="1" t="s">
        <v>27</v>
      </c>
      <c r="D1011" t="s">
        <v>30</v>
      </c>
      <c r="E1011" t="s">
        <v>751</v>
      </c>
      <c r="F1011" t="s">
        <v>14</v>
      </c>
      <c r="G1011" t="s">
        <v>15</v>
      </c>
      <c r="H1011" s="3">
        <v>7</v>
      </c>
      <c r="I1011" s="3">
        <v>59850</v>
      </c>
      <c r="J1011" s="3">
        <v>418950</v>
      </c>
      <c r="K1011" s="3">
        <v>45000</v>
      </c>
      <c r="L1011" s="3">
        <v>315000</v>
      </c>
      <c r="M1011" s="3">
        <v>103950</v>
      </c>
      <c r="N1011" s="4">
        <v>0.24812030075187969</v>
      </c>
    </row>
    <row r="1012" spans="1:14" x14ac:dyDescent="0.3">
      <c r="A1012" s="6">
        <v>45730</v>
      </c>
      <c r="B1012" s="1" t="s">
        <v>1196</v>
      </c>
      <c r="C1012" s="1" t="s">
        <v>27</v>
      </c>
      <c r="D1012" t="s">
        <v>35</v>
      </c>
      <c r="E1012" t="s">
        <v>379</v>
      </c>
      <c r="F1012" t="s">
        <v>17</v>
      </c>
      <c r="G1012" t="s">
        <v>18</v>
      </c>
      <c r="H1012" s="3">
        <v>1</v>
      </c>
      <c r="I1012" s="3">
        <v>12070</v>
      </c>
      <c r="J1012" s="3">
        <v>12070</v>
      </c>
      <c r="K1012" s="3">
        <v>8500</v>
      </c>
      <c r="L1012" s="3">
        <v>8500</v>
      </c>
      <c r="M1012" s="3">
        <v>3570</v>
      </c>
      <c r="N1012" s="4">
        <v>0.29577464788732394</v>
      </c>
    </row>
    <row r="1013" spans="1:14" x14ac:dyDescent="0.3">
      <c r="A1013" s="6">
        <v>45730</v>
      </c>
      <c r="B1013" s="1" t="s">
        <v>1197</v>
      </c>
      <c r="C1013" s="1" t="s">
        <v>27</v>
      </c>
      <c r="D1013" t="s">
        <v>31</v>
      </c>
      <c r="E1013" t="s">
        <v>72</v>
      </c>
      <c r="F1013" t="s">
        <v>21</v>
      </c>
      <c r="G1013" t="s">
        <v>20</v>
      </c>
      <c r="H1013" s="3">
        <v>9</v>
      </c>
      <c r="I1013" s="3">
        <v>762</v>
      </c>
      <c r="J1013" s="3">
        <v>6858</v>
      </c>
      <c r="K1013" s="3">
        <v>600</v>
      </c>
      <c r="L1013" s="3">
        <v>5400</v>
      </c>
      <c r="M1013" s="3">
        <v>1458</v>
      </c>
      <c r="N1013" s="4">
        <v>0.2125984251968504</v>
      </c>
    </row>
    <row r="1014" spans="1:14" x14ac:dyDescent="0.3">
      <c r="A1014" s="6">
        <v>45730</v>
      </c>
      <c r="B1014" s="1" t="s">
        <v>1198</v>
      </c>
      <c r="C1014" s="1" t="s">
        <v>29</v>
      </c>
      <c r="D1014" t="s">
        <v>34</v>
      </c>
      <c r="E1014" t="s">
        <v>134</v>
      </c>
      <c r="F1014" t="s">
        <v>19</v>
      </c>
      <c r="G1014" t="s">
        <v>20</v>
      </c>
      <c r="H1014" s="3">
        <v>6</v>
      </c>
      <c r="I1014" s="3">
        <v>1089</v>
      </c>
      <c r="J1014" s="3">
        <v>6534</v>
      </c>
      <c r="K1014" s="3">
        <v>900</v>
      </c>
      <c r="L1014" s="3">
        <v>5400</v>
      </c>
      <c r="M1014" s="3">
        <v>1134</v>
      </c>
      <c r="N1014" s="4">
        <v>0.17355371900826447</v>
      </c>
    </row>
    <row r="1015" spans="1:14" x14ac:dyDescent="0.3">
      <c r="A1015" s="6">
        <v>45730</v>
      </c>
      <c r="B1015" s="1" t="s">
        <v>1199</v>
      </c>
      <c r="C1015" s="1" t="s">
        <v>28</v>
      </c>
      <c r="D1015" t="s">
        <v>33</v>
      </c>
      <c r="E1015" t="s">
        <v>369</v>
      </c>
      <c r="F1015" t="s">
        <v>19</v>
      </c>
      <c r="G1015" t="s">
        <v>20</v>
      </c>
      <c r="H1015" s="3">
        <v>7</v>
      </c>
      <c r="I1015" s="3">
        <v>1197</v>
      </c>
      <c r="J1015" s="3">
        <v>8379</v>
      </c>
      <c r="K1015" s="3">
        <v>900</v>
      </c>
      <c r="L1015" s="3">
        <v>6300</v>
      </c>
      <c r="M1015" s="3">
        <v>2079</v>
      </c>
      <c r="N1015" s="4">
        <v>0.24812030075187969</v>
      </c>
    </row>
    <row r="1016" spans="1:14" x14ac:dyDescent="0.3">
      <c r="A1016" s="6">
        <v>45730</v>
      </c>
      <c r="B1016" s="1" t="s">
        <v>1200</v>
      </c>
      <c r="C1016" s="1" t="s">
        <v>27</v>
      </c>
      <c r="D1016" t="s">
        <v>32</v>
      </c>
      <c r="E1016" t="s">
        <v>72</v>
      </c>
      <c r="F1016" t="s">
        <v>23</v>
      </c>
      <c r="G1016" t="s">
        <v>25</v>
      </c>
      <c r="H1016" s="3">
        <v>1</v>
      </c>
      <c r="I1016" s="3">
        <v>4128</v>
      </c>
      <c r="J1016" s="3">
        <v>4128</v>
      </c>
      <c r="K1016" s="3">
        <v>3200</v>
      </c>
      <c r="L1016" s="3">
        <v>3200</v>
      </c>
      <c r="M1016" s="3">
        <v>928</v>
      </c>
      <c r="N1016" s="4">
        <v>0.22480620155038761</v>
      </c>
    </row>
    <row r="1017" spans="1:14" x14ac:dyDescent="0.3">
      <c r="A1017" s="6">
        <v>45730</v>
      </c>
      <c r="B1017" s="1" t="s">
        <v>1201</v>
      </c>
      <c r="C1017" s="1" t="s">
        <v>27</v>
      </c>
      <c r="D1017" t="s">
        <v>31</v>
      </c>
      <c r="E1017" t="s">
        <v>319</v>
      </c>
      <c r="F1017" t="s">
        <v>17</v>
      </c>
      <c r="G1017" t="s">
        <v>18</v>
      </c>
      <c r="H1017" s="3">
        <v>9</v>
      </c>
      <c r="I1017" s="3">
        <v>11815.000000000002</v>
      </c>
      <c r="J1017" s="3">
        <v>106335.00000000001</v>
      </c>
      <c r="K1017" s="3">
        <v>8500</v>
      </c>
      <c r="L1017" s="3">
        <v>76500</v>
      </c>
      <c r="M1017" s="3">
        <v>29835.000000000015</v>
      </c>
      <c r="N1017" s="4">
        <v>0.28057553956834541</v>
      </c>
    </row>
    <row r="1018" spans="1:14" x14ac:dyDescent="0.3">
      <c r="A1018" s="6">
        <v>45730</v>
      </c>
      <c r="B1018" s="1" t="s">
        <v>1202</v>
      </c>
      <c r="C1018" s="1" t="s">
        <v>28</v>
      </c>
      <c r="D1018" t="s">
        <v>35</v>
      </c>
      <c r="E1018" t="s">
        <v>231</v>
      </c>
      <c r="F1018" t="s">
        <v>24</v>
      </c>
      <c r="G1018" t="s">
        <v>25</v>
      </c>
      <c r="H1018" s="3">
        <v>9</v>
      </c>
      <c r="I1018" s="3">
        <v>3325</v>
      </c>
      <c r="J1018" s="3">
        <v>29925</v>
      </c>
      <c r="K1018" s="3">
        <v>2500</v>
      </c>
      <c r="L1018" s="3">
        <v>22500</v>
      </c>
      <c r="M1018" s="3">
        <v>7425</v>
      </c>
      <c r="N1018" s="4">
        <v>0.24812030075187969</v>
      </c>
    </row>
    <row r="1019" spans="1:14" x14ac:dyDescent="0.3">
      <c r="A1019" s="6">
        <v>45730</v>
      </c>
      <c r="B1019" s="1" t="s">
        <v>1203</v>
      </c>
      <c r="C1019" s="1" t="s">
        <v>29</v>
      </c>
      <c r="D1019" t="s">
        <v>32</v>
      </c>
      <c r="E1019" t="s">
        <v>521</v>
      </c>
      <c r="F1019" t="s">
        <v>23</v>
      </c>
      <c r="G1019" t="s">
        <v>25</v>
      </c>
      <c r="H1019" s="3">
        <v>5</v>
      </c>
      <c r="I1019" s="3">
        <v>4576</v>
      </c>
      <c r="J1019" s="3">
        <v>22880</v>
      </c>
      <c r="K1019" s="3">
        <v>3200</v>
      </c>
      <c r="L1019" s="3">
        <v>16000</v>
      </c>
      <c r="M1019" s="3">
        <v>6880</v>
      </c>
      <c r="N1019" s="4">
        <v>0.30069930069930068</v>
      </c>
    </row>
    <row r="1020" spans="1:14" x14ac:dyDescent="0.3">
      <c r="A1020" s="6">
        <v>45730</v>
      </c>
      <c r="B1020" s="1" t="s">
        <v>1204</v>
      </c>
      <c r="C1020" s="1" t="s">
        <v>27</v>
      </c>
      <c r="D1020" t="s">
        <v>33</v>
      </c>
      <c r="E1020" t="s">
        <v>453</v>
      </c>
      <c r="F1020" t="s">
        <v>23</v>
      </c>
      <c r="G1020" t="s">
        <v>25</v>
      </c>
      <c r="H1020" s="3">
        <v>7</v>
      </c>
      <c r="I1020" s="3">
        <v>3968</v>
      </c>
      <c r="J1020" s="3">
        <v>27776</v>
      </c>
      <c r="K1020" s="3">
        <v>3200</v>
      </c>
      <c r="L1020" s="3">
        <v>22400</v>
      </c>
      <c r="M1020" s="3">
        <v>5376</v>
      </c>
      <c r="N1020" s="4">
        <v>0.19354838709677419</v>
      </c>
    </row>
    <row r="1021" spans="1:14" x14ac:dyDescent="0.3">
      <c r="A1021" s="6">
        <v>45730</v>
      </c>
      <c r="B1021" s="1" t="s">
        <v>1205</v>
      </c>
      <c r="C1021" s="1" t="s">
        <v>26</v>
      </c>
      <c r="D1021" t="s">
        <v>32</v>
      </c>
      <c r="E1021" t="s">
        <v>548</v>
      </c>
      <c r="F1021" t="s">
        <v>23</v>
      </c>
      <c r="G1021" t="s">
        <v>25</v>
      </c>
      <c r="H1021" s="3">
        <v>5</v>
      </c>
      <c r="I1021" s="3">
        <v>4128</v>
      </c>
      <c r="J1021" s="3">
        <v>20640</v>
      </c>
      <c r="K1021" s="3">
        <v>3200</v>
      </c>
      <c r="L1021" s="3">
        <v>16000</v>
      </c>
      <c r="M1021" s="3">
        <v>4640</v>
      </c>
      <c r="N1021" s="4">
        <v>0.22480620155038761</v>
      </c>
    </row>
    <row r="1022" spans="1:14" x14ac:dyDescent="0.3">
      <c r="A1022" s="6">
        <v>45731</v>
      </c>
      <c r="B1022" s="1" t="s">
        <v>1206</v>
      </c>
      <c r="C1022" s="1" t="s">
        <v>26</v>
      </c>
      <c r="D1022" t="s">
        <v>30</v>
      </c>
      <c r="E1022" t="s">
        <v>37</v>
      </c>
      <c r="F1022" t="s">
        <v>24</v>
      </c>
      <c r="G1022" t="s">
        <v>25</v>
      </c>
      <c r="H1022" s="3">
        <v>1</v>
      </c>
      <c r="I1022" s="3">
        <v>3075</v>
      </c>
      <c r="J1022" s="3">
        <v>3075</v>
      </c>
      <c r="K1022" s="3">
        <v>2500</v>
      </c>
      <c r="L1022" s="3">
        <v>2500</v>
      </c>
      <c r="M1022" s="3">
        <v>575</v>
      </c>
      <c r="N1022" s="4">
        <v>0.18699186991869918</v>
      </c>
    </row>
    <row r="1023" spans="1:14" x14ac:dyDescent="0.3">
      <c r="A1023" s="6">
        <v>45731</v>
      </c>
      <c r="B1023" s="1" t="s">
        <v>1207</v>
      </c>
      <c r="C1023" s="1" t="s">
        <v>28</v>
      </c>
      <c r="D1023" t="s">
        <v>30</v>
      </c>
      <c r="E1023" t="s">
        <v>698</v>
      </c>
      <c r="F1023" t="s">
        <v>21</v>
      </c>
      <c r="G1023" t="s">
        <v>20</v>
      </c>
      <c r="H1023" s="3">
        <v>5</v>
      </c>
      <c r="I1023" s="3">
        <v>768</v>
      </c>
      <c r="J1023" s="3">
        <v>3840</v>
      </c>
      <c r="K1023" s="3">
        <v>600</v>
      </c>
      <c r="L1023" s="3">
        <v>3000</v>
      </c>
      <c r="M1023" s="3">
        <v>840</v>
      </c>
      <c r="N1023" s="4">
        <v>0.21875</v>
      </c>
    </row>
    <row r="1024" spans="1:14" x14ac:dyDescent="0.3">
      <c r="A1024" s="6">
        <v>45731</v>
      </c>
      <c r="B1024" s="1" t="s">
        <v>1208</v>
      </c>
      <c r="C1024" s="1" t="s">
        <v>28</v>
      </c>
      <c r="D1024" t="s">
        <v>30</v>
      </c>
      <c r="E1024" t="s">
        <v>379</v>
      </c>
      <c r="F1024" t="s">
        <v>21</v>
      </c>
      <c r="G1024" t="s">
        <v>20</v>
      </c>
      <c r="H1024" s="3">
        <v>8</v>
      </c>
      <c r="I1024" s="3">
        <v>744</v>
      </c>
      <c r="J1024" s="3">
        <v>5952</v>
      </c>
      <c r="K1024" s="3">
        <v>600</v>
      </c>
      <c r="L1024" s="3">
        <v>4800</v>
      </c>
      <c r="M1024" s="3">
        <v>1152</v>
      </c>
      <c r="N1024" s="4">
        <v>0.19354838709677419</v>
      </c>
    </row>
    <row r="1025" spans="1:14" x14ac:dyDescent="0.3">
      <c r="A1025" s="6">
        <v>45731</v>
      </c>
      <c r="B1025" s="1" t="s">
        <v>1209</v>
      </c>
      <c r="C1025" s="1" t="s">
        <v>27</v>
      </c>
      <c r="D1025" t="s">
        <v>32</v>
      </c>
      <c r="E1025" t="s">
        <v>81</v>
      </c>
      <c r="F1025" t="s">
        <v>17</v>
      </c>
      <c r="G1025" t="s">
        <v>18</v>
      </c>
      <c r="H1025" s="3">
        <v>3</v>
      </c>
      <c r="I1025" s="3">
        <v>12325</v>
      </c>
      <c r="J1025" s="3">
        <v>36975</v>
      </c>
      <c r="K1025" s="3">
        <v>8500</v>
      </c>
      <c r="L1025" s="3">
        <v>25500</v>
      </c>
      <c r="M1025" s="3">
        <v>11475</v>
      </c>
      <c r="N1025" s="4">
        <v>0.31034482758620691</v>
      </c>
    </row>
    <row r="1026" spans="1:14" x14ac:dyDescent="0.3">
      <c r="A1026" s="6">
        <v>45731</v>
      </c>
      <c r="B1026" s="1" t="s">
        <v>1210</v>
      </c>
      <c r="C1026" s="1" t="s">
        <v>27</v>
      </c>
      <c r="D1026" t="s">
        <v>34</v>
      </c>
      <c r="E1026" t="s">
        <v>214</v>
      </c>
      <c r="F1026" t="s">
        <v>17</v>
      </c>
      <c r="G1026" t="s">
        <v>18</v>
      </c>
      <c r="H1026" s="3">
        <v>7</v>
      </c>
      <c r="I1026" s="3">
        <v>11305</v>
      </c>
      <c r="J1026" s="3">
        <v>79135</v>
      </c>
      <c r="K1026" s="3">
        <v>8500</v>
      </c>
      <c r="L1026" s="3">
        <v>59500</v>
      </c>
      <c r="M1026" s="3">
        <v>19635</v>
      </c>
      <c r="N1026" s="4">
        <v>0.24812030075187969</v>
      </c>
    </row>
    <row r="1027" spans="1:14" x14ac:dyDescent="0.3">
      <c r="A1027" s="6">
        <v>45731</v>
      </c>
      <c r="B1027" s="1" t="s">
        <v>1211</v>
      </c>
      <c r="C1027" s="1" t="s">
        <v>28</v>
      </c>
      <c r="D1027" t="s">
        <v>34</v>
      </c>
      <c r="E1027" t="s">
        <v>69</v>
      </c>
      <c r="F1027" t="s">
        <v>16</v>
      </c>
      <c r="G1027" t="s">
        <v>15</v>
      </c>
      <c r="H1027" s="3">
        <v>10</v>
      </c>
      <c r="I1027" s="3">
        <v>53580</v>
      </c>
      <c r="J1027" s="3">
        <v>535800</v>
      </c>
      <c r="K1027" s="3">
        <v>38000</v>
      </c>
      <c r="L1027" s="3">
        <v>380000</v>
      </c>
      <c r="M1027" s="3">
        <v>155800</v>
      </c>
      <c r="N1027" s="4">
        <v>0.29078014184397161</v>
      </c>
    </row>
    <row r="1028" spans="1:14" x14ac:dyDescent="0.3">
      <c r="A1028" s="6">
        <v>45731</v>
      </c>
      <c r="B1028" s="1" t="s">
        <v>1212</v>
      </c>
      <c r="C1028" s="1" t="s">
        <v>28</v>
      </c>
      <c r="D1028" t="s">
        <v>30</v>
      </c>
      <c r="E1028" t="s">
        <v>134</v>
      </c>
      <c r="F1028" t="s">
        <v>23</v>
      </c>
      <c r="G1028" t="s">
        <v>25</v>
      </c>
      <c r="H1028" s="3">
        <v>2</v>
      </c>
      <c r="I1028" s="3">
        <v>4480</v>
      </c>
      <c r="J1028" s="3">
        <v>8960</v>
      </c>
      <c r="K1028" s="3">
        <v>3200</v>
      </c>
      <c r="L1028" s="3">
        <v>6400</v>
      </c>
      <c r="M1028" s="3">
        <v>2560</v>
      </c>
      <c r="N1028" s="4">
        <v>0.2857142857142857</v>
      </c>
    </row>
    <row r="1029" spans="1:14" x14ac:dyDescent="0.3">
      <c r="A1029" s="6">
        <v>45731</v>
      </c>
      <c r="B1029" s="1" t="s">
        <v>1213</v>
      </c>
      <c r="C1029" s="1" t="s">
        <v>26</v>
      </c>
      <c r="D1029" t="s">
        <v>33</v>
      </c>
      <c r="E1029" t="s">
        <v>751</v>
      </c>
      <c r="F1029" t="s">
        <v>21</v>
      </c>
      <c r="G1029" t="s">
        <v>20</v>
      </c>
      <c r="H1029" s="3">
        <v>2</v>
      </c>
      <c r="I1029" s="3">
        <v>774</v>
      </c>
      <c r="J1029" s="3">
        <v>1548</v>
      </c>
      <c r="K1029" s="3">
        <v>600</v>
      </c>
      <c r="L1029" s="3">
        <v>1200</v>
      </c>
      <c r="M1029" s="3">
        <v>348</v>
      </c>
      <c r="N1029" s="4">
        <v>0.22480620155038761</v>
      </c>
    </row>
    <row r="1030" spans="1:14" x14ac:dyDescent="0.3">
      <c r="A1030" s="6">
        <v>45731</v>
      </c>
      <c r="B1030" s="1" t="s">
        <v>1214</v>
      </c>
      <c r="C1030" s="1" t="s">
        <v>26</v>
      </c>
      <c r="D1030" t="s">
        <v>34</v>
      </c>
      <c r="E1030" t="s">
        <v>193</v>
      </c>
      <c r="F1030" t="s">
        <v>17</v>
      </c>
      <c r="G1030" t="s">
        <v>18</v>
      </c>
      <c r="H1030" s="3">
        <v>9</v>
      </c>
      <c r="I1030" s="3">
        <v>10285</v>
      </c>
      <c r="J1030" s="3">
        <v>92565</v>
      </c>
      <c r="K1030" s="3">
        <v>8500</v>
      </c>
      <c r="L1030" s="3">
        <v>76500</v>
      </c>
      <c r="M1030" s="3">
        <v>16065</v>
      </c>
      <c r="N1030" s="4">
        <v>0.17355371900826447</v>
      </c>
    </row>
    <row r="1031" spans="1:14" x14ac:dyDescent="0.3">
      <c r="A1031" s="6">
        <v>45731</v>
      </c>
      <c r="B1031" s="1" t="s">
        <v>1215</v>
      </c>
      <c r="C1031" s="1" t="s">
        <v>27</v>
      </c>
      <c r="D1031" t="s">
        <v>34</v>
      </c>
      <c r="E1031" t="s">
        <v>131</v>
      </c>
      <c r="F1031" t="s">
        <v>21</v>
      </c>
      <c r="G1031" t="s">
        <v>20</v>
      </c>
      <c r="H1031" s="3">
        <v>5</v>
      </c>
      <c r="I1031" s="3">
        <v>744</v>
      </c>
      <c r="J1031" s="3">
        <v>3720</v>
      </c>
      <c r="K1031" s="3">
        <v>600</v>
      </c>
      <c r="L1031" s="3">
        <v>3000</v>
      </c>
      <c r="M1031" s="3">
        <v>720</v>
      </c>
      <c r="N1031" s="4">
        <v>0.19354838709677419</v>
      </c>
    </row>
    <row r="1032" spans="1:14" x14ac:dyDescent="0.3">
      <c r="A1032" s="6">
        <v>45731</v>
      </c>
      <c r="B1032" s="1" t="s">
        <v>1216</v>
      </c>
      <c r="C1032" s="1" t="s">
        <v>29</v>
      </c>
      <c r="D1032" t="s">
        <v>32</v>
      </c>
      <c r="E1032" t="s">
        <v>47</v>
      </c>
      <c r="F1032" t="s">
        <v>24</v>
      </c>
      <c r="G1032" t="s">
        <v>25</v>
      </c>
      <c r="H1032" s="3">
        <v>7</v>
      </c>
      <c r="I1032" s="3">
        <v>3500</v>
      </c>
      <c r="J1032" s="3">
        <v>24500</v>
      </c>
      <c r="K1032" s="3">
        <v>2500</v>
      </c>
      <c r="L1032" s="3">
        <v>17500</v>
      </c>
      <c r="M1032" s="3">
        <v>7000</v>
      </c>
      <c r="N1032" s="4">
        <v>0.2857142857142857</v>
      </c>
    </row>
    <row r="1033" spans="1:14" x14ac:dyDescent="0.3">
      <c r="A1033" s="6">
        <v>45731</v>
      </c>
      <c r="B1033" s="1" t="s">
        <v>1217</v>
      </c>
      <c r="C1033" s="1" t="s">
        <v>28</v>
      </c>
      <c r="D1033" t="s">
        <v>30</v>
      </c>
      <c r="E1033" t="s">
        <v>390</v>
      </c>
      <c r="F1033" t="s">
        <v>16</v>
      </c>
      <c r="G1033" t="s">
        <v>15</v>
      </c>
      <c r="H1033" s="3">
        <v>7</v>
      </c>
      <c r="I1033" s="3">
        <v>52439.999999999993</v>
      </c>
      <c r="J1033" s="3">
        <v>367079.99999999994</v>
      </c>
      <c r="K1033" s="3">
        <v>38000</v>
      </c>
      <c r="L1033" s="3">
        <v>266000</v>
      </c>
      <c r="M1033" s="3">
        <v>101079.99999999994</v>
      </c>
      <c r="N1033" s="4">
        <v>0.2753623188405796</v>
      </c>
    </row>
    <row r="1034" spans="1:14" x14ac:dyDescent="0.3">
      <c r="A1034" s="6">
        <v>45731</v>
      </c>
      <c r="B1034" s="1" t="s">
        <v>1218</v>
      </c>
      <c r="C1034" s="1" t="s">
        <v>26</v>
      </c>
      <c r="D1034" t="s">
        <v>31</v>
      </c>
      <c r="E1034" t="s">
        <v>355</v>
      </c>
      <c r="F1034" t="s">
        <v>23</v>
      </c>
      <c r="G1034" t="s">
        <v>25</v>
      </c>
      <c r="H1034" s="3">
        <v>6</v>
      </c>
      <c r="I1034" s="3">
        <v>3904</v>
      </c>
      <c r="J1034" s="3">
        <v>23424</v>
      </c>
      <c r="K1034" s="3">
        <v>3200</v>
      </c>
      <c r="L1034" s="3">
        <v>19200</v>
      </c>
      <c r="M1034" s="3">
        <v>4224</v>
      </c>
      <c r="N1034" s="4">
        <v>0.18032786885245902</v>
      </c>
    </row>
    <row r="1035" spans="1:14" x14ac:dyDescent="0.3">
      <c r="A1035" s="6">
        <v>45731</v>
      </c>
      <c r="B1035" s="1" t="s">
        <v>1219</v>
      </c>
      <c r="C1035" s="1" t="s">
        <v>27</v>
      </c>
      <c r="D1035" t="s">
        <v>35</v>
      </c>
      <c r="E1035" t="s">
        <v>106</v>
      </c>
      <c r="F1035" t="s">
        <v>22</v>
      </c>
      <c r="G1035" t="s">
        <v>18</v>
      </c>
      <c r="H1035" s="3">
        <v>9</v>
      </c>
      <c r="I1035" s="3">
        <v>9100</v>
      </c>
      <c r="J1035" s="3">
        <v>81900</v>
      </c>
      <c r="K1035" s="3">
        <v>7000</v>
      </c>
      <c r="L1035" s="3">
        <v>63000</v>
      </c>
      <c r="M1035" s="3">
        <v>18900</v>
      </c>
      <c r="N1035" s="4">
        <v>0.23076923076923078</v>
      </c>
    </row>
    <row r="1036" spans="1:14" x14ac:dyDescent="0.3">
      <c r="A1036" s="6">
        <v>45732</v>
      </c>
      <c r="B1036" s="1" t="s">
        <v>1220</v>
      </c>
      <c r="C1036" s="1" t="s">
        <v>28</v>
      </c>
      <c r="D1036" t="s">
        <v>34</v>
      </c>
      <c r="E1036" t="s">
        <v>361</v>
      </c>
      <c r="F1036" t="s">
        <v>16</v>
      </c>
      <c r="G1036" t="s">
        <v>15</v>
      </c>
      <c r="H1036" s="3">
        <v>9</v>
      </c>
      <c r="I1036" s="3">
        <v>55100</v>
      </c>
      <c r="J1036" s="3">
        <v>495900</v>
      </c>
      <c r="K1036" s="3">
        <v>38000</v>
      </c>
      <c r="L1036" s="3">
        <v>342000</v>
      </c>
      <c r="M1036" s="3">
        <v>153900</v>
      </c>
      <c r="N1036" s="4">
        <v>0.31034482758620691</v>
      </c>
    </row>
    <row r="1037" spans="1:14" x14ac:dyDescent="0.3">
      <c r="A1037" s="6">
        <v>45732</v>
      </c>
      <c r="B1037" s="1" t="s">
        <v>1221</v>
      </c>
      <c r="C1037" s="1" t="s">
        <v>27</v>
      </c>
      <c r="D1037" t="s">
        <v>34</v>
      </c>
      <c r="E1037" t="s">
        <v>45</v>
      </c>
      <c r="F1037" t="s">
        <v>23</v>
      </c>
      <c r="G1037" t="s">
        <v>25</v>
      </c>
      <c r="H1037" s="3">
        <v>6</v>
      </c>
      <c r="I1037" s="3">
        <v>4352</v>
      </c>
      <c r="J1037" s="3">
        <v>26112</v>
      </c>
      <c r="K1037" s="3">
        <v>3200</v>
      </c>
      <c r="L1037" s="3">
        <v>19200</v>
      </c>
      <c r="M1037" s="3">
        <v>6912</v>
      </c>
      <c r="N1037" s="4">
        <v>0.26470588235294118</v>
      </c>
    </row>
    <row r="1038" spans="1:14" x14ac:dyDescent="0.3">
      <c r="A1038" s="6">
        <v>45732</v>
      </c>
      <c r="B1038" s="1" t="s">
        <v>1222</v>
      </c>
      <c r="C1038" s="1" t="s">
        <v>29</v>
      </c>
      <c r="D1038" t="s">
        <v>33</v>
      </c>
      <c r="E1038" t="s">
        <v>137</v>
      </c>
      <c r="F1038" t="s">
        <v>14</v>
      </c>
      <c r="G1038" t="s">
        <v>15</v>
      </c>
      <c r="H1038" s="3">
        <v>10</v>
      </c>
      <c r="I1038" s="3">
        <v>62550.000000000007</v>
      </c>
      <c r="J1038" s="3">
        <v>625500.00000000012</v>
      </c>
      <c r="K1038" s="3">
        <v>45000</v>
      </c>
      <c r="L1038" s="3">
        <v>450000</v>
      </c>
      <c r="M1038" s="3">
        <v>175500.00000000012</v>
      </c>
      <c r="N1038" s="4">
        <v>0.28057553956834547</v>
      </c>
    </row>
    <row r="1039" spans="1:14" x14ac:dyDescent="0.3">
      <c r="A1039" s="6">
        <v>45732</v>
      </c>
      <c r="B1039" s="1" t="s">
        <v>1223</v>
      </c>
      <c r="C1039" s="1" t="s">
        <v>29</v>
      </c>
      <c r="D1039" t="s">
        <v>34</v>
      </c>
      <c r="E1039" t="s">
        <v>359</v>
      </c>
      <c r="F1039" t="s">
        <v>21</v>
      </c>
      <c r="G1039" t="s">
        <v>20</v>
      </c>
      <c r="H1039" s="3">
        <v>8</v>
      </c>
      <c r="I1039" s="3">
        <v>852</v>
      </c>
      <c r="J1039" s="3">
        <v>6816</v>
      </c>
      <c r="K1039" s="3">
        <v>600</v>
      </c>
      <c r="L1039" s="3">
        <v>4800</v>
      </c>
      <c r="M1039" s="3">
        <v>2016</v>
      </c>
      <c r="N1039" s="4">
        <v>0.29577464788732394</v>
      </c>
    </row>
    <row r="1040" spans="1:14" x14ac:dyDescent="0.3">
      <c r="A1040" s="6">
        <v>45732</v>
      </c>
      <c r="B1040" s="1" t="s">
        <v>1224</v>
      </c>
      <c r="C1040" s="1" t="s">
        <v>27</v>
      </c>
      <c r="D1040" t="s">
        <v>31</v>
      </c>
      <c r="E1040" t="s">
        <v>424</v>
      </c>
      <c r="F1040" t="s">
        <v>19</v>
      </c>
      <c r="G1040" t="s">
        <v>20</v>
      </c>
      <c r="H1040" s="3">
        <v>10</v>
      </c>
      <c r="I1040" s="3">
        <v>1179</v>
      </c>
      <c r="J1040" s="3">
        <v>11790</v>
      </c>
      <c r="K1040" s="3">
        <v>900</v>
      </c>
      <c r="L1040" s="3">
        <v>9000</v>
      </c>
      <c r="M1040" s="3">
        <v>2790</v>
      </c>
      <c r="N1040" s="4">
        <v>0.23664122137404581</v>
      </c>
    </row>
    <row r="1041" spans="1:14" x14ac:dyDescent="0.3">
      <c r="A1041" s="6">
        <v>45732</v>
      </c>
      <c r="B1041" s="1" t="s">
        <v>1225</v>
      </c>
      <c r="C1041" s="1" t="s">
        <v>26</v>
      </c>
      <c r="D1041" t="s">
        <v>30</v>
      </c>
      <c r="E1041" t="s">
        <v>57</v>
      </c>
      <c r="F1041" t="s">
        <v>17</v>
      </c>
      <c r="G1041" t="s">
        <v>18</v>
      </c>
      <c r="H1041" s="3">
        <v>5</v>
      </c>
      <c r="I1041" s="3">
        <v>10455</v>
      </c>
      <c r="J1041" s="3">
        <v>52275</v>
      </c>
      <c r="K1041" s="3">
        <v>8500</v>
      </c>
      <c r="L1041" s="3">
        <v>42500</v>
      </c>
      <c r="M1041" s="3">
        <v>9775</v>
      </c>
      <c r="N1041" s="4">
        <v>0.18699186991869918</v>
      </c>
    </row>
    <row r="1042" spans="1:14" x14ac:dyDescent="0.3">
      <c r="A1042" s="6">
        <v>45732</v>
      </c>
      <c r="B1042" s="1" t="s">
        <v>1226</v>
      </c>
      <c r="C1042" s="1" t="s">
        <v>26</v>
      </c>
      <c r="D1042" t="s">
        <v>33</v>
      </c>
      <c r="E1042" t="s">
        <v>357</v>
      </c>
      <c r="F1042" t="s">
        <v>23</v>
      </c>
      <c r="G1042" t="s">
        <v>25</v>
      </c>
      <c r="H1042" s="3">
        <v>8</v>
      </c>
      <c r="I1042" s="3">
        <v>4224</v>
      </c>
      <c r="J1042" s="3">
        <v>33792</v>
      </c>
      <c r="K1042" s="3">
        <v>3200</v>
      </c>
      <c r="L1042" s="3">
        <v>25600</v>
      </c>
      <c r="M1042" s="3">
        <v>8192</v>
      </c>
      <c r="N1042" s="4">
        <v>0.24242424242424243</v>
      </c>
    </row>
    <row r="1043" spans="1:14" x14ac:dyDescent="0.3">
      <c r="A1043" s="6">
        <v>45732</v>
      </c>
      <c r="B1043" s="1" t="s">
        <v>1227</v>
      </c>
      <c r="C1043" s="1" t="s">
        <v>27</v>
      </c>
      <c r="D1043" t="s">
        <v>32</v>
      </c>
      <c r="E1043" t="s">
        <v>236</v>
      </c>
      <c r="F1043" t="s">
        <v>16</v>
      </c>
      <c r="G1043" t="s">
        <v>15</v>
      </c>
      <c r="H1043" s="3">
        <v>4</v>
      </c>
      <c r="I1043" s="3">
        <v>53960</v>
      </c>
      <c r="J1043" s="3">
        <v>215840</v>
      </c>
      <c r="K1043" s="3">
        <v>38000</v>
      </c>
      <c r="L1043" s="3">
        <v>152000</v>
      </c>
      <c r="M1043" s="3">
        <v>63840</v>
      </c>
      <c r="N1043" s="4">
        <v>0.29577464788732394</v>
      </c>
    </row>
    <row r="1044" spans="1:14" x14ac:dyDescent="0.3">
      <c r="A1044" s="6">
        <v>45732</v>
      </c>
      <c r="B1044" s="1" t="s">
        <v>1228</v>
      </c>
      <c r="C1044" s="1" t="s">
        <v>28</v>
      </c>
      <c r="D1044" t="s">
        <v>33</v>
      </c>
      <c r="E1044" t="s">
        <v>55</v>
      </c>
      <c r="F1044" t="s">
        <v>16</v>
      </c>
      <c r="G1044" t="s">
        <v>15</v>
      </c>
      <c r="H1044" s="3">
        <v>1</v>
      </c>
      <c r="I1044" s="3">
        <v>54720</v>
      </c>
      <c r="J1044" s="3">
        <v>54720</v>
      </c>
      <c r="K1044" s="3">
        <v>38000</v>
      </c>
      <c r="L1044" s="3">
        <v>38000</v>
      </c>
      <c r="M1044" s="3">
        <v>16720</v>
      </c>
      <c r="N1044" s="4">
        <v>0.30555555555555558</v>
      </c>
    </row>
    <row r="1045" spans="1:14" x14ac:dyDescent="0.3">
      <c r="A1045" s="6">
        <v>45732</v>
      </c>
      <c r="B1045" s="1" t="s">
        <v>1229</v>
      </c>
      <c r="C1045" s="1" t="s">
        <v>29</v>
      </c>
      <c r="D1045" t="s">
        <v>34</v>
      </c>
      <c r="E1045" t="s">
        <v>349</v>
      </c>
      <c r="F1045" t="s">
        <v>17</v>
      </c>
      <c r="G1045" t="s">
        <v>18</v>
      </c>
      <c r="H1045" s="3">
        <v>3</v>
      </c>
      <c r="I1045" s="3">
        <v>10625</v>
      </c>
      <c r="J1045" s="3">
        <v>31875</v>
      </c>
      <c r="K1045" s="3">
        <v>8500</v>
      </c>
      <c r="L1045" s="3">
        <v>25500</v>
      </c>
      <c r="M1045" s="3">
        <v>6375</v>
      </c>
      <c r="N1045" s="4">
        <v>0.2</v>
      </c>
    </row>
    <row r="1046" spans="1:14" x14ac:dyDescent="0.3">
      <c r="A1046" s="6">
        <v>45732</v>
      </c>
      <c r="B1046" s="1" t="s">
        <v>1230</v>
      </c>
      <c r="C1046" s="1" t="s">
        <v>26</v>
      </c>
      <c r="D1046" t="s">
        <v>33</v>
      </c>
      <c r="E1046" t="s">
        <v>249</v>
      </c>
      <c r="F1046" t="s">
        <v>22</v>
      </c>
      <c r="G1046" t="s">
        <v>18</v>
      </c>
      <c r="H1046" s="3">
        <v>9</v>
      </c>
      <c r="I1046" s="3">
        <v>8890</v>
      </c>
      <c r="J1046" s="3">
        <v>80010</v>
      </c>
      <c r="K1046" s="3">
        <v>7000</v>
      </c>
      <c r="L1046" s="3">
        <v>63000</v>
      </c>
      <c r="M1046" s="3">
        <v>17010</v>
      </c>
      <c r="N1046" s="4">
        <v>0.2125984251968504</v>
      </c>
    </row>
    <row r="1047" spans="1:14" x14ac:dyDescent="0.3">
      <c r="A1047" s="6">
        <v>45732</v>
      </c>
      <c r="B1047" s="1" t="s">
        <v>1231</v>
      </c>
      <c r="C1047" s="1" t="s">
        <v>29</v>
      </c>
      <c r="D1047" t="s">
        <v>33</v>
      </c>
      <c r="E1047" t="s">
        <v>538</v>
      </c>
      <c r="F1047" t="s">
        <v>19</v>
      </c>
      <c r="G1047" t="s">
        <v>20</v>
      </c>
      <c r="H1047" s="3">
        <v>3</v>
      </c>
      <c r="I1047" s="3">
        <v>1089</v>
      </c>
      <c r="J1047" s="3">
        <v>3267</v>
      </c>
      <c r="K1047" s="3">
        <v>900</v>
      </c>
      <c r="L1047" s="3">
        <v>2700</v>
      </c>
      <c r="M1047" s="3">
        <v>567</v>
      </c>
      <c r="N1047" s="4">
        <v>0.17355371900826447</v>
      </c>
    </row>
    <row r="1048" spans="1:14" x14ac:dyDescent="0.3">
      <c r="A1048" s="6">
        <v>45732</v>
      </c>
      <c r="B1048" s="1" t="s">
        <v>1232</v>
      </c>
      <c r="C1048" s="1" t="s">
        <v>27</v>
      </c>
      <c r="D1048" t="s">
        <v>30</v>
      </c>
      <c r="E1048" t="s">
        <v>149</v>
      </c>
      <c r="F1048" t="s">
        <v>19</v>
      </c>
      <c r="G1048" t="s">
        <v>20</v>
      </c>
      <c r="H1048" s="3">
        <v>10</v>
      </c>
      <c r="I1048" s="3">
        <v>1287</v>
      </c>
      <c r="J1048" s="3">
        <v>12870</v>
      </c>
      <c r="K1048" s="3">
        <v>900</v>
      </c>
      <c r="L1048" s="3">
        <v>9000</v>
      </c>
      <c r="M1048" s="3">
        <v>3870</v>
      </c>
      <c r="N1048" s="4">
        <v>0.30069930069930068</v>
      </c>
    </row>
    <row r="1049" spans="1:14" x14ac:dyDescent="0.3">
      <c r="A1049" s="6">
        <v>45732</v>
      </c>
      <c r="B1049" s="1" t="s">
        <v>1233</v>
      </c>
      <c r="C1049" s="1" t="s">
        <v>26</v>
      </c>
      <c r="D1049" t="s">
        <v>32</v>
      </c>
      <c r="E1049" t="s">
        <v>226</v>
      </c>
      <c r="F1049" t="s">
        <v>24</v>
      </c>
      <c r="G1049" t="s">
        <v>25</v>
      </c>
      <c r="H1049" s="3">
        <v>8</v>
      </c>
      <c r="I1049" s="3">
        <v>3225</v>
      </c>
      <c r="J1049" s="3">
        <v>25800</v>
      </c>
      <c r="K1049" s="3">
        <v>2500</v>
      </c>
      <c r="L1049" s="3">
        <v>20000</v>
      </c>
      <c r="M1049" s="3">
        <v>5800</v>
      </c>
      <c r="N1049" s="4">
        <v>0.22480620155038761</v>
      </c>
    </row>
    <row r="1050" spans="1:14" x14ac:dyDescent="0.3">
      <c r="A1050" s="6">
        <v>45733</v>
      </c>
      <c r="B1050" s="1" t="s">
        <v>1234</v>
      </c>
      <c r="C1050" s="1" t="s">
        <v>26</v>
      </c>
      <c r="D1050" t="s">
        <v>32</v>
      </c>
      <c r="E1050" t="s">
        <v>304</v>
      </c>
      <c r="F1050" t="s">
        <v>24</v>
      </c>
      <c r="G1050" t="s">
        <v>25</v>
      </c>
      <c r="H1050" s="3">
        <v>6</v>
      </c>
      <c r="I1050" s="3">
        <v>3100</v>
      </c>
      <c r="J1050" s="3">
        <v>18600</v>
      </c>
      <c r="K1050" s="3">
        <v>2500</v>
      </c>
      <c r="L1050" s="3">
        <v>15000</v>
      </c>
      <c r="M1050" s="3">
        <v>3600</v>
      </c>
      <c r="N1050" s="4">
        <v>0.19354838709677419</v>
      </c>
    </row>
    <row r="1051" spans="1:14" x14ac:dyDescent="0.3">
      <c r="A1051" s="6">
        <v>45733</v>
      </c>
      <c r="B1051" s="1" t="s">
        <v>1235</v>
      </c>
      <c r="C1051" s="1" t="s">
        <v>26</v>
      </c>
      <c r="D1051" t="s">
        <v>35</v>
      </c>
      <c r="E1051" t="s">
        <v>94</v>
      </c>
      <c r="F1051" t="s">
        <v>17</v>
      </c>
      <c r="G1051" t="s">
        <v>18</v>
      </c>
      <c r="H1051" s="3">
        <v>5</v>
      </c>
      <c r="I1051" s="3">
        <v>11900</v>
      </c>
      <c r="J1051" s="3">
        <v>59500</v>
      </c>
      <c r="K1051" s="3">
        <v>8500</v>
      </c>
      <c r="L1051" s="3">
        <v>42500</v>
      </c>
      <c r="M1051" s="3">
        <v>17000</v>
      </c>
      <c r="N1051" s="4">
        <v>0.2857142857142857</v>
      </c>
    </row>
    <row r="1052" spans="1:14" x14ac:dyDescent="0.3">
      <c r="A1052" s="6">
        <v>45733</v>
      </c>
      <c r="B1052" s="1" t="s">
        <v>1236</v>
      </c>
      <c r="C1052" s="1" t="s">
        <v>28</v>
      </c>
      <c r="D1052" t="s">
        <v>31</v>
      </c>
      <c r="E1052" t="s">
        <v>576</v>
      </c>
      <c r="F1052" t="s">
        <v>16</v>
      </c>
      <c r="G1052" t="s">
        <v>15</v>
      </c>
      <c r="H1052" s="3">
        <v>5</v>
      </c>
      <c r="I1052" s="3">
        <v>54720</v>
      </c>
      <c r="J1052" s="3">
        <v>273600</v>
      </c>
      <c r="K1052" s="3">
        <v>38000</v>
      </c>
      <c r="L1052" s="3">
        <v>190000</v>
      </c>
      <c r="M1052" s="3">
        <v>83600</v>
      </c>
      <c r="N1052" s="4">
        <v>0.30555555555555558</v>
      </c>
    </row>
    <row r="1053" spans="1:14" x14ac:dyDescent="0.3">
      <c r="A1053" s="6">
        <v>45733</v>
      </c>
      <c r="B1053" s="1" t="s">
        <v>1237</v>
      </c>
      <c r="C1053" s="1" t="s">
        <v>28</v>
      </c>
      <c r="D1053" t="s">
        <v>30</v>
      </c>
      <c r="E1053" t="s">
        <v>302</v>
      </c>
      <c r="F1053" t="s">
        <v>16</v>
      </c>
      <c r="G1053" t="s">
        <v>15</v>
      </c>
      <c r="H1053" s="3">
        <v>5</v>
      </c>
      <c r="I1053" s="3">
        <v>52439.999999999993</v>
      </c>
      <c r="J1053" s="3">
        <v>262199.99999999994</v>
      </c>
      <c r="K1053" s="3">
        <v>38000</v>
      </c>
      <c r="L1053" s="3">
        <v>190000</v>
      </c>
      <c r="M1053" s="3">
        <v>72199.999999999942</v>
      </c>
      <c r="N1053" s="4">
        <v>0.27536231884057955</v>
      </c>
    </row>
    <row r="1054" spans="1:14" x14ac:dyDescent="0.3">
      <c r="A1054" s="6">
        <v>45733</v>
      </c>
      <c r="B1054" s="1" t="s">
        <v>1238</v>
      </c>
      <c r="C1054" s="1" t="s">
        <v>26</v>
      </c>
      <c r="D1054" t="s">
        <v>31</v>
      </c>
      <c r="E1054" t="s">
        <v>263</v>
      </c>
      <c r="F1054" t="s">
        <v>21</v>
      </c>
      <c r="G1054" t="s">
        <v>20</v>
      </c>
      <c r="H1054" s="3">
        <v>9</v>
      </c>
      <c r="I1054" s="3">
        <v>756</v>
      </c>
      <c r="J1054" s="3">
        <v>6804</v>
      </c>
      <c r="K1054" s="3">
        <v>600</v>
      </c>
      <c r="L1054" s="3">
        <v>5400</v>
      </c>
      <c r="M1054" s="3">
        <v>1404</v>
      </c>
      <c r="N1054" s="4">
        <v>0.20634920634920634</v>
      </c>
    </row>
    <row r="1055" spans="1:14" x14ac:dyDescent="0.3">
      <c r="A1055" s="6">
        <v>45733</v>
      </c>
      <c r="B1055" s="1" t="s">
        <v>1239</v>
      </c>
      <c r="C1055" s="1" t="s">
        <v>28</v>
      </c>
      <c r="D1055" t="s">
        <v>33</v>
      </c>
      <c r="E1055" t="s">
        <v>108</v>
      </c>
      <c r="F1055" t="s">
        <v>19</v>
      </c>
      <c r="G1055" t="s">
        <v>20</v>
      </c>
      <c r="H1055" s="3">
        <v>4</v>
      </c>
      <c r="I1055" s="3">
        <v>1125</v>
      </c>
      <c r="J1055" s="3">
        <v>4500</v>
      </c>
      <c r="K1055" s="3">
        <v>900</v>
      </c>
      <c r="L1055" s="3">
        <v>3600</v>
      </c>
      <c r="M1055" s="3">
        <v>900</v>
      </c>
      <c r="N1055" s="4">
        <v>0.2</v>
      </c>
    </row>
    <row r="1056" spans="1:14" x14ac:dyDescent="0.3">
      <c r="A1056" s="6">
        <v>45733</v>
      </c>
      <c r="B1056" s="1" t="s">
        <v>1240</v>
      </c>
      <c r="C1056" s="1" t="s">
        <v>26</v>
      </c>
      <c r="D1056" t="s">
        <v>35</v>
      </c>
      <c r="E1056" t="s">
        <v>342</v>
      </c>
      <c r="F1056" t="s">
        <v>16</v>
      </c>
      <c r="G1056" t="s">
        <v>15</v>
      </c>
      <c r="H1056" s="3">
        <v>2</v>
      </c>
      <c r="I1056" s="3">
        <v>45980</v>
      </c>
      <c r="J1056" s="3">
        <v>91960</v>
      </c>
      <c r="K1056" s="3">
        <v>38000</v>
      </c>
      <c r="L1056" s="3">
        <v>76000</v>
      </c>
      <c r="M1056" s="3">
        <v>15960</v>
      </c>
      <c r="N1056" s="4">
        <v>0.17355371900826447</v>
      </c>
    </row>
    <row r="1057" spans="1:14" x14ac:dyDescent="0.3">
      <c r="A1057" s="6">
        <v>45733</v>
      </c>
      <c r="B1057" s="1" t="s">
        <v>1241</v>
      </c>
      <c r="C1057" s="1" t="s">
        <v>27</v>
      </c>
      <c r="D1057" t="s">
        <v>31</v>
      </c>
      <c r="E1057" t="s">
        <v>88</v>
      </c>
      <c r="F1057" t="s">
        <v>16</v>
      </c>
      <c r="G1057" t="s">
        <v>15</v>
      </c>
      <c r="H1057" s="3">
        <v>10</v>
      </c>
      <c r="I1057" s="3">
        <v>49780</v>
      </c>
      <c r="J1057" s="3">
        <v>497800</v>
      </c>
      <c r="K1057" s="3">
        <v>38000</v>
      </c>
      <c r="L1057" s="3">
        <v>380000</v>
      </c>
      <c r="M1057" s="3">
        <v>117800</v>
      </c>
      <c r="N1057" s="4">
        <v>0.23664122137404581</v>
      </c>
    </row>
    <row r="1058" spans="1:14" x14ac:dyDescent="0.3">
      <c r="A1058" s="6">
        <v>45733</v>
      </c>
      <c r="B1058" s="1" t="s">
        <v>1242</v>
      </c>
      <c r="C1058" s="1" t="s">
        <v>26</v>
      </c>
      <c r="D1058" t="s">
        <v>35</v>
      </c>
      <c r="E1058" t="s">
        <v>508</v>
      </c>
      <c r="F1058" t="s">
        <v>17</v>
      </c>
      <c r="G1058" t="s">
        <v>18</v>
      </c>
      <c r="H1058" s="3">
        <v>6</v>
      </c>
      <c r="I1058" s="3">
        <v>10285</v>
      </c>
      <c r="J1058" s="3">
        <v>61710</v>
      </c>
      <c r="K1058" s="3">
        <v>8500</v>
      </c>
      <c r="L1058" s="3">
        <v>51000</v>
      </c>
      <c r="M1058" s="3">
        <v>10710</v>
      </c>
      <c r="N1058" s="4">
        <v>0.17355371900826447</v>
      </c>
    </row>
    <row r="1059" spans="1:14" x14ac:dyDescent="0.3">
      <c r="A1059" s="6">
        <v>45733</v>
      </c>
      <c r="B1059" s="1" t="s">
        <v>1243</v>
      </c>
      <c r="C1059" s="1" t="s">
        <v>29</v>
      </c>
      <c r="D1059" t="s">
        <v>34</v>
      </c>
      <c r="E1059" t="s">
        <v>369</v>
      </c>
      <c r="F1059" t="s">
        <v>23</v>
      </c>
      <c r="G1059" t="s">
        <v>25</v>
      </c>
      <c r="H1059" s="3">
        <v>2</v>
      </c>
      <c r="I1059" s="3">
        <v>3968</v>
      </c>
      <c r="J1059" s="3">
        <v>7936</v>
      </c>
      <c r="K1059" s="3">
        <v>3200</v>
      </c>
      <c r="L1059" s="3">
        <v>6400</v>
      </c>
      <c r="M1059" s="3">
        <v>1536</v>
      </c>
      <c r="N1059" s="4">
        <v>0.19354838709677419</v>
      </c>
    </row>
    <row r="1060" spans="1:14" x14ac:dyDescent="0.3">
      <c r="A1060" s="6">
        <v>45733</v>
      </c>
      <c r="B1060" s="1" t="s">
        <v>1244</v>
      </c>
      <c r="C1060" s="1" t="s">
        <v>28</v>
      </c>
      <c r="D1060" t="s">
        <v>30</v>
      </c>
      <c r="E1060" t="s">
        <v>442</v>
      </c>
      <c r="F1060" t="s">
        <v>16</v>
      </c>
      <c r="G1060" t="s">
        <v>15</v>
      </c>
      <c r="H1060" s="3">
        <v>2</v>
      </c>
      <c r="I1060" s="3">
        <v>46740</v>
      </c>
      <c r="J1060" s="3">
        <v>93480</v>
      </c>
      <c r="K1060" s="3">
        <v>38000</v>
      </c>
      <c r="L1060" s="3">
        <v>76000</v>
      </c>
      <c r="M1060" s="3">
        <v>17480</v>
      </c>
      <c r="N1060" s="4">
        <v>0.18699186991869918</v>
      </c>
    </row>
    <row r="1061" spans="1:14" x14ac:dyDescent="0.3">
      <c r="A1061" s="6">
        <v>45733</v>
      </c>
      <c r="B1061" s="1" t="s">
        <v>1245</v>
      </c>
      <c r="C1061" s="1" t="s">
        <v>27</v>
      </c>
      <c r="D1061" t="s">
        <v>31</v>
      </c>
      <c r="E1061" t="s">
        <v>49</v>
      </c>
      <c r="F1061" t="s">
        <v>21</v>
      </c>
      <c r="G1061" t="s">
        <v>20</v>
      </c>
      <c r="H1061" s="3">
        <v>9</v>
      </c>
      <c r="I1061" s="3">
        <v>780</v>
      </c>
      <c r="J1061" s="3">
        <v>7020</v>
      </c>
      <c r="K1061" s="3">
        <v>600</v>
      </c>
      <c r="L1061" s="3">
        <v>5400</v>
      </c>
      <c r="M1061" s="3">
        <v>1620</v>
      </c>
      <c r="N1061" s="4">
        <v>0.23076923076923078</v>
      </c>
    </row>
    <row r="1062" spans="1:14" x14ac:dyDescent="0.3">
      <c r="A1062" s="6">
        <v>45733</v>
      </c>
      <c r="B1062" s="1" t="s">
        <v>1246</v>
      </c>
      <c r="C1062" s="1" t="s">
        <v>26</v>
      </c>
      <c r="D1062" t="s">
        <v>33</v>
      </c>
      <c r="E1062" t="s">
        <v>108</v>
      </c>
      <c r="F1062" t="s">
        <v>16</v>
      </c>
      <c r="G1062" t="s">
        <v>15</v>
      </c>
      <c r="H1062" s="3">
        <v>8</v>
      </c>
      <c r="I1062" s="3">
        <v>46740</v>
      </c>
      <c r="J1062" s="3">
        <v>373920</v>
      </c>
      <c r="K1062" s="3">
        <v>38000</v>
      </c>
      <c r="L1062" s="3">
        <v>304000</v>
      </c>
      <c r="M1062" s="3">
        <v>69920</v>
      </c>
      <c r="N1062" s="4">
        <v>0.18699186991869918</v>
      </c>
    </row>
    <row r="1063" spans="1:14" x14ac:dyDescent="0.3">
      <c r="A1063" s="6">
        <v>45733</v>
      </c>
      <c r="B1063" s="1" t="s">
        <v>1247</v>
      </c>
      <c r="C1063" s="1" t="s">
        <v>28</v>
      </c>
      <c r="D1063" t="s">
        <v>34</v>
      </c>
      <c r="E1063" t="s">
        <v>175</v>
      </c>
      <c r="F1063" t="s">
        <v>17</v>
      </c>
      <c r="G1063" t="s">
        <v>18</v>
      </c>
      <c r="H1063" s="3">
        <v>4</v>
      </c>
      <c r="I1063" s="3">
        <v>11985</v>
      </c>
      <c r="J1063" s="3">
        <v>47940</v>
      </c>
      <c r="K1063" s="3">
        <v>8500</v>
      </c>
      <c r="L1063" s="3">
        <v>34000</v>
      </c>
      <c r="M1063" s="3">
        <v>13940</v>
      </c>
      <c r="N1063" s="4">
        <v>0.29078014184397161</v>
      </c>
    </row>
    <row r="1064" spans="1:14" x14ac:dyDescent="0.3">
      <c r="A1064" s="6">
        <v>45734</v>
      </c>
      <c r="B1064" s="1" t="s">
        <v>1248</v>
      </c>
      <c r="C1064" s="1" t="s">
        <v>29</v>
      </c>
      <c r="D1064" t="s">
        <v>32</v>
      </c>
      <c r="E1064" t="s">
        <v>106</v>
      </c>
      <c r="F1064" t="s">
        <v>16</v>
      </c>
      <c r="G1064" t="s">
        <v>15</v>
      </c>
      <c r="H1064" s="3">
        <v>8</v>
      </c>
      <c r="I1064" s="3">
        <v>45980</v>
      </c>
      <c r="J1064" s="3">
        <v>367840</v>
      </c>
      <c r="K1064" s="3">
        <v>38000</v>
      </c>
      <c r="L1064" s="3">
        <v>304000</v>
      </c>
      <c r="M1064" s="3">
        <v>63840</v>
      </c>
      <c r="N1064" s="4">
        <v>0.17355371900826447</v>
      </c>
    </row>
    <row r="1065" spans="1:14" x14ac:dyDescent="0.3">
      <c r="A1065" s="6">
        <v>45734</v>
      </c>
      <c r="B1065" s="1" t="s">
        <v>1249</v>
      </c>
      <c r="C1065" s="1" t="s">
        <v>28</v>
      </c>
      <c r="D1065" t="s">
        <v>30</v>
      </c>
      <c r="E1065" t="s">
        <v>61</v>
      </c>
      <c r="F1065" t="s">
        <v>23</v>
      </c>
      <c r="G1065" t="s">
        <v>25</v>
      </c>
      <c r="H1065" s="3">
        <v>2</v>
      </c>
      <c r="I1065" s="3">
        <v>4576</v>
      </c>
      <c r="J1065" s="3">
        <v>9152</v>
      </c>
      <c r="K1065" s="3">
        <v>3200</v>
      </c>
      <c r="L1065" s="3">
        <v>6400</v>
      </c>
      <c r="M1065" s="3">
        <v>2752</v>
      </c>
      <c r="N1065" s="4">
        <v>0.30069930069930068</v>
      </c>
    </row>
    <row r="1066" spans="1:14" x14ac:dyDescent="0.3">
      <c r="A1066" s="6">
        <v>45734</v>
      </c>
      <c r="B1066" s="1" t="s">
        <v>1250</v>
      </c>
      <c r="C1066" s="1" t="s">
        <v>27</v>
      </c>
      <c r="D1066" t="s">
        <v>35</v>
      </c>
      <c r="E1066" t="s">
        <v>431</v>
      </c>
      <c r="F1066" t="s">
        <v>23</v>
      </c>
      <c r="G1066" t="s">
        <v>25</v>
      </c>
      <c r="H1066" s="3">
        <v>4</v>
      </c>
      <c r="I1066" s="3">
        <v>4544</v>
      </c>
      <c r="J1066" s="3">
        <v>18176</v>
      </c>
      <c r="K1066" s="3">
        <v>3200</v>
      </c>
      <c r="L1066" s="3">
        <v>12800</v>
      </c>
      <c r="M1066" s="3">
        <v>5376</v>
      </c>
      <c r="N1066" s="4">
        <v>0.29577464788732394</v>
      </c>
    </row>
    <row r="1067" spans="1:14" x14ac:dyDescent="0.3">
      <c r="A1067" s="6">
        <v>45734</v>
      </c>
      <c r="B1067" s="1" t="s">
        <v>1251</v>
      </c>
      <c r="C1067" s="1" t="s">
        <v>26</v>
      </c>
      <c r="D1067" t="s">
        <v>30</v>
      </c>
      <c r="E1067" t="s">
        <v>112</v>
      </c>
      <c r="F1067" t="s">
        <v>22</v>
      </c>
      <c r="G1067" t="s">
        <v>18</v>
      </c>
      <c r="H1067" s="3">
        <v>4</v>
      </c>
      <c r="I1067" s="3">
        <v>8680</v>
      </c>
      <c r="J1067" s="3">
        <v>34720</v>
      </c>
      <c r="K1067" s="3">
        <v>7000</v>
      </c>
      <c r="L1067" s="3">
        <v>28000</v>
      </c>
      <c r="M1067" s="3">
        <v>6720</v>
      </c>
      <c r="N1067" s="4">
        <v>0.19354838709677419</v>
      </c>
    </row>
    <row r="1068" spans="1:14" x14ac:dyDescent="0.3">
      <c r="A1068" s="6">
        <v>45734</v>
      </c>
      <c r="B1068" s="1" t="s">
        <v>1252</v>
      </c>
      <c r="C1068" s="1" t="s">
        <v>28</v>
      </c>
      <c r="D1068" t="s">
        <v>32</v>
      </c>
      <c r="E1068" t="s">
        <v>302</v>
      </c>
      <c r="F1068" t="s">
        <v>16</v>
      </c>
      <c r="G1068" t="s">
        <v>15</v>
      </c>
      <c r="H1068" s="3">
        <v>6</v>
      </c>
      <c r="I1068" s="3">
        <v>52820.000000000007</v>
      </c>
      <c r="J1068" s="3">
        <v>316920.00000000006</v>
      </c>
      <c r="K1068" s="3">
        <v>38000</v>
      </c>
      <c r="L1068" s="3">
        <v>228000</v>
      </c>
      <c r="M1068" s="3">
        <v>88920.000000000058</v>
      </c>
      <c r="N1068" s="4">
        <v>0.28057553956834547</v>
      </c>
    </row>
    <row r="1069" spans="1:14" x14ac:dyDescent="0.3">
      <c r="A1069" s="6">
        <v>45734</v>
      </c>
      <c r="B1069" s="1" t="s">
        <v>1253</v>
      </c>
      <c r="C1069" s="1" t="s">
        <v>28</v>
      </c>
      <c r="D1069" t="s">
        <v>34</v>
      </c>
      <c r="E1069" t="s">
        <v>357</v>
      </c>
      <c r="F1069" t="s">
        <v>22</v>
      </c>
      <c r="G1069" t="s">
        <v>18</v>
      </c>
      <c r="H1069" s="3">
        <v>3</v>
      </c>
      <c r="I1069" s="3">
        <v>8820</v>
      </c>
      <c r="J1069" s="3">
        <v>26460</v>
      </c>
      <c r="K1069" s="3">
        <v>7000</v>
      </c>
      <c r="L1069" s="3">
        <v>21000</v>
      </c>
      <c r="M1069" s="3">
        <v>5460</v>
      </c>
      <c r="N1069" s="4">
        <v>0.20634920634920634</v>
      </c>
    </row>
    <row r="1070" spans="1:14" x14ac:dyDescent="0.3">
      <c r="A1070" s="6">
        <v>45734</v>
      </c>
      <c r="B1070" s="1" t="s">
        <v>1254</v>
      </c>
      <c r="C1070" s="1" t="s">
        <v>27</v>
      </c>
      <c r="D1070" t="s">
        <v>31</v>
      </c>
      <c r="E1070" t="s">
        <v>118</v>
      </c>
      <c r="F1070" t="s">
        <v>14</v>
      </c>
      <c r="G1070" t="s">
        <v>15</v>
      </c>
      <c r="H1070" s="3">
        <v>1</v>
      </c>
      <c r="I1070" s="3">
        <v>57150</v>
      </c>
      <c r="J1070" s="3">
        <v>57150</v>
      </c>
      <c r="K1070" s="3">
        <v>45000</v>
      </c>
      <c r="L1070" s="3">
        <v>45000</v>
      </c>
      <c r="M1070" s="3">
        <v>12150</v>
      </c>
      <c r="N1070" s="4">
        <v>0.2125984251968504</v>
      </c>
    </row>
    <row r="1071" spans="1:14" x14ac:dyDescent="0.3">
      <c r="A1071" s="6">
        <v>45734</v>
      </c>
      <c r="B1071" s="1" t="s">
        <v>1255</v>
      </c>
      <c r="C1071" s="1" t="s">
        <v>27</v>
      </c>
      <c r="D1071" t="s">
        <v>35</v>
      </c>
      <c r="E1071" t="s">
        <v>153</v>
      </c>
      <c r="F1071" t="s">
        <v>17</v>
      </c>
      <c r="G1071" t="s">
        <v>18</v>
      </c>
      <c r="H1071" s="3">
        <v>8</v>
      </c>
      <c r="I1071" s="3">
        <v>11900</v>
      </c>
      <c r="J1071" s="3">
        <v>95200</v>
      </c>
      <c r="K1071" s="3">
        <v>8500</v>
      </c>
      <c r="L1071" s="3">
        <v>68000</v>
      </c>
      <c r="M1071" s="3">
        <v>27200</v>
      </c>
      <c r="N1071" s="4">
        <v>0.2857142857142857</v>
      </c>
    </row>
    <row r="1072" spans="1:14" x14ac:dyDescent="0.3">
      <c r="A1072" s="6">
        <v>45734</v>
      </c>
      <c r="B1072" s="1" t="s">
        <v>1256</v>
      </c>
      <c r="C1072" s="1" t="s">
        <v>29</v>
      </c>
      <c r="D1072" t="s">
        <v>34</v>
      </c>
      <c r="E1072" t="s">
        <v>286</v>
      </c>
      <c r="F1072" t="s">
        <v>14</v>
      </c>
      <c r="G1072" t="s">
        <v>15</v>
      </c>
      <c r="H1072" s="3">
        <v>1</v>
      </c>
      <c r="I1072" s="3">
        <v>65250</v>
      </c>
      <c r="J1072" s="3">
        <v>65250</v>
      </c>
      <c r="K1072" s="3">
        <v>45000</v>
      </c>
      <c r="L1072" s="3">
        <v>45000</v>
      </c>
      <c r="M1072" s="3">
        <v>20250</v>
      </c>
      <c r="N1072" s="4">
        <v>0.31034482758620691</v>
      </c>
    </row>
    <row r="1073" spans="1:14" x14ac:dyDescent="0.3">
      <c r="A1073" s="6">
        <v>45734</v>
      </c>
      <c r="B1073" s="1" t="s">
        <v>1257</v>
      </c>
      <c r="C1073" s="1" t="s">
        <v>29</v>
      </c>
      <c r="D1073" t="s">
        <v>31</v>
      </c>
      <c r="E1073" t="s">
        <v>169</v>
      </c>
      <c r="F1073" t="s">
        <v>16</v>
      </c>
      <c r="G1073" t="s">
        <v>15</v>
      </c>
      <c r="H1073" s="3">
        <v>5</v>
      </c>
      <c r="I1073" s="3">
        <v>55100</v>
      </c>
      <c r="J1073" s="3">
        <v>275500</v>
      </c>
      <c r="K1073" s="3">
        <v>38000</v>
      </c>
      <c r="L1073" s="3">
        <v>190000</v>
      </c>
      <c r="M1073" s="3">
        <v>85500</v>
      </c>
      <c r="N1073" s="4">
        <v>0.31034482758620691</v>
      </c>
    </row>
    <row r="1074" spans="1:14" x14ac:dyDescent="0.3">
      <c r="A1074" s="6">
        <v>45734</v>
      </c>
      <c r="B1074" s="1" t="s">
        <v>1258</v>
      </c>
      <c r="C1074" s="1" t="s">
        <v>27</v>
      </c>
      <c r="D1074" t="s">
        <v>33</v>
      </c>
      <c r="E1074" t="s">
        <v>506</v>
      </c>
      <c r="F1074" t="s">
        <v>14</v>
      </c>
      <c r="G1074" t="s">
        <v>15</v>
      </c>
      <c r="H1074" s="3">
        <v>10</v>
      </c>
      <c r="I1074" s="3">
        <v>57600</v>
      </c>
      <c r="J1074" s="3">
        <v>576000</v>
      </c>
      <c r="K1074" s="3">
        <v>45000</v>
      </c>
      <c r="L1074" s="3">
        <v>450000</v>
      </c>
      <c r="M1074" s="3">
        <v>126000</v>
      </c>
      <c r="N1074" s="4">
        <v>0.21875</v>
      </c>
    </row>
    <row r="1075" spans="1:14" x14ac:dyDescent="0.3">
      <c r="A1075" s="6">
        <v>45734</v>
      </c>
      <c r="B1075" s="1" t="s">
        <v>1259</v>
      </c>
      <c r="C1075" s="1" t="s">
        <v>26</v>
      </c>
      <c r="D1075" t="s">
        <v>34</v>
      </c>
      <c r="E1075" t="s">
        <v>355</v>
      </c>
      <c r="F1075" t="s">
        <v>23</v>
      </c>
      <c r="G1075" t="s">
        <v>25</v>
      </c>
      <c r="H1075" s="3">
        <v>6</v>
      </c>
      <c r="I1075" s="3">
        <v>4288</v>
      </c>
      <c r="J1075" s="3">
        <v>25728</v>
      </c>
      <c r="K1075" s="3">
        <v>3200</v>
      </c>
      <c r="L1075" s="3">
        <v>19200</v>
      </c>
      <c r="M1075" s="3">
        <v>6528</v>
      </c>
      <c r="N1075" s="4">
        <v>0.2537313432835821</v>
      </c>
    </row>
    <row r="1076" spans="1:14" x14ac:dyDescent="0.3">
      <c r="A1076" s="6">
        <v>45734</v>
      </c>
      <c r="B1076" s="1" t="s">
        <v>1260</v>
      </c>
      <c r="C1076" s="1" t="s">
        <v>29</v>
      </c>
      <c r="D1076" t="s">
        <v>31</v>
      </c>
      <c r="E1076" t="s">
        <v>108</v>
      </c>
      <c r="F1076" t="s">
        <v>17</v>
      </c>
      <c r="G1076" t="s">
        <v>18</v>
      </c>
      <c r="H1076" s="3">
        <v>9</v>
      </c>
      <c r="I1076" s="3">
        <v>10625</v>
      </c>
      <c r="J1076" s="3">
        <v>95625</v>
      </c>
      <c r="K1076" s="3">
        <v>8500</v>
      </c>
      <c r="L1076" s="3">
        <v>76500</v>
      </c>
      <c r="M1076" s="3">
        <v>19125</v>
      </c>
      <c r="N1076" s="4">
        <v>0.2</v>
      </c>
    </row>
    <row r="1077" spans="1:14" x14ac:dyDescent="0.3">
      <c r="A1077" s="6">
        <v>45734</v>
      </c>
      <c r="B1077" s="1" t="s">
        <v>1261</v>
      </c>
      <c r="C1077" s="1" t="s">
        <v>28</v>
      </c>
      <c r="D1077" t="s">
        <v>34</v>
      </c>
      <c r="E1077" t="s">
        <v>361</v>
      </c>
      <c r="F1077" t="s">
        <v>24</v>
      </c>
      <c r="G1077" t="s">
        <v>25</v>
      </c>
      <c r="H1077" s="3">
        <v>3</v>
      </c>
      <c r="I1077" s="3">
        <v>3150</v>
      </c>
      <c r="J1077" s="3">
        <v>9450</v>
      </c>
      <c r="K1077" s="3">
        <v>2500</v>
      </c>
      <c r="L1077" s="3">
        <v>7500</v>
      </c>
      <c r="M1077" s="3">
        <v>1950</v>
      </c>
      <c r="N1077" s="4">
        <v>0.20634920634920634</v>
      </c>
    </row>
    <row r="1078" spans="1:14" x14ac:dyDescent="0.3">
      <c r="A1078" s="6">
        <v>45735</v>
      </c>
      <c r="B1078" s="1" t="s">
        <v>1262</v>
      </c>
      <c r="C1078" s="1" t="s">
        <v>26</v>
      </c>
      <c r="D1078" t="s">
        <v>34</v>
      </c>
      <c r="E1078" t="s">
        <v>698</v>
      </c>
      <c r="F1078" t="s">
        <v>19</v>
      </c>
      <c r="G1078" t="s">
        <v>20</v>
      </c>
      <c r="H1078" s="3">
        <v>1</v>
      </c>
      <c r="I1078" s="3">
        <v>1179</v>
      </c>
      <c r="J1078" s="3">
        <v>1179</v>
      </c>
      <c r="K1078" s="3">
        <v>900</v>
      </c>
      <c r="L1078" s="3">
        <v>900</v>
      </c>
      <c r="M1078" s="3">
        <v>279</v>
      </c>
      <c r="N1078" s="4">
        <v>0.23664122137404581</v>
      </c>
    </row>
    <row r="1079" spans="1:14" x14ac:dyDescent="0.3">
      <c r="A1079" s="6">
        <v>45735</v>
      </c>
      <c r="B1079" s="1" t="s">
        <v>1263</v>
      </c>
      <c r="C1079" s="1" t="s">
        <v>29</v>
      </c>
      <c r="D1079" t="s">
        <v>32</v>
      </c>
      <c r="E1079" t="s">
        <v>263</v>
      </c>
      <c r="F1079" t="s">
        <v>21</v>
      </c>
      <c r="G1079" t="s">
        <v>20</v>
      </c>
      <c r="H1079" s="3">
        <v>5</v>
      </c>
      <c r="I1079" s="3">
        <v>750</v>
      </c>
      <c r="J1079" s="3">
        <v>3750</v>
      </c>
      <c r="K1079" s="3">
        <v>600</v>
      </c>
      <c r="L1079" s="3">
        <v>3000</v>
      </c>
      <c r="M1079" s="3">
        <v>750</v>
      </c>
      <c r="N1079" s="4">
        <v>0.2</v>
      </c>
    </row>
    <row r="1080" spans="1:14" x14ac:dyDescent="0.3">
      <c r="A1080" s="6">
        <v>45735</v>
      </c>
      <c r="B1080" s="1" t="s">
        <v>1264</v>
      </c>
      <c r="C1080" s="1" t="s">
        <v>26</v>
      </c>
      <c r="D1080" t="s">
        <v>33</v>
      </c>
      <c r="E1080" t="s">
        <v>582</v>
      </c>
      <c r="F1080" t="s">
        <v>14</v>
      </c>
      <c r="G1080" t="s">
        <v>15</v>
      </c>
      <c r="H1080" s="3">
        <v>6</v>
      </c>
      <c r="I1080" s="3">
        <v>56700</v>
      </c>
      <c r="J1080" s="3">
        <v>340200</v>
      </c>
      <c r="K1080" s="3">
        <v>45000</v>
      </c>
      <c r="L1080" s="3">
        <v>270000</v>
      </c>
      <c r="M1080" s="3">
        <v>70200</v>
      </c>
      <c r="N1080" s="4">
        <v>0.20634920634920634</v>
      </c>
    </row>
    <row r="1081" spans="1:14" x14ac:dyDescent="0.3">
      <c r="A1081" s="6">
        <v>45735</v>
      </c>
      <c r="B1081" s="1" t="s">
        <v>1265</v>
      </c>
      <c r="C1081" s="1" t="s">
        <v>28</v>
      </c>
      <c r="D1081" t="s">
        <v>34</v>
      </c>
      <c r="E1081" t="s">
        <v>41</v>
      </c>
      <c r="F1081" t="s">
        <v>21</v>
      </c>
      <c r="G1081" t="s">
        <v>20</v>
      </c>
      <c r="H1081" s="3">
        <v>4</v>
      </c>
      <c r="I1081" s="3">
        <v>768</v>
      </c>
      <c r="J1081" s="3">
        <v>3072</v>
      </c>
      <c r="K1081" s="3">
        <v>600</v>
      </c>
      <c r="L1081" s="3">
        <v>2400</v>
      </c>
      <c r="M1081" s="3">
        <v>672</v>
      </c>
      <c r="N1081" s="4">
        <v>0.21875</v>
      </c>
    </row>
    <row r="1082" spans="1:14" x14ac:dyDescent="0.3">
      <c r="A1082" s="6">
        <v>45735</v>
      </c>
      <c r="B1082" s="1" t="s">
        <v>1266</v>
      </c>
      <c r="C1082" s="1" t="s">
        <v>29</v>
      </c>
      <c r="D1082" t="s">
        <v>31</v>
      </c>
      <c r="E1082" t="s">
        <v>317</v>
      </c>
      <c r="F1082" t="s">
        <v>22</v>
      </c>
      <c r="G1082" t="s">
        <v>18</v>
      </c>
      <c r="H1082" s="3">
        <v>7</v>
      </c>
      <c r="I1082" s="3">
        <v>9240</v>
      </c>
      <c r="J1082" s="3">
        <v>64680</v>
      </c>
      <c r="K1082" s="3">
        <v>7000</v>
      </c>
      <c r="L1082" s="3">
        <v>49000</v>
      </c>
      <c r="M1082" s="3">
        <v>15680</v>
      </c>
      <c r="N1082" s="4">
        <v>0.24242424242424243</v>
      </c>
    </row>
    <row r="1083" spans="1:14" x14ac:dyDescent="0.3">
      <c r="A1083" s="6">
        <v>45735</v>
      </c>
      <c r="B1083" s="1" t="s">
        <v>1267</v>
      </c>
      <c r="C1083" s="1" t="s">
        <v>29</v>
      </c>
      <c r="D1083" t="s">
        <v>32</v>
      </c>
      <c r="E1083" t="s">
        <v>184</v>
      </c>
      <c r="F1083" t="s">
        <v>14</v>
      </c>
      <c r="G1083" t="s">
        <v>15</v>
      </c>
      <c r="H1083" s="3">
        <v>2</v>
      </c>
      <c r="I1083" s="3">
        <v>57600</v>
      </c>
      <c r="J1083" s="3">
        <v>115200</v>
      </c>
      <c r="K1083" s="3">
        <v>45000</v>
      </c>
      <c r="L1083" s="3">
        <v>90000</v>
      </c>
      <c r="M1083" s="3">
        <v>25200</v>
      </c>
      <c r="N1083" s="4">
        <v>0.21875</v>
      </c>
    </row>
    <row r="1084" spans="1:14" x14ac:dyDescent="0.3">
      <c r="A1084" s="6">
        <v>45735</v>
      </c>
      <c r="B1084" s="1" t="s">
        <v>1268</v>
      </c>
      <c r="C1084" s="1" t="s">
        <v>28</v>
      </c>
      <c r="D1084" t="s">
        <v>31</v>
      </c>
      <c r="E1084" t="s">
        <v>280</v>
      </c>
      <c r="F1084" t="s">
        <v>21</v>
      </c>
      <c r="G1084" t="s">
        <v>20</v>
      </c>
      <c r="H1084" s="3">
        <v>7</v>
      </c>
      <c r="I1084" s="3">
        <v>815.99999999999989</v>
      </c>
      <c r="J1084" s="3">
        <v>5711.9999999999991</v>
      </c>
      <c r="K1084" s="3">
        <v>600</v>
      </c>
      <c r="L1084" s="3">
        <v>4200</v>
      </c>
      <c r="M1084" s="3">
        <v>1511.9999999999991</v>
      </c>
      <c r="N1084" s="4">
        <v>0.26470588235294107</v>
      </c>
    </row>
    <row r="1085" spans="1:14" x14ac:dyDescent="0.3">
      <c r="A1085" s="6">
        <v>45735</v>
      </c>
      <c r="B1085" s="1" t="s">
        <v>1269</v>
      </c>
      <c r="C1085" s="1" t="s">
        <v>26</v>
      </c>
      <c r="D1085" t="s">
        <v>30</v>
      </c>
      <c r="E1085" t="s">
        <v>576</v>
      </c>
      <c r="F1085" t="s">
        <v>16</v>
      </c>
      <c r="G1085" t="s">
        <v>15</v>
      </c>
      <c r="H1085" s="3">
        <v>8</v>
      </c>
      <c r="I1085" s="3">
        <v>49400</v>
      </c>
      <c r="J1085" s="3">
        <v>395200</v>
      </c>
      <c r="K1085" s="3">
        <v>38000</v>
      </c>
      <c r="L1085" s="3">
        <v>304000</v>
      </c>
      <c r="M1085" s="3">
        <v>91200</v>
      </c>
      <c r="N1085" s="4">
        <v>0.23076923076923078</v>
      </c>
    </row>
    <row r="1086" spans="1:14" x14ac:dyDescent="0.3">
      <c r="A1086" s="6">
        <v>45735</v>
      </c>
      <c r="B1086" s="1" t="s">
        <v>1270</v>
      </c>
      <c r="C1086" s="1" t="s">
        <v>29</v>
      </c>
      <c r="D1086" t="s">
        <v>33</v>
      </c>
      <c r="E1086" t="s">
        <v>355</v>
      </c>
      <c r="F1086" t="s">
        <v>16</v>
      </c>
      <c r="G1086" t="s">
        <v>15</v>
      </c>
      <c r="H1086" s="3">
        <v>2</v>
      </c>
      <c r="I1086" s="3">
        <v>52820.000000000007</v>
      </c>
      <c r="J1086" s="3">
        <v>105640.00000000001</v>
      </c>
      <c r="K1086" s="3">
        <v>38000</v>
      </c>
      <c r="L1086" s="3">
        <v>76000</v>
      </c>
      <c r="M1086" s="3">
        <v>29640.000000000015</v>
      </c>
      <c r="N1086" s="4">
        <v>0.28057553956834541</v>
      </c>
    </row>
    <row r="1087" spans="1:14" x14ac:dyDescent="0.3">
      <c r="A1087" s="6">
        <v>45735</v>
      </c>
      <c r="B1087" s="1" t="s">
        <v>1271</v>
      </c>
      <c r="C1087" s="1" t="s">
        <v>27</v>
      </c>
      <c r="D1087" t="s">
        <v>34</v>
      </c>
      <c r="E1087" t="s">
        <v>206</v>
      </c>
      <c r="F1087" t="s">
        <v>23</v>
      </c>
      <c r="G1087" t="s">
        <v>25</v>
      </c>
      <c r="H1087" s="3">
        <v>9</v>
      </c>
      <c r="I1087" s="3">
        <v>4288</v>
      </c>
      <c r="J1087" s="3">
        <v>38592</v>
      </c>
      <c r="K1087" s="3">
        <v>3200</v>
      </c>
      <c r="L1087" s="3">
        <v>28800</v>
      </c>
      <c r="M1087" s="3">
        <v>9792</v>
      </c>
      <c r="N1087" s="4">
        <v>0.2537313432835821</v>
      </c>
    </row>
    <row r="1088" spans="1:14" x14ac:dyDescent="0.3">
      <c r="A1088" s="6">
        <v>45735</v>
      </c>
      <c r="B1088" s="1" t="s">
        <v>1272</v>
      </c>
      <c r="C1088" s="1" t="s">
        <v>29</v>
      </c>
      <c r="D1088" t="s">
        <v>31</v>
      </c>
      <c r="E1088" t="s">
        <v>565</v>
      </c>
      <c r="F1088" t="s">
        <v>22</v>
      </c>
      <c r="G1088" t="s">
        <v>18</v>
      </c>
      <c r="H1088" s="3">
        <v>8</v>
      </c>
      <c r="I1088" s="3">
        <v>9800</v>
      </c>
      <c r="J1088" s="3">
        <v>78400</v>
      </c>
      <c r="K1088" s="3">
        <v>7000</v>
      </c>
      <c r="L1088" s="3">
        <v>56000</v>
      </c>
      <c r="M1088" s="3">
        <v>22400</v>
      </c>
      <c r="N1088" s="4">
        <v>0.2857142857142857</v>
      </c>
    </row>
    <row r="1089" spans="1:14" x14ac:dyDescent="0.3">
      <c r="A1089" s="6">
        <v>45735</v>
      </c>
      <c r="B1089" s="1" t="s">
        <v>1273</v>
      </c>
      <c r="C1089" s="1" t="s">
        <v>27</v>
      </c>
      <c r="D1089" t="s">
        <v>35</v>
      </c>
      <c r="E1089" t="s">
        <v>57</v>
      </c>
      <c r="F1089" t="s">
        <v>19</v>
      </c>
      <c r="G1089" t="s">
        <v>20</v>
      </c>
      <c r="H1089" s="3">
        <v>3</v>
      </c>
      <c r="I1089" s="3">
        <v>1125</v>
      </c>
      <c r="J1089" s="3">
        <v>3375</v>
      </c>
      <c r="K1089" s="3">
        <v>900</v>
      </c>
      <c r="L1089" s="3">
        <v>2700</v>
      </c>
      <c r="M1089" s="3">
        <v>675</v>
      </c>
      <c r="N1089" s="4">
        <v>0.2</v>
      </c>
    </row>
    <row r="1090" spans="1:14" x14ac:dyDescent="0.3">
      <c r="A1090" s="6">
        <v>45735</v>
      </c>
      <c r="B1090" s="1" t="s">
        <v>1274</v>
      </c>
      <c r="C1090" s="1" t="s">
        <v>29</v>
      </c>
      <c r="D1090" t="s">
        <v>32</v>
      </c>
      <c r="E1090" t="s">
        <v>51</v>
      </c>
      <c r="F1090" t="s">
        <v>21</v>
      </c>
      <c r="G1090" t="s">
        <v>20</v>
      </c>
      <c r="H1090" s="3">
        <v>1</v>
      </c>
      <c r="I1090" s="3">
        <v>792</v>
      </c>
      <c r="J1090" s="3">
        <v>792</v>
      </c>
      <c r="K1090" s="3">
        <v>600</v>
      </c>
      <c r="L1090" s="3">
        <v>600</v>
      </c>
      <c r="M1090" s="3">
        <v>192</v>
      </c>
      <c r="N1090" s="4">
        <v>0.24242424242424243</v>
      </c>
    </row>
    <row r="1091" spans="1:14" x14ac:dyDescent="0.3">
      <c r="A1091" s="6">
        <v>45735</v>
      </c>
      <c r="B1091" s="1" t="s">
        <v>1275</v>
      </c>
      <c r="C1091" s="1" t="s">
        <v>29</v>
      </c>
      <c r="D1091" t="s">
        <v>33</v>
      </c>
      <c r="E1091" t="s">
        <v>166</v>
      </c>
      <c r="F1091" t="s">
        <v>23</v>
      </c>
      <c r="G1091" t="s">
        <v>25</v>
      </c>
      <c r="H1091" s="3">
        <v>5</v>
      </c>
      <c r="I1091" s="3">
        <v>4640</v>
      </c>
      <c r="J1091" s="3">
        <v>23200</v>
      </c>
      <c r="K1091" s="3">
        <v>3200</v>
      </c>
      <c r="L1091" s="3">
        <v>16000</v>
      </c>
      <c r="M1091" s="3">
        <v>7200</v>
      </c>
      <c r="N1091" s="4">
        <v>0.31034482758620691</v>
      </c>
    </row>
    <row r="1092" spans="1:14" x14ac:dyDescent="0.3">
      <c r="A1092" s="6">
        <v>45736</v>
      </c>
      <c r="B1092" s="1" t="s">
        <v>1276</v>
      </c>
      <c r="C1092" s="1" t="s">
        <v>26</v>
      </c>
      <c r="D1092" t="s">
        <v>33</v>
      </c>
      <c r="E1092" t="s">
        <v>442</v>
      </c>
      <c r="F1092" t="s">
        <v>23</v>
      </c>
      <c r="G1092" t="s">
        <v>25</v>
      </c>
      <c r="H1092" s="3">
        <v>3</v>
      </c>
      <c r="I1092" s="3">
        <v>4288</v>
      </c>
      <c r="J1092" s="3">
        <v>12864</v>
      </c>
      <c r="K1092" s="3">
        <v>3200</v>
      </c>
      <c r="L1092" s="3">
        <v>9600</v>
      </c>
      <c r="M1092" s="3">
        <v>3264</v>
      </c>
      <c r="N1092" s="4">
        <v>0.2537313432835821</v>
      </c>
    </row>
    <row r="1093" spans="1:14" x14ac:dyDescent="0.3">
      <c r="A1093" s="6">
        <v>45736</v>
      </c>
      <c r="B1093" s="1" t="s">
        <v>1277</v>
      </c>
      <c r="C1093" s="1" t="s">
        <v>27</v>
      </c>
      <c r="D1093" t="s">
        <v>30</v>
      </c>
      <c r="E1093" t="s">
        <v>116</v>
      </c>
      <c r="F1093" t="s">
        <v>16</v>
      </c>
      <c r="G1093" t="s">
        <v>15</v>
      </c>
      <c r="H1093" s="3">
        <v>6</v>
      </c>
      <c r="I1093" s="3">
        <v>52439.999999999993</v>
      </c>
      <c r="J1093" s="3">
        <v>314639.99999999994</v>
      </c>
      <c r="K1093" s="3">
        <v>38000</v>
      </c>
      <c r="L1093" s="3">
        <v>228000</v>
      </c>
      <c r="M1093" s="3">
        <v>86639.999999999942</v>
      </c>
      <c r="N1093" s="4">
        <v>0.2753623188405796</v>
      </c>
    </row>
    <row r="1094" spans="1:14" x14ac:dyDescent="0.3">
      <c r="A1094" s="6">
        <v>45736</v>
      </c>
      <c r="B1094" s="1" t="s">
        <v>1278</v>
      </c>
      <c r="C1094" s="1" t="s">
        <v>26</v>
      </c>
      <c r="D1094" t="s">
        <v>32</v>
      </c>
      <c r="E1094" t="s">
        <v>37</v>
      </c>
      <c r="F1094" t="s">
        <v>19</v>
      </c>
      <c r="G1094" t="s">
        <v>20</v>
      </c>
      <c r="H1094" s="3">
        <v>6</v>
      </c>
      <c r="I1094" s="3">
        <v>1251</v>
      </c>
      <c r="J1094" s="3">
        <v>7506</v>
      </c>
      <c r="K1094" s="3">
        <v>900</v>
      </c>
      <c r="L1094" s="3">
        <v>5400</v>
      </c>
      <c r="M1094" s="3">
        <v>2106</v>
      </c>
      <c r="N1094" s="4">
        <v>0.2805755395683453</v>
      </c>
    </row>
    <row r="1095" spans="1:14" x14ac:dyDescent="0.3">
      <c r="A1095" s="6">
        <v>45736</v>
      </c>
      <c r="B1095" s="1" t="s">
        <v>1279</v>
      </c>
      <c r="C1095" s="1" t="s">
        <v>29</v>
      </c>
      <c r="D1095" t="s">
        <v>34</v>
      </c>
      <c r="E1095" t="s">
        <v>565</v>
      </c>
      <c r="F1095" t="s">
        <v>16</v>
      </c>
      <c r="G1095" t="s">
        <v>15</v>
      </c>
      <c r="H1095" s="3">
        <v>10</v>
      </c>
      <c r="I1095" s="3">
        <v>45600</v>
      </c>
      <c r="J1095" s="3">
        <v>456000</v>
      </c>
      <c r="K1095" s="3">
        <v>38000</v>
      </c>
      <c r="L1095" s="3">
        <v>380000</v>
      </c>
      <c r="M1095" s="3">
        <v>76000</v>
      </c>
      <c r="N1095" s="4">
        <v>0.16666666666666666</v>
      </c>
    </row>
    <row r="1096" spans="1:14" x14ac:dyDescent="0.3">
      <c r="A1096" s="6">
        <v>45736</v>
      </c>
      <c r="B1096" s="1" t="s">
        <v>1280</v>
      </c>
      <c r="C1096" s="1" t="s">
        <v>26</v>
      </c>
      <c r="D1096" t="s">
        <v>34</v>
      </c>
      <c r="E1096" t="s">
        <v>147</v>
      </c>
      <c r="F1096" t="s">
        <v>22</v>
      </c>
      <c r="G1096" t="s">
        <v>18</v>
      </c>
      <c r="H1096" s="3">
        <v>7</v>
      </c>
      <c r="I1096" s="3">
        <v>8890</v>
      </c>
      <c r="J1096" s="3">
        <v>62230</v>
      </c>
      <c r="K1096" s="3">
        <v>7000</v>
      </c>
      <c r="L1096" s="3">
        <v>49000</v>
      </c>
      <c r="M1096" s="3">
        <v>13230</v>
      </c>
      <c r="N1096" s="4">
        <v>0.2125984251968504</v>
      </c>
    </row>
    <row r="1097" spans="1:14" x14ac:dyDescent="0.3">
      <c r="A1097" s="6">
        <v>45736</v>
      </c>
      <c r="B1097" s="1" t="s">
        <v>1281</v>
      </c>
      <c r="C1097" s="1" t="s">
        <v>28</v>
      </c>
      <c r="D1097" t="s">
        <v>35</v>
      </c>
      <c r="E1097" t="s">
        <v>265</v>
      </c>
      <c r="F1097" t="s">
        <v>21</v>
      </c>
      <c r="G1097" t="s">
        <v>20</v>
      </c>
      <c r="H1097" s="3">
        <v>6</v>
      </c>
      <c r="I1097" s="3">
        <v>738</v>
      </c>
      <c r="J1097" s="3">
        <v>4428</v>
      </c>
      <c r="K1097" s="3">
        <v>600</v>
      </c>
      <c r="L1097" s="3">
        <v>3600</v>
      </c>
      <c r="M1097" s="3">
        <v>828</v>
      </c>
      <c r="N1097" s="4">
        <v>0.18699186991869918</v>
      </c>
    </row>
    <row r="1098" spans="1:14" x14ac:dyDescent="0.3">
      <c r="A1098" s="6">
        <v>45736</v>
      </c>
      <c r="B1098" s="1" t="s">
        <v>1282</v>
      </c>
      <c r="C1098" s="1" t="s">
        <v>27</v>
      </c>
      <c r="D1098" t="s">
        <v>31</v>
      </c>
      <c r="E1098" t="s">
        <v>98</v>
      </c>
      <c r="F1098" t="s">
        <v>22</v>
      </c>
      <c r="G1098" t="s">
        <v>18</v>
      </c>
      <c r="H1098" s="3">
        <v>10</v>
      </c>
      <c r="I1098" s="3">
        <v>9240</v>
      </c>
      <c r="J1098" s="3">
        <v>92400</v>
      </c>
      <c r="K1098" s="3">
        <v>7000</v>
      </c>
      <c r="L1098" s="3">
        <v>70000</v>
      </c>
      <c r="M1098" s="3">
        <v>22400</v>
      </c>
      <c r="N1098" s="4">
        <v>0.24242424242424243</v>
      </c>
    </row>
    <row r="1099" spans="1:14" x14ac:dyDescent="0.3">
      <c r="A1099" s="6">
        <v>45736</v>
      </c>
      <c r="B1099" s="1" t="s">
        <v>1283</v>
      </c>
      <c r="C1099" s="1" t="s">
        <v>27</v>
      </c>
      <c r="D1099" t="s">
        <v>33</v>
      </c>
      <c r="E1099" t="s">
        <v>129</v>
      </c>
      <c r="F1099" t="s">
        <v>24</v>
      </c>
      <c r="G1099" t="s">
        <v>25</v>
      </c>
      <c r="H1099" s="3">
        <v>1</v>
      </c>
      <c r="I1099" s="3">
        <v>3125</v>
      </c>
      <c r="J1099" s="3">
        <v>3125</v>
      </c>
      <c r="K1099" s="3">
        <v>2500</v>
      </c>
      <c r="L1099" s="3">
        <v>2500</v>
      </c>
      <c r="M1099" s="3">
        <v>625</v>
      </c>
      <c r="N1099" s="4">
        <v>0.2</v>
      </c>
    </row>
    <row r="1100" spans="1:14" x14ac:dyDescent="0.3">
      <c r="A1100" s="6">
        <v>45736</v>
      </c>
      <c r="B1100" s="1" t="s">
        <v>1284</v>
      </c>
      <c r="C1100" s="1" t="s">
        <v>29</v>
      </c>
      <c r="D1100" t="s">
        <v>30</v>
      </c>
      <c r="E1100" t="s">
        <v>319</v>
      </c>
      <c r="F1100" t="s">
        <v>24</v>
      </c>
      <c r="G1100" t="s">
        <v>25</v>
      </c>
      <c r="H1100" s="3">
        <v>10</v>
      </c>
      <c r="I1100" s="3">
        <v>3449.9999999999995</v>
      </c>
      <c r="J1100" s="3">
        <v>34499.999999999993</v>
      </c>
      <c r="K1100" s="3">
        <v>2500</v>
      </c>
      <c r="L1100" s="3">
        <v>25000</v>
      </c>
      <c r="M1100" s="3">
        <v>9499.9999999999927</v>
      </c>
      <c r="N1100" s="4">
        <v>0.27536231884057955</v>
      </c>
    </row>
    <row r="1101" spans="1:14" x14ac:dyDescent="0.3">
      <c r="A1101" s="6">
        <v>45736</v>
      </c>
      <c r="B1101" s="1" t="s">
        <v>1285</v>
      </c>
      <c r="C1101" s="1" t="s">
        <v>27</v>
      </c>
      <c r="D1101" t="s">
        <v>30</v>
      </c>
      <c r="E1101" t="s">
        <v>231</v>
      </c>
      <c r="F1101" t="s">
        <v>22</v>
      </c>
      <c r="G1101" t="s">
        <v>18</v>
      </c>
      <c r="H1101" s="3">
        <v>1</v>
      </c>
      <c r="I1101" s="3">
        <v>8750</v>
      </c>
      <c r="J1101" s="3">
        <v>8750</v>
      </c>
      <c r="K1101" s="3">
        <v>7000</v>
      </c>
      <c r="L1101" s="3">
        <v>7000</v>
      </c>
      <c r="M1101" s="3">
        <v>1750</v>
      </c>
      <c r="N1101" s="4">
        <v>0.2</v>
      </c>
    </row>
    <row r="1102" spans="1:14" x14ac:dyDescent="0.3">
      <c r="A1102" s="6">
        <v>45736</v>
      </c>
      <c r="B1102" s="1" t="s">
        <v>1286</v>
      </c>
      <c r="C1102" s="1" t="s">
        <v>27</v>
      </c>
      <c r="D1102" t="s">
        <v>30</v>
      </c>
      <c r="E1102" t="s">
        <v>265</v>
      </c>
      <c r="F1102" t="s">
        <v>23</v>
      </c>
      <c r="G1102" t="s">
        <v>25</v>
      </c>
      <c r="H1102" s="3">
        <v>6</v>
      </c>
      <c r="I1102" s="3">
        <v>4352</v>
      </c>
      <c r="J1102" s="3">
        <v>26112</v>
      </c>
      <c r="K1102" s="3">
        <v>3200</v>
      </c>
      <c r="L1102" s="3">
        <v>19200</v>
      </c>
      <c r="M1102" s="3">
        <v>6912</v>
      </c>
      <c r="N1102" s="4">
        <v>0.26470588235294118</v>
      </c>
    </row>
    <row r="1103" spans="1:14" x14ac:dyDescent="0.3">
      <c r="A1103" s="6">
        <v>45736</v>
      </c>
      <c r="B1103" s="1" t="s">
        <v>1287</v>
      </c>
      <c r="C1103" s="1" t="s">
        <v>27</v>
      </c>
      <c r="D1103" t="s">
        <v>32</v>
      </c>
      <c r="E1103" t="s">
        <v>243</v>
      </c>
      <c r="F1103" t="s">
        <v>16</v>
      </c>
      <c r="G1103" t="s">
        <v>15</v>
      </c>
      <c r="H1103" s="3">
        <v>1</v>
      </c>
      <c r="I1103" s="3">
        <v>50160</v>
      </c>
      <c r="J1103" s="3">
        <v>50160</v>
      </c>
      <c r="K1103" s="3">
        <v>38000</v>
      </c>
      <c r="L1103" s="3">
        <v>38000</v>
      </c>
      <c r="M1103" s="3">
        <v>12160</v>
      </c>
      <c r="N1103" s="4">
        <v>0.24242424242424243</v>
      </c>
    </row>
    <row r="1104" spans="1:14" x14ac:dyDescent="0.3">
      <c r="A1104" s="6">
        <v>45736</v>
      </c>
      <c r="B1104" s="1" t="s">
        <v>1288</v>
      </c>
      <c r="C1104" s="1" t="s">
        <v>27</v>
      </c>
      <c r="D1104" t="s">
        <v>31</v>
      </c>
      <c r="E1104" t="s">
        <v>218</v>
      </c>
      <c r="F1104" t="s">
        <v>14</v>
      </c>
      <c r="G1104" t="s">
        <v>15</v>
      </c>
      <c r="H1104" s="3">
        <v>1</v>
      </c>
      <c r="I1104" s="3">
        <v>55350</v>
      </c>
      <c r="J1104" s="3">
        <v>55350</v>
      </c>
      <c r="K1104" s="3">
        <v>45000</v>
      </c>
      <c r="L1104" s="3">
        <v>45000</v>
      </c>
      <c r="M1104" s="3">
        <v>10350</v>
      </c>
      <c r="N1104" s="4">
        <v>0.18699186991869918</v>
      </c>
    </row>
    <row r="1105" spans="1:14" x14ac:dyDescent="0.3">
      <c r="A1105" s="6">
        <v>45736</v>
      </c>
      <c r="B1105" s="1" t="s">
        <v>1289</v>
      </c>
      <c r="C1105" s="1" t="s">
        <v>29</v>
      </c>
      <c r="D1105" t="s">
        <v>31</v>
      </c>
      <c r="E1105" t="s">
        <v>47</v>
      </c>
      <c r="F1105" t="s">
        <v>16</v>
      </c>
      <c r="G1105" t="s">
        <v>15</v>
      </c>
      <c r="H1105" s="3">
        <v>2</v>
      </c>
      <c r="I1105" s="3">
        <v>51300</v>
      </c>
      <c r="J1105" s="3">
        <v>102600</v>
      </c>
      <c r="K1105" s="3">
        <v>38000</v>
      </c>
      <c r="L1105" s="3">
        <v>76000</v>
      </c>
      <c r="M1105" s="3">
        <v>26600</v>
      </c>
      <c r="N1105" s="4">
        <v>0.25925925925925924</v>
      </c>
    </row>
    <row r="1106" spans="1:14" x14ac:dyDescent="0.3">
      <c r="A1106" s="6">
        <v>45737</v>
      </c>
      <c r="B1106" s="1" t="s">
        <v>1290</v>
      </c>
      <c r="C1106" s="1" t="s">
        <v>27</v>
      </c>
      <c r="D1106" t="s">
        <v>31</v>
      </c>
      <c r="E1106" t="s">
        <v>331</v>
      </c>
      <c r="F1106" t="s">
        <v>22</v>
      </c>
      <c r="G1106" t="s">
        <v>18</v>
      </c>
      <c r="H1106" s="3">
        <v>1</v>
      </c>
      <c r="I1106" s="3">
        <v>8890</v>
      </c>
      <c r="J1106" s="3">
        <v>8890</v>
      </c>
      <c r="K1106" s="3">
        <v>7000</v>
      </c>
      <c r="L1106" s="3">
        <v>7000</v>
      </c>
      <c r="M1106" s="3">
        <v>1890</v>
      </c>
      <c r="N1106" s="4">
        <v>0.2125984251968504</v>
      </c>
    </row>
    <row r="1107" spans="1:14" x14ac:dyDescent="0.3">
      <c r="A1107" s="6">
        <v>45737</v>
      </c>
      <c r="B1107" s="1" t="s">
        <v>1291</v>
      </c>
      <c r="C1107" s="1" t="s">
        <v>27</v>
      </c>
      <c r="D1107" t="s">
        <v>35</v>
      </c>
      <c r="E1107" t="s">
        <v>565</v>
      </c>
      <c r="F1107" t="s">
        <v>22</v>
      </c>
      <c r="G1107" t="s">
        <v>18</v>
      </c>
      <c r="H1107" s="3">
        <v>10</v>
      </c>
      <c r="I1107" s="3">
        <v>8960</v>
      </c>
      <c r="J1107" s="3">
        <v>89600</v>
      </c>
      <c r="K1107" s="3">
        <v>7000</v>
      </c>
      <c r="L1107" s="3">
        <v>70000</v>
      </c>
      <c r="M1107" s="3">
        <v>19600</v>
      </c>
      <c r="N1107" s="4">
        <v>0.21875</v>
      </c>
    </row>
    <row r="1108" spans="1:14" x14ac:dyDescent="0.3">
      <c r="A1108" s="6">
        <v>45737</v>
      </c>
      <c r="B1108" s="1" t="s">
        <v>1292</v>
      </c>
      <c r="C1108" s="1" t="s">
        <v>26</v>
      </c>
      <c r="D1108" t="s">
        <v>32</v>
      </c>
      <c r="E1108" t="s">
        <v>94</v>
      </c>
      <c r="F1108" t="s">
        <v>21</v>
      </c>
      <c r="G1108" t="s">
        <v>20</v>
      </c>
      <c r="H1108" s="3">
        <v>3</v>
      </c>
      <c r="I1108" s="3">
        <v>834.00000000000011</v>
      </c>
      <c r="J1108" s="3">
        <v>2502.0000000000005</v>
      </c>
      <c r="K1108" s="3">
        <v>600</v>
      </c>
      <c r="L1108" s="3">
        <v>1800</v>
      </c>
      <c r="M1108" s="3">
        <v>702.00000000000045</v>
      </c>
      <c r="N1108" s="4">
        <v>0.28057553956834547</v>
      </c>
    </row>
    <row r="1109" spans="1:14" x14ac:dyDescent="0.3">
      <c r="A1109" s="6">
        <v>45737</v>
      </c>
      <c r="B1109" s="1" t="s">
        <v>1293</v>
      </c>
      <c r="C1109" s="1" t="s">
        <v>26</v>
      </c>
      <c r="D1109" t="s">
        <v>32</v>
      </c>
      <c r="E1109" t="s">
        <v>243</v>
      </c>
      <c r="F1109" t="s">
        <v>23</v>
      </c>
      <c r="G1109" t="s">
        <v>25</v>
      </c>
      <c r="H1109" s="3">
        <v>7</v>
      </c>
      <c r="I1109" s="3">
        <v>3936</v>
      </c>
      <c r="J1109" s="3">
        <v>27552</v>
      </c>
      <c r="K1109" s="3">
        <v>3200</v>
      </c>
      <c r="L1109" s="3">
        <v>22400</v>
      </c>
      <c r="M1109" s="3">
        <v>5152</v>
      </c>
      <c r="N1109" s="4">
        <v>0.18699186991869918</v>
      </c>
    </row>
    <row r="1110" spans="1:14" x14ac:dyDescent="0.3">
      <c r="A1110" s="6">
        <v>45737</v>
      </c>
      <c r="B1110" s="1" t="s">
        <v>1294</v>
      </c>
      <c r="C1110" s="1" t="s">
        <v>28</v>
      </c>
      <c r="D1110" t="s">
        <v>31</v>
      </c>
      <c r="E1110" t="s">
        <v>349</v>
      </c>
      <c r="F1110" t="s">
        <v>17</v>
      </c>
      <c r="G1110" t="s">
        <v>18</v>
      </c>
      <c r="H1110" s="3">
        <v>6</v>
      </c>
      <c r="I1110" s="3">
        <v>11900</v>
      </c>
      <c r="J1110" s="3">
        <v>71400</v>
      </c>
      <c r="K1110" s="3">
        <v>8500</v>
      </c>
      <c r="L1110" s="3">
        <v>51000</v>
      </c>
      <c r="M1110" s="3">
        <v>20400</v>
      </c>
      <c r="N1110" s="4">
        <v>0.2857142857142857</v>
      </c>
    </row>
    <row r="1111" spans="1:14" x14ac:dyDescent="0.3">
      <c r="A1111" s="6">
        <v>45737</v>
      </c>
      <c r="B1111" s="1" t="s">
        <v>1295</v>
      </c>
      <c r="C1111" s="1" t="s">
        <v>26</v>
      </c>
      <c r="D1111" t="s">
        <v>35</v>
      </c>
      <c r="E1111" t="s">
        <v>442</v>
      </c>
      <c r="F1111" t="s">
        <v>14</v>
      </c>
      <c r="G1111" t="s">
        <v>15</v>
      </c>
      <c r="H1111" s="3">
        <v>10</v>
      </c>
      <c r="I1111" s="3">
        <v>55350</v>
      </c>
      <c r="J1111" s="3">
        <v>553500</v>
      </c>
      <c r="K1111" s="3">
        <v>45000</v>
      </c>
      <c r="L1111" s="3">
        <v>450000</v>
      </c>
      <c r="M1111" s="3">
        <v>103500</v>
      </c>
      <c r="N1111" s="4">
        <v>0.18699186991869918</v>
      </c>
    </row>
    <row r="1112" spans="1:14" x14ac:dyDescent="0.3">
      <c r="A1112" s="6">
        <v>45737</v>
      </c>
      <c r="B1112" s="1" t="s">
        <v>1296</v>
      </c>
      <c r="C1112" s="1" t="s">
        <v>29</v>
      </c>
      <c r="D1112" t="s">
        <v>35</v>
      </c>
      <c r="E1112" t="s">
        <v>436</v>
      </c>
      <c r="F1112" t="s">
        <v>22</v>
      </c>
      <c r="G1112" t="s">
        <v>18</v>
      </c>
      <c r="H1112" s="3">
        <v>3</v>
      </c>
      <c r="I1112" s="3">
        <v>8960</v>
      </c>
      <c r="J1112" s="3">
        <v>26880</v>
      </c>
      <c r="K1112" s="3">
        <v>7000</v>
      </c>
      <c r="L1112" s="3">
        <v>21000</v>
      </c>
      <c r="M1112" s="3">
        <v>5880</v>
      </c>
      <c r="N1112" s="4">
        <v>0.21875</v>
      </c>
    </row>
    <row r="1113" spans="1:14" x14ac:dyDescent="0.3">
      <c r="A1113" s="6">
        <v>45737</v>
      </c>
      <c r="B1113" s="1" t="s">
        <v>1297</v>
      </c>
      <c r="C1113" s="1" t="s">
        <v>26</v>
      </c>
      <c r="D1113" t="s">
        <v>33</v>
      </c>
      <c r="E1113" t="s">
        <v>357</v>
      </c>
      <c r="F1113" t="s">
        <v>14</v>
      </c>
      <c r="G1113" t="s">
        <v>15</v>
      </c>
      <c r="H1113" s="3">
        <v>6</v>
      </c>
      <c r="I1113" s="3">
        <v>64350</v>
      </c>
      <c r="J1113" s="3">
        <v>386100</v>
      </c>
      <c r="K1113" s="3">
        <v>45000</v>
      </c>
      <c r="L1113" s="3">
        <v>270000</v>
      </c>
      <c r="M1113" s="3">
        <v>116100</v>
      </c>
      <c r="N1113" s="4">
        <v>0.30069930069930068</v>
      </c>
    </row>
    <row r="1114" spans="1:14" x14ac:dyDescent="0.3">
      <c r="A1114" s="6">
        <v>45737</v>
      </c>
      <c r="B1114" s="1" t="s">
        <v>1298</v>
      </c>
      <c r="C1114" s="1" t="s">
        <v>27</v>
      </c>
      <c r="D1114" t="s">
        <v>35</v>
      </c>
      <c r="E1114" t="s">
        <v>321</v>
      </c>
      <c r="F1114" t="s">
        <v>14</v>
      </c>
      <c r="G1114" t="s">
        <v>15</v>
      </c>
      <c r="H1114" s="3">
        <v>8</v>
      </c>
      <c r="I1114" s="3">
        <v>63450</v>
      </c>
      <c r="J1114" s="3">
        <v>507600</v>
      </c>
      <c r="K1114" s="3">
        <v>45000</v>
      </c>
      <c r="L1114" s="3">
        <v>360000</v>
      </c>
      <c r="M1114" s="3">
        <v>147600</v>
      </c>
      <c r="N1114" s="4">
        <v>0.29078014184397161</v>
      </c>
    </row>
    <row r="1115" spans="1:14" x14ac:dyDescent="0.3">
      <c r="A1115" s="6">
        <v>45737</v>
      </c>
      <c r="B1115" s="1" t="s">
        <v>1299</v>
      </c>
      <c r="C1115" s="1" t="s">
        <v>29</v>
      </c>
      <c r="D1115" t="s">
        <v>34</v>
      </c>
      <c r="E1115" t="s">
        <v>236</v>
      </c>
      <c r="F1115" t="s">
        <v>16</v>
      </c>
      <c r="G1115" t="s">
        <v>15</v>
      </c>
      <c r="H1115" s="3">
        <v>1</v>
      </c>
      <c r="I1115" s="3">
        <v>53580</v>
      </c>
      <c r="J1115" s="3">
        <v>53580</v>
      </c>
      <c r="K1115" s="3">
        <v>38000</v>
      </c>
      <c r="L1115" s="3">
        <v>38000</v>
      </c>
      <c r="M1115" s="3">
        <v>15580</v>
      </c>
      <c r="N1115" s="4">
        <v>0.29078014184397161</v>
      </c>
    </row>
    <row r="1116" spans="1:14" x14ac:dyDescent="0.3">
      <c r="A1116" s="6">
        <v>45737</v>
      </c>
      <c r="B1116" s="1" t="s">
        <v>1300</v>
      </c>
      <c r="C1116" s="1" t="s">
        <v>29</v>
      </c>
      <c r="D1116" t="s">
        <v>31</v>
      </c>
      <c r="E1116" t="s">
        <v>163</v>
      </c>
      <c r="F1116" t="s">
        <v>23</v>
      </c>
      <c r="G1116" t="s">
        <v>25</v>
      </c>
      <c r="H1116" s="3">
        <v>6</v>
      </c>
      <c r="I1116" s="3">
        <v>4576</v>
      </c>
      <c r="J1116" s="3">
        <v>27456</v>
      </c>
      <c r="K1116" s="3">
        <v>3200</v>
      </c>
      <c r="L1116" s="3">
        <v>19200</v>
      </c>
      <c r="M1116" s="3">
        <v>8256</v>
      </c>
      <c r="N1116" s="4">
        <v>0.30069930069930068</v>
      </c>
    </row>
    <row r="1117" spans="1:14" x14ac:dyDescent="0.3">
      <c r="A1117" s="6">
        <v>45737</v>
      </c>
      <c r="B1117" s="1" t="s">
        <v>1301</v>
      </c>
      <c r="C1117" s="1" t="s">
        <v>27</v>
      </c>
      <c r="D1117" t="s">
        <v>32</v>
      </c>
      <c r="E1117" t="s">
        <v>206</v>
      </c>
      <c r="F1117" t="s">
        <v>19</v>
      </c>
      <c r="G1117" t="s">
        <v>20</v>
      </c>
      <c r="H1117" s="3">
        <v>5</v>
      </c>
      <c r="I1117" s="3">
        <v>1089</v>
      </c>
      <c r="J1117" s="3">
        <v>5445</v>
      </c>
      <c r="K1117" s="3">
        <v>900</v>
      </c>
      <c r="L1117" s="3">
        <v>4500</v>
      </c>
      <c r="M1117" s="3">
        <v>945</v>
      </c>
      <c r="N1117" s="4">
        <v>0.17355371900826447</v>
      </c>
    </row>
    <row r="1118" spans="1:14" x14ac:dyDescent="0.3">
      <c r="A1118" s="6">
        <v>45737</v>
      </c>
      <c r="B1118" s="1" t="s">
        <v>1302</v>
      </c>
      <c r="C1118" s="1" t="s">
        <v>29</v>
      </c>
      <c r="D1118" t="s">
        <v>30</v>
      </c>
      <c r="E1118" t="s">
        <v>78</v>
      </c>
      <c r="F1118" t="s">
        <v>14</v>
      </c>
      <c r="G1118" t="s">
        <v>15</v>
      </c>
      <c r="H1118" s="3">
        <v>7</v>
      </c>
      <c r="I1118" s="3">
        <v>60750.000000000007</v>
      </c>
      <c r="J1118" s="3">
        <v>425250.00000000006</v>
      </c>
      <c r="K1118" s="3">
        <v>45000</v>
      </c>
      <c r="L1118" s="3">
        <v>315000</v>
      </c>
      <c r="M1118" s="3">
        <v>110250.00000000006</v>
      </c>
      <c r="N1118" s="4">
        <v>0.25925925925925936</v>
      </c>
    </row>
    <row r="1119" spans="1:14" x14ac:dyDescent="0.3">
      <c r="A1119" s="6">
        <v>45737</v>
      </c>
      <c r="B1119" s="1" t="s">
        <v>1303</v>
      </c>
      <c r="C1119" s="1" t="s">
        <v>29</v>
      </c>
      <c r="D1119" t="s">
        <v>32</v>
      </c>
      <c r="E1119" t="s">
        <v>292</v>
      </c>
      <c r="F1119" t="s">
        <v>24</v>
      </c>
      <c r="G1119" t="s">
        <v>25</v>
      </c>
      <c r="H1119" s="3">
        <v>2</v>
      </c>
      <c r="I1119" s="3">
        <v>3175</v>
      </c>
      <c r="J1119" s="3">
        <v>6350</v>
      </c>
      <c r="K1119" s="3">
        <v>2500</v>
      </c>
      <c r="L1119" s="3">
        <v>5000</v>
      </c>
      <c r="M1119" s="3">
        <v>1350</v>
      </c>
      <c r="N1119" s="4">
        <v>0.2125984251968504</v>
      </c>
    </row>
    <row r="1120" spans="1:14" x14ac:dyDescent="0.3">
      <c r="A1120" s="6">
        <v>45738</v>
      </c>
      <c r="B1120" s="1" t="s">
        <v>1304</v>
      </c>
      <c r="C1120" s="1" t="s">
        <v>27</v>
      </c>
      <c r="D1120" t="s">
        <v>30</v>
      </c>
      <c r="E1120" t="s">
        <v>189</v>
      </c>
      <c r="F1120" t="s">
        <v>16</v>
      </c>
      <c r="G1120" t="s">
        <v>15</v>
      </c>
      <c r="H1120" s="3">
        <v>5</v>
      </c>
      <c r="I1120" s="3">
        <v>53960</v>
      </c>
      <c r="J1120" s="3">
        <v>269800</v>
      </c>
      <c r="K1120" s="3">
        <v>38000</v>
      </c>
      <c r="L1120" s="3">
        <v>190000</v>
      </c>
      <c r="M1120" s="3">
        <v>79800</v>
      </c>
      <c r="N1120" s="4">
        <v>0.29577464788732394</v>
      </c>
    </row>
    <row r="1121" spans="1:14" x14ac:dyDescent="0.3">
      <c r="A1121" s="6">
        <v>45738</v>
      </c>
      <c r="B1121" s="1" t="s">
        <v>1305</v>
      </c>
      <c r="C1121" s="1" t="s">
        <v>27</v>
      </c>
      <c r="D1121" t="s">
        <v>30</v>
      </c>
      <c r="E1121" t="s">
        <v>88</v>
      </c>
      <c r="F1121" t="s">
        <v>14</v>
      </c>
      <c r="G1121" t="s">
        <v>15</v>
      </c>
      <c r="H1121" s="3">
        <v>3</v>
      </c>
      <c r="I1121" s="3">
        <v>58950</v>
      </c>
      <c r="J1121" s="3">
        <v>176850</v>
      </c>
      <c r="K1121" s="3">
        <v>45000</v>
      </c>
      <c r="L1121" s="3">
        <v>135000</v>
      </c>
      <c r="M1121" s="3">
        <v>41850</v>
      </c>
      <c r="N1121" s="4">
        <v>0.23664122137404581</v>
      </c>
    </row>
    <row r="1122" spans="1:14" x14ac:dyDescent="0.3">
      <c r="A1122" s="6">
        <v>45738</v>
      </c>
      <c r="B1122" s="1" t="s">
        <v>1306</v>
      </c>
      <c r="C1122" s="1" t="s">
        <v>27</v>
      </c>
      <c r="D1122" t="s">
        <v>35</v>
      </c>
      <c r="E1122" t="s">
        <v>108</v>
      </c>
      <c r="F1122" t="s">
        <v>23</v>
      </c>
      <c r="G1122" t="s">
        <v>25</v>
      </c>
      <c r="H1122" s="3">
        <v>7</v>
      </c>
      <c r="I1122" s="3">
        <v>3840</v>
      </c>
      <c r="J1122" s="3">
        <v>26880</v>
      </c>
      <c r="K1122" s="3">
        <v>3200</v>
      </c>
      <c r="L1122" s="3">
        <v>22400</v>
      </c>
      <c r="M1122" s="3">
        <v>4480</v>
      </c>
      <c r="N1122" s="4">
        <v>0.16666666666666666</v>
      </c>
    </row>
    <row r="1123" spans="1:14" x14ac:dyDescent="0.3">
      <c r="A1123" s="6">
        <v>45738</v>
      </c>
      <c r="B1123" s="1" t="s">
        <v>1307</v>
      </c>
      <c r="C1123" s="1" t="s">
        <v>28</v>
      </c>
      <c r="D1123" t="s">
        <v>35</v>
      </c>
      <c r="E1123" t="s">
        <v>83</v>
      </c>
      <c r="F1123" t="s">
        <v>19</v>
      </c>
      <c r="G1123" t="s">
        <v>20</v>
      </c>
      <c r="H1123" s="3">
        <v>10</v>
      </c>
      <c r="I1123" s="3">
        <v>1296</v>
      </c>
      <c r="J1123" s="3">
        <v>12960</v>
      </c>
      <c r="K1123" s="3">
        <v>900</v>
      </c>
      <c r="L1123" s="3">
        <v>9000</v>
      </c>
      <c r="M1123" s="3">
        <v>3960</v>
      </c>
      <c r="N1123" s="4">
        <v>0.30555555555555558</v>
      </c>
    </row>
    <row r="1124" spans="1:14" x14ac:dyDescent="0.3">
      <c r="A1124" s="6">
        <v>45738</v>
      </c>
      <c r="B1124" s="1" t="s">
        <v>1308</v>
      </c>
      <c r="C1124" s="1" t="s">
        <v>27</v>
      </c>
      <c r="D1124" t="s">
        <v>33</v>
      </c>
      <c r="E1124" t="s">
        <v>175</v>
      </c>
      <c r="F1124" t="s">
        <v>19</v>
      </c>
      <c r="G1124" t="s">
        <v>20</v>
      </c>
      <c r="H1124" s="3">
        <v>10</v>
      </c>
      <c r="I1124" s="3">
        <v>1143</v>
      </c>
      <c r="J1124" s="3">
        <v>11430</v>
      </c>
      <c r="K1124" s="3">
        <v>900</v>
      </c>
      <c r="L1124" s="3">
        <v>9000</v>
      </c>
      <c r="M1124" s="3">
        <v>2430</v>
      </c>
      <c r="N1124" s="4">
        <v>0.2125984251968504</v>
      </c>
    </row>
    <row r="1125" spans="1:14" x14ac:dyDescent="0.3">
      <c r="A1125" s="6">
        <v>45738</v>
      </c>
      <c r="B1125" s="1" t="s">
        <v>1309</v>
      </c>
      <c r="C1125" s="1" t="s">
        <v>29</v>
      </c>
      <c r="D1125" t="s">
        <v>30</v>
      </c>
      <c r="E1125" t="s">
        <v>427</v>
      </c>
      <c r="F1125" t="s">
        <v>17</v>
      </c>
      <c r="G1125" t="s">
        <v>18</v>
      </c>
      <c r="H1125" s="3">
        <v>2</v>
      </c>
      <c r="I1125" s="3">
        <v>12240</v>
      </c>
      <c r="J1125" s="3">
        <v>24480</v>
      </c>
      <c r="K1125" s="3">
        <v>8500</v>
      </c>
      <c r="L1125" s="3">
        <v>17000</v>
      </c>
      <c r="M1125" s="3">
        <v>7480</v>
      </c>
      <c r="N1125" s="4">
        <v>0.30555555555555558</v>
      </c>
    </row>
    <row r="1126" spans="1:14" x14ac:dyDescent="0.3">
      <c r="A1126" s="6">
        <v>45738</v>
      </c>
      <c r="B1126" s="1" t="s">
        <v>1310</v>
      </c>
      <c r="C1126" s="1" t="s">
        <v>29</v>
      </c>
      <c r="D1126" t="s">
        <v>32</v>
      </c>
      <c r="E1126" t="s">
        <v>321</v>
      </c>
      <c r="F1126" t="s">
        <v>23</v>
      </c>
      <c r="G1126" t="s">
        <v>25</v>
      </c>
      <c r="H1126" s="3">
        <v>5</v>
      </c>
      <c r="I1126" s="3">
        <v>4416</v>
      </c>
      <c r="J1126" s="3">
        <v>22080</v>
      </c>
      <c r="K1126" s="3">
        <v>3200</v>
      </c>
      <c r="L1126" s="3">
        <v>16000</v>
      </c>
      <c r="M1126" s="3">
        <v>6080</v>
      </c>
      <c r="N1126" s="4">
        <v>0.27536231884057971</v>
      </c>
    </row>
    <row r="1127" spans="1:14" x14ac:dyDescent="0.3">
      <c r="A1127" s="6">
        <v>45738</v>
      </c>
      <c r="B1127" s="1" t="s">
        <v>1311</v>
      </c>
      <c r="C1127" s="1" t="s">
        <v>29</v>
      </c>
      <c r="D1127" t="s">
        <v>35</v>
      </c>
      <c r="E1127" t="s">
        <v>506</v>
      </c>
      <c r="F1127" t="s">
        <v>17</v>
      </c>
      <c r="G1127" t="s">
        <v>18</v>
      </c>
      <c r="H1127" s="3">
        <v>9</v>
      </c>
      <c r="I1127" s="3">
        <v>11305</v>
      </c>
      <c r="J1127" s="3">
        <v>101745</v>
      </c>
      <c r="K1127" s="3">
        <v>8500</v>
      </c>
      <c r="L1127" s="3">
        <v>76500</v>
      </c>
      <c r="M1127" s="3">
        <v>25245</v>
      </c>
      <c r="N1127" s="4">
        <v>0.24812030075187969</v>
      </c>
    </row>
    <row r="1128" spans="1:14" x14ac:dyDescent="0.3">
      <c r="A1128" s="6">
        <v>45738</v>
      </c>
      <c r="B1128" s="1" t="s">
        <v>1312</v>
      </c>
      <c r="C1128" s="1" t="s">
        <v>28</v>
      </c>
      <c r="D1128" t="s">
        <v>31</v>
      </c>
      <c r="E1128" t="s">
        <v>180</v>
      </c>
      <c r="F1128" t="s">
        <v>23</v>
      </c>
      <c r="G1128" t="s">
        <v>25</v>
      </c>
      <c r="H1128" s="3">
        <v>4</v>
      </c>
      <c r="I1128" s="3">
        <v>3840</v>
      </c>
      <c r="J1128" s="3">
        <v>15360</v>
      </c>
      <c r="K1128" s="3">
        <v>3200</v>
      </c>
      <c r="L1128" s="3">
        <v>12800</v>
      </c>
      <c r="M1128" s="3">
        <v>2560</v>
      </c>
      <c r="N1128" s="4">
        <v>0.16666666666666666</v>
      </c>
    </row>
    <row r="1129" spans="1:14" x14ac:dyDescent="0.3">
      <c r="A1129" s="6">
        <v>45738</v>
      </c>
      <c r="B1129" s="1" t="s">
        <v>1313</v>
      </c>
      <c r="C1129" s="1" t="s">
        <v>29</v>
      </c>
      <c r="D1129" t="s">
        <v>33</v>
      </c>
      <c r="E1129" t="s">
        <v>55</v>
      </c>
      <c r="F1129" t="s">
        <v>19</v>
      </c>
      <c r="G1129" t="s">
        <v>20</v>
      </c>
      <c r="H1129" s="3">
        <v>7</v>
      </c>
      <c r="I1129" s="3">
        <v>1161</v>
      </c>
      <c r="J1129" s="3">
        <v>8127</v>
      </c>
      <c r="K1129" s="3">
        <v>900</v>
      </c>
      <c r="L1129" s="3">
        <v>6300</v>
      </c>
      <c r="M1129" s="3">
        <v>1827</v>
      </c>
      <c r="N1129" s="4">
        <v>0.22480620155038761</v>
      </c>
    </row>
    <row r="1130" spans="1:14" x14ac:dyDescent="0.3">
      <c r="A1130" s="6">
        <v>45738</v>
      </c>
      <c r="B1130" s="1" t="s">
        <v>1314</v>
      </c>
      <c r="C1130" s="1" t="s">
        <v>28</v>
      </c>
      <c r="D1130" t="s">
        <v>30</v>
      </c>
      <c r="E1130" t="s">
        <v>175</v>
      </c>
      <c r="F1130" t="s">
        <v>17</v>
      </c>
      <c r="G1130" t="s">
        <v>18</v>
      </c>
      <c r="H1130" s="3">
        <v>4</v>
      </c>
      <c r="I1130" s="3">
        <v>10370</v>
      </c>
      <c r="J1130" s="3">
        <v>41480</v>
      </c>
      <c r="K1130" s="3">
        <v>8500</v>
      </c>
      <c r="L1130" s="3">
        <v>34000</v>
      </c>
      <c r="M1130" s="3">
        <v>7480</v>
      </c>
      <c r="N1130" s="4">
        <v>0.18032786885245902</v>
      </c>
    </row>
    <row r="1131" spans="1:14" x14ac:dyDescent="0.3">
      <c r="A1131" s="6">
        <v>45738</v>
      </c>
      <c r="B1131" s="1" t="s">
        <v>1315</v>
      </c>
      <c r="C1131" s="1" t="s">
        <v>28</v>
      </c>
      <c r="D1131" t="s">
        <v>34</v>
      </c>
      <c r="E1131" t="s">
        <v>63</v>
      </c>
      <c r="F1131" t="s">
        <v>23</v>
      </c>
      <c r="G1131" t="s">
        <v>25</v>
      </c>
      <c r="H1131" s="3">
        <v>8</v>
      </c>
      <c r="I1131" s="3">
        <v>4448</v>
      </c>
      <c r="J1131" s="3">
        <v>35584</v>
      </c>
      <c r="K1131" s="3">
        <v>3200</v>
      </c>
      <c r="L1131" s="3">
        <v>25600</v>
      </c>
      <c r="M1131" s="3">
        <v>9984</v>
      </c>
      <c r="N1131" s="4">
        <v>0.2805755395683453</v>
      </c>
    </row>
    <row r="1132" spans="1:14" x14ac:dyDescent="0.3">
      <c r="A1132" s="6">
        <v>45738</v>
      </c>
      <c r="B1132" s="1" t="s">
        <v>1316</v>
      </c>
      <c r="C1132" s="1" t="s">
        <v>26</v>
      </c>
      <c r="D1132" t="s">
        <v>32</v>
      </c>
      <c r="E1132" t="s">
        <v>349</v>
      </c>
      <c r="F1132" t="s">
        <v>14</v>
      </c>
      <c r="G1132" t="s">
        <v>15</v>
      </c>
      <c r="H1132" s="3">
        <v>3</v>
      </c>
      <c r="I1132" s="3">
        <v>62999.999999999993</v>
      </c>
      <c r="J1132" s="3">
        <v>188999.99999999997</v>
      </c>
      <c r="K1132" s="3">
        <v>45000</v>
      </c>
      <c r="L1132" s="3">
        <v>135000</v>
      </c>
      <c r="M1132" s="3">
        <v>53999.999999999971</v>
      </c>
      <c r="N1132" s="4">
        <v>0.28571428571428559</v>
      </c>
    </row>
    <row r="1133" spans="1:14" x14ac:dyDescent="0.3">
      <c r="A1133" s="6">
        <v>45738</v>
      </c>
      <c r="B1133" s="1" t="s">
        <v>1317</v>
      </c>
      <c r="C1133" s="1" t="s">
        <v>27</v>
      </c>
      <c r="D1133" t="s">
        <v>34</v>
      </c>
      <c r="E1133" t="s">
        <v>55</v>
      </c>
      <c r="F1133" t="s">
        <v>14</v>
      </c>
      <c r="G1133" t="s">
        <v>15</v>
      </c>
      <c r="H1133" s="3">
        <v>3</v>
      </c>
      <c r="I1133" s="3">
        <v>62550.000000000007</v>
      </c>
      <c r="J1133" s="3">
        <v>187650.00000000003</v>
      </c>
      <c r="K1133" s="3">
        <v>45000</v>
      </c>
      <c r="L1133" s="3">
        <v>135000</v>
      </c>
      <c r="M1133" s="3">
        <v>52650.000000000029</v>
      </c>
      <c r="N1133" s="4">
        <v>0.28057553956834541</v>
      </c>
    </row>
    <row r="1134" spans="1:14" x14ac:dyDescent="0.3">
      <c r="A1134" s="6">
        <v>45739</v>
      </c>
      <c r="B1134" s="1" t="s">
        <v>1318</v>
      </c>
      <c r="C1134" s="1" t="s">
        <v>27</v>
      </c>
      <c r="D1134" t="s">
        <v>30</v>
      </c>
      <c r="E1134" t="s">
        <v>228</v>
      </c>
      <c r="F1134" t="s">
        <v>16</v>
      </c>
      <c r="G1134" t="s">
        <v>15</v>
      </c>
      <c r="H1134" s="3">
        <v>9</v>
      </c>
      <c r="I1134" s="3">
        <v>51679.999999999993</v>
      </c>
      <c r="J1134" s="3">
        <v>465119.99999999994</v>
      </c>
      <c r="K1134" s="3">
        <v>38000</v>
      </c>
      <c r="L1134" s="3">
        <v>342000</v>
      </c>
      <c r="M1134" s="3">
        <v>123119.99999999994</v>
      </c>
      <c r="N1134" s="4">
        <v>0.26470588235294107</v>
      </c>
    </row>
    <row r="1135" spans="1:14" x14ac:dyDescent="0.3">
      <c r="A1135" s="6">
        <v>45739</v>
      </c>
      <c r="B1135" s="1" t="s">
        <v>1319</v>
      </c>
      <c r="C1135" s="1" t="s">
        <v>26</v>
      </c>
      <c r="D1135" t="s">
        <v>31</v>
      </c>
      <c r="E1135" t="s">
        <v>92</v>
      </c>
      <c r="F1135" t="s">
        <v>19</v>
      </c>
      <c r="G1135" t="s">
        <v>20</v>
      </c>
      <c r="H1135" s="3">
        <v>9</v>
      </c>
      <c r="I1135" s="3">
        <v>1251</v>
      </c>
      <c r="J1135" s="3">
        <v>11259</v>
      </c>
      <c r="K1135" s="3">
        <v>900</v>
      </c>
      <c r="L1135" s="3">
        <v>8100</v>
      </c>
      <c r="M1135" s="3">
        <v>3159</v>
      </c>
      <c r="N1135" s="4">
        <v>0.2805755395683453</v>
      </c>
    </row>
    <row r="1136" spans="1:14" x14ac:dyDescent="0.3">
      <c r="A1136" s="6">
        <v>45739</v>
      </c>
      <c r="B1136" s="1" t="s">
        <v>1320</v>
      </c>
      <c r="C1136" s="1" t="s">
        <v>29</v>
      </c>
      <c r="D1136" t="s">
        <v>30</v>
      </c>
      <c r="E1136" t="s">
        <v>359</v>
      </c>
      <c r="F1136" t="s">
        <v>17</v>
      </c>
      <c r="G1136" t="s">
        <v>18</v>
      </c>
      <c r="H1136" s="3">
        <v>3</v>
      </c>
      <c r="I1136" s="3">
        <v>12240</v>
      </c>
      <c r="J1136" s="3">
        <v>36720</v>
      </c>
      <c r="K1136" s="3">
        <v>8500</v>
      </c>
      <c r="L1136" s="3">
        <v>25500</v>
      </c>
      <c r="M1136" s="3">
        <v>11220</v>
      </c>
      <c r="N1136" s="4">
        <v>0.30555555555555558</v>
      </c>
    </row>
    <row r="1137" spans="1:14" x14ac:dyDescent="0.3">
      <c r="A1137" s="6">
        <v>45739</v>
      </c>
      <c r="B1137" s="1" t="s">
        <v>1321</v>
      </c>
      <c r="C1137" s="1" t="s">
        <v>28</v>
      </c>
      <c r="D1137" t="s">
        <v>30</v>
      </c>
      <c r="E1137" t="s">
        <v>506</v>
      </c>
      <c r="F1137" t="s">
        <v>16</v>
      </c>
      <c r="G1137" t="s">
        <v>15</v>
      </c>
      <c r="H1137" s="3">
        <v>9</v>
      </c>
      <c r="I1137" s="3">
        <v>54340</v>
      </c>
      <c r="J1137" s="3">
        <v>489060</v>
      </c>
      <c r="K1137" s="3">
        <v>38000</v>
      </c>
      <c r="L1137" s="3">
        <v>342000</v>
      </c>
      <c r="M1137" s="3">
        <v>147060</v>
      </c>
      <c r="N1137" s="4">
        <v>0.30069930069930068</v>
      </c>
    </row>
    <row r="1138" spans="1:14" x14ac:dyDescent="0.3">
      <c r="A1138" s="6">
        <v>45739</v>
      </c>
      <c r="B1138" s="1" t="s">
        <v>1322</v>
      </c>
      <c r="C1138" s="1" t="s">
        <v>28</v>
      </c>
      <c r="D1138" t="s">
        <v>31</v>
      </c>
      <c r="E1138" t="s">
        <v>118</v>
      </c>
      <c r="F1138" t="s">
        <v>24</v>
      </c>
      <c r="G1138" t="s">
        <v>25</v>
      </c>
      <c r="H1138" s="3">
        <v>8</v>
      </c>
      <c r="I1138" s="3">
        <v>3525</v>
      </c>
      <c r="J1138" s="3">
        <v>28200</v>
      </c>
      <c r="K1138" s="3">
        <v>2500</v>
      </c>
      <c r="L1138" s="3">
        <v>20000</v>
      </c>
      <c r="M1138" s="3">
        <v>8200</v>
      </c>
      <c r="N1138" s="4">
        <v>0.29078014184397161</v>
      </c>
    </row>
    <row r="1139" spans="1:14" x14ac:dyDescent="0.3">
      <c r="A1139" s="6">
        <v>45739</v>
      </c>
      <c r="B1139" s="1" t="s">
        <v>1323</v>
      </c>
      <c r="C1139" s="1" t="s">
        <v>28</v>
      </c>
      <c r="D1139" t="s">
        <v>31</v>
      </c>
      <c r="E1139" t="s">
        <v>220</v>
      </c>
      <c r="F1139" t="s">
        <v>16</v>
      </c>
      <c r="G1139" t="s">
        <v>15</v>
      </c>
      <c r="H1139" s="3">
        <v>1</v>
      </c>
      <c r="I1139" s="3">
        <v>47880</v>
      </c>
      <c r="J1139" s="3">
        <v>47880</v>
      </c>
      <c r="K1139" s="3">
        <v>38000</v>
      </c>
      <c r="L1139" s="3">
        <v>38000</v>
      </c>
      <c r="M1139" s="3">
        <v>9880</v>
      </c>
      <c r="N1139" s="4">
        <v>0.20634920634920634</v>
      </c>
    </row>
    <row r="1140" spans="1:14" x14ac:dyDescent="0.3">
      <c r="A1140" s="6">
        <v>45739</v>
      </c>
      <c r="B1140" s="1" t="s">
        <v>1324</v>
      </c>
      <c r="C1140" s="1" t="s">
        <v>26</v>
      </c>
      <c r="D1140" t="s">
        <v>31</v>
      </c>
      <c r="E1140" t="s">
        <v>265</v>
      </c>
      <c r="F1140" t="s">
        <v>23</v>
      </c>
      <c r="G1140" t="s">
        <v>25</v>
      </c>
      <c r="H1140" s="3">
        <v>3</v>
      </c>
      <c r="I1140" s="3">
        <v>4096</v>
      </c>
      <c r="J1140" s="3">
        <v>12288</v>
      </c>
      <c r="K1140" s="3">
        <v>3200</v>
      </c>
      <c r="L1140" s="3">
        <v>9600</v>
      </c>
      <c r="M1140" s="3">
        <v>2688</v>
      </c>
      <c r="N1140" s="4">
        <v>0.21875</v>
      </c>
    </row>
    <row r="1141" spans="1:14" x14ac:dyDescent="0.3">
      <c r="A1141" s="6">
        <v>45739</v>
      </c>
      <c r="B1141" s="1" t="s">
        <v>1325</v>
      </c>
      <c r="C1141" s="1" t="s">
        <v>29</v>
      </c>
      <c r="D1141" t="s">
        <v>35</v>
      </c>
      <c r="E1141" t="s">
        <v>431</v>
      </c>
      <c r="F1141" t="s">
        <v>19</v>
      </c>
      <c r="G1141" t="s">
        <v>20</v>
      </c>
      <c r="H1141" s="3">
        <v>5</v>
      </c>
      <c r="I1141" s="3">
        <v>1224</v>
      </c>
      <c r="J1141" s="3">
        <v>6120</v>
      </c>
      <c r="K1141" s="3">
        <v>900</v>
      </c>
      <c r="L1141" s="3">
        <v>4500</v>
      </c>
      <c r="M1141" s="3">
        <v>1620</v>
      </c>
      <c r="N1141" s="4">
        <v>0.26470588235294118</v>
      </c>
    </row>
    <row r="1142" spans="1:14" x14ac:dyDescent="0.3">
      <c r="A1142" s="6">
        <v>45739</v>
      </c>
      <c r="B1142" s="1" t="s">
        <v>1326</v>
      </c>
      <c r="C1142" s="1" t="s">
        <v>26</v>
      </c>
      <c r="D1142" t="s">
        <v>32</v>
      </c>
      <c r="E1142" t="s">
        <v>76</v>
      </c>
      <c r="F1142" t="s">
        <v>16</v>
      </c>
      <c r="G1142" t="s">
        <v>15</v>
      </c>
      <c r="H1142" s="3">
        <v>8</v>
      </c>
      <c r="I1142" s="3">
        <v>54340</v>
      </c>
      <c r="J1142" s="3">
        <v>434720</v>
      </c>
      <c r="K1142" s="3">
        <v>38000</v>
      </c>
      <c r="L1142" s="3">
        <v>304000</v>
      </c>
      <c r="M1142" s="3">
        <v>130720</v>
      </c>
      <c r="N1142" s="4">
        <v>0.30069930069930068</v>
      </c>
    </row>
    <row r="1143" spans="1:14" x14ac:dyDescent="0.3">
      <c r="A1143" s="6">
        <v>45739</v>
      </c>
      <c r="B1143" s="1" t="s">
        <v>1327</v>
      </c>
      <c r="C1143" s="1" t="s">
        <v>26</v>
      </c>
      <c r="D1143" t="s">
        <v>31</v>
      </c>
      <c r="E1143" t="s">
        <v>131</v>
      </c>
      <c r="F1143" t="s">
        <v>22</v>
      </c>
      <c r="G1143" t="s">
        <v>18</v>
      </c>
      <c r="H1143" s="3">
        <v>5</v>
      </c>
      <c r="I1143" s="3">
        <v>10080</v>
      </c>
      <c r="J1143" s="3">
        <v>50400</v>
      </c>
      <c r="K1143" s="3">
        <v>7000</v>
      </c>
      <c r="L1143" s="3">
        <v>35000</v>
      </c>
      <c r="M1143" s="3">
        <v>15400</v>
      </c>
      <c r="N1143" s="4">
        <v>0.30555555555555558</v>
      </c>
    </row>
    <row r="1144" spans="1:14" x14ac:dyDescent="0.3">
      <c r="A1144" s="6">
        <v>45739</v>
      </c>
      <c r="B1144" s="1" t="s">
        <v>1328</v>
      </c>
      <c r="C1144" s="1" t="s">
        <v>28</v>
      </c>
      <c r="D1144" t="s">
        <v>33</v>
      </c>
      <c r="E1144" t="s">
        <v>292</v>
      </c>
      <c r="F1144" t="s">
        <v>23</v>
      </c>
      <c r="G1144" t="s">
        <v>25</v>
      </c>
      <c r="H1144" s="3">
        <v>2</v>
      </c>
      <c r="I1144" s="3">
        <v>3968</v>
      </c>
      <c r="J1144" s="3">
        <v>7936</v>
      </c>
      <c r="K1144" s="3">
        <v>3200</v>
      </c>
      <c r="L1144" s="3">
        <v>6400</v>
      </c>
      <c r="M1144" s="3">
        <v>1536</v>
      </c>
      <c r="N1144" s="4">
        <v>0.19354838709677419</v>
      </c>
    </row>
    <row r="1145" spans="1:14" x14ac:dyDescent="0.3">
      <c r="A1145" s="6">
        <v>45739</v>
      </c>
      <c r="B1145" s="1" t="s">
        <v>1329</v>
      </c>
      <c r="C1145" s="1" t="s">
        <v>29</v>
      </c>
      <c r="D1145" t="s">
        <v>33</v>
      </c>
      <c r="E1145" t="s">
        <v>255</v>
      </c>
      <c r="F1145" t="s">
        <v>22</v>
      </c>
      <c r="G1145" t="s">
        <v>18</v>
      </c>
      <c r="H1145" s="3">
        <v>7</v>
      </c>
      <c r="I1145" s="3">
        <v>9450</v>
      </c>
      <c r="J1145" s="3">
        <v>66150</v>
      </c>
      <c r="K1145" s="3">
        <v>7000</v>
      </c>
      <c r="L1145" s="3">
        <v>49000</v>
      </c>
      <c r="M1145" s="3">
        <v>17150</v>
      </c>
      <c r="N1145" s="4">
        <v>0.25925925925925924</v>
      </c>
    </row>
    <row r="1146" spans="1:14" x14ac:dyDescent="0.3">
      <c r="A1146" s="6">
        <v>45739</v>
      </c>
      <c r="B1146" s="1" t="s">
        <v>1330</v>
      </c>
      <c r="C1146" s="1" t="s">
        <v>26</v>
      </c>
      <c r="D1146" t="s">
        <v>33</v>
      </c>
      <c r="E1146" t="s">
        <v>582</v>
      </c>
      <c r="F1146" t="s">
        <v>21</v>
      </c>
      <c r="G1146" t="s">
        <v>20</v>
      </c>
      <c r="H1146" s="3">
        <v>3</v>
      </c>
      <c r="I1146" s="3">
        <v>750</v>
      </c>
      <c r="J1146" s="3">
        <v>2250</v>
      </c>
      <c r="K1146" s="3">
        <v>600</v>
      </c>
      <c r="L1146" s="3">
        <v>1800</v>
      </c>
      <c r="M1146" s="3">
        <v>450</v>
      </c>
      <c r="N1146" s="4">
        <v>0.2</v>
      </c>
    </row>
    <row r="1147" spans="1:14" x14ac:dyDescent="0.3">
      <c r="A1147" s="6">
        <v>45739</v>
      </c>
      <c r="B1147" s="1" t="s">
        <v>1331</v>
      </c>
      <c r="C1147" s="1" t="s">
        <v>28</v>
      </c>
      <c r="D1147" t="s">
        <v>35</v>
      </c>
      <c r="E1147" t="s">
        <v>63</v>
      </c>
      <c r="F1147" t="s">
        <v>14</v>
      </c>
      <c r="G1147" t="s">
        <v>15</v>
      </c>
      <c r="H1147" s="3">
        <v>8</v>
      </c>
      <c r="I1147" s="3">
        <v>54900</v>
      </c>
      <c r="J1147" s="3">
        <v>439200</v>
      </c>
      <c r="K1147" s="3">
        <v>45000</v>
      </c>
      <c r="L1147" s="3">
        <v>360000</v>
      </c>
      <c r="M1147" s="3">
        <v>79200</v>
      </c>
      <c r="N1147" s="4">
        <v>0.18032786885245902</v>
      </c>
    </row>
    <row r="1148" spans="1:14" x14ac:dyDescent="0.3">
      <c r="A1148" s="6">
        <v>45740</v>
      </c>
      <c r="B1148" s="1" t="s">
        <v>1332</v>
      </c>
      <c r="C1148" s="1" t="s">
        <v>26</v>
      </c>
      <c r="D1148" t="s">
        <v>35</v>
      </c>
      <c r="E1148" t="s">
        <v>582</v>
      </c>
      <c r="F1148" t="s">
        <v>17</v>
      </c>
      <c r="G1148" t="s">
        <v>18</v>
      </c>
      <c r="H1148" s="3">
        <v>8</v>
      </c>
      <c r="I1148" s="3">
        <v>11305</v>
      </c>
      <c r="J1148" s="3">
        <v>90440</v>
      </c>
      <c r="K1148" s="3">
        <v>8500</v>
      </c>
      <c r="L1148" s="3">
        <v>68000</v>
      </c>
      <c r="M1148" s="3">
        <v>22440</v>
      </c>
      <c r="N1148" s="4">
        <v>0.24812030075187969</v>
      </c>
    </row>
    <row r="1149" spans="1:14" x14ac:dyDescent="0.3">
      <c r="A1149" s="6">
        <v>45740</v>
      </c>
      <c r="B1149" s="1" t="s">
        <v>1333</v>
      </c>
      <c r="C1149" s="1" t="s">
        <v>29</v>
      </c>
      <c r="D1149" t="s">
        <v>30</v>
      </c>
      <c r="E1149" t="s">
        <v>342</v>
      </c>
      <c r="F1149" t="s">
        <v>23</v>
      </c>
      <c r="G1149" t="s">
        <v>25</v>
      </c>
      <c r="H1149" s="3">
        <v>4</v>
      </c>
      <c r="I1149" s="3">
        <v>4544</v>
      </c>
      <c r="J1149" s="3">
        <v>18176</v>
      </c>
      <c r="K1149" s="3">
        <v>3200</v>
      </c>
      <c r="L1149" s="3">
        <v>12800</v>
      </c>
      <c r="M1149" s="3">
        <v>5376</v>
      </c>
      <c r="N1149" s="4">
        <v>0.29577464788732394</v>
      </c>
    </row>
    <row r="1150" spans="1:14" x14ac:dyDescent="0.3">
      <c r="A1150" s="6">
        <v>45740</v>
      </c>
      <c r="B1150" s="1" t="s">
        <v>1334</v>
      </c>
      <c r="C1150" s="1" t="s">
        <v>26</v>
      </c>
      <c r="D1150" t="s">
        <v>33</v>
      </c>
      <c r="E1150" t="s">
        <v>308</v>
      </c>
      <c r="F1150" t="s">
        <v>19</v>
      </c>
      <c r="G1150" t="s">
        <v>20</v>
      </c>
      <c r="H1150" s="3">
        <v>4</v>
      </c>
      <c r="I1150" s="3">
        <v>1260</v>
      </c>
      <c r="J1150" s="3">
        <v>5040</v>
      </c>
      <c r="K1150" s="3">
        <v>900</v>
      </c>
      <c r="L1150" s="3">
        <v>3600</v>
      </c>
      <c r="M1150" s="3">
        <v>1440</v>
      </c>
      <c r="N1150" s="4">
        <v>0.2857142857142857</v>
      </c>
    </row>
    <row r="1151" spans="1:14" x14ac:dyDescent="0.3">
      <c r="A1151" s="6">
        <v>45740</v>
      </c>
      <c r="B1151" s="1" t="s">
        <v>1335</v>
      </c>
      <c r="C1151" s="1" t="s">
        <v>28</v>
      </c>
      <c r="D1151" t="s">
        <v>30</v>
      </c>
      <c r="E1151" t="s">
        <v>110</v>
      </c>
      <c r="F1151" t="s">
        <v>14</v>
      </c>
      <c r="G1151" t="s">
        <v>15</v>
      </c>
      <c r="H1151" s="3">
        <v>8</v>
      </c>
      <c r="I1151" s="3">
        <v>59850</v>
      </c>
      <c r="J1151" s="3">
        <v>478800</v>
      </c>
      <c r="K1151" s="3">
        <v>45000</v>
      </c>
      <c r="L1151" s="3">
        <v>360000</v>
      </c>
      <c r="M1151" s="3">
        <v>118800</v>
      </c>
      <c r="N1151" s="4">
        <v>0.24812030075187969</v>
      </c>
    </row>
    <row r="1152" spans="1:14" x14ac:dyDescent="0.3">
      <c r="A1152" s="6">
        <v>45740</v>
      </c>
      <c r="B1152" s="1" t="s">
        <v>1336</v>
      </c>
      <c r="C1152" s="1" t="s">
        <v>28</v>
      </c>
      <c r="D1152" t="s">
        <v>31</v>
      </c>
      <c r="E1152" t="s">
        <v>129</v>
      </c>
      <c r="F1152" t="s">
        <v>24</v>
      </c>
      <c r="G1152" t="s">
        <v>25</v>
      </c>
      <c r="H1152" s="3">
        <v>4</v>
      </c>
      <c r="I1152" s="3">
        <v>3350</v>
      </c>
      <c r="J1152" s="3">
        <v>13400</v>
      </c>
      <c r="K1152" s="3">
        <v>2500</v>
      </c>
      <c r="L1152" s="3">
        <v>10000</v>
      </c>
      <c r="M1152" s="3">
        <v>3400</v>
      </c>
      <c r="N1152" s="4">
        <v>0.2537313432835821</v>
      </c>
    </row>
    <row r="1153" spans="1:14" x14ac:dyDescent="0.3">
      <c r="A1153" s="6">
        <v>45740</v>
      </c>
      <c r="B1153" s="1" t="s">
        <v>1337</v>
      </c>
      <c r="C1153" s="1" t="s">
        <v>29</v>
      </c>
      <c r="D1153" t="s">
        <v>34</v>
      </c>
      <c r="E1153" t="s">
        <v>381</v>
      </c>
      <c r="F1153" t="s">
        <v>22</v>
      </c>
      <c r="G1153" t="s">
        <v>18</v>
      </c>
      <c r="H1153" s="3">
        <v>7</v>
      </c>
      <c r="I1153" s="3">
        <v>8820</v>
      </c>
      <c r="J1153" s="3">
        <v>61740</v>
      </c>
      <c r="K1153" s="3">
        <v>7000</v>
      </c>
      <c r="L1153" s="3">
        <v>49000</v>
      </c>
      <c r="M1153" s="3">
        <v>12740</v>
      </c>
      <c r="N1153" s="4">
        <v>0.20634920634920634</v>
      </c>
    </row>
    <row r="1154" spans="1:14" x14ac:dyDescent="0.3">
      <c r="A1154" s="6">
        <v>45740</v>
      </c>
      <c r="B1154" s="1" t="s">
        <v>1338</v>
      </c>
      <c r="C1154" s="1" t="s">
        <v>29</v>
      </c>
      <c r="D1154" t="s">
        <v>33</v>
      </c>
      <c r="E1154" t="s">
        <v>166</v>
      </c>
      <c r="F1154" t="s">
        <v>19</v>
      </c>
      <c r="G1154" t="s">
        <v>20</v>
      </c>
      <c r="H1154" s="3">
        <v>1</v>
      </c>
      <c r="I1154" s="3">
        <v>1215</v>
      </c>
      <c r="J1154" s="3">
        <v>1215</v>
      </c>
      <c r="K1154" s="3">
        <v>900</v>
      </c>
      <c r="L1154" s="3">
        <v>900</v>
      </c>
      <c r="M1154" s="3">
        <v>315</v>
      </c>
      <c r="N1154" s="4">
        <v>0.25925925925925924</v>
      </c>
    </row>
    <row r="1155" spans="1:14" x14ac:dyDescent="0.3">
      <c r="A1155" s="6">
        <v>45740</v>
      </c>
      <c r="B1155" s="1" t="s">
        <v>1339</v>
      </c>
      <c r="C1155" s="1" t="s">
        <v>28</v>
      </c>
      <c r="D1155" t="s">
        <v>33</v>
      </c>
      <c r="E1155" t="s">
        <v>243</v>
      </c>
      <c r="F1155" t="s">
        <v>14</v>
      </c>
      <c r="G1155" t="s">
        <v>15</v>
      </c>
      <c r="H1155" s="3">
        <v>8</v>
      </c>
      <c r="I1155" s="3">
        <v>59400</v>
      </c>
      <c r="J1155" s="3">
        <v>475200</v>
      </c>
      <c r="K1155" s="3">
        <v>45000</v>
      </c>
      <c r="L1155" s="3">
        <v>360000</v>
      </c>
      <c r="M1155" s="3">
        <v>115200</v>
      </c>
      <c r="N1155" s="4">
        <v>0.24242424242424243</v>
      </c>
    </row>
    <row r="1156" spans="1:14" x14ac:dyDescent="0.3">
      <c r="A1156" s="6">
        <v>45740</v>
      </c>
      <c r="B1156" s="1" t="s">
        <v>1340</v>
      </c>
      <c r="C1156" s="1" t="s">
        <v>26</v>
      </c>
      <c r="D1156" t="s">
        <v>33</v>
      </c>
      <c r="E1156" t="s">
        <v>153</v>
      </c>
      <c r="F1156" t="s">
        <v>21</v>
      </c>
      <c r="G1156" t="s">
        <v>20</v>
      </c>
      <c r="H1156" s="3">
        <v>2</v>
      </c>
      <c r="I1156" s="3">
        <v>822.00000000000011</v>
      </c>
      <c r="J1156" s="3">
        <v>1644.0000000000002</v>
      </c>
      <c r="K1156" s="3">
        <v>600</v>
      </c>
      <c r="L1156" s="3">
        <v>1200</v>
      </c>
      <c r="M1156" s="3">
        <v>444.00000000000023</v>
      </c>
      <c r="N1156" s="4">
        <v>0.27007299270073004</v>
      </c>
    </row>
    <row r="1157" spans="1:14" x14ac:dyDescent="0.3">
      <c r="A1157" s="6">
        <v>45740</v>
      </c>
      <c r="B1157" s="1" t="s">
        <v>1341</v>
      </c>
      <c r="C1157" s="1" t="s">
        <v>27</v>
      </c>
      <c r="D1157" t="s">
        <v>32</v>
      </c>
      <c r="E1157" t="s">
        <v>208</v>
      </c>
      <c r="F1157" t="s">
        <v>16</v>
      </c>
      <c r="G1157" t="s">
        <v>15</v>
      </c>
      <c r="H1157" s="3">
        <v>4</v>
      </c>
      <c r="I1157" s="3">
        <v>53960</v>
      </c>
      <c r="J1157" s="3">
        <v>215840</v>
      </c>
      <c r="K1157" s="3">
        <v>38000</v>
      </c>
      <c r="L1157" s="3">
        <v>152000</v>
      </c>
      <c r="M1157" s="3">
        <v>63840</v>
      </c>
      <c r="N1157" s="4">
        <v>0.29577464788732394</v>
      </c>
    </row>
    <row r="1158" spans="1:14" x14ac:dyDescent="0.3">
      <c r="A1158" s="6">
        <v>45740</v>
      </c>
      <c r="B1158" s="1" t="s">
        <v>1342</v>
      </c>
      <c r="C1158" s="1" t="s">
        <v>26</v>
      </c>
      <c r="D1158" t="s">
        <v>31</v>
      </c>
      <c r="E1158" t="s">
        <v>39</v>
      </c>
      <c r="F1158" t="s">
        <v>14</v>
      </c>
      <c r="G1158" t="s">
        <v>15</v>
      </c>
      <c r="H1158" s="3">
        <v>1</v>
      </c>
      <c r="I1158" s="3">
        <v>62550.000000000007</v>
      </c>
      <c r="J1158" s="3">
        <v>62550.000000000007</v>
      </c>
      <c r="K1158" s="3">
        <v>45000</v>
      </c>
      <c r="L1158" s="3">
        <v>45000</v>
      </c>
      <c r="M1158" s="3">
        <v>17550.000000000007</v>
      </c>
      <c r="N1158" s="4">
        <v>0.28057553956834541</v>
      </c>
    </row>
    <row r="1159" spans="1:14" x14ac:dyDescent="0.3">
      <c r="A1159" s="6">
        <v>45740</v>
      </c>
      <c r="B1159" s="1" t="s">
        <v>1343</v>
      </c>
      <c r="C1159" s="1" t="s">
        <v>29</v>
      </c>
      <c r="D1159" t="s">
        <v>35</v>
      </c>
      <c r="E1159" t="s">
        <v>139</v>
      </c>
      <c r="F1159" t="s">
        <v>14</v>
      </c>
      <c r="G1159" t="s">
        <v>15</v>
      </c>
      <c r="H1159" s="3">
        <v>8</v>
      </c>
      <c r="I1159" s="3">
        <v>65250</v>
      </c>
      <c r="J1159" s="3">
        <v>522000</v>
      </c>
      <c r="K1159" s="3">
        <v>45000</v>
      </c>
      <c r="L1159" s="3">
        <v>360000</v>
      </c>
      <c r="M1159" s="3">
        <v>162000</v>
      </c>
      <c r="N1159" s="4">
        <v>0.31034482758620691</v>
      </c>
    </row>
    <row r="1160" spans="1:14" x14ac:dyDescent="0.3">
      <c r="A1160" s="6">
        <v>45740</v>
      </c>
      <c r="B1160" s="1" t="s">
        <v>1344</v>
      </c>
      <c r="C1160" s="1" t="s">
        <v>29</v>
      </c>
      <c r="D1160" t="s">
        <v>31</v>
      </c>
      <c r="E1160" t="s">
        <v>436</v>
      </c>
      <c r="F1160" t="s">
        <v>23</v>
      </c>
      <c r="G1160" t="s">
        <v>25</v>
      </c>
      <c r="H1160" s="3">
        <v>5</v>
      </c>
      <c r="I1160" s="3">
        <v>4480</v>
      </c>
      <c r="J1160" s="3">
        <v>22400</v>
      </c>
      <c r="K1160" s="3">
        <v>3200</v>
      </c>
      <c r="L1160" s="3">
        <v>16000</v>
      </c>
      <c r="M1160" s="3">
        <v>6400</v>
      </c>
      <c r="N1160" s="4">
        <v>0.2857142857142857</v>
      </c>
    </row>
    <row r="1161" spans="1:14" x14ac:dyDescent="0.3">
      <c r="A1161" s="6">
        <v>45740</v>
      </c>
      <c r="B1161" s="1" t="s">
        <v>1345</v>
      </c>
      <c r="C1161" s="1" t="s">
        <v>27</v>
      </c>
      <c r="D1161" t="s">
        <v>31</v>
      </c>
      <c r="E1161" t="s">
        <v>283</v>
      </c>
      <c r="F1161" t="s">
        <v>16</v>
      </c>
      <c r="G1161" t="s">
        <v>15</v>
      </c>
      <c r="H1161" s="3">
        <v>3</v>
      </c>
      <c r="I1161" s="3">
        <v>45980</v>
      </c>
      <c r="J1161" s="3">
        <v>137940</v>
      </c>
      <c r="K1161" s="3">
        <v>38000</v>
      </c>
      <c r="L1161" s="3">
        <v>114000</v>
      </c>
      <c r="M1161" s="3">
        <v>23940</v>
      </c>
      <c r="N1161" s="4">
        <v>0.17355371900826447</v>
      </c>
    </row>
    <row r="1162" spans="1:14" x14ac:dyDescent="0.3">
      <c r="A1162" s="6">
        <v>45741</v>
      </c>
      <c r="B1162" s="1" t="s">
        <v>1346</v>
      </c>
      <c r="C1162" s="1" t="s">
        <v>29</v>
      </c>
      <c r="D1162" t="s">
        <v>33</v>
      </c>
      <c r="E1162" t="s">
        <v>110</v>
      </c>
      <c r="F1162" t="s">
        <v>21</v>
      </c>
      <c r="G1162" t="s">
        <v>20</v>
      </c>
      <c r="H1162" s="3">
        <v>8</v>
      </c>
      <c r="I1162" s="3">
        <v>756</v>
      </c>
      <c r="J1162" s="3">
        <v>6048</v>
      </c>
      <c r="K1162" s="3">
        <v>600</v>
      </c>
      <c r="L1162" s="3">
        <v>4800</v>
      </c>
      <c r="M1162" s="3">
        <v>1248</v>
      </c>
      <c r="N1162" s="4">
        <v>0.20634920634920634</v>
      </c>
    </row>
    <row r="1163" spans="1:14" x14ac:dyDescent="0.3">
      <c r="A1163" s="6">
        <v>45741</v>
      </c>
      <c r="B1163" s="1" t="s">
        <v>1347</v>
      </c>
      <c r="C1163" s="1" t="s">
        <v>26</v>
      </c>
      <c r="D1163" t="s">
        <v>32</v>
      </c>
      <c r="E1163" t="s">
        <v>163</v>
      </c>
      <c r="F1163" t="s">
        <v>14</v>
      </c>
      <c r="G1163" t="s">
        <v>15</v>
      </c>
      <c r="H1163" s="3">
        <v>5</v>
      </c>
      <c r="I1163" s="3">
        <v>64800</v>
      </c>
      <c r="J1163" s="3">
        <v>324000</v>
      </c>
      <c r="K1163" s="3">
        <v>45000</v>
      </c>
      <c r="L1163" s="3">
        <v>225000</v>
      </c>
      <c r="M1163" s="3">
        <v>99000</v>
      </c>
      <c r="N1163" s="4">
        <v>0.30555555555555558</v>
      </c>
    </row>
    <row r="1164" spans="1:14" x14ac:dyDescent="0.3">
      <c r="A1164" s="6">
        <v>45741</v>
      </c>
      <c r="B1164" s="1" t="s">
        <v>1348</v>
      </c>
      <c r="C1164" s="1" t="s">
        <v>29</v>
      </c>
      <c r="D1164" t="s">
        <v>33</v>
      </c>
      <c r="E1164" t="s">
        <v>204</v>
      </c>
      <c r="F1164" t="s">
        <v>21</v>
      </c>
      <c r="G1164" t="s">
        <v>20</v>
      </c>
      <c r="H1164" s="3">
        <v>2</v>
      </c>
      <c r="I1164" s="3">
        <v>834.00000000000011</v>
      </c>
      <c r="J1164" s="3">
        <v>1668.0000000000002</v>
      </c>
      <c r="K1164" s="3">
        <v>600</v>
      </c>
      <c r="L1164" s="3">
        <v>1200</v>
      </c>
      <c r="M1164" s="3">
        <v>468.00000000000023</v>
      </c>
      <c r="N1164" s="4">
        <v>0.28057553956834541</v>
      </c>
    </row>
    <row r="1165" spans="1:14" x14ac:dyDescent="0.3">
      <c r="A1165" s="6">
        <v>45741</v>
      </c>
      <c r="B1165" s="1" t="s">
        <v>1349</v>
      </c>
      <c r="C1165" s="1" t="s">
        <v>26</v>
      </c>
      <c r="D1165" t="s">
        <v>33</v>
      </c>
      <c r="E1165" t="s">
        <v>193</v>
      </c>
      <c r="F1165" t="s">
        <v>14</v>
      </c>
      <c r="G1165" t="s">
        <v>15</v>
      </c>
      <c r="H1165" s="3">
        <v>10</v>
      </c>
      <c r="I1165" s="3">
        <v>55350</v>
      </c>
      <c r="J1165" s="3">
        <v>553500</v>
      </c>
      <c r="K1165" s="3">
        <v>45000</v>
      </c>
      <c r="L1165" s="3">
        <v>450000</v>
      </c>
      <c r="M1165" s="3">
        <v>103500</v>
      </c>
      <c r="N1165" s="4">
        <v>0.18699186991869918</v>
      </c>
    </row>
    <row r="1166" spans="1:14" x14ac:dyDescent="0.3">
      <c r="A1166" s="6">
        <v>45741</v>
      </c>
      <c r="B1166" s="1" t="s">
        <v>1350</v>
      </c>
      <c r="C1166" s="1" t="s">
        <v>26</v>
      </c>
      <c r="D1166" t="s">
        <v>34</v>
      </c>
      <c r="E1166" t="s">
        <v>415</v>
      </c>
      <c r="F1166" t="s">
        <v>14</v>
      </c>
      <c r="G1166" t="s">
        <v>15</v>
      </c>
      <c r="H1166" s="3">
        <v>9</v>
      </c>
      <c r="I1166" s="3">
        <v>55350</v>
      </c>
      <c r="J1166" s="3">
        <v>498150</v>
      </c>
      <c r="K1166" s="3">
        <v>45000</v>
      </c>
      <c r="L1166" s="3">
        <v>405000</v>
      </c>
      <c r="M1166" s="3">
        <v>93150</v>
      </c>
      <c r="N1166" s="4">
        <v>0.18699186991869918</v>
      </c>
    </row>
    <row r="1167" spans="1:14" x14ac:dyDescent="0.3">
      <c r="A1167" s="6">
        <v>45741</v>
      </c>
      <c r="B1167" s="1" t="s">
        <v>1351</v>
      </c>
      <c r="C1167" s="1" t="s">
        <v>28</v>
      </c>
      <c r="D1167" t="s">
        <v>32</v>
      </c>
      <c r="E1167" t="s">
        <v>268</v>
      </c>
      <c r="F1167" t="s">
        <v>19</v>
      </c>
      <c r="G1167" t="s">
        <v>20</v>
      </c>
      <c r="H1167" s="3">
        <v>10</v>
      </c>
      <c r="I1167" s="3">
        <v>1233</v>
      </c>
      <c r="J1167" s="3">
        <v>12330</v>
      </c>
      <c r="K1167" s="3">
        <v>900</v>
      </c>
      <c r="L1167" s="3">
        <v>9000</v>
      </c>
      <c r="M1167" s="3">
        <v>3330</v>
      </c>
      <c r="N1167" s="4">
        <v>0.27007299270072993</v>
      </c>
    </row>
    <row r="1168" spans="1:14" x14ac:dyDescent="0.3">
      <c r="A1168" s="6">
        <v>45741</v>
      </c>
      <c r="B1168" s="1" t="s">
        <v>1352</v>
      </c>
      <c r="C1168" s="1" t="s">
        <v>27</v>
      </c>
      <c r="D1168" t="s">
        <v>31</v>
      </c>
      <c r="E1168" t="s">
        <v>342</v>
      </c>
      <c r="F1168" t="s">
        <v>16</v>
      </c>
      <c r="G1168" t="s">
        <v>15</v>
      </c>
      <c r="H1168" s="3">
        <v>8</v>
      </c>
      <c r="I1168" s="3">
        <v>46740</v>
      </c>
      <c r="J1168" s="3">
        <v>373920</v>
      </c>
      <c r="K1168" s="3">
        <v>38000</v>
      </c>
      <c r="L1168" s="3">
        <v>304000</v>
      </c>
      <c r="M1168" s="3">
        <v>69920</v>
      </c>
      <c r="N1168" s="4">
        <v>0.18699186991869918</v>
      </c>
    </row>
    <row r="1169" spans="1:14" x14ac:dyDescent="0.3">
      <c r="A1169" s="6">
        <v>45741</v>
      </c>
      <c r="B1169" s="1" t="s">
        <v>1353</v>
      </c>
      <c r="C1169" s="1" t="s">
        <v>29</v>
      </c>
      <c r="D1169" t="s">
        <v>30</v>
      </c>
      <c r="E1169" t="s">
        <v>361</v>
      </c>
      <c r="F1169" t="s">
        <v>19</v>
      </c>
      <c r="G1169" t="s">
        <v>20</v>
      </c>
      <c r="H1169" s="3">
        <v>2</v>
      </c>
      <c r="I1169" s="3">
        <v>1170</v>
      </c>
      <c r="J1169" s="3">
        <v>2340</v>
      </c>
      <c r="K1169" s="3">
        <v>900</v>
      </c>
      <c r="L1169" s="3">
        <v>1800</v>
      </c>
      <c r="M1169" s="3">
        <v>540</v>
      </c>
      <c r="N1169" s="4">
        <v>0.23076923076923078</v>
      </c>
    </row>
    <row r="1170" spans="1:14" x14ac:dyDescent="0.3">
      <c r="A1170" s="6">
        <v>45741</v>
      </c>
      <c r="B1170" s="1" t="s">
        <v>1354</v>
      </c>
      <c r="C1170" s="1" t="s">
        <v>27</v>
      </c>
      <c r="D1170" t="s">
        <v>32</v>
      </c>
      <c r="E1170" t="s">
        <v>55</v>
      </c>
      <c r="F1170" t="s">
        <v>16</v>
      </c>
      <c r="G1170" t="s">
        <v>15</v>
      </c>
      <c r="H1170" s="3">
        <v>3</v>
      </c>
      <c r="I1170" s="3">
        <v>52820.000000000007</v>
      </c>
      <c r="J1170" s="3">
        <v>158460.00000000003</v>
      </c>
      <c r="K1170" s="3">
        <v>38000</v>
      </c>
      <c r="L1170" s="3">
        <v>114000</v>
      </c>
      <c r="M1170" s="3">
        <v>44460.000000000029</v>
      </c>
      <c r="N1170" s="4">
        <v>0.28057553956834547</v>
      </c>
    </row>
    <row r="1171" spans="1:14" x14ac:dyDescent="0.3">
      <c r="A1171" s="6">
        <v>45741</v>
      </c>
      <c r="B1171" s="1" t="s">
        <v>1355</v>
      </c>
      <c r="C1171" s="1" t="s">
        <v>28</v>
      </c>
      <c r="D1171" t="s">
        <v>33</v>
      </c>
      <c r="E1171" t="s">
        <v>74</v>
      </c>
      <c r="F1171" t="s">
        <v>14</v>
      </c>
      <c r="G1171" t="s">
        <v>15</v>
      </c>
      <c r="H1171" s="3">
        <v>7</v>
      </c>
      <c r="I1171" s="3">
        <v>59400</v>
      </c>
      <c r="J1171" s="3">
        <v>415800</v>
      </c>
      <c r="K1171" s="3">
        <v>45000</v>
      </c>
      <c r="L1171" s="3">
        <v>315000</v>
      </c>
      <c r="M1171" s="3">
        <v>100800</v>
      </c>
      <c r="N1171" s="4">
        <v>0.24242424242424243</v>
      </c>
    </row>
    <row r="1172" spans="1:14" x14ac:dyDescent="0.3">
      <c r="A1172" s="6">
        <v>45741</v>
      </c>
      <c r="B1172" s="1" t="s">
        <v>1356</v>
      </c>
      <c r="C1172" s="1" t="s">
        <v>27</v>
      </c>
      <c r="D1172" t="s">
        <v>32</v>
      </c>
      <c r="E1172" t="s">
        <v>159</v>
      </c>
      <c r="F1172" t="s">
        <v>23</v>
      </c>
      <c r="G1172" t="s">
        <v>25</v>
      </c>
      <c r="H1172" s="3">
        <v>7</v>
      </c>
      <c r="I1172" s="3">
        <v>4256</v>
      </c>
      <c r="J1172" s="3">
        <v>29792</v>
      </c>
      <c r="K1172" s="3">
        <v>3200</v>
      </c>
      <c r="L1172" s="3">
        <v>22400</v>
      </c>
      <c r="M1172" s="3">
        <v>7392</v>
      </c>
      <c r="N1172" s="4">
        <v>0.24812030075187969</v>
      </c>
    </row>
    <row r="1173" spans="1:14" x14ac:dyDescent="0.3">
      <c r="A1173" s="6">
        <v>45741</v>
      </c>
      <c r="B1173" s="1" t="s">
        <v>1357</v>
      </c>
      <c r="C1173" s="1" t="s">
        <v>26</v>
      </c>
      <c r="D1173" t="s">
        <v>31</v>
      </c>
      <c r="E1173" t="s">
        <v>548</v>
      </c>
      <c r="F1173" t="s">
        <v>17</v>
      </c>
      <c r="G1173" t="s">
        <v>18</v>
      </c>
      <c r="H1173" s="3">
        <v>10</v>
      </c>
      <c r="I1173" s="3">
        <v>10795</v>
      </c>
      <c r="J1173" s="3">
        <v>107950</v>
      </c>
      <c r="K1173" s="3">
        <v>8500</v>
      </c>
      <c r="L1173" s="3">
        <v>85000</v>
      </c>
      <c r="M1173" s="3">
        <v>22950</v>
      </c>
      <c r="N1173" s="4">
        <v>0.2125984251968504</v>
      </c>
    </row>
    <row r="1174" spans="1:14" x14ac:dyDescent="0.3">
      <c r="A1174" s="6">
        <v>45741</v>
      </c>
      <c r="B1174" s="1" t="s">
        <v>1358</v>
      </c>
      <c r="C1174" s="1" t="s">
        <v>28</v>
      </c>
      <c r="D1174" t="s">
        <v>34</v>
      </c>
      <c r="E1174" t="s">
        <v>363</v>
      </c>
      <c r="F1174" t="s">
        <v>23</v>
      </c>
      <c r="G1174" t="s">
        <v>25</v>
      </c>
      <c r="H1174" s="3">
        <v>9</v>
      </c>
      <c r="I1174" s="3">
        <v>4416</v>
      </c>
      <c r="J1174" s="3">
        <v>39744</v>
      </c>
      <c r="K1174" s="3">
        <v>3200</v>
      </c>
      <c r="L1174" s="3">
        <v>28800</v>
      </c>
      <c r="M1174" s="3">
        <v>10944</v>
      </c>
      <c r="N1174" s="4">
        <v>0.27536231884057971</v>
      </c>
    </row>
    <row r="1175" spans="1:14" x14ac:dyDescent="0.3">
      <c r="A1175" s="6">
        <v>45741</v>
      </c>
      <c r="B1175" s="1" t="s">
        <v>1359</v>
      </c>
      <c r="C1175" s="1" t="s">
        <v>29</v>
      </c>
      <c r="D1175" t="s">
        <v>32</v>
      </c>
      <c r="E1175" t="s">
        <v>216</v>
      </c>
      <c r="F1175" t="s">
        <v>14</v>
      </c>
      <c r="G1175" t="s">
        <v>15</v>
      </c>
      <c r="H1175" s="3">
        <v>7</v>
      </c>
      <c r="I1175" s="3">
        <v>58500</v>
      </c>
      <c r="J1175" s="3">
        <v>409500</v>
      </c>
      <c r="K1175" s="3">
        <v>45000</v>
      </c>
      <c r="L1175" s="3">
        <v>315000</v>
      </c>
      <c r="M1175" s="3">
        <v>94500</v>
      </c>
      <c r="N1175" s="4">
        <v>0.23076923076923078</v>
      </c>
    </row>
    <row r="1176" spans="1:14" x14ac:dyDescent="0.3">
      <c r="A1176" s="6">
        <v>45742</v>
      </c>
      <c r="B1176" s="1" t="s">
        <v>1360</v>
      </c>
      <c r="C1176" s="1" t="s">
        <v>27</v>
      </c>
      <c r="D1176" t="s">
        <v>35</v>
      </c>
      <c r="E1176" t="s">
        <v>149</v>
      </c>
      <c r="F1176" t="s">
        <v>14</v>
      </c>
      <c r="G1176" t="s">
        <v>15</v>
      </c>
      <c r="H1176" s="3">
        <v>8</v>
      </c>
      <c r="I1176" s="3">
        <v>56700</v>
      </c>
      <c r="J1176" s="3">
        <v>453600</v>
      </c>
      <c r="K1176" s="3">
        <v>45000</v>
      </c>
      <c r="L1176" s="3">
        <v>360000</v>
      </c>
      <c r="M1176" s="3">
        <v>93600</v>
      </c>
      <c r="N1176" s="4">
        <v>0.20634920634920634</v>
      </c>
    </row>
    <row r="1177" spans="1:14" x14ac:dyDescent="0.3">
      <c r="A1177" s="6">
        <v>45742</v>
      </c>
      <c r="B1177" s="1" t="s">
        <v>1361</v>
      </c>
      <c r="C1177" s="1" t="s">
        <v>26</v>
      </c>
      <c r="D1177" t="s">
        <v>32</v>
      </c>
      <c r="E1177" t="s">
        <v>306</v>
      </c>
      <c r="F1177" t="s">
        <v>19</v>
      </c>
      <c r="G1177" t="s">
        <v>20</v>
      </c>
      <c r="H1177" s="3">
        <v>2</v>
      </c>
      <c r="I1177" s="3">
        <v>1215</v>
      </c>
      <c r="J1177" s="3">
        <v>2430</v>
      </c>
      <c r="K1177" s="3">
        <v>900</v>
      </c>
      <c r="L1177" s="3">
        <v>1800</v>
      </c>
      <c r="M1177" s="3">
        <v>630</v>
      </c>
      <c r="N1177" s="4">
        <v>0.25925925925925924</v>
      </c>
    </row>
    <row r="1178" spans="1:14" x14ac:dyDescent="0.3">
      <c r="A1178" s="6">
        <v>45742</v>
      </c>
      <c r="B1178" s="1" t="s">
        <v>1362</v>
      </c>
      <c r="C1178" s="1" t="s">
        <v>29</v>
      </c>
      <c r="D1178" t="s">
        <v>31</v>
      </c>
      <c r="E1178" t="s">
        <v>390</v>
      </c>
      <c r="F1178" t="s">
        <v>22</v>
      </c>
      <c r="G1178" t="s">
        <v>18</v>
      </c>
      <c r="H1178" s="3">
        <v>7</v>
      </c>
      <c r="I1178" s="3">
        <v>9380</v>
      </c>
      <c r="J1178" s="3">
        <v>65660</v>
      </c>
      <c r="K1178" s="3">
        <v>7000</v>
      </c>
      <c r="L1178" s="3">
        <v>49000</v>
      </c>
      <c r="M1178" s="3">
        <v>16660</v>
      </c>
      <c r="N1178" s="4">
        <v>0.2537313432835821</v>
      </c>
    </row>
    <row r="1179" spans="1:14" x14ac:dyDescent="0.3">
      <c r="A1179" s="6">
        <v>45742</v>
      </c>
      <c r="B1179" s="1" t="s">
        <v>1363</v>
      </c>
      <c r="C1179" s="1" t="s">
        <v>26</v>
      </c>
      <c r="D1179" t="s">
        <v>31</v>
      </c>
      <c r="E1179" t="s">
        <v>129</v>
      </c>
      <c r="F1179" t="s">
        <v>14</v>
      </c>
      <c r="G1179" t="s">
        <v>15</v>
      </c>
      <c r="H1179" s="3">
        <v>2</v>
      </c>
      <c r="I1179" s="3">
        <v>56700</v>
      </c>
      <c r="J1179" s="3">
        <v>113400</v>
      </c>
      <c r="K1179" s="3">
        <v>45000</v>
      </c>
      <c r="L1179" s="3">
        <v>90000</v>
      </c>
      <c r="M1179" s="3">
        <v>23400</v>
      </c>
      <c r="N1179" s="4">
        <v>0.20634920634920634</v>
      </c>
    </row>
    <row r="1180" spans="1:14" x14ac:dyDescent="0.3">
      <c r="A1180" s="6">
        <v>45742</v>
      </c>
      <c r="B1180" s="1" t="s">
        <v>1364</v>
      </c>
      <c r="C1180" s="1" t="s">
        <v>26</v>
      </c>
      <c r="D1180" t="s">
        <v>30</v>
      </c>
      <c r="E1180" t="s">
        <v>304</v>
      </c>
      <c r="F1180" t="s">
        <v>16</v>
      </c>
      <c r="G1180" t="s">
        <v>15</v>
      </c>
      <c r="H1180" s="3">
        <v>6</v>
      </c>
      <c r="I1180" s="3">
        <v>46360</v>
      </c>
      <c r="J1180" s="3">
        <v>278160</v>
      </c>
      <c r="K1180" s="3">
        <v>38000</v>
      </c>
      <c r="L1180" s="3">
        <v>228000</v>
      </c>
      <c r="M1180" s="3">
        <v>50160</v>
      </c>
      <c r="N1180" s="4">
        <v>0.18032786885245902</v>
      </c>
    </row>
    <row r="1181" spans="1:14" x14ac:dyDescent="0.3">
      <c r="A1181" s="6">
        <v>45742</v>
      </c>
      <c r="B1181" s="1" t="s">
        <v>1365</v>
      </c>
      <c r="C1181" s="1" t="s">
        <v>26</v>
      </c>
      <c r="D1181" t="s">
        <v>33</v>
      </c>
      <c r="E1181" t="s">
        <v>206</v>
      </c>
      <c r="F1181" t="s">
        <v>24</v>
      </c>
      <c r="G1181" t="s">
        <v>25</v>
      </c>
      <c r="H1181" s="3">
        <v>2</v>
      </c>
      <c r="I1181" s="3">
        <v>3250</v>
      </c>
      <c r="J1181" s="3">
        <v>6500</v>
      </c>
      <c r="K1181" s="3">
        <v>2500</v>
      </c>
      <c r="L1181" s="3">
        <v>5000</v>
      </c>
      <c r="M1181" s="3">
        <v>1500</v>
      </c>
      <c r="N1181" s="4">
        <v>0.23076923076923078</v>
      </c>
    </row>
    <row r="1182" spans="1:14" x14ac:dyDescent="0.3">
      <c r="A1182" s="6">
        <v>45742</v>
      </c>
      <c r="B1182" s="1" t="s">
        <v>1366</v>
      </c>
      <c r="C1182" s="1" t="s">
        <v>29</v>
      </c>
      <c r="D1182" t="s">
        <v>35</v>
      </c>
      <c r="E1182" t="s">
        <v>310</v>
      </c>
      <c r="F1182" t="s">
        <v>24</v>
      </c>
      <c r="G1182" t="s">
        <v>25</v>
      </c>
      <c r="H1182" s="3">
        <v>3</v>
      </c>
      <c r="I1182" s="3">
        <v>3425.0000000000005</v>
      </c>
      <c r="J1182" s="3">
        <v>10275.000000000002</v>
      </c>
      <c r="K1182" s="3">
        <v>2500</v>
      </c>
      <c r="L1182" s="3">
        <v>7500</v>
      </c>
      <c r="M1182" s="3">
        <v>2775.0000000000018</v>
      </c>
      <c r="N1182" s="4">
        <v>0.27007299270073004</v>
      </c>
    </row>
    <row r="1183" spans="1:14" x14ac:dyDescent="0.3">
      <c r="A1183" s="6">
        <v>45742</v>
      </c>
      <c r="B1183" s="1" t="s">
        <v>1367</v>
      </c>
      <c r="C1183" s="1" t="s">
        <v>28</v>
      </c>
      <c r="D1183" t="s">
        <v>33</v>
      </c>
      <c r="E1183" t="s">
        <v>85</v>
      </c>
      <c r="F1183" t="s">
        <v>21</v>
      </c>
      <c r="G1183" t="s">
        <v>20</v>
      </c>
      <c r="H1183" s="3">
        <v>8</v>
      </c>
      <c r="I1183" s="3">
        <v>840</v>
      </c>
      <c r="J1183" s="3">
        <v>6720</v>
      </c>
      <c r="K1183" s="3">
        <v>600</v>
      </c>
      <c r="L1183" s="3">
        <v>4800</v>
      </c>
      <c r="M1183" s="3">
        <v>1920</v>
      </c>
      <c r="N1183" s="4">
        <v>0.2857142857142857</v>
      </c>
    </row>
    <row r="1184" spans="1:14" x14ac:dyDescent="0.3">
      <c r="A1184" s="6">
        <v>45742</v>
      </c>
      <c r="B1184" s="1" t="s">
        <v>1368</v>
      </c>
      <c r="C1184" s="1" t="s">
        <v>28</v>
      </c>
      <c r="D1184" t="s">
        <v>30</v>
      </c>
      <c r="E1184" t="s">
        <v>37</v>
      </c>
      <c r="F1184" t="s">
        <v>22</v>
      </c>
      <c r="G1184" t="s">
        <v>18</v>
      </c>
      <c r="H1184" s="3">
        <v>4</v>
      </c>
      <c r="I1184" s="3">
        <v>8820</v>
      </c>
      <c r="J1184" s="3">
        <v>35280</v>
      </c>
      <c r="K1184" s="3">
        <v>7000</v>
      </c>
      <c r="L1184" s="3">
        <v>28000</v>
      </c>
      <c r="M1184" s="3">
        <v>7280</v>
      </c>
      <c r="N1184" s="4">
        <v>0.20634920634920634</v>
      </c>
    </row>
    <row r="1185" spans="1:14" x14ac:dyDescent="0.3">
      <c r="A1185" s="6">
        <v>45742</v>
      </c>
      <c r="B1185" s="1" t="s">
        <v>1369</v>
      </c>
      <c r="C1185" s="1" t="s">
        <v>28</v>
      </c>
      <c r="D1185" t="s">
        <v>30</v>
      </c>
      <c r="E1185" t="s">
        <v>239</v>
      </c>
      <c r="F1185" t="s">
        <v>23</v>
      </c>
      <c r="G1185" t="s">
        <v>25</v>
      </c>
      <c r="H1185" s="3">
        <v>3</v>
      </c>
      <c r="I1185" s="3">
        <v>4000</v>
      </c>
      <c r="J1185" s="3">
        <v>12000</v>
      </c>
      <c r="K1185" s="3">
        <v>3200</v>
      </c>
      <c r="L1185" s="3">
        <v>9600</v>
      </c>
      <c r="M1185" s="3">
        <v>2400</v>
      </c>
      <c r="N1185" s="4">
        <v>0.2</v>
      </c>
    </row>
    <row r="1186" spans="1:14" x14ac:dyDescent="0.3">
      <c r="A1186" s="6">
        <v>45742</v>
      </c>
      <c r="B1186" s="1" t="s">
        <v>1370</v>
      </c>
      <c r="C1186" s="1" t="s">
        <v>29</v>
      </c>
      <c r="D1186" t="s">
        <v>34</v>
      </c>
      <c r="E1186" t="s">
        <v>78</v>
      </c>
      <c r="F1186" t="s">
        <v>21</v>
      </c>
      <c r="G1186" t="s">
        <v>20</v>
      </c>
      <c r="H1186" s="3">
        <v>7</v>
      </c>
      <c r="I1186" s="3">
        <v>726</v>
      </c>
      <c r="J1186" s="3">
        <v>5082</v>
      </c>
      <c r="K1186" s="3">
        <v>600</v>
      </c>
      <c r="L1186" s="3">
        <v>4200</v>
      </c>
      <c r="M1186" s="3">
        <v>882</v>
      </c>
      <c r="N1186" s="4">
        <v>0.17355371900826447</v>
      </c>
    </row>
    <row r="1187" spans="1:14" x14ac:dyDescent="0.3">
      <c r="A1187" s="6">
        <v>45742</v>
      </c>
      <c r="B1187" s="1" t="s">
        <v>1371</v>
      </c>
      <c r="C1187" s="1" t="s">
        <v>29</v>
      </c>
      <c r="D1187" t="s">
        <v>31</v>
      </c>
      <c r="E1187" t="s">
        <v>134</v>
      </c>
      <c r="F1187" t="s">
        <v>23</v>
      </c>
      <c r="G1187" t="s">
        <v>25</v>
      </c>
      <c r="H1187" s="3">
        <v>2</v>
      </c>
      <c r="I1187" s="3">
        <v>4064</v>
      </c>
      <c r="J1187" s="3">
        <v>8128</v>
      </c>
      <c r="K1187" s="3">
        <v>3200</v>
      </c>
      <c r="L1187" s="3">
        <v>6400</v>
      </c>
      <c r="M1187" s="3">
        <v>1728</v>
      </c>
      <c r="N1187" s="4">
        <v>0.2125984251968504</v>
      </c>
    </row>
    <row r="1188" spans="1:14" x14ac:dyDescent="0.3">
      <c r="A1188" s="6">
        <v>45742</v>
      </c>
      <c r="B1188" s="1" t="s">
        <v>1372</v>
      </c>
      <c r="C1188" s="1" t="s">
        <v>29</v>
      </c>
      <c r="D1188" t="s">
        <v>32</v>
      </c>
      <c r="E1188" t="s">
        <v>698</v>
      </c>
      <c r="F1188" t="s">
        <v>21</v>
      </c>
      <c r="G1188" t="s">
        <v>20</v>
      </c>
      <c r="H1188" s="3">
        <v>7</v>
      </c>
      <c r="I1188" s="3">
        <v>798</v>
      </c>
      <c r="J1188" s="3">
        <v>5586</v>
      </c>
      <c r="K1188" s="3">
        <v>600</v>
      </c>
      <c r="L1188" s="3">
        <v>4200</v>
      </c>
      <c r="M1188" s="3">
        <v>1386</v>
      </c>
      <c r="N1188" s="4">
        <v>0.24812030075187969</v>
      </c>
    </row>
    <row r="1189" spans="1:14" x14ac:dyDescent="0.3">
      <c r="A1189" s="6">
        <v>45742</v>
      </c>
      <c r="B1189" s="1" t="s">
        <v>1373</v>
      </c>
      <c r="C1189" s="1" t="s">
        <v>27</v>
      </c>
      <c r="D1189" t="s">
        <v>34</v>
      </c>
      <c r="E1189" t="s">
        <v>379</v>
      </c>
      <c r="F1189" t="s">
        <v>24</v>
      </c>
      <c r="G1189" t="s">
        <v>25</v>
      </c>
      <c r="H1189" s="3">
        <v>1</v>
      </c>
      <c r="I1189" s="3">
        <v>3025</v>
      </c>
      <c r="J1189" s="3">
        <v>3025</v>
      </c>
      <c r="K1189" s="3">
        <v>2500</v>
      </c>
      <c r="L1189" s="3">
        <v>2500</v>
      </c>
      <c r="M1189" s="3">
        <v>525</v>
      </c>
      <c r="N1189" s="4">
        <v>0.17355371900826447</v>
      </c>
    </row>
    <row r="1190" spans="1:14" x14ac:dyDescent="0.3">
      <c r="A1190" s="6">
        <v>45743</v>
      </c>
      <c r="B1190" s="1" t="s">
        <v>1374</v>
      </c>
      <c r="C1190" s="1" t="s">
        <v>26</v>
      </c>
      <c r="D1190" t="s">
        <v>30</v>
      </c>
      <c r="E1190" t="s">
        <v>151</v>
      </c>
      <c r="F1190" t="s">
        <v>21</v>
      </c>
      <c r="G1190" t="s">
        <v>20</v>
      </c>
      <c r="H1190" s="3">
        <v>8</v>
      </c>
      <c r="I1190" s="3">
        <v>870</v>
      </c>
      <c r="J1190" s="3">
        <v>6960</v>
      </c>
      <c r="K1190" s="3">
        <v>600</v>
      </c>
      <c r="L1190" s="3">
        <v>4800</v>
      </c>
      <c r="M1190" s="3">
        <v>2160</v>
      </c>
      <c r="N1190" s="4">
        <v>0.31034482758620691</v>
      </c>
    </row>
    <row r="1191" spans="1:14" x14ac:dyDescent="0.3">
      <c r="A1191" s="6">
        <v>45743</v>
      </c>
      <c r="B1191" s="1" t="s">
        <v>1375</v>
      </c>
      <c r="C1191" s="1" t="s">
        <v>26</v>
      </c>
      <c r="D1191" t="s">
        <v>32</v>
      </c>
      <c r="E1191" t="s">
        <v>283</v>
      </c>
      <c r="F1191" t="s">
        <v>23</v>
      </c>
      <c r="G1191" t="s">
        <v>25</v>
      </c>
      <c r="H1191" s="3">
        <v>5</v>
      </c>
      <c r="I1191" s="3">
        <v>4032</v>
      </c>
      <c r="J1191" s="3">
        <v>20160</v>
      </c>
      <c r="K1191" s="3">
        <v>3200</v>
      </c>
      <c r="L1191" s="3">
        <v>16000</v>
      </c>
      <c r="M1191" s="3">
        <v>4160</v>
      </c>
      <c r="N1191" s="4">
        <v>0.20634920634920634</v>
      </c>
    </row>
    <row r="1192" spans="1:14" x14ac:dyDescent="0.3">
      <c r="A1192" s="6">
        <v>45743</v>
      </c>
      <c r="B1192" s="1" t="s">
        <v>1376</v>
      </c>
      <c r="C1192" s="1" t="s">
        <v>29</v>
      </c>
      <c r="D1192" t="s">
        <v>32</v>
      </c>
      <c r="E1192" t="s">
        <v>41</v>
      </c>
      <c r="F1192" t="s">
        <v>22</v>
      </c>
      <c r="G1192" t="s">
        <v>18</v>
      </c>
      <c r="H1192" s="3">
        <v>1</v>
      </c>
      <c r="I1192" s="3">
        <v>9660</v>
      </c>
      <c r="J1192" s="3">
        <v>9660</v>
      </c>
      <c r="K1192" s="3">
        <v>7000</v>
      </c>
      <c r="L1192" s="3">
        <v>7000</v>
      </c>
      <c r="M1192" s="3">
        <v>2660</v>
      </c>
      <c r="N1192" s="4">
        <v>0.27536231884057971</v>
      </c>
    </row>
    <row r="1193" spans="1:14" x14ac:dyDescent="0.3">
      <c r="A1193" s="6">
        <v>45743</v>
      </c>
      <c r="B1193" s="1" t="s">
        <v>1377</v>
      </c>
      <c r="C1193" s="1" t="s">
        <v>27</v>
      </c>
      <c r="D1193" t="s">
        <v>32</v>
      </c>
      <c r="E1193" t="s">
        <v>216</v>
      </c>
      <c r="F1193" t="s">
        <v>22</v>
      </c>
      <c r="G1193" t="s">
        <v>18</v>
      </c>
      <c r="H1193" s="3">
        <v>2</v>
      </c>
      <c r="I1193" s="3">
        <v>9940</v>
      </c>
      <c r="J1193" s="3">
        <v>19880</v>
      </c>
      <c r="K1193" s="3">
        <v>7000</v>
      </c>
      <c r="L1193" s="3">
        <v>14000</v>
      </c>
      <c r="M1193" s="3">
        <v>5880</v>
      </c>
      <c r="N1193" s="4">
        <v>0.29577464788732394</v>
      </c>
    </row>
    <row r="1194" spans="1:14" x14ac:dyDescent="0.3">
      <c r="A1194" s="6">
        <v>45743</v>
      </c>
      <c r="B1194" s="1" t="s">
        <v>1378</v>
      </c>
      <c r="C1194" s="1" t="s">
        <v>26</v>
      </c>
      <c r="D1194" t="s">
        <v>35</v>
      </c>
      <c r="E1194" t="s">
        <v>698</v>
      </c>
      <c r="F1194" t="s">
        <v>24</v>
      </c>
      <c r="G1194" t="s">
        <v>25</v>
      </c>
      <c r="H1194" s="3">
        <v>4</v>
      </c>
      <c r="I1194" s="3">
        <v>3600</v>
      </c>
      <c r="J1194" s="3">
        <v>14400</v>
      </c>
      <c r="K1194" s="3">
        <v>2500</v>
      </c>
      <c r="L1194" s="3">
        <v>10000</v>
      </c>
      <c r="M1194" s="3">
        <v>4400</v>
      </c>
      <c r="N1194" s="4">
        <v>0.30555555555555558</v>
      </c>
    </row>
    <row r="1195" spans="1:14" x14ac:dyDescent="0.3">
      <c r="A1195" s="6">
        <v>45743</v>
      </c>
      <c r="B1195" s="1" t="s">
        <v>1379</v>
      </c>
      <c r="C1195" s="1" t="s">
        <v>28</v>
      </c>
      <c r="D1195" t="s">
        <v>30</v>
      </c>
      <c r="E1195" t="s">
        <v>102</v>
      </c>
      <c r="F1195" t="s">
        <v>14</v>
      </c>
      <c r="G1195" t="s">
        <v>15</v>
      </c>
      <c r="H1195" s="3">
        <v>5</v>
      </c>
      <c r="I1195" s="3">
        <v>59400</v>
      </c>
      <c r="J1195" s="3">
        <v>297000</v>
      </c>
      <c r="K1195" s="3">
        <v>45000</v>
      </c>
      <c r="L1195" s="3">
        <v>225000</v>
      </c>
      <c r="M1195" s="3">
        <v>72000</v>
      </c>
      <c r="N1195" s="4">
        <v>0.24242424242424243</v>
      </c>
    </row>
    <row r="1196" spans="1:14" x14ac:dyDescent="0.3">
      <c r="A1196" s="6">
        <v>45743</v>
      </c>
      <c r="B1196" s="1" t="s">
        <v>1380</v>
      </c>
      <c r="C1196" s="1" t="s">
        <v>28</v>
      </c>
      <c r="D1196" t="s">
        <v>31</v>
      </c>
      <c r="E1196" t="s">
        <v>161</v>
      </c>
      <c r="F1196" t="s">
        <v>24</v>
      </c>
      <c r="G1196" t="s">
        <v>25</v>
      </c>
      <c r="H1196" s="3">
        <v>2</v>
      </c>
      <c r="I1196" s="3">
        <v>3375</v>
      </c>
      <c r="J1196" s="3">
        <v>6750</v>
      </c>
      <c r="K1196" s="3">
        <v>2500</v>
      </c>
      <c r="L1196" s="3">
        <v>5000</v>
      </c>
      <c r="M1196" s="3">
        <v>1750</v>
      </c>
      <c r="N1196" s="4">
        <v>0.25925925925925924</v>
      </c>
    </row>
    <row r="1197" spans="1:14" x14ac:dyDescent="0.3">
      <c r="A1197" s="6">
        <v>45743</v>
      </c>
      <c r="B1197" s="1" t="s">
        <v>1381</v>
      </c>
      <c r="C1197" s="1" t="s">
        <v>29</v>
      </c>
      <c r="D1197" t="s">
        <v>32</v>
      </c>
      <c r="E1197" t="s">
        <v>447</v>
      </c>
      <c r="F1197" t="s">
        <v>22</v>
      </c>
      <c r="G1197" t="s">
        <v>18</v>
      </c>
      <c r="H1197" s="3">
        <v>1</v>
      </c>
      <c r="I1197" s="3">
        <v>8890</v>
      </c>
      <c r="J1197" s="3">
        <v>8890</v>
      </c>
      <c r="K1197" s="3">
        <v>7000</v>
      </c>
      <c r="L1197" s="3">
        <v>7000</v>
      </c>
      <c r="M1197" s="3">
        <v>1890</v>
      </c>
      <c r="N1197" s="4">
        <v>0.2125984251968504</v>
      </c>
    </row>
    <row r="1198" spans="1:14" x14ac:dyDescent="0.3">
      <c r="A1198" s="6">
        <v>45743</v>
      </c>
      <c r="B1198" s="1" t="s">
        <v>1382</v>
      </c>
      <c r="C1198" s="1" t="s">
        <v>27</v>
      </c>
      <c r="D1198" t="s">
        <v>35</v>
      </c>
      <c r="E1198" t="s">
        <v>407</v>
      </c>
      <c r="F1198" t="s">
        <v>16</v>
      </c>
      <c r="G1198" t="s">
        <v>15</v>
      </c>
      <c r="H1198" s="3">
        <v>1</v>
      </c>
      <c r="I1198" s="3">
        <v>52820.000000000007</v>
      </c>
      <c r="J1198" s="3">
        <v>52820.000000000007</v>
      </c>
      <c r="K1198" s="3">
        <v>38000</v>
      </c>
      <c r="L1198" s="3">
        <v>38000</v>
      </c>
      <c r="M1198" s="3">
        <v>14820.000000000007</v>
      </c>
      <c r="N1198" s="4">
        <v>0.28057553956834541</v>
      </c>
    </row>
    <row r="1199" spans="1:14" x14ac:dyDescent="0.3">
      <c r="A1199" s="6">
        <v>45743</v>
      </c>
      <c r="B1199" s="1" t="s">
        <v>1383</v>
      </c>
      <c r="C1199" s="1" t="s">
        <v>28</v>
      </c>
      <c r="D1199" t="s">
        <v>31</v>
      </c>
      <c r="E1199" t="s">
        <v>85</v>
      </c>
      <c r="F1199" t="s">
        <v>19</v>
      </c>
      <c r="G1199" t="s">
        <v>20</v>
      </c>
      <c r="H1199" s="3">
        <v>1</v>
      </c>
      <c r="I1199" s="3">
        <v>1161</v>
      </c>
      <c r="J1199" s="3">
        <v>1161</v>
      </c>
      <c r="K1199" s="3">
        <v>900</v>
      </c>
      <c r="L1199" s="3">
        <v>900</v>
      </c>
      <c r="M1199" s="3">
        <v>261</v>
      </c>
      <c r="N1199" s="4">
        <v>0.22480620155038761</v>
      </c>
    </row>
    <row r="1200" spans="1:14" x14ac:dyDescent="0.3">
      <c r="A1200" s="6">
        <v>45743</v>
      </c>
      <c r="B1200" s="1" t="s">
        <v>1384</v>
      </c>
      <c r="C1200" s="1" t="s">
        <v>26</v>
      </c>
      <c r="D1200" t="s">
        <v>34</v>
      </c>
      <c r="E1200" t="s">
        <v>104</v>
      </c>
      <c r="F1200" t="s">
        <v>21</v>
      </c>
      <c r="G1200" t="s">
        <v>20</v>
      </c>
      <c r="H1200" s="3">
        <v>8</v>
      </c>
      <c r="I1200" s="3">
        <v>864</v>
      </c>
      <c r="J1200" s="3">
        <v>6912</v>
      </c>
      <c r="K1200" s="3">
        <v>600</v>
      </c>
      <c r="L1200" s="3">
        <v>4800</v>
      </c>
      <c r="M1200" s="3">
        <v>2112</v>
      </c>
      <c r="N1200" s="4">
        <v>0.30555555555555558</v>
      </c>
    </row>
    <row r="1201" spans="1:14" x14ac:dyDescent="0.3">
      <c r="A1201" s="6">
        <v>45743</v>
      </c>
      <c r="B1201" s="1" t="s">
        <v>1385</v>
      </c>
      <c r="C1201" s="1" t="s">
        <v>26</v>
      </c>
      <c r="D1201" t="s">
        <v>30</v>
      </c>
      <c r="E1201" t="s">
        <v>116</v>
      </c>
      <c r="F1201" t="s">
        <v>14</v>
      </c>
      <c r="G1201" t="s">
        <v>15</v>
      </c>
      <c r="H1201" s="3">
        <v>8</v>
      </c>
      <c r="I1201" s="3">
        <v>54000</v>
      </c>
      <c r="J1201" s="3">
        <v>432000</v>
      </c>
      <c r="K1201" s="3">
        <v>45000</v>
      </c>
      <c r="L1201" s="3">
        <v>360000</v>
      </c>
      <c r="M1201" s="3">
        <v>72000</v>
      </c>
      <c r="N1201" s="4">
        <v>0.16666666666666666</v>
      </c>
    </row>
    <row r="1202" spans="1:14" x14ac:dyDescent="0.3">
      <c r="A1202" s="6">
        <v>45743</v>
      </c>
      <c r="B1202" s="1" t="s">
        <v>1386</v>
      </c>
      <c r="C1202" s="1" t="s">
        <v>28</v>
      </c>
      <c r="D1202" t="s">
        <v>34</v>
      </c>
      <c r="E1202" t="s">
        <v>424</v>
      </c>
      <c r="F1202" t="s">
        <v>16</v>
      </c>
      <c r="G1202" t="s">
        <v>15</v>
      </c>
      <c r="H1202" s="3">
        <v>4</v>
      </c>
      <c r="I1202" s="3">
        <v>49400</v>
      </c>
      <c r="J1202" s="3">
        <v>197600</v>
      </c>
      <c r="K1202" s="3">
        <v>38000</v>
      </c>
      <c r="L1202" s="3">
        <v>152000</v>
      </c>
      <c r="M1202" s="3">
        <v>45600</v>
      </c>
      <c r="N1202" s="4">
        <v>0.23076923076923078</v>
      </c>
    </row>
    <row r="1203" spans="1:14" x14ac:dyDescent="0.3">
      <c r="A1203" s="6">
        <v>45743</v>
      </c>
      <c r="B1203" s="1" t="s">
        <v>1387</v>
      </c>
      <c r="C1203" s="1" t="s">
        <v>28</v>
      </c>
      <c r="D1203" t="s">
        <v>30</v>
      </c>
      <c r="E1203" t="s">
        <v>231</v>
      </c>
      <c r="F1203" t="s">
        <v>14</v>
      </c>
      <c r="G1203" t="s">
        <v>15</v>
      </c>
      <c r="H1203" s="3">
        <v>7</v>
      </c>
      <c r="I1203" s="3">
        <v>58500</v>
      </c>
      <c r="J1203" s="3">
        <v>409500</v>
      </c>
      <c r="K1203" s="3">
        <v>45000</v>
      </c>
      <c r="L1203" s="3">
        <v>315000</v>
      </c>
      <c r="M1203" s="3">
        <v>94500</v>
      </c>
      <c r="N1203" s="4">
        <v>0.23076923076923078</v>
      </c>
    </row>
    <row r="1204" spans="1:14" x14ac:dyDescent="0.3">
      <c r="A1204" s="6">
        <v>45744</v>
      </c>
      <c r="B1204" s="1" t="s">
        <v>1388</v>
      </c>
      <c r="C1204" s="1" t="s">
        <v>27</v>
      </c>
      <c r="D1204" t="s">
        <v>31</v>
      </c>
      <c r="E1204" t="s">
        <v>189</v>
      </c>
      <c r="F1204" t="s">
        <v>22</v>
      </c>
      <c r="G1204" t="s">
        <v>18</v>
      </c>
      <c r="H1204" s="3">
        <v>2</v>
      </c>
      <c r="I1204" s="3">
        <v>9730</v>
      </c>
      <c r="J1204" s="3">
        <v>19460</v>
      </c>
      <c r="K1204" s="3">
        <v>7000</v>
      </c>
      <c r="L1204" s="3">
        <v>14000</v>
      </c>
      <c r="M1204" s="3">
        <v>5460</v>
      </c>
      <c r="N1204" s="4">
        <v>0.2805755395683453</v>
      </c>
    </row>
    <row r="1205" spans="1:14" x14ac:dyDescent="0.3">
      <c r="A1205" s="6">
        <v>45744</v>
      </c>
      <c r="B1205" s="1" t="s">
        <v>1389</v>
      </c>
      <c r="C1205" s="1" t="s">
        <v>26</v>
      </c>
      <c r="D1205" t="s">
        <v>32</v>
      </c>
      <c r="E1205" t="s">
        <v>336</v>
      </c>
      <c r="F1205" t="s">
        <v>21</v>
      </c>
      <c r="G1205" t="s">
        <v>20</v>
      </c>
      <c r="H1205" s="3">
        <v>6</v>
      </c>
      <c r="I1205" s="3">
        <v>738</v>
      </c>
      <c r="J1205" s="3">
        <v>4428</v>
      </c>
      <c r="K1205" s="3">
        <v>600</v>
      </c>
      <c r="L1205" s="3">
        <v>3600</v>
      </c>
      <c r="M1205" s="3">
        <v>828</v>
      </c>
      <c r="N1205" s="4">
        <v>0.18699186991869918</v>
      </c>
    </row>
    <row r="1206" spans="1:14" x14ac:dyDescent="0.3">
      <c r="A1206" s="6">
        <v>45744</v>
      </c>
      <c r="B1206" s="1" t="s">
        <v>1390</v>
      </c>
      <c r="C1206" s="1" t="s">
        <v>27</v>
      </c>
      <c r="D1206" t="s">
        <v>32</v>
      </c>
      <c r="E1206" t="s">
        <v>431</v>
      </c>
      <c r="F1206" t="s">
        <v>19</v>
      </c>
      <c r="G1206" t="s">
        <v>20</v>
      </c>
      <c r="H1206" s="3">
        <v>9</v>
      </c>
      <c r="I1206" s="3">
        <v>1188</v>
      </c>
      <c r="J1206" s="3">
        <v>10692</v>
      </c>
      <c r="K1206" s="3">
        <v>900</v>
      </c>
      <c r="L1206" s="3">
        <v>8100</v>
      </c>
      <c r="M1206" s="3">
        <v>2592</v>
      </c>
      <c r="N1206" s="4">
        <v>0.24242424242424243</v>
      </c>
    </row>
    <row r="1207" spans="1:14" x14ac:dyDescent="0.3">
      <c r="A1207" s="6">
        <v>45744</v>
      </c>
      <c r="B1207" s="1" t="s">
        <v>1391</v>
      </c>
      <c r="C1207" s="1" t="s">
        <v>27</v>
      </c>
      <c r="D1207" t="s">
        <v>34</v>
      </c>
      <c r="E1207" t="s">
        <v>369</v>
      </c>
      <c r="F1207" t="s">
        <v>14</v>
      </c>
      <c r="G1207" t="s">
        <v>15</v>
      </c>
      <c r="H1207" s="3">
        <v>6</v>
      </c>
      <c r="I1207" s="3">
        <v>60750.000000000007</v>
      </c>
      <c r="J1207" s="3">
        <v>364500.00000000006</v>
      </c>
      <c r="K1207" s="3">
        <v>45000</v>
      </c>
      <c r="L1207" s="3">
        <v>270000</v>
      </c>
      <c r="M1207" s="3">
        <v>94500.000000000058</v>
      </c>
      <c r="N1207" s="4">
        <v>0.25925925925925936</v>
      </c>
    </row>
    <row r="1208" spans="1:14" x14ac:dyDescent="0.3">
      <c r="A1208" s="6">
        <v>45744</v>
      </c>
      <c r="B1208" s="1" t="s">
        <v>1392</v>
      </c>
      <c r="C1208" s="1" t="s">
        <v>29</v>
      </c>
      <c r="D1208" t="s">
        <v>30</v>
      </c>
      <c r="E1208" t="s">
        <v>807</v>
      </c>
      <c r="F1208" t="s">
        <v>16</v>
      </c>
      <c r="G1208" t="s">
        <v>15</v>
      </c>
      <c r="H1208" s="3">
        <v>2</v>
      </c>
      <c r="I1208" s="3">
        <v>45600</v>
      </c>
      <c r="J1208" s="3">
        <v>91200</v>
      </c>
      <c r="K1208" s="3">
        <v>38000</v>
      </c>
      <c r="L1208" s="3">
        <v>76000</v>
      </c>
      <c r="M1208" s="3">
        <v>15200</v>
      </c>
      <c r="N1208" s="4">
        <v>0.16666666666666666</v>
      </c>
    </row>
    <row r="1209" spans="1:14" x14ac:dyDescent="0.3">
      <c r="A1209" s="6">
        <v>45744</v>
      </c>
      <c r="B1209" s="1" t="s">
        <v>1393</v>
      </c>
      <c r="C1209" s="1" t="s">
        <v>28</v>
      </c>
      <c r="D1209" t="s">
        <v>34</v>
      </c>
      <c r="E1209" t="s">
        <v>306</v>
      </c>
      <c r="F1209" t="s">
        <v>17</v>
      </c>
      <c r="G1209" t="s">
        <v>18</v>
      </c>
      <c r="H1209" s="3">
        <v>6</v>
      </c>
      <c r="I1209" s="3">
        <v>10540</v>
      </c>
      <c r="J1209" s="3">
        <v>63240</v>
      </c>
      <c r="K1209" s="3">
        <v>8500</v>
      </c>
      <c r="L1209" s="3">
        <v>51000</v>
      </c>
      <c r="M1209" s="3">
        <v>12240</v>
      </c>
      <c r="N1209" s="4">
        <v>0.19354838709677419</v>
      </c>
    </row>
    <row r="1210" spans="1:14" x14ac:dyDescent="0.3">
      <c r="A1210" s="6">
        <v>45744</v>
      </c>
      <c r="B1210" s="1" t="s">
        <v>1394</v>
      </c>
      <c r="C1210" s="1" t="s">
        <v>29</v>
      </c>
      <c r="D1210" t="s">
        <v>32</v>
      </c>
      <c r="E1210" t="s">
        <v>85</v>
      </c>
      <c r="F1210" t="s">
        <v>17</v>
      </c>
      <c r="G1210" t="s">
        <v>18</v>
      </c>
      <c r="H1210" s="3">
        <v>7</v>
      </c>
      <c r="I1210" s="3">
        <v>10625</v>
      </c>
      <c r="J1210" s="3">
        <v>74375</v>
      </c>
      <c r="K1210" s="3">
        <v>8500</v>
      </c>
      <c r="L1210" s="3">
        <v>59500</v>
      </c>
      <c r="M1210" s="3">
        <v>14875</v>
      </c>
      <c r="N1210" s="4">
        <v>0.2</v>
      </c>
    </row>
    <row r="1211" spans="1:14" x14ac:dyDescent="0.3">
      <c r="A1211" s="6">
        <v>45744</v>
      </c>
      <c r="B1211" s="1" t="s">
        <v>1395</v>
      </c>
      <c r="C1211" s="1" t="s">
        <v>29</v>
      </c>
      <c r="D1211" t="s">
        <v>34</v>
      </c>
      <c r="E1211" t="s">
        <v>122</v>
      </c>
      <c r="F1211" t="s">
        <v>21</v>
      </c>
      <c r="G1211" t="s">
        <v>20</v>
      </c>
      <c r="H1211" s="3">
        <v>8</v>
      </c>
      <c r="I1211" s="3">
        <v>815.99999999999989</v>
      </c>
      <c r="J1211" s="3">
        <v>6527.9999999999991</v>
      </c>
      <c r="K1211" s="3">
        <v>600</v>
      </c>
      <c r="L1211" s="3">
        <v>4800</v>
      </c>
      <c r="M1211" s="3">
        <v>1727.9999999999991</v>
      </c>
      <c r="N1211" s="4">
        <v>0.26470588235294107</v>
      </c>
    </row>
    <row r="1212" spans="1:14" x14ac:dyDescent="0.3">
      <c r="A1212" s="6">
        <v>45744</v>
      </c>
      <c r="B1212" s="1" t="s">
        <v>1396</v>
      </c>
      <c r="C1212" s="1" t="s">
        <v>26</v>
      </c>
      <c r="D1212" t="s">
        <v>34</v>
      </c>
      <c r="E1212" t="s">
        <v>137</v>
      </c>
      <c r="F1212" t="s">
        <v>21</v>
      </c>
      <c r="G1212" t="s">
        <v>20</v>
      </c>
      <c r="H1212" s="3">
        <v>5</v>
      </c>
      <c r="I1212" s="3">
        <v>810</v>
      </c>
      <c r="J1212" s="3">
        <v>4050</v>
      </c>
      <c r="K1212" s="3">
        <v>600</v>
      </c>
      <c r="L1212" s="3">
        <v>3000</v>
      </c>
      <c r="M1212" s="3">
        <v>1050</v>
      </c>
      <c r="N1212" s="4">
        <v>0.25925925925925924</v>
      </c>
    </row>
    <row r="1213" spans="1:14" x14ac:dyDescent="0.3">
      <c r="A1213" s="6">
        <v>45744</v>
      </c>
      <c r="B1213" s="1" t="s">
        <v>1397</v>
      </c>
      <c r="C1213" s="1" t="s">
        <v>28</v>
      </c>
      <c r="D1213" t="s">
        <v>34</v>
      </c>
      <c r="E1213" t="s">
        <v>355</v>
      </c>
      <c r="F1213" t="s">
        <v>14</v>
      </c>
      <c r="G1213" t="s">
        <v>15</v>
      </c>
      <c r="H1213" s="3">
        <v>6</v>
      </c>
      <c r="I1213" s="3">
        <v>54900</v>
      </c>
      <c r="J1213" s="3">
        <v>329400</v>
      </c>
      <c r="K1213" s="3">
        <v>45000</v>
      </c>
      <c r="L1213" s="3">
        <v>270000</v>
      </c>
      <c r="M1213" s="3">
        <v>59400</v>
      </c>
      <c r="N1213" s="4">
        <v>0.18032786885245902</v>
      </c>
    </row>
    <row r="1214" spans="1:14" x14ac:dyDescent="0.3">
      <c r="A1214" s="6">
        <v>45744</v>
      </c>
      <c r="B1214" s="1" t="s">
        <v>1398</v>
      </c>
      <c r="C1214" s="1" t="s">
        <v>29</v>
      </c>
      <c r="D1214" t="s">
        <v>30</v>
      </c>
      <c r="E1214" t="s">
        <v>431</v>
      </c>
      <c r="F1214" t="s">
        <v>24</v>
      </c>
      <c r="G1214" t="s">
        <v>25</v>
      </c>
      <c r="H1214" s="3">
        <v>9</v>
      </c>
      <c r="I1214" s="3">
        <v>3525</v>
      </c>
      <c r="J1214" s="3">
        <v>31725</v>
      </c>
      <c r="K1214" s="3">
        <v>2500</v>
      </c>
      <c r="L1214" s="3">
        <v>22500</v>
      </c>
      <c r="M1214" s="3">
        <v>9225</v>
      </c>
      <c r="N1214" s="4">
        <v>0.29078014184397161</v>
      </c>
    </row>
    <row r="1215" spans="1:14" x14ac:dyDescent="0.3">
      <c r="A1215" s="6">
        <v>45744</v>
      </c>
      <c r="B1215" s="1" t="s">
        <v>1399</v>
      </c>
      <c r="C1215" s="1" t="s">
        <v>29</v>
      </c>
      <c r="D1215" t="s">
        <v>33</v>
      </c>
      <c r="E1215" t="s">
        <v>407</v>
      </c>
      <c r="F1215" t="s">
        <v>14</v>
      </c>
      <c r="G1215" t="s">
        <v>15</v>
      </c>
      <c r="H1215" s="3">
        <v>4</v>
      </c>
      <c r="I1215" s="3">
        <v>64350</v>
      </c>
      <c r="J1215" s="3">
        <v>257400</v>
      </c>
      <c r="K1215" s="3">
        <v>45000</v>
      </c>
      <c r="L1215" s="3">
        <v>180000</v>
      </c>
      <c r="M1215" s="3">
        <v>77400</v>
      </c>
      <c r="N1215" s="4">
        <v>0.30069930069930068</v>
      </c>
    </row>
    <row r="1216" spans="1:14" x14ac:dyDescent="0.3">
      <c r="A1216" s="6">
        <v>45744</v>
      </c>
      <c r="B1216" s="1" t="s">
        <v>1400</v>
      </c>
      <c r="C1216" s="1" t="s">
        <v>29</v>
      </c>
      <c r="D1216" t="s">
        <v>34</v>
      </c>
      <c r="E1216" t="s">
        <v>331</v>
      </c>
      <c r="F1216" t="s">
        <v>19</v>
      </c>
      <c r="G1216" t="s">
        <v>20</v>
      </c>
      <c r="H1216" s="3">
        <v>1</v>
      </c>
      <c r="I1216" s="3">
        <v>1179</v>
      </c>
      <c r="J1216" s="3">
        <v>1179</v>
      </c>
      <c r="K1216" s="3">
        <v>900</v>
      </c>
      <c r="L1216" s="3">
        <v>900</v>
      </c>
      <c r="M1216" s="3">
        <v>279</v>
      </c>
      <c r="N1216" s="4">
        <v>0.23664122137404581</v>
      </c>
    </row>
    <row r="1217" spans="1:14" x14ac:dyDescent="0.3">
      <c r="A1217" s="6">
        <v>45744</v>
      </c>
      <c r="B1217" s="1" t="s">
        <v>1401</v>
      </c>
      <c r="C1217" s="1" t="s">
        <v>26</v>
      </c>
      <c r="D1217" t="s">
        <v>31</v>
      </c>
      <c r="E1217" t="s">
        <v>306</v>
      </c>
      <c r="F1217" t="s">
        <v>17</v>
      </c>
      <c r="G1217" t="s">
        <v>18</v>
      </c>
      <c r="H1217" s="3">
        <v>3</v>
      </c>
      <c r="I1217" s="3">
        <v>10285</v>
      </c>
      <c r="J1217" s="3">
        <v>30855</v>
      </c>
      <c r="K1217" s="3">
        <v>8500</v>
      </c>
      <c r="L1217" s="3">
        <v>25500</v>
      </c>
      <c r="M1217" s="3">
        <v>5355</v>
      </c>
      <c r="N1217" s="4">
        <v>0.17355371900826447</v>
      </c>
    </row>
    <row r="1218" spans="1:14" x14ac:dyDescent="0.3">
      <c r="A1218" s="6">
        <v>45745</v>
      </c>
      <c r="B1218" s="1" t="s">
        <v>1402</v>
      </c>
      <c r="C1218" s="1" t="s">
        <v>28</v>
      </c>
      <c r="D1218" t="s">
        <v>30</v>
      </c>
      <c r="E1218" t="s">
        <v>169</v>
      </c>
      <c r="F1218" t="s">
        <v>19</v>
      </c>
      <c r="G1218" t="s">
        <v>20</v>
      </c>
      <c r="H1218" s="3">
        <v>8</v>
      </c>
      <c r="I1218" s="3">
        <v>1287</v>
      </c>
      <c r="J1218" s="3">
        <v>10296</v>
      </c>
      <c r="K1218" s="3">
        <v>900</v>
      </c>
      <c r="L1218" s="3">
        <v>7200</v>
      </c>
      <c r="M1218" s="3">
        <v>3096</v>
      </c>
      <c r="N1218" s="4">
        <v>0.30069930069930068</v>
      </c>
    </row>
    <row r="1219" spans="1:14" x14ac:dyDescent="0.3">
      <c r="A1219" s="6">
        <v>45745</v>
      </c>
      <c r="B1219" s="1" t="s">
        <v>1403</v>
      </c>
      <c r="C1219" s="1" t="s">
        <v>27</v>
      </c>
      <c r="D1219" t="s">
        <v>33</v>
      </c>
      <c r="E1219" t="s">
        <v>226</v>
      </c>
      <c r="F1219" t="s">
        <v>24</v>
      </c>
      <c r="G1219" t="s">
        <v>25</v>
      </c>
      <c r="H1219" s="3">
        <v>7</v>
      </c>
      <c r="I1219" s="3">
        <v>3475.0000000000005</v>
      </c>
      <c r="J1219" s="3">
        <v>24325.000000000004</v>
      </c>
      <c r="K1219" s="3">
        <v>2500</v>
      </c>
      <c r="L1219" s="3">
        <v>17500</v>
      </c>
      <c r="M1219" s="3">
        <v>6825.0000000000036</v>
      </c>
      <c r="N1219" s="4">
        <v>0.28057553956834541</v>
      </c>
    </row>
    <row r="1220" spans="1:14" x14ac:dyDescent="0.3">
      <c r="A1220" s="6">
        <v>45745</v>
      </c>
      <c r="B1220" s="1" t="s">
        <v>1404</v>
      </c>
      <c r="C1220" s="1" t="s">
        <v>28</v>
      </c>
      <c r="D1220" t="s">
        <v>31</v>
      </c>
      <c r="E1220" t="s">
        <v>807</v>
      </c>
      <c r="F1220" t="s">
        <v>22</v>
      </c>
      <c r="G1220" t="s">
        <v>18</v>
      </c>
      <c r="H1220" s="3">
        <v>6</v>
      </c>
      <c r="I1220" s="3">
        <v>8750</v>
      </c>
      <c r="J1220" s="3">
        <v>52500</v>
      </c>
      <c r="K1220" s="3">
        <v>7000</v>
      </c>
      <c r="L1220" s="3">
        <v>42000</v>
      </c>
      <c r="M1220" s="3">
        <v>10500</v>
      </c>
      <c r="N1220" s="4">
        <v>0.2</v>
      </c>
    </row>
    <row r="1221" spans="1:14" x14ac:dyDescent="0.3">
      <c r="A1221" s="6">
        <v>45745</v>
      </c>
      <c r="B1221" s="1" t="s">
        <v>1405</v>
      </c>
      <c r="C1221" s="1" t="s">
        <v>26</v>
      </c>
      <c r="D1221" t="s">
        <v>31</v>
      </c>
      <c r="E1221" t="s">
        <v>357</v>
      </c>
      <c r="F1221" t="s">
        <v>14</v>
      </c>
      <c r="G1221" t="s">
        <v>15</v>
      </c>
      <c r="H1221" s="3">
        <v>7</v>
      </c>
      <c r="I1221" s="3">
        <v>55800</v>
      </c>
      <c r="J1221" s="3">
        <v>390600</v>
      </c>
      <c r="K1221" s="3">
        <v>45000</v>
      </c>
      <c r="L1221" s="3">
        <v>315000</v>
      </c>
      <c r="M1221" s="3">
        <v>75600</v>
      </c>
      <c r="N1221" s="4">
        <v>0.19354838709677419</v>
      </c>
    </row>
    <row r="1222" spans="1:14" x14ac:dyDescent="0.3">
      <c r="A1222" s="6">
        <v>45745</v>
      </c>
      <c r="B1222" s="1" t="s">
        <v>1406</v>
      </c>
      <c r="C1222" s="1" t="s">
        <v>26</v>
      </c>
      <c r="D1222" t="s">
        <v>30</v>
      </c>
      <c r="E1222" t="s">
        <v>69</v>
      </c>
      <c r="F1222" t="s">
        <v>17</v>
      </c>
      <c r="G1222" t="s">
        <v>18</v>
      </c>
      <c r="H1222" s="3">
        <v>7</v>
      </c>
      <c r="I1222" s="3">
        <v>11135</v>
      </c>
      <c r="J1222" s="3">
        <v>77945</v>
      </c>
      <c r="K1222" s="3">
        <v>8500</v>
      </c>
      <c r="L1222" s="3">
        <v>59500</v>
      </c>
      <c r="M1222" s="3">
        <v>18445</v>
      </c>
      <c r="N1222" s="4">
        <v>0.23664122137404581</v>
      </c>
    </row>
    <row r="1223" spans="1:14" x14ac:dyDescent="0.3">
      <c r="A1223" s="6">
        <v>45745</v>
      </c>
      <c r="B1223" s="1" t="s">
        <v>1407</v>
      </c>
      <c r="C1223" s="1" t="s">
        <v>26</v>
      </c>
      <c r="D1223" t="s">
        <v>31</v>
      </c>
      <c r="E1223" t="s">
        <v>415</v>
      </c>
      <c r="F1223" t="s">
        <v>21</v>
      </c>
      <c r="G1223" t="s">
        <v>20</v>
      </c>
      <c r="H1223" s="3">
        <v>4</v>
      </c>
      <c r="I1223" s="3">
        <v>827.99999999999989</v>
      </c>
      <c r="J1223" s="3">
        <v>3311.9999999999995</v>
      </c>
      <c r="K1223" s="3">
        <v>600</v>
      </c>
      <c r="L1223" s="3">
        <v>2400</v>
      </c>
      <c r="M1223" s="3">
        <v>911.99999999999955</v>
      </c>
      <c r="N1223" s="4">
        <v>0.2753623188405796</v>
      </c>
    </row>
    <row r="1224" spans="1:14" x14ac:dyDescent="0.3">
      <c r="A1224" s="6">
        <v>45745</v>
      </c>
      <c r="B1224" s="1" t="s">
        <v>1408</v>
      </c>
      <c r="C1224" s="1" t="s">
        <v>26</v>
      </c>
      <c r="D1224" t="s">
        <v>35</v>
      </c>
      <c r="E1224" t="s">
        <v>139</v>
      </c>
      <c r="F1224" t="s">
        <v>24</v>
      </c>
      <c r="G1224" t="s">
        <v>25</v>
      </c>
      <c r="H1224" s="3">
        <v>4</v>
      </c>
      <c r="I1224" s="3">
        <v>3125</v>
      </c>
      <c r="J1224" s="3">
        <v>12500</v>
      </c>
      <c r="K1224" s="3">
        <v>2500</v>
      </c>
      <c r="L1224" s="3">
        <v>10000</v>
      </c>
      <c r="M1224" s="3">
        <v>2500</v>
      </c>
      <c r="N1224" s="4">
        <v>0.2</v>
      </c>
    </row>
    <row r="1225" spans="1:14" x14ac:dyDescent="0.3">
      <c r="A1225" s="6">
        <v>45745</v>
      </c>
      <c r="B1225" s="1" t="s">
        <v>1409</v>
      </c>
      <c r="C1225" s="1" t="s">
        <v>29</v>
      </c>
      <c r="D1225" t="s">
        <v>30</v>
      </c>
      <c r="E1225" t="s">
        <v>155</v>
      </c>
      <c r="F1225" t="s">
        <v>22</v>
      </c>
      <c r="G1225" t="s">
        <v>18</v>
      </c>
      <c r="H1225" s="3">
        <v>5</v>
      </c>
      <c r="I1225" s="3">
        <v>8750</v>
      </c>
      <c r="J1225" s="3">
        <v>43750</v>
      </c>
      <c r="K1225" s="3">
        <v>7000</v>
      </c>
      <c r="L1225" s="3">
        <v>35000</v>
      </c>
      <c r="M1225" s="3">
        <v>8750</v>
      </c>
      <c r="N1225" s="4">
        <v>0.2</v>
      </c>
    </row>
    <row r="1226" spans="1:14" x14ac:dyDescent="0.3">
      <c r="A1226" s="6">
        <v>45745</v>
      </c>
      <c r="B1226" s="1" t="s">
        <v>1410</v>
      </c>
      <c r="C1226" s="1" t="s">
        <v>27</v>
      </c>
      <c r="D1226" t="s">
        <v>34</v>
      </c>
      <c r="E1226" t="s">
        <v>436</v>
      </c>
      <c r="F1226" t="s">
        <v>14</v>
      </c>
      <c r="G1226" t="s">
        <v>15</v>
      </c>
      <c r="H1226" s="3">
        <v>4</v>
      </c>
      <c r="I1226" s="3">
        <v>60750.000000000007</v>
      </c>
      <c r="J1226" s="3">
        <v>243000.00000000003</v>
      </c>
      <c r="K1226" s="3">
        <v>45000</v>
      </c>
      <c r="L1226" s="3">
        <v>180000</v>
      </c>
      <c r="M1226" s="3">
        <v>63000.000000000029</v>
      </c>
      <c r="N1226" s="4">
        <v>0.25925925925925936</v>
      </c>
    </row>
    <row r="1227" spans="1:14" x14ac:dyDescent="0.3">
      <c r="A1227" s="6">
        <v>45745</v>
      </c>
      <c r="B1227" s="1" t="s">
        <v>1411</v>
      </c>
      <c r="C1227" s="1" t="s">
        <v>26</v>
      </c>
      <c r="D1227" t="s">
        <v>30</v>
      </c>
      <c r="E1227" t="s">
        <v>96</v>
      </c>
      <c r="F1227" t="s">
        <v>16</v>
      </c>
      <c r="G1227" t="s">
        <v>15</v>
      </c>
      <c r="H1227" s="3">
        <v>6</v>
      </c>
      <c r="I1227" s="3">
        <v>45600</v>
      </c>
      <c r="J1227" s="3">
        <v>273600</v>
      </c>
      <c r="K1227" s="3">
        <v>38000</v>
      </c>
      <c r="L1227" s="3">
        <v>228000</v>
      </c>
      <c r="M1227" s="3">
        <v>45600</v>
      </c>
      <c r="N1227" s="4">
        <v>0.16666666666666666</v>
      </c>
    </row>
    <row r="1228" spans="1:14" x14ac:dyDescent="0.3">
      <c r="A1228" s="6">
        <v>45745</v>
      </c>
      <c r="B1228" s="1" t="s">
        <v>1412</v>
      </c>
      <c r="C1228" s="1" t="s">
        <v>28</v>
      </c>
      <c r="D1228" t="s">
        <v>35</v>
      </c>
      <c r="E1228" t="s">
        <v>935</v>
      </c>
      <c r="F1228" t="s">
        <v>17</v>
      </c>
      <c r="G1228" t="s">
        <v>18</v>
      </c>
      <c r="H1228" s="3">
        <v>2</v>
      </c>
      <c r="I1228" s="3">
        <v>10285</v>
      </c>
      <c r="J1228" s="3">
        <v>20570</v>
      </c>
      <c r="K1228" s="3">
        <v>8500</v>
      </c>
      <c r="L1228" s="3">
        <v>17000</v>
      </c>
      <c r="M1228" s="3">
        <v>3570</v>
      </c>
      <c r="N1228" s="4">
        <v>0.17355371900826447</v>
      </c>
    </row>
    <row r="1229" spans="1:14" x14ac:dyDescent="0.3">
      <c r="A1229" s="6">
        <v>45745</v>
      </c>
      <c r="B1229" s="1" t="s">
        <v>1413</v>
      </c>
      <c r="C1229" s="1" t="s">
        <v>28</v>
      </c>
      <c r="D1229" t="s">
        <v>31</v>
      </c>
      <c r="E1229" t="s">
        <v>74</v>
      </c>
      <c r="F1229" t="s">
        <v>16</v>
      </c>
      <c r="G1229" t="s">
        <v>15</v>
      </c>
      <c r="H1229" s="3">
        <v>8</v>
      </c>
      <c r="I1229" s="3">
        <v>46360</v>
      </c>
      <c r="J1229" s="3">
        <v>370880</v>
      </c>
      <c r="K1229" s="3">
        <v>38000</v>
      </c>
      <c r="L1229" s="3">
        <v>304000</v>
      </c>
      <c r="M1229" s="3">
        <v>66880</v>
      </c>
      <c r="N1229" s="4">
        <v>0.18032786885245902</v>
      </c>
    </row>
    <row r="1230" spans="1:14" x14ac:dyDescent="0.3">
      <c r="A1230" s="6">
        <v>45745</v>
      </c>
      <c r="B1230" s="1" t="s">
        <v>1414</v>
      </c>
      <c r="C1230" s="1" t="s">
        <v>27</v>
      </c>
      <c r="D1230" t="s">
        <v>30</v>
      </c>
      <c r="E1230" t="s">
        <v>116</v>
      </c>
      <c r="F1230" t="s">
        <v>22</v>
      </c>
      <c r="G1230" t="s">
        <v>18</v>
      </c>
      <c r="H1230" s="3">
        <v>7</v>
      </c>
      <c r="I1230" s="3">
        <v>8820</v>
      </c>
      <c r="J1230" s="3">
        <v>61740</v>
      </c>
      <c r="K1230" s="3">
        <v>7000</v>
      </c>
      <c r="L1230" s="3">
        <v>49000</v>
      </c>
      <c r="M1230" s="3">
        <v>12740</v>
      </c>
      <c r="N1230" s="4">
        <v>0.20634920634920634</v>
      </c>
    </row>
    <row r="1231" spans="1:14" x14ac:dyDescent="0.3">
      <c r="A1231" s="6">
        <v>45745</v>
      </c>
      <c r="B1231" s="1" t="s">
        <v>1415</v>
      </c>
      <c r="C1231" s="1" t="s">
        <v>27</v>
      </c>
      <c r="D1231" t="s">
        <v>30</v>
      </c>
      <c r="E1231" t="s">
        <v>51</v>
      </c>
      <c r="F1231" t="s">
        <v>17</v>
      </c>
      <c r="G1231" t="s">
        <v>18</v>
      </c>
      <c r="H1231" s="3">
        <v>8</v>
      </c>
      <c r="I1231" s="3">
        <v>12240</v>
      </c>
      <c r="J1231" s="3">
        <v>97920</v>
      </c>
      <c r="K1231" s="3">
        <v>8500</v>
      </c>
      <c r="L1231" s="3">
        <v>68000</v>
      </c>
      <c r="M1231" s="3">
        <v>29920</v>
      </c>
      <c r="N1231" s="4">
        <v>0.30555555555555558</v>
      </c>
    </row>
    <row r="1232" spans="1:14" x14ac:dyDescent="0.3">
      <c r="A1232" s="6">
        <v>45746</v>
      </c>
      <c r="B1232" s="1" t="s">
        <v>1416</v>
      </c>
      <c r="C1232" s="1" t="s">
        <v>28</v>
      </c>
      <c r="D1232" t="s">
        <v>35</v>
      </c>
      <c r="E1232" t="s">
        <v>565</v>
      </c>
      <c r="F1232" t="s">
        <v>17</v>
      </c>
      <c r="G1232" t="s">
        <v>18</v>
      </c>
      <c r="H1232" s="3">
        <v>10</v>
      </c>
      <c r="I1232" s="3">
        <v>11985</v>
      </c>
      <c r="J1232" s="3">
        <v>119850</v>
      </c>
      <c r="K1232" s="3">
        <v>8500</v>
      </c>
      <c r="L1232" s="3">
        <v>85000</v>
      </c>
      <c r="M1232" s="3">
        <v>34850</v>
      </c>
      <c r="N1232" s="4">
        <v>0.29078014184397161</v>
      </c>
    </row>
    <row r="1233" spans="1:14" x14ac:dyDescent="0.3">
      <c r="A1233" s="6">
        <v>45746</v>
      </c>
      <c r="B1233" s="1" t="s">
        <v>1417</v>
      </c>
      <c r="C1233" s="1" t="s">
        <v>29</v>
      </c>
      <c r="D1233" t="s">
        <v>35</v>
      </c>
      <c r="E1233" t="s">
        <v>371</v>
      </c>
      <c r="F1233" t="s">
        <v>23</v>
      </c>
      <c r="G1233" t="s">
        <v>25</v>
      </c>
      <c r="H1233" s="3">
        <v>3</v>
      </c>
      <c r="I1233" s="3">
        <v>4320</v>
      </c>
      <c r="J1233" s="3">
        <v>12960</v>
      </c>
      <c r="K1233" s="3">
        <v>3200</v>
      </c>
      <c r="L1233" s="3">
        <v>9600</v>
      </c>
      <c r="M1233" s="3">
        <v>3360</v>
      </c>
      <c r="N1233" s="4">
        <v>0.25925925925925924</v>
      </c>
    </row>
    <row r="1234" spans="1:14" x14ac:dyDescent="0.3">
      <c r="A1234" s="6">
        <v>45746</v>
      </c>
      <c r="B1234" s="1" t="s">
        <v>1418</v>
      </c>
      <c r="C1234" s="1" t="s">
        <v>27</v>
      </c>
      <c r="D1234" t="s">
        <v>32</v>
      </c>
      <c r="E1234" t="s">
        <v>292</v>
      </c>
      <c r="F1234" t="s">
        <v>24</v>
      </c>
      <c r="G1234" t="s">
        <v>25</v>
      </c>
      <c r="H1234" s="3">
        <v>7</v>
      </c>
      <c r="I1234" s="3">
        <v>3500</v>
      </c>
      <c r="J1234" s="3">
        <v>24500</v>
      </c>
      <c r="K1234" s="3">
        <v>2500</v>
      </c>
      <c r="L1234" s="3">
        <v>17500</v>
      </c>
      <c r="M1234" s="3">
        <v>7000</v>
      </c>
      <c r="N1234" s="4">
        <v>0.2857142857142857</v>
      </c>
    </row>
    <row r="1235" spans="1:14" x14ac:dyDescent="0.3">
      <c r="A1235" s="6">
        <v>45746</v>
      </c>
      <c r="B1235" s="1" t="s">
        <v>1419</v>
      </c>
      <c r="C1235" s="1" t="s">
        <v>27</v>
      </c>
      <c r="D1235" t="s">
        <v>31</v>
      </c>
      <c r="E1235" t="s">
        <v>427</v>
      </c>
      <c r="F1235" t="s">
        <v>16</v>
      </c>
      <c r="G1235" t="s">
        <v>15</v>
      </c>
      <c r="H1235" s="3">
        <v>9</v>
      </c>
      <c r="I1235" s="3">
        <v>49400</v>
      </c>
      <c r="J1235" s="3">
        <v>444600</v>
      </c>
      <c r="K1235" s="3">
        <v>38000</v>
      </c>
      <c r="L1235" s="3">
        <v>342000</v>
      </c>
      <c r="M1235" s="3">
        <v>102600</v>
      </c>
      <c r="N1235" s="4">
        <v>0.23076923076923078</v>
      </c>
    </row>
    <row r="1236" spans="1:14" x14ac:dyDescent="0.3">
      <c r="A1236" s="6">
        <v>45746</v>
      </c>
      <c r="B1236" s="1" t="s">
        <v>1420</v>
      </c>
      <c r="C1236" s="1" t="s">
        <v>27</v>
      </c>
      <c r="D1236" t="s">
        <v>30</v>
      </c>
      <c r="E1236" t="s">
        <v>196</v>
      </c>
      <c r="F1236" t="s">
        <v>17</v>
      </c>
      <c r="G1236" t="s">
        <v>18</v>
      </c>
      <c r="H1236" s="3">
        <v>4</v>
      </c>
      <c r="I1236" s="3">
        <v>11305</v>
      </c>
      <c r="J1236" s="3">
        <v>45220</v>
      </c>
      <c r="K1236" s="3">
        <v>8500</v>
      </c>
      <c r="L1236" s="3">
        <v>34000</v>
      </c>
      <c r="M1236" s="3">
        <v>11220</v>
      </c>
      <c r="N1236" s="4">
        <v>0.24812030075187969</v>
      </c>
    </row>
    <row r="1237" spans="1:14" x14ac:dyDescent="0.3">
      <c r="A1237" s="6">
        <v>45746</v>
      </c>
      <c r="B1237" s="1" t="s">
        <v>1421</v>
      </c>
      <c r="C1237" s="1" t="s">
        <v>29</v>
      </c>
      <c r="D1237" t="s">
        <v>30</v>
      </c>
      <c r="E1237" t="s">
        <v>166</v>
      </c>
      <c r="F1237" t="s">
        <v>23</v>
      </c>
      <c r="G1237" t="s">
        <v>25</v>
      </c>
      <c r="H1237" s="3">
        <v>6</v>
      </c>
      <c r="I1237" s="3">
        <v>4192</v>
      </c>
      <c r="J1237" s="3">
        <v>25152</v>
      </c>
      <c r="K1237" s="3">
        <v>3200</v>
      </c>
      <c r="L1237" s="3">
        <v>19200</v>
      </c>
      <c r="M1237" s="3">
        <v>5952</v>
      </c>
      <c r="N1237" s="4">
        <v>0.23664122137404581</v>
      </c>
    </row>
    <row r="1238" spans="1:14" x14ac:dyDescent="0.3">
      <c r="A1238" s="6">
        <v>45746</v>
      </c>
      <c r="B1238" s="1" t="s">
        <v>1422</v>
      </c>
      <c r="C1238" s="1" t="s">
        <v>26</v>
      </c>
      <c r="D1238" t="s">
        <v>32</v>
      </c>
      <c r="E1238" t="s">
        <v>189</v>
      </c>
      <c r="F1238" t="s">
        <v>24</v>
      </c>
      <c r="G1238" t="s">
        <v>25</v>
      </c>
      <c r="H1238" s="3">
        <v>8</v>
      </c>
      <c r="I1238" s="3">
        <v>3175</v>
      </c>
      <c r="J1238" s="3">
        <v>25400</v>
      </c>
      <c r="K1238" s="3">
        <v>2500</v>
      </c>
      <c r="L1238" s="3">
        <v>20000</v>
      </c>
      <c r="M1238" s="3">
        <v>5400</v>
      </c>
      <c r="N1238" s="4">
        <v>0.2125984251968504</v>
      </c>
    </row>
    <row r="1239" spans="1:14" x14ac:dyDescent="0.3">
      <c r="A1239" s="6">
        <v>45746</v>
      </c>
      <c r="B1239" s="1" t="s">
        <v>1423</v>
      </c>
      <c r="C1239" s="1" t="s">
        <v>28</v>
      </c>
      <c r="D1239" t="s">
        <v>33</v>
      </c>
      <c r="E1239" t="s">
        <v>538</v>
      </c>
      <c r="F1239" t="s">
        <v>14</v>
      </c>
      <c r="G1239" t="s">
        <v>15</v>
      </c>
      <c r="H1239" s="3">
        <v>7</v>
      </c>
      <c r="I1239" s="3">
        <v>62550.000000000007</v>
      </c>
      <c r="J1239" s="3">
        <v>437850.00000000006</v>
      </c>
      <c r="K1239" s="3">
        <v>45000</v>
      </c>
      <c r="L1239" s="3">
        <v>315000</v>
      </c>
      <c r="M1239" s="3">
        <v>122850.00000000006</v>
      </c>
      <c r="N1239" s="4">
        <v>0.28057553956834541</v>
      </c>
    </row>
    <row r="1240" spans="1:14" x14ac:dyDescent="0.3">
      <c r="A1240" s="6">
        <v>45746</v>
      </c>
      <c r="B1240" s="1" t="s">
        <v>1424</v>
      </c>
      <c r="C1240" s="1" t="s">
        <v>29</v>
      </c>
      <c r="D1240" t="s">
        <v>34</v>
      </c>
      <c r="E1240" t="s">
        <v>198</v>
      </c>
      <c r="F1240" t="s">
        <v>22</v>
      </c>
      <c r="G1240" t="s">
        <v>18</v>
      </c>
      <c r="H1240" s="3">
        <v>1</v>
      </c>
      <c r="I1240" s="3">
        <v>9730</v>
      </c>
      <c r="J1240" s="3">
        <v>9730</v>
      </c>
      <c r="K1240" s="3">
        <v>7000</v>
      </c>
      <c r="L1240" s="3">
        <v>7000</v>
      </c>
      <c r="M1240" s="3">
        <v>2730</v>
      </c>
      <c r="N1240" s="4">
        <v>0.2805755395683453</v>
      </c>
    </row>
    <row r="1241" spans="1:14" x14ac:dyDescent="0.3">
      <c r="A1241" s="6">
        <v>45746</v>
      </c>
      <c r="B1241" s="1" t="s">
        <v>1425</v>
      </c>
      <c r="C1241" s="1" t="s">
        <v>26</v>
      </c>
      <c r="D1241" t="s">
        <v>31</v>
      </c>
      <c r="E1241" t="s">
        <v>145</v>
      </c>
      <c r="F1241" t="s">
        <v>17</v>
      </c>
      <c r="G1241" t="s">
        <v>18</v>
      </c>
      <c r="H1241" s="3">
        <v>8</v>
      </c>
      <c r="I1241" s="3">
        <v>11645</v>
      </c>
      <c r="J1241" s="3">
        <v>93160</v>
      </c>
      <c r="K1241" s="3">
        <v>8500</v>
      </c>
      <c r="L1241" s="3">
        <v>68000</v>
      </c>
      <c r="M1241" s="3">
        <v>25160</v>
      </c>
      <c r="N1241" s="4">
        <v>0.27007299270072993</v>
      </c>
    </row>
    <row r="1242" spans="1:14" x14ac:dyDescent="0.3">
      <c r="A1242" s="6">
        <v>45746</v>
      </c>
      <c r="B1242" s="1" t="s">
        <v>1426</v>
      </c>
      <c r="C1242" s="1" t="s">
        <v>28</v>
      </c>
      <c r="D1242" t="s">
        <v>31</v>
      </c>
      <c r="E1242" t="s">
        <v>63</v>
      </c>
      <c r="F1242" t="s">
        <v>19</v>
      </c>
      <c r="G1242" t="s">
        <v>20</v>
      </c>
      <c r="H1242" s="3">
        <v>4</v>
      </c>
      <c r="I1242" s="3">
        <v>1161</v>
      </c>
      <c r="J1242" s="3">
        <v>4644</v>
      </c>
      <c r="K1242" s="3">
        <v>900</v>
      </c>
      <c r="L1242" s="3">
        <v>3600</v>
      </c>
      <c r="M1242" s="3">
        <v>1044</v>
      </c>
      <c r="N1242" s="4">
        <v>0.22480620155038761</v>
      </c>
    </row>
    <row r="1243" spans="1:14" x14ac:dyDescent="0.3">
      <c r="A1243" s="6">
        <v>45746</v>
      </c>
      <c r="B1243" s="1" t="s">
        <v>1427</v>
      </c>
      <c r="C1243" s="1" t="s">
        <v>29</v>
      </c>
      <c r="D1243" t="s">
        <v>35</v>
      </c>
      <c r="E1243" t="s">
        <v>508</v>
      </c>
      <c r="F1243" t="s">
        <v>19</v>
      </c>
      <c r="G1243" t="s">
        <v>20</v>
      </c>
      <c r="H1243" s="3">
        <v>6</v>
      </c>
      <c r="I1243" s="3">
        <v>1206</v>
      </c>
      <c r="J1243" s="3">
        <v>7236</v>
      </c>
      <c r="K1243" s="3">
        <v>900</v>
      </c>
      <c r="L1243" s="3">
        <v>5400</v>
      </c>
      <c r="M1243" s="3">
        <v>1836</v>
      </c>
      <c r="N1243" s="4">
        <v>0.2537313432835821</v>
      </c>
    </row>
    <row r="1244" spans="1:14" x14ac:dyDescent="0.3">
      <c r="A1244" s="6">
        <v>45746</v>
      </c>
      <c r="B1244" s="1" t="s">
        <v>1428</v>
      </c>
      <c r="C1244" s="1" t="s">
        <v>26</v>
      </c>
      <c r="D1244" t="s">
        <v>35</v>
      </c>
      <c r="E1244" t="s">
        <v>336</v>
      </c>
      <c r="F1244" t="s">
        <v>19</v>
      </c>
      <c r="G1244" t="s">
        <v>20</v>
      </c>
      <c r="H1244" s="3">
        <v>1</v>
      </c>
      <c r="I1244" s="3">
        <v>1278</v>
      </c>
      <c r="J1244" s="3">
        <v>1278</v>
      </c>
      <c r="K1244" s="3">
        <v>900</v>
      </c>
      <c r="L1244" s="3">
        <v>900</v>
      </c>
      <c r="M1244" s="3">
        <v>378</v>
      </c>
      <c r="N1244" s="4">
        <v>0.29577464788732394</v>
      </c>
    </row>
    <row r="1245" spans="1:14" x14ac:dyDescent="0.3">
      <c r="A1245" s="6">
        <v>45746</v>
      </c>
      <c r="B1245" s="1" t="s">
        <v>1429</v>
      </c>
      <c r="C1245" s="1" t="s">
        <v>26</v>
      </c>
      <c r="D1245" t="s">
        <v>31</v>
      </c>
      <c r="E1245" t="s">
        <v>331</v>
      </c>
      <c r="F1245" t="s">
        <v>17</v>
      </c>
      <c r="G1245" t="s">
        <v>18</v>
      </c>
      <c r="H1245" s="3">
        <v>10</v>
      </c>
      <c r="I1245" s="3">
        <v>10455</v>
      </c>
      <c r="J1245" s="3">
        <v>104550</v>
      </c>
      <c r="K1245" s="3">
        <v>8500</v>
      </c>
      <c r="L1245" s="3">
        <v>85000</v>
      </c>
      <c r="M1245" s="3">
        <v>19550</v>
      </c>
      <c r="N1245" s="4">
        <v>0.18699186991869918</v>
      </c>
    </row>
    <row r="1246" spans="1:14" x14ac:dyDescent="0.3">
      <c r="A1246" s="6">
        <v>45747</v>
      </c>
      <c r="B1246" s="1" t="s">
        <v>1430</v>
      </c>
      <c r="C1246" s="1" t="s">
        <v>27</v>
      </c>
      <c r="D1246" t="s">
        <v>35</v>
      </c>
      <c r="E1246" t="s">
        <v>189</v>
      </c>
      <c r="F1246" t="s">
        <v>22</v>
      </c>
      <c r="G1246" t="s">
        <v>18</v>
      </c>
      <c r="H1246" s="3">
        <v>8</v>
      </c>
      <c r="I1246" s="3">
        <v>9730</v>
      </c>
      <c r="J1246" s="3">
        <v>77840</v>
      </c>
      <c r="K1246" s="3">
        <v>7000</v>
      </c>
      <c r="L1246" s="3">
        <v>56000</v>
      </c>
      <c r="M1246" s="3">
        <v>21840</v>
      </c>
      <c r="N1246" s="4">
        <v>0.2805755395683453</v>
      </c>
    </row>
    <row r="1247" spans="1:14" x14ac:dyDescent="0.3">
      <c r="A1247" s="6">
        <v>45747</v>
      </c>
      <c r="B1247" s="1" t="s">
        <v>1431</v>
      </c>
      <c r="C1247" s="1" t="s">
        <v>27</v>
      </c>
      <c r="D1247" t="s">
        <v>34</v>
      </c>
      <c r="E1247" t="s">
        <v>41</v>
      </c>
      <c r="F1247" t="s">
        <v>21</v>
      </c>
      <c r="G1247" t="s">
        <v>20</v>
      </c>
      <c r="H1247" s="3">
        <v>7</v>
      </c>
      <c r="I1247" s="3">
        <v>774</v>
      </c>
      <c r="J1247" s="3">
        <v>5418</v>
      </c>
      <c r="K1247" s="3">
        <v>600</v>
      </c>
      <c r="L1247" s="3">
        <v>4200</v>
      </c>
      <c r="M1247" s="3">
        <v>1218</v>
      </c>
      <c r="N1247" s="4">
        <v>0.22480620155038761</v>
      </c>
    </row>
    <row r="1248" spans="1:14" x14ac:dyDescent="0.3">
      <c r="A1248" s="6">
        <v>45747</v>
      </c>
      <c r="B1248" s="1" t="s">
        <v>1432</v>
      </c>
      <c r="C1248" s="1" t="s">
        <v>29</v>
      </c>
      <c r="D1248" t="s">
        <v>32</v>
      </c>
      <c r="E1248" t="s">
        <v>379</v>
      </c>
      <c r="F1248" t="s">
        <v>24</v>
      </c>
      <c r="G1248" t="s">
        <v>25</v>
      </c>
      <c r="H1248" s="3">
        <v>7</v>
      </c>
      <c r="I1248" s="3">
        <v>3475.0000000000005</v>
      </c>
      <c r="J1248" s="3">
        <v>24325.000000000004</v>
      </c>
      <c r="K1248" s="3">
        <v>2500</v>
      </c>
      <c r="L1248" s="3">
        <v>17500</v>
      </c>
      <c r="M1248" s="3">
        <v>6825.0000000000036</v>
      </c>
      <c r="N1248" s="4">
        <v>0.28057553956834541</v>
      </c>
    </row>
    <row r="1249" spans="1:14" x14ac:dyDescent="0.3">
      <c r="A1249" s="6">
        <v>45747</v>
      </c>
      <c r="B1249" s="1" t="s">
        <v>1433</v>
      </c>
      <c r="C1249" s="1" t="s">
        <v>26</v>
      </c>
      <c r="D1249" t="s">
        <v>33</v>
      </c>
      <c r="E1249" t="s">
        <v>149</v>
      </c>
      <c r="F1249" t="s">
        <v>14</v>
      </c>
      <c r="G1249" t="s">
        <v>15</v>
      </c>
      <c r="H1249" s="3">
        <v>7</v>
      </c>
      <c r="I1249" s="3">
        <v>64800</v>
      </c>
      <c r="J1249" s="3">
        <v>453600</v>
      </c>
      <c r="K1249" s="3">
        <v>45000</v>
      </c>
      <c r="L1249" s="3">
        <v>315000</v>
      </c>
      <c r="M1249" s="3">
        <v>138600</v>
      </c>
      <c r="N1249" s="4">
        <v>0.30555555555555558</v>
      </c>
    </row>
    <row r="1250" spans="1:14" x14ac:dyDescent="0.3">
      <c r="A1250" s="6">
        <v>45747</v>
      </c>
      <c r="B1250" s="1" t="s">
        <v>1434</v>
      </c>
      <c r="C1250" s="1" t="s">
        <v>28</v>
      </c>
      <c r="D1250" t="s">
        <v>32</v>
      </c>
      <c r="E1250" t="s">
        <v>41</v>
      </c>
      <c r="F1250" t="s">
        <v>21</v>
      </c>
      <c r="G1250" t="s">
        <v>20</v>
      </c>
      <c r="H1250" s="3">
        <v>9</v>
      </c>
      <c r="I1250" s="3">
        <v>738</v>
      </c>
      <c r="J1250" s="3">
        <v>6642</v>
      </c>
      <c r="K1250" s="3">
        <v>600</v>
      </c>
      <c r="L1250" s="3">
        <v>5400</v>
      </c>
      <c r="M1250" s="3">
        <v>1242</v>
      </c>
      <c r="N1250" s="4">
        <v>0.18699186991869918</v>
      </c>
    </row>
    <row r="1251" spans="1:14" x14ac:dyDescent="0.3">
      <c r="A1251" s="6">
        <v>45747</v>
      </c>
      <c r="B1251" s="1" t="s">
        <v>1435</v>
      </c>
      <c r="C1251" s="1" t="s">
        <v>26</v>
      </c>
      <c r="D1251" t="s">
        <v>31</v>
      </c>
      <c r="E1251" t="s">
        <v>100</v>
      </c>
      <c r="F1251" t="s">
        <v>24</v>
      </c>
      <c r="G1251" t="s">
        <v>25</v>
      </c>
      <c r="H1251" s="3">
        <v>9</v>
      </c>
      <c r="I1251" s="3">
        <v>3025</v>
      </c>
      <c r="J1251" s="3">
        <v>27225</v>
      </c>
      <c r="K1251" s="3">
        <v>2500</v>
      </c>
      <c r="L1251" s="3">
        <v>22500</v>
      </c>
      <c r="M1251" s="3">
        <v>4725</v>
      </c>
      <c r="N1251" s="4">
        <v>0.17355371900826447</v>
      </c>
    </row>
    <row r="1252" spans="1:14" x14ac:dyDescent="0.3">
      <c r="A1252" s="6">
        <v>45747</v>
      </c>
      <c r="B1252" s="1" t="s">
        <v>1436</v>
      </c>
      <c r="C1252" s="1" t="s">
        <v>29</v>
      </c>
      <c r="D1252" t="s">
        <v>31</v>
      </c>
      <c r="E1252" t="s">
        <v>72</v>
      </c>
      <c r="F1252" t="s">
        <v>14</v>
      </c>
      <c r="G1252" t="s">
        <v>15</v>
      </c>
      <c r="H1252" s="3">
        <v>10</v>
      </c>
      <c r="I1252" s="3">
        <v>56250</v>
      </c>
      <c r="J1252" s="3">
        <v>562500</v>
      </c>
      <c r="K1252" s="3">
        <v>45000</v>
      </c>
      <c r="L1252" s="3">
        <v>450000</v>
      </c>
      <c r="M1252" s="3">
        <v>112500</v>
      </c>
      <c r="N1252" s="4">
        <v>0.2</v>
      </c>
    </row>
    <row r="1253" spans="1:14" x14ac:dyDescent="0.3">
      <c r="A1253" s="6">
        <v>45747</v>
      </c>
      <c r="B1253" s="1" t="s">
        <v>1437</v>
      </c>
      <c r="C1253" s="1" t="s">
        <v>26</v>
      </c>
      <c r="D1253" t="s">
        <v>34</v>
      </c>
      <c r="E1253" t="s">
        <v>255</v>
      </c>
      <c r="F1253" t="s">
        <v>17</v>
      </c>
      <c r="G1253" t="s">
        <v>18</v>
      </c>
      <c r="H1253" s="3">
        <v>6</v>
      </c>
      <c r="I1253" s="3">
        <v>10625</v>
      </c>
      <c r="J1253" s="3">
        <v>63750</v>
      </c>
      <c r="K1253" s="3">
        <v>8500</v>
      </c>
      <c r="L1253" s="3">
        <v>51000</v>
      </c>
      <c r="M1253" s="3">
        <v>12750</v>
      </c>
      <c r="N1253" s="4">
        <v>0.2</v>
      </c>
    </row>
    <row r="1254" spans="1:14" x14ac:dyDescent="0.3">
      <c r="A1254" s="6">
        <v>45747</v>
      </c>
      <c r="B1254" s="1" t="s">
        <v>1438</v>
      </c>
      <c r="C1254" s="1" t="s">
        <v>28</v>
      </c>
      <c r="D1254" t="s">
        <v>32</v>
      </c>
      <c r="E1254" t="s">
        <v>548</v>
      </c>
      <c r="F1254" t="s">
        <v>14</v>
      </c>
      <c r="G1254" t="s">
        <v>15</v>
      </c>
      <c r="H1254" s="3">
        <v>2</v>
      </c>
      <c r="I1254" s="3">
        <v>55350</v>
      </c>
      <c r="J1254" s="3">
        <v>110700</v>
      </c>
      <c r="K1254" s="3">
        <v>45000</v>
      </c>
      <c r="L1254" s="3">
        <v>90000</v>
      </c>
      <c r="M1254" s="3">
        <v>20700</v>
      </c>
      <c r="N1254" s="4">
        <v>0.18699186991869918</v>
      </c>
    </row>
    <row r="1255" spans="1:14" x14ac:dyDescent="0.3">
      <c r="A1255" s="6">
        <v>45747</v>
      </c>
      <c r="B1255" s="1" t="s">
        <v>1439</v>
      </c>
      <c r="C1255" s="1" t="s">
        <v>28</v>
      </c>
      <c r="D1255" t="s">
        <v>34</v>
      </c>
      <c r="E1255" t="s">
        <v>118</v>
      </c>
      <c r="F1255" t="s">
        <v>21</v>
      </c>
      <c r="G1255" t="s">
        <v>20</v>
      </c>
      <c r="H1255" s="3">
        <v>4</v>
      </c>
      <c r="I1255" s="3">
        <v>870</v>
      </c>
      <c r="J1255" s="3">
        <v>3480</v>
      </c>
      <c r="K1255" s="3">
        <v>600</v>
      </c>
      <c r="L1255" s="3">
        <v>2400</v>
      </c>
      <c r="M1255" s="3">
        <v>1080</v>
      </c>
      <c r="N1255" s="4">
        <v>0.31034482758620691</v>
      </c>
    </row>
    <row r="1256" spans="1:14" x14ac:dyDescent="0.3">
      <c r="A1256" s="6">
        <v>45747</v>
      </c>
      <c r="B1256" s="1" t="s">
        <v>1440</v>
      </c>
      <c r="C1256" s="1" t="s">
        <v>29</v>
      </c>
      <c r="D1256" t="s">
        <v>30</v>
      </c>
      <c r="E1256" t="s">
        <v>361</v>
      </c>
      <c r="F1256" t="s">
        <v>16</v>
      </c>
      <c r="G1256" t="s">
        <v>15</v>
      </c>
      <c r="H1256" s="3">
        <v>7</v>
      </c>
      <c r="I1256" s="3">
        <v>47120</v>
      </c>
      <c r="J1256" s="3">
        <v>329840</v>
      </c>
      <c r="K1256" s="3">
        <v>38000</v>
      </c>
      <c r="L1256" s="3">
        <v>266000</v>
      </c>
      <c r="M1256" s="3">
        <v>63840</v>
      </c>
      <c r="N1256" s="4">
        <v>0.19354838709677419</v>
      </c>
    </row>
    <row r="1257" spans="1:14" x14ac:dyDescent="0.3">
      <c r="A1257" s="6">
        <v>45747</v>
      </c>
      <c r="B1257" s="1" t="s">
        <v>1441</v>
      </c>
      <c r="C1257" s="1" t="s">
        <v>29</v>
      </c>
      <c r="D1257" t="s">
        <v>35</v>
      </c>
      <c r="E1257" t="s">
        <v>263</v>
      </c>
      <c r="F1257" t="s">
        <v>17</v>
      </c>
      <c r="G1257" t="s">
        <v>18</v>
      </c>
      <c r="H1257" s="3">
        <v>9</v>
      </c>
      <c r="I1257" s="3">
        <v>10285</v>
      </c>
      <c r="J1257" s="3">
        <v>92565</v>
      </c>
      <c r="K1257" s="3">
        <v>8500</v>
      </c>
      <c r="L1257" s="3">
        <v>76500</v>
      </c>
      <c r="M1257" s="3">
        <v>16065</v>
      </c>
      <c r="N1257" s="4">
        <v>0.17355371900826447</v>
      </c>
    </row>
    <row r="1258" spans="1:14" x14ac:dyDescent="0.3">
      <c r="A1258" s="6">
        <v>45747</v>
      </c>
      <c r="B1258" s="1" t="s">
        <v>1442</v>
      </c>
      <c r="C1258" s="1" t="s">
        <v>26</v>
      </c>
      <c r="D1258" t="s">
        <v>31</v>
      </c>
      <c r="E1258" t="s">
        <v>118</v>
      </c>
      <c r="F1258" t="s">
        <v>23</v>
      </c>
      <c r="G1258" t="s">
        <v>25</v>
      </c>
      <c r="H1258" s="3">
        <v>8</v>
      </c>
      <c r="I1258" s="3">
        <v>4512</v>
      </c>
      <c r="J1258" s="3">
        <v>36096</v>
      </c>
      <c r="K1258" s="3">
        <v>3200</v>
      </c>
      <c r="L1258" s="3">
        <v>25600</v>
      </c>
      <c r="M1258" s="3">
        <v>10496</v>
      </c>
      <c r="N1258" s="4">
        <v>0.29078014184397161</v>
      </c>
    </row>
    <row r="1259" spans="1:14" x14ac:dyDescent="0.3">
      <c r="A1259" s="6">
        <v>45747</v>
      </c>
      <c r="B1259" s="1" t="s">
        <v>1443</v>
      </c>
      <c r="C1259" s="1" t="s">
        <v>27</v>
      </c>
      <c r="D1259" t="s">
        <v>33</v>
      </c>
      <c r="E1259" t="s">
        <v>76</v>
      </c>
      <c r="F1259" t="s">
        <v>22</v>
      </c>
      <c r="G1259" t="s">
        <v>18</v>
      </c>
      <c r="H1259" s="3">
        <v>9</v>
      </c>
      <c r="I1259" s="3">
        <v>8470</v>
      </c>
      <c r="J1259" s="3">
        <v>76230</v>
      </c>
      <c r="K1259" s="3">
        <v>7000</v>
      </c>
      <c r="L1259" s="3">
        <v>63000</v>
      </c>
      <c r="M1259" s="3">
        <v>13230</v>
      </c>
      <c r="N1259" s="4">
        <v>0.17355371900826447</v>
      </c>
    </row>
    <row r="1260" spans="1:14" x14ac:dyDescent="0.3">
      <c r="A1260" s="6">
        <v>45748</v>
      </c>
      <c r="B1260" s="1" t="s">
        <v>1444</v>
      </c>
      <c r="C1260" s="1" t="s">
        <v>29</v>
      </c>
      <c r="D1260" t="s">
        <v>31</v>
      </c>
      <c r="E1260" t="s">
        <v>365</v>
      </c>
      <c r="F1260" t="s">
        <v>19</v>
      </c>
      <c r="G1260" t="s">
        <v>20</v>
      </c>
      <c r="H1260" s="3">
        <v>10</v>
      </c>
      <c r="I1260" s="3">
        <v>1098</v>
      </c>
      <c r="J1260" s="3">
        <v>10980</v>
      </c>
      <c r="K1260" s="3">
        <v>900</v>
      </c>
      <c r="L1260" s="3">
        <v>9000</v>
      </c>
      <c r="M1260" s="3">
        <v>1980</v>
      </c>
      <c r="N1260" s="4">
        <v>0.18032786885245902</v>
      </c>
    </row>
    <row r="1261" spans="1:14" x14ac:dyDescent="0.3">
      <c r="A1261" s="6">
        <v>45748</v>
      </c>
      <c r="B1261" s="1" t="s">
        <v>1445</v>
      </c>
      <c r="C1261" s="1" t="s">
        <v>28</v>
      </c>
      <c r="D1261" t="s">
        <v>30</v>
      </c>
      <c r="E1261" t="s">
        <v>175</v>
      </c>
      <c r="F1261" t="s">
        <v>21</v>
      </c>
      <c r="G1261" t="s">
        <v>20</v>
      </c>
      <c r="H1261" s="3">
        <v>6</v>
      </c>
      <c r="I1261" s="3">
        <v>870</v>
      </c>
      <c r="J1261" s="3">
        <v>5220</v>
      </c>
      <c r="K1261" s="3">
        <v>600</v>
      </c>
      <c r="L1261" s="3">
        <v>3600</v>
      </c>
      <c r="M1261" s="3">
        <v>1620</v>
      </c>
      <c r="N1261" s="4">
        <v>0.31034482758620691</v>
      </c>
    </row>
    <row r="1262" spans="1:14" x14ac:dyDescent="0.3">
      <c r="A1262" s="6">
        <v>45748</v>
      </c>
      <c r="B1262" s="1" t="s">
        <v>1446</v>
      </c>
      <c r="C1262" s="1" t="s">
        <v>27</v>
      </c>
      <c r="D1262" t="s">
        <v>30</v>
      </c>
      <c r="E1262" t="s">
        <v>388</v>
      </c>
      <c r="F1262" t="s">
        <v>19</v>
      </c>
      <c r="G1262" t="s">
        <v>20</v>
      </c>
      <c r="H1262" s="3">
        <v>3</v>
      </c>
      <c r="I1262" s="3">
        <v>1305</v>
      </c>
      <c r="J1262" s="3">
        <v>3915</v>
      </c>
      <c r="K1262" s="3">
        <v>900</v>
      </c>
      <c r="L1262" s="3">
        <v>2700</v>
      </c>
      <c r="M1262" s="3">
        <v>1215</v>
      </c>
      <c r="N1262" s="4">
        <v>0.31034482758620691</v>
      </c>
    </row>
    <row r="1263" spans="1:14" x14ac:dyDescent="0.3">
      <c r="A1263" s="6">
        <v>45748</v>
      </c>
      <c r="B1263" s="1" t="s">
        <v>1447</v>
      </c>
      <c r="C1263" s="1" t="s">
        <v>28</v>
      </c>
      <c r="D1263" t="s">
        <v>34</v>
      </c>
      <c r="E1263" t="s">
        <v>365</v>
      </c>
      <c r="F1263" t="s">
        <v>19</v>
      </c>
      <c r="G1263" t="s">
        <v>20</v>
      </c>
      <c r="H1263" s="3">
        <v>3</v>
      </c>
      <c r="I1263" s="3">
        <v>1125</v>
      </c>
      <c r="J1263" s="3">
        <v>3375</v>
      </c>
      <c r="K1263" s="3">
        <v>900</v>
      </c>
      <c r="L1263" s="3">
        <v>2700</v>
      </c>
      <c r="M1263" s="3">
        <v>675</v>
      </c>
      <c r="N1263" s="4">
        <v>0.2</v>
      </c>
    </row>
    <row r="1264" spans="1:14" x14ac:dyDescent="0.3">
      <c r="A1264" s="6">
        <v>45748</v>
      </c>
      <c r="B1264" s="1" t="s">
        <v>1448</v>
      </c>
      <c r="C1264" s="1" t="s">
        <v>28</v>
      </c>
      <c r="D1264" t="s">
        <v>30</v>
      </c>
      <c r="E1264" t="s">
        <v>255</v>
      </c>
      <c r="F1264" t="s">
        <v>16</v>
      </c>
      <c r="G1264" t="s">
        <v>15</v>
      </c>
      <c r="H1264" s="3">
        <v>9</v>
      </c>
      <c r="I1264" s="3">
        <v>53960</v>
      </c>
      <c r="J1264" s="3">
        <v>485640</v>
      </c>
      <c r="K1264" s="3">
        <v>38000</v>
      </c>
      <c r="L1264" s="3">
        <v>342000</v>
      </c>
      <c r="M1264" s="3">
        <v>143640</v>
      </c>
      <c r="N1264" s="4">
        <v>0.29577464788732394</v>
      </c>
    </row>
    <row r="1265" spans="1:14" x14ac:dyDescent="0.3">
      <c r="A1265" s="6">
        <v>45748</v>
      </c>
      <c r="B1265" s="1" t="s">
        <v>1449</v>
      </c>
      <c r="C1265" s="1" t="s">
        <v>28</v>
      </c>
      <c r="D1265" t="s">
        <v>30</v>
      </c>
      <c r="E1265" t="s">
        <v>381</v>
      </c>
      <c r="F1265" t="s">
        <v>14</v>
      </c>
      <c r="G1265" t="s">
        <v>15</v>
      </c>
      <c r="H1265" s="3">
        <v>7</v>
      </c>
      <c r="I1265" s="3">
        <v>61199.999999999993</v>
      </c>
      <c r="J1265" s="3">
        <v>428399.99999999994</v>
      </c>
      <c r="K1265" s="3">
        <v>45000</v>
      </c>
      <c r="L1265" s="3">
        <v>315000</v>
      </c>
      <c r="M1265" s="3">
        <v>113399.99999999994</v>
      </c>
      <c r="N1265" s="4">
        <v>0.26470588235294107</v>
      </c>
    </row>
    <row r="1266" spans="1:14" x14ac:dyDescent="0.3">
      <c r="A1266" s="6">
        <v>45748</v>
      </c>
      <c r="B1266" s="1" t="s">
        <v>1450</v>
      </c>
      <c r="C1266" s="1" t="s">
        <v>26</v>
      </c>
      <c r="D1266" t="s">
        <v>32</v>
      </c>
      <c r="E1266" t="s">
        <v>74</v>
      </c>
      <c r="F1266" t="s">
        <v>17</v>
      </c>
      <c r="G1266" t="s">
        <v>18</v>
      </c>
      <c r="H1266" s="3">
        <v>7</v>
      </c>
      <c r="I1266" s="3">
        <v>11559.999999999998</v>
      </c>
      <c r="J1266" s="3">
        <v>80919.999999999985</v>
      </c>
      <c r="K1266" s="3">
        <v>8500</v>
      </c>
      <c r="L1266" s="3">
        <v>59500</v>
      </c>
      <c r="M1266" s="3">
        <v>21419.999999999985</v>
      </c>
      <c r="N1266" s="4">
        <v>0.26470588235294107</v>
      </c>
    </row>
    <row r="1267" spans="1:14" x14ac:dyDescent="0.3">
      <c r="A1267" s="6">
        <v>45748</v>
      </c>
      <c r="B1267" s="1" t="s">
        <v>1451</v>
      </c>
      <c r="C1267" s="1" t="s">
        <v>26</v>
      </c>
      <c r="D1267" t="s">
        <v>31</v>
      </c>
      <c r="E1267" t="s">
        <v>57</v>
      </c>
      <c r="F1267" t="s">
        <v>21</v>
      </c>
      <c r="G1267" t="s">
        <v>20</v>
      </c>
      <c r="H1267" s="3">
        <v>3</v>
      </c>
      <c r="I1267" s="3">
        <v>732</v>
      </c>
      <c r="J1267" s="3">
        <v>2196</v>
      </c>
      <c r="K1267" s="3">
        <v>600</v>
      </c>
      <c r="L1267" s="3">
        <v>1800</v>
      </c>
      <c r="M1267" s="3">
        <v>396</v>
      </c>
      <c r="N1267" s="4">
        <v>0.18032786885245902</v>
      </c>
    </row>
    <row r="1268" spans="1:14" x14ac:dyDescent="0.3">
      <c r="A1268" s="6">
        <v>45748</v>
      </c>
      <c r="B1268" s="1" t="s">
        <v>1452</v>
      </c>
      <c r="C1268" s="1" t="s">
        <v>29</v>
      </c>
      <c r="D1268" t="s">
        <v>31</v>
      </c>
      <c r="E1268" t="s">
        <v>45</v>
      </c>
      <c r="F1268" t="s">
        <v>24</v>
      </c>
      <c r="G1268" t="s">
        <v>25</v>
      </c>
      <c r="H1268" s="3">
        <v>4</v>
      </c>
      <c r="I1268" s="3">
        <v>3200</v>
      </c>
      <c r="J1268" s="3">
        <v>12800</v>
      </c>
      <c r="K1268" s="3">
        <v>2500</v>
      </c>
      <c r="L1268" s="3">
        <v>10000</v>
      </c>
      <c r="M1268" s="3">
        <v>2800</v>
      </c>
      <c r="N1268" s="4">
        <v>0.21875</v>
      </c>
    </row>
    <row r="1269" spans="1:14" x14ac:dyDescent="0.3">
      <c r="A1269" s="6">
        <v>45748</v>
      </c>
      <c r="B1269" s="1" t="s">
        <v>1453</v>
      </c>
      <c r="C1269" s="1" t="s">
        <v>27</v>
      </c>
      <c r="D1269" t="s">
        <v>33</v>
      </c>
      <c r="E1269" t="s">
        <v>139</v>
      </c>
      <c r="F1269" t="s">
        <v>16</v>
      </c>
      <c r="G1269" t="s">
        <v>15</v>
      </c>
      <c r="H1269" s="3">
        <v>5</v>
      </c>
      <c r="I1269" s="3">
        <v>46360</v>
      </c>
      <c r="J1269" s="3">
        <v>231800</v>
      </c>
      <c r="K1269" s="3">
        <v>38000</v>
      </c>
      <c r="L1269" s="3">
        <v>190000</v>
      </c>
      <c r="M1269" s="3">
        <v>41800</v>
      </c>
      <c r="N1269" s="4">
        <v>0.18032786885245902</v>
      </c>
    </row>
    <row r="1270" spans="1:14" x14ac:dyDescent="0.3">
      <c r="A1270" s="6">
        <v>45748</v>
      </c>
      <c r="B1270" s="1" t="s">
        <v>1454</v>
      </c>
      <c r="C1270" s="1" t="s">
        <v>27</v>
      </c>
      <c r="D1270" t="s">
        <v>30</v>
      </c>
      <c r="E1270" t="s">
        <v>214</v>
      </c>
      <c r="F1270" t="s">
        <v>17</v>
      </c>
      <c r="G1270" t="s">
        <v>18</v>
      </c>
      <c r="H1270" s="3">
        <v>2</v>
      </c>
      <c r="I1270" s="3">
        <v>11050</v>
      </c>
      <c r="J1270" s="3">
        <v>22100</v>
      </c>
      <c r="K1270" s="3">
        <v>8500</v>
      </c>
      <c r="L1270" s="3">
        <v>17000</v>
      </c>
      <c r="M1270" s="3">
        <v>5100</v>
      </c>
      <c r="N1270" s="4">
        <v>0.23076923076923078</v>
      </c>
    </row>
    <row r="1271" spans="1:14" x14ac:dyDescent="0.3">
      <c r="A1271" s="6">
        <v>45748</v>
      </c>
      <c r="B1271" s="1" t="s">
        <v>1455</v>
      </c>
      <c r="C1271" s="1" t="s">
        <v>26</v>
      </c>
      <c r="D1271" t="s">
        <v>30</v>
      </c>
      <c r="E1271" t="s">
        <v>280</v>
      </c>
      <c r="F1271" t="s">
        <v>21</v>
      </c>
      <c r="G1271" t="s">
        <v>20</v>
      </c>
      <c r="H1271" s="3">
        <v>8</v>
      </c>
      <c r="I1271" s="3">
        <v>780</v>
      </c>
      <c r="J1271" s="3">
        <v>6240</v>
      </c>
      <c r="K1271" s="3">
        <v>600</v>
      </c>
      <c r="L1271" s="3">
        <v>4800</v>
      </c>
      <c r="M1271" s="3">
        <v>1440</v>
      </c>
      <c r="N1271" s="4">
        <v>0.23076923076923078</v>
      </c>
    </row>
    <row r="1272" spans="1:14" x14ac:dyDescent="0.3">
      <c r="A1272" s="6">
        <v>45748</v>
      </c>
      <c r="B1272" s="1" t="s">
        <v>1456</v>
      </c>
      <c r="C1272" s="1" t="s">
        <v>28</v>
      </c>
      <c r="D1272" t="s">
        <v>31</v>
      </c>
      <c r="E1272" t="s">
        <v>78</v>
      </c>
      <c r="F1272" t="s">
        <v>21</v>
      </c>
      <c r="G1272" t="s">
        <v>20</v>
      </c>
      <c r="H1272" s="3">
        <v>2</v>
      </c>
      <c r="I1272" s="3">
        <v>846</v>
      </c>
      <c r="J1272" s="3">
        <v>1692</v>
      </c>
      <c r="K1272" s="3">
        <v>600</v>
      </c>
      <c r="L1272" s="3">
        <v>1200</v>
      </c>
      <c r="M1272" s="3">
        <v>492</v>
      </c>
      <c r="N1272" s="4">
        <v>0.29078014184397161</v>
      </c>
    </row>
    <row r="1273" spans="1:14" x14ac:dyDescent="0.3">
      <c r="A1273" s="6">
        <v>45748</v>
      </c>
      <c r="B1273" s="1" t="s">
        <v>1457</v>
      </c>
      <c r="C1273" s="1" t="s">
        <v>26</v>
      </c>
      <c r="D1273" t="s">
        <v>31</v>
      </c>
      <c r="E1273" t="s">
        <v>319</v>
      </c>
      <c r="F1273" t="s">
        <v>23</v>
      </c>
      <c r="G1273" t="s">
        <v>25</v>
      </c>
      <c r="H1273" s="3">
        <v>1</v>
      </c>
      <c r="I1273" s="3">
        <v>4096</v>
      </c>
      <c r="J1273" s="3">
        <v>4096</v>
      </c>
      <c r="K1273" s="3">
        <v>3200</v>
      </c>
      <c r="L1273" s="3">
        <v>3200</v>
      </c>
      <c r="M1273" s="3">
        <v>896</v>
      </c>
      <c r="N1273" s="4">
        <v>0.21875</v>
      </c>
    </row>
    <row r="1274" spans="1:14" x14ac:dyDescent="0.3">
      <c r="A1274" s="6">
        <v>45749</v>
      </c>
      <c r="B1274" s="1" t="s">
        <v>1458</v>
      </c>
      <c r="C1274" s="1" t="s">
        <v>28</v>
      </c>
      <c r="D1274" t="s">
        <v>34</v>
      </c>
      <c r="E1274" t="s">
        <v>538</v>
      </c>
      <c r="F1274" t="s">
        <v>19</v>
      </c>
      <c r="G1274" t="s">
        <v>20</v>
      </c>
      <c r="H1274" s="3">
        <v>1</v>
      </c>
      <c r="I1274" s="3">
        <v>1296</v>
      </c>
      <c r="J1274" s="3">
        <v>1296</v>
      </c>
      <c r="K1274" s="3">
        <v>900</v>
      </c>
      <c r="L1274" s="3">
        <v>900</v>
      </c>
      <c r="M1274" s="3">
        <v>396</v>
      </c>
      <c r="N1274" s="4">
        <v>0.30555555555555558</v>
      </c>
    </row>
    <row r="1275" spans="1:14" x14ac:dyDescent="0.3">
      <c r="A1275" s="6">
        <v>45749</v>
      </c>
      <c r="B1275" s="1" t="s">
        <v>1459</v>
      </c>
      <c r="C1275" s="1" t="s">
        <v>29</v>
      </c>
      <c r="D1275" t="s">
        <v>33</v>
      </c>
      <c r="E1275" t="s">
        <v>400</v>
      </c>
      <c r="F1275" t="s">
        <v>19</v>
      </c>
      <c r="G1275" t="s">
        <v>20</v>
      </c>
      <c r="H1275" s="3">
        <v>4</v>
      </c>
      <c r="I1275" s="3">
        <v>1134</v>
      </c>
      <c r="J1275" s="3">
        <v>4536</v>
      </c>
      <c r="K1275" s="3">
        <v>900</v>
      </c>
      <c r="L1275" s="3">
        <v>3600</v>
      </c>
      <c r="M1275" s="3">
        <v>936</v>
      </c>
      <c r="N1275" s="4">
        <v>0.20634920634920634</v>
      </c>
    </row>
    <row r="1276" spans="1:14" x14ac:dyDescent="0.3">
      <c r="A1276" s="6">
        <v>45749</v>
      </c>
      <c r="B1276" s="1" t="s">
        <v>1460</v>
      </c>
      <c r="C1276" s="1" t="s">
        <v>29</v>
      </c>
      <c r="D1276" t="s">
        <v>34</v>
      </c>
      <c r="E1276" t="s">
        <v>126</v>
      </c>
      <c r="F1276" t="s">
        <v>14</v>
      </c>
      <c r="G1276" t="s">
        <v>15</v>
      </c>
      <c r="H1276" s="3">
        <v>8</v>
      </c>
      <c r="I1276" s="3">
        <v>58050</v>
      </c>
      <c r="J1276" s="3">
        <v>464400</v>
      </c>
      <c r="K1276" s="3">
        <v>45000</v>
      </c>
      <c r="L1276" s="3">
        <v>360000</v>
      </c>
      <c r="M1276" s="3">
        <v>104400</v>
      </c>
      <c r="N1276" s="4">
        <v>0.22480620155038761</v>
      </c>
    </row>
    <row r="1277" spans="1:14" x14ac:dyDescent="0.3">
      <c r="A1277" s="6">
        <v>45749</v>
      </c>
      <c r="B1277" s="1" t="s">
        <v>1461</v>
      </c>
      <c r="C1277" s="1" t="s">
        <v>27</v>
      </c>
      <c r="D1277" t="s">
        <v>30</v>
      </c>
      <c r="E1277" t="s">
        <v>538</v>
      </c>
      <c r="F1277" t="s">
        <v>23</v>
      </c>
      <c r="G1277" t="s">
        <v>25</v>
      </c>
      <c r="H1277" s="3">
        <v>9</v>
      </c>
      <c r="I1277" s="3">
        <v>4000</v>
      </c>
      <c r="J1277" s="3">
        <v>36000</v>
      </c>
      <c r="K1277" s="3">
        <v>3200</v>
      </c>
      <c r="L1277" s="3">
        <v>28800</v>
      </c>
      <c r="M1277" s="3">
        <v>7200</v>
      </c>
      <c r="N1277" s="4">
        <v>0.2</v>
      </c>
    </row>
    <row r="1278" spans="1:14" x14ac:dyDescent="0.3">
      <c r="A1278" s="6">
        <v>45749</v>
      </c>
      <c r="B1278" s="1" t="s">
        <v>1462</v>
      </c>
      <c r="C1278" s="1" t="s">
        <v>29</v>
      </c>
      <c r="D1278" t="s">
        <v>31</v>
      </c>
      <c r="E1278" t="s">
        <v>37</v>
      </c>
      <c r="F1278" t="s">
        <v>16</v>
      </c>
      <c r="G1278" t="s">
        <v>15</v>
      </c>
      <c r="H1278" s="3">
        <v>2</v>
      </c>
      <c r="I1278" s="3">
        <v>54340</v>
      </c>
      <c r="J1278" s="3">
        <v>108680</v>
      </c>
      <c r="K1278" s="3">
        <v>38000</v>
      </c>
      <c r="L1278" s="3">
        <v>76000</v>
      </c>
      <c r="M1278" s="3">
        <v>32680</v>
      </c>
      <c r="N1278" s="4">
        <v>0.30069930069930068</v>
      </c>
    </row>
    <row r="1279" spans="1:14" x14ac:dyDescent="0.3">
      <c r="A1279" s="6">
        <v>45749</v>
      </c>
      <c r="B1279" s="1" t="s">
        <v>1463</v>
      </c>
      <c r="C1279" s="1" t="s">
        <v>27</v>
      </c>
      <c r="D1279" t="s">
        <v>33</v>
      </c>
      <c r="E1279" t="s">
        <v>85</v>
      </c>
      <c r="F1279" t="s">
        <v>24</v>
      </c>
      <c r="G1279" t="s">
        <v>25</v>
      </c>
      <c r="H1279" s="3">
        <v>8</v>
      </c>
      <c r="I1279" s="3">
        <v>3000</v>
      </c>
      <c r="J1279" s="3">
        <v>24000</v>
      </c>
      <c r="K1279" s="3">
        <v>2500</v>
      </c>
      <c r="L1279" s="3">
        <v>20000</v>
      </c>
      <c r="M1279" s="3">
        <v>4000</v>
      </c>
      <c r="N1279" s="4">
        <v>0.16666666666666666</v>
      </c>
    </row>
    <row r="1280" spans="1:14" x14ac:dyDescent="0.3">
      <c r="A1280" s="6">
        <v>45749</v>
      </c>
      <c r="B1280" s="1" t="s">
        <v>1464</v>
      </c>
      <c r="C1280" s="1" t="s">
        <v>26</v>
      </c>
      <c r="D1280" t="s">
        <v>33</v>
      </c>
      <c r="E1280" t="s">
        <v>208</v>
      </c>
      <c r="F1280" t="s">
        <v>16</v>
      </c>
      <c r="G1280" t="s">
        <v>15</v>
      </c>
      <c r="H1280" s="3">
        <v>8</v>
      </c>
      <c r="I1280" s="3">
        <v>46360</v>
      </c>
      <c r="J1280" s="3">
        <v>370880</v>
      </c>
      <c r="K1280" s="3">
        <v>38000</v>
      </c>
      <c r="L1280" s="3">
        <v>304000</v>
      </c>
      <c r="M1280" s="3">
        <v>66880</v>
      </c>
      <c r="N1280" s="4">
        <v>0.18032786885245902</v>
      </c>
    </row>
    <row r="1281" spans="1:14" x14ac:dyDescent="0.3">
      <c r="A1281" s="6">
        <v>45749</v>
      </c>
      <c r="B1281" s="1" t="s">
        <v>1465</v>
      </c>
      <c r="C1281" s="1" t="s">
        <v>26</v>
      </c>
      <c r="D1281" t="s">
        <v>30</v>
      </c>
      <c r="E1281" t="s">
        <v>424</v>
      </c>
      <c r="F1281" t="s">
        <v>24</v>
      </c>
      <c r="G1281" t="s">
        <v>25</v>
      </c>
      <c r="H1281" s="3">
        <v>8</v>
      </c>
      <c r="I1281" s="3">
        <v>3275</v>
      </c>
      <c r="J1281" s="3">
        <v>26200</v>
      </c>
      <c r="K1281" s="3">
        <v>2500</v>
      </c>
      <c r="L1281" s="3">
        <v>20000</v>
      </c>
      <c r="M1281" s="3">
        <v>6200</v>
      </c>
      <c r="N1281" s="4">
        <v>0.23664122137404581</v>
      </c>
    </row>
    <row r="1282" spans="1:14" x14ac:dyDescent="0.3">
      <c r="A1282" s="6">
        <v>45749</v>
      </c>
      <c r="B1282" s="1" t="s">
        <v>1466</v>
      </c>
      <c r="C1282" s="1" t="s">
        <v>28</v>
      </c>
      <c r="D1282" t="s">
        <v>35</v>
      </c>
      <c r="E1282" t="s">
        <v>349</v>
      </c>
      <c r="F1282" t="s">
        <v>17</v>
      </c>
      <c r="G1282" t="s">
        <v>18</v>
      </c>
      <c r="H1282" s="3">
        <v>10</v>
      </c>
      <c r="I1282" s="3">
        <v>12070</v>
      </c>
      <c r="J1282" s="3">
        <v>120700</v>
      </c>
      <c r="K1282" s="3">
        <v>8500</v>
      </c>
      <c r="L1282" s="3">
        <v>85000</v>
      </c>
      <c r="M1282" s="3">
        <v>35700</v>
      </c>
      <c r="N1282" s="4">
        <v>0.29577464788732394</v>
      </c>
    </row>
    <row r="1283" spans="1:14" x14ac:dyDescent="0.3">
      <c r="A1283" s="6">
        <v>45749</v>
      </c>
      <c r="B1283" s="1" t="s">
        <v>1467</v>
      </c>
      <c r="C1283" s="1" t="s">
        <v>27</v>
      </c>
      <c r="D1283" t="s">
        <v>34</v>
      </c>
      <c r="E1283" t="s">
        <v>100</v>
      </c>
      <c r="F1283" t="s">
        <v>22</v>
      </c>
      <c r="G1283" t="s">
        <v>18</v>
      </c>
      <c r="H1283" s="3">
        <v>1</v>
      </c>
      <c r="I1283" s="3">
        <v>8750</v>
      </c>
      <c r="J1283" s="3">
        <v>8750</v>
      </c>
      <c r="K1283" s="3">
        <v>7000</v>
      </c>
      <c r="L1283" s="3">
        <v>7000</v>
      </c>
      <c r="M1283" s="3">
        <v>1750</v>
      </c>
      <c r="N1283" s="4">
        <v>0.2</v>
      </c>
    </row>
    <row r="1284" spans="1:14" x14ac:dyDescent="0.3">
      <c r="A1284" s="6">
        <v>45749</v>
      </c>
      <c r="B1284" s="1" t="s">
        <v>1468</v>
      </c>
      <c r="C1284" s="1" t="s">
        <v>28</v>
      </c>
      <c r="D1284" t="s">
        <v>34</v>
      </c>
      <c r="E1284" t="s">
        <v>447</v>
      </c>
      <c r="F1284" t="s">
        <v>21</v>
      </c>
      <c r="G1284" t="s">
        <v>20</v>
      </c>
      <c r="H1284" s="3">
        <v>4</v>
      </c>
      <c r="I1284" s="3">
        <v>780</v>
      </c>
      <c r="J1284" s="3">
        <v>3120</v>
      </c>
      <c r="K1284" s="3">
        <v>600</v>
      </c>
      <c r="L1284" s="3">
        <v>2400</v>
      </c>
      <c r="M1284" s="3">
        <v>720</v>
      </c>
      <c r="N1284" s="4">
        <v>0.23076923076923078</v>
      </c>
    </row>
    <row r="1285" spans="1:14" x14ac:dyDescent="0.3">
      <c r="A1285" s="6">
        <v>45749</v>
      </c>
      <c r="B1285" s="1" t="s">
        <v>1469</v>
      </c>
      <c r="C1285" s="1" t="s">
        <v>28</v>
      </c>
      <c r="D1285" t="s">
        <v>31</v>
      </c>
      <c r="E1285" t="s">
        <v>116</v>
      </c>
      <c r="F1285" t="s">
        <v>24</v>
      </c>
      <c r="G1285" t="s">
        <v>25</v>
      </c>
      <c r="H1285" s="3">
        <v>4</v>
      </c>
      <c r="I1285" s="3">
        <v>3500</v>
      </c>
      <c r="J1285" s="3">
        <v>14000</v>
      </c>
      <c r="K1285" s="3">
        <v>2500</v>
      </c>
      <c r="L1285" s="3">
        <v>10000</v>
      </c>
      <c r="M1285" s="3">
        <v>4000</v>
      </c>
      <c r="N1285" s="4">
        <v>0.2857142857142857</v>
      </c>
    </row>
    <row r="1286" spans="1:14" x14ac:dyDescent="0.3">
      <c r="A1286" s="6">
        <v>45749</v>
      </c>
      <c r="B1286" s="1" t="s">
        <v>1470</v>
      </c>
      <c r="C1286" s="1" t="s">
        <v>29</v>
      </c>
      <c r="D1286" t="s">
        <v>30</v>
      </c>
      <c r="E1286" t="s">
        <v>189</v>
      </c>
      <c r="F1286" t="s">
        <v>23</v>
      </c>
      <c r="G1286" t="s">
        <v>25</v>
      </c>
      <c r="H1286" s="3">
        <v>1</v>
      </c>
      <c r="I1286" s="3">
        <v>4224</v>
      </c>
      <c r="J1286" s="3">
        <v>4224</v>
      </c>
      <c r="K1286" s="3">
        <v>3200</v>
      </c>
      <c r="L1286" s="3">
        <v>3200</v>
      </c>
      <c r="M1286" s="3">
        <v>1024</v>
      </c>
      <c r="N1286" s="4">
        <v>0.24242424242424243</v>
      </c>
    </row>
    <row r="1287" spans="1:14" x14ac:dyDescent="0.3">
      <c r="A1287" s="6">
        <v>45749</v>
      </c>
      <c r="B1287" s="1" t="s">
        <v>1471</v>
      </c>
      <c r="C1287" s="1" t="s">
        <v>28</v>
      </c>
      <c r="D1287" t="s">
        <v>30</v>
      </c>
      <c r="E1287" t="s">
        <v>216</v>
      </c>
      <c r="F1287" t="s">
        <v>24</v>
      </c>
      <c r="G1287" t="s">
        <v>25</v>
      </c>
      <c r="H1287" s="3">
        <v>7</v>
      </c>
      <c r="I1287" s="3">
        <v>3375</v>
      </c>
      <c r="J1287" s="3">
        <v>23625</v>
      </c>
      <c r="K1287" s="3">
        <v>2500</v>
      </c>
      <c r="L1287" s="3">
        <v>17500</v>
      </c>
      <c r="M1287" s="3">
        <v>6125</v>
      </c>
      <c r="N1287" s="4">
        <v>0.25925925925925924</v>
      </c>
    </row>
    <row r="1288" spans="1:14" x14ac:dyDescent="0.3">
      <c r="A1288" s="6">
        <v>45750</v>
      </c>
      <c r="B1288" s="1" t="s">
        <v>1472</v>
      </c>
      <c r="C1288" s="1" t="s">
        <v>29</v>
      </c>
      <c r="D1288" t="s">
        <v>35</v>
      </c>
      <c r="E1288" t="s">
        <v>57</v>
      </c>
      <c r="F1288" t="s">
        <v>19</v>
      </c>
      <c r="G1288" t="s">
        <v>20</v>
      </c>
      <c r="H1288" s="3">
        <v>7</v>
      </c>
      <c r="I1288" s="3">
        <v>1125</v>
      </c>
      <c r="J1288" s="3">
        <v>7875</v>
      </c>
      <c r="K1288" s="3">
        <v>900</v>
      </c>
      <c r="L1288" s="3">
        <v>6300</v>
      </c>
      <c r="M1288" s="3">
        <v>1575</v>
      </c>
      <c r="N1288" s="4">
        <v>0.2</v>
      </c>
    </row>
    <row r="1289" spans="1:14" x14ac:dyDescent="0.3">
      <c r="A1289" s="6">
        <v>45750</v>
      </c>
      <c r="B1289" s="1" t="s">
        <v>1473</v>
      </c>
      <c r="C1289" s="1" t="s">
        <v>28</v>
      </c>
      <c r="D1289" t="s">
        <v>35</v>
      </c>
      <c r="E1289" t="s">
        <v>53</v>
      </c>
      <c r="F1289" t="s">
        <v>23</v>
      </c>
      <c r="G1289" t="s">
        <v>25</v>
      </c>
      <c r="H1289" s="3">
        <v>10</v>
      </c>
      <c r="I1289" s="3">
        <v>4512</v>
      </c>
      <c r="J1289" s="3">
        <v>45120</v>
      </c>
      <c r="K1289" s="3">
        <v>3200</v>
      </c>
      <c r="L1289" s="3">
        <v>32000</v>
      </c>
      <c r="M1289" s="3">
        <v>13120</v>
      </c>
      <c r="N1289" s="4">
        <v>0.29078014184397161</v>
      </c>
    </row>
    <row r="1290" spans="1:14" x14ac:dyDescent="0.3">
      <c r="A1290" s="6">
        <v>45750</v>
      </c>
      <c r="B1290" s="1" t="s">
        <v>1474</v>
      </c>
      <c r="C1290" s="1" t="s">
        <v>26</v>
      </c>
      <c r="D1290" t="s">
        <v>33</v>
      </c>
      <c r="E1290" t="s">
        <v>239</v>
      </c>
      <c r="F1290" t="s">
        <v>23</v>
      </c>
      <c r="G1290" t="s">
        <v>25</v>
      </c>
      <c r="H1290" s="3">
        <v>8</v>
      </c>
      <c r="I1290" s="3">
        <v>3904</v>
      </c>
      <c r="J1290" s="3">
        <v>31232</v>
      </c>
      <c r="K1290" s="3">
        <v>3200</v>
      </c>
      <c r="L1290" s="3">
        <v>25600</v>
      </c>
      <c r="M1290" s="3">
        <v>5632</v>
      </c>
      <c r="N1290" s="4">
        <v>0.18032786885245902</v>
      </c>
    </row>
    <row r="1291" spans="1:14" x14ac:dyDescent="0.3">
      <c r="A1291" s="6">
        <v>45750</v>
      </c>
      <c r="B1291" s="1" t="s">
        <v>1475</v>
      </c>
      <c r="C1291" s="1" t="s">
        <v>27</v>
      </c>
      <c r="D1291" t="s">
        <v>34</v>
      </c>
      <c r="E1291" t="s">
        <v>94</v>
      </c>
      <c r="F1291" t="s">
        <v>19</v>
      </c>
      <c r="G1291" t="s">
        <v>20</v>
      </c>
      <c r="H1291" s="3">
        <v>8</v>
      </c>
      <c r="I1291" s="3">
        <v>1170</v>
      </c>
      <c r="J1291" s="3">
        <v>9360</v>
      </c>
      <c r="K1291" s="3">
        <v>900</v>
      </c>
      <c r="L1291" s="3">
        <v>7200</v>
      </c>
      <c r="M1291" s="3">
        <v>2160</v>
      </c>
      <c r="N1291" s="4">
        <v>0.23076923076923078</v>
      </c>
    </row>
    <row r="1292" spans="1:14" x14ac:dyDescent="0.3">
      <c r="A1292" s="6">
        <v>45750</v>
      </c>
      <c r="B1292" s="1" t="s">
        <v>1476</v>
      </c>
      <c r="C1292" s="1" t="s">
        <v>27</v>
      </c>
      <c r="D1292" t="s">
        <v>31</v>
      </c>
      <c r="E1292" t="s">
        <v>331</v>
      </c>
      <c r="F1292" t="s">
        <v>22</v>
      </c>
      <c r="G1292" t="s">
        <v>18</v>
      </c>
      <c r="H1292" s="3">
        <v>1</v>
      </c>
      <c r="I1292" s="3">
        <v>8400</v>
      </c>
      <c r="J1292" s="3">
        <v>8400</v>
      </c>
      <c r="K1292" s="3">
        <v>7000</v>
      </c>
      <c r="L1292" s="3">
        <v>7000</v>
      </c>
      <c r="M1292" s="3">
        <v>1400</v>
      </c>
      <c r="N1292" s="4">
        <v>0.16666666666666666</v>
      </c>
    </row>
    <row r="1293" spans="1:14" x14ac:dyDescent="0.3">
      <c r="A1293" s="6">
        <v>45750</v>
      </c>
      <c r="B1293" s="1" t="s">
        <v>1477</v>
      </c>
      <c r="C1293" s="1" t="s">
        <v>29</v>
      </c>
      <c r="D1293" t="s">
        <v>30</v>
      </c>
      <c r="E1293" t="s">
        <v>169</v>
      </c>
      <c r="F1293" t="s">
        <v>16</v>
      </c>
      <c r="G1293" t="s">
        <v>15</v>
      </c>
      <c r="H1293" s="3">
        <v>3</v>
      </c>
      <c r="I1293" s="3">
        <v>47120</v>
      </c>
      <c r="J1293" s="3">
        <v>141360</v>
      </c>
      <c r="K1293" s="3">
        <v>38000</v>
      </c>
      <c r="L1293" s="3">
        <v>114000</v>
      </c>
      <c r="M1293" s="3">
        <v>27360</v>
      </c>
      <c r="N1293" s="4">
        <v>0.19354838709677419</v>
      </c>
    </row>
    <row r="1294" spans="1:14" x14ac:dyDescent="0.3">
      <c r="A1294" s="6">
        <v>45750</v>
      </c>
      <c r="B1294" s="1" t="s">
        <v>1478</v>
      </c>
      <c r="C1294" s="1" t="s">
        <v>26</v>
      </c>
      <c r="D1294" t="s">
        <v>35</v>
      </c>
      <c r="E1294" t="s">
        <v>220</v>
      </c>
      <c r="F1294" t="s">
        <v>23</v>
      </c>
      <c r="G1294" t="s">
        <v>25</v>
      </c>
      <c r="H1294" s="3">
        <v>2</v>
      </c>
      <c r="I1294" s="3">
        <v>4064</v>
      </c>
      <c r="J1294" s="3">
        <v>8128</v>
      </c>
      <c r="K1294" s="3">
        <v>3200</v>
      </c>
      <c r="L1294" s="3">
        <v>6400</v>
      </c>
      <c r="M1294" s="3">
        <v>1728</v>
      </c>
      <c r="N1294" s="4">
        <v>0.2125984251968504</v>
      </c>
    </row>
    <row r="1295" spans="1:14" x14ac:dyDescent="0.3">
      <c r="A1295" s="6">
        <v>45750</v>
      </c>
      <c r="B1295" s="1" t="s">
        <v>1479</v>
      </c>
      <c r="C1295" s="1" t="s">
        <v>26</v>
      </c>
      <c r="D1295" t="s">
        <v>33</v>
      </c>
      <c r="E1295" t="s">
        <v>317</v>
      </c>
      <c r="F1295" t="s">
        <v>22</v>
      </c>
      <c r="G1295" t="s">
        <v>18</v>
      </c>
      <c r="H1295" s="3">
        <v>7</v>
      </c>
      <c r="I1295" s="3">
        <v>9590</v>
      </c>
      <c r="J1295" s="3">
        <v>67130</v>
      </c>
      <c r="K1295" s="3">
        <v>7000</v>
      </c>
      <c r="L1295" s="3">
        <v>49000</v>
      </c>
      <c r="M1295" s="3">
        <v>18130</v>
      </c>
      <c r="N1295" s="4">
        <v>0.27007299270072993</v>
      </c>
    </row>
    <row r="1296" spans="1:14" x14ac:dyDescent="0.3">
      <c r="A1296" s="6">
        <v>45750</v>
      </c>
      <c r="B1296" s="1" t="s">
        <v>1480</v>
      </c>
      <c r="C1296" s="1" t="s">
        <v>27</v>
      </c>
      <c r="D1296" t="s">
        <v>33</v>
      </c>
      <c r="E1296" t="s">
        <v>134</v>
      </c>
      <c r="F1296" t="s">
        <v>24</v>
      </c>
      <c r="G1296" t="s">
        <v>25</v>
      </c>
      <c r="H1296" s="3">
        <v>3</v>
      </c>
      <c r="I1296" s="3">
        <v>3375</v>
      </c>
      <c r="J1296" s="3">
        <v>10125</v>
      </c>
      <c r="K1296" s="3">
        <v>2500</v>
      </c>
      <c r="L1296" s="3">
        <v>7500</v>
      </c>
      <c r="M1296" s="3">
        <v>2625</v>
      </c>
      <c r="N1296" s="4">
        <v>0.25925925925925924</v>
      </c>
    </row>
    <row r="1297" spans="1:14" x14ac:dyDescent="0.3">
      <c r="A1297" s="6">
        <v>45750</v>
      </c>
      <c r="B1297" s="1" t="s">
        <v>1481</v>
      </c>
      <c r="C1297" s="1" t="s">
        <v>26</v>
      </c>
      <c r="D1297" t="s">
        <v>35</v>
      </c>
      <c r="E1297" t="s">
        <v>120</v>
      </c>
      <c r="F1297" t="s">
        <v>17</v>
      </c>
      <c r="G1297" t="s">
        <v>18</v>
      </c>
      <c r="H1297" s="3">
        <v>4</v>
      </c>
      <c r="I1297" s="3">
        <v>10625</v>
      </c>
      <c r="J1297" s="3">
        <v>42500</v>
      </c>
      <c r="K1297" s="3">
        <v>8500</v>
      </c>
      <c r="L1297" s="3">
        <v>34000</v>
      </c>
      <c r="M1297" s="3">
        <v>8500</v>
      </c>
      <c r="N1297" s="4">
        <v>0.2</v>
      </c>
    </row>
    <row r="1298" spans="1:14" x14ac:dyDescent="0.3">
      <c r="A1298" s="6">
        <v>45750</v>
      </c>
      <c r="B1298" s="1" t="s">
        <v>1482</v>
      </c>
      <c r="C1298" s="1" t="s">
        <v>29</v>
      </c>
      <c r="D1298" t="s">
        <v>33</v>
      </c>
      <c r="E1298" t="s">
        <v>351</v>
      </c>
      <c r="F1298" t="s">
        <v>21</v>
      </c>
      <c r="G1298" t="s">
        <v>20</v>
      </c>
      <c r="H1298" s="3">
        <v>10</v>
      </c>
      <c r="I1298" s="3">
        <v>864</v>
      </c>
      <c r="J1298" s="3">
        <v>8640</v>
      </c>
      <c r="K1298" s="3">
        <v>600</v>
      </c>
      <c r="L1298" s="3">
        <v>6000</v>
      </c>
      <c r="M1298" s="3">
        <v>2640</v>
      </c>
      <c r="N1298" s="4">
        <v>0.30555555555555558</v>
      </c>
    </row>
    <row r="1299" spans="1:14" x14ac:dyDescent="0.3">
      <c r="A1299" s="6">
        <v>45750</v>
      </c>
      <c r="B1299" s="1" t="s">
        <v>1483</v>
      </c>
      <c r="C1299" s="1" t="s">
        <v>29</v>
      </c>
      <c r="D1299" t="s">
        <v>34</v>
      </c>
      <c r="E1299" t="s">
        <v>126</v>
      </c>
      <c r="F1299" t="s">
        <v>14</v>
      </c>
      <c r="G1299" t="s">
        <v>15</v>
      </c>
      <c r="H1299" s="3">
        <v>8</v>
      </c>
      <c r="I1299" s="3">
        <v>63900</v>
      </c>
      <c r="J1299" s="3">
        <v>511200</v>
      </c>
      <c r="K1299" s="3">
        <v>45000</v>
      </c>
      <c r="L1299" s="3">
        <v>360000</v>
      </c>
      <c r="M1299" s="3">
        <v>151200</v>
      </c>
      <c r="N1299" s="4">
        <v>0.29577464788732394</v>
      </c>
    </row>
    <row r="1300" spans="1:14" x14ac:dyDescent="0.3">
      <c r="A1300" s="6">
        <v>45750</v>
      </c>
      <c r="B1300" s="1" t="s">
        <v>1484</v>
      </c>
      <c r="C1300" s="1" t="s">
        <v>26</v>
      </c>
      <c r="D1300" t="s">
        <v>33</v>
      </c>
      <c r="E1300" t="s">
        <v>57</v>
      </c>
      <c r="F1300" t="s">
        <v>14</v>
      </c>
      <c r="G1300" t="s">
        <v>15</v>
      </c>
      <c r="H1300" s="3">
        <v>7</v>
      </c>
      <c r="I1300" s="3">
        <v>58950</v>
      </c>
      <c r="J1300" s="3">
        <v>412650</v>
      </c>
      <c r="K1300" s="3">
        <v>45000</v>
      </c>
      <c r="L1300" s="3">
        <v>315000</v>
      </c>
      <c r="M1300" s="3">
        <v>97650</v>
      </c>
      <c r="N1300" s="4">
        <v>0.23664122137404581</v>
      </c>
    </row>
    <row r="1301" spans="1:14" x14ac:dyDescent="0.3">
      <c r="A1301" s="6">
        <v>45750</v>
      </c>
      <c r="B1301" s="1" t="s">
        <v>1485</v>
      </c>
      <c r="C1301" s="1" t="s">
        <v>27</v>
      </c>
      <c r="D1301" t="s">
        <v>30</v>
      </c>
      <c r="E1301" t="s">
        <v>236</v>
      </c>
      <c r="F1301" t="s">
        <v>16</v>
      </c>
      <c r="G1301" t="s">
        <v>15</v>
      </c>
      <c r="H1301" s="3">
        <v>9</v>
      </c>
      <c r="I1301" s="3">
        <v>53580</v>
      </c>
      <c r="J1301" s="3">
        <v>482220</v>
      </c>
      <c r="K1301" s="3">
        <v>38000</v>
      </c>
      <c r="L1301" s="3">
        <v>342000</v>
      </c>
      <c r="M1301" s="3">
        <v>140220</v>
      </c>
      <c r="N1301" s="4">
        <v>0.29078014184397161</v>
      </c>
    </row>
    <row r="1302" spans="1:14" x14ac:dyDescent="0.3">
      <c r="A1302" s="6">
        <v>45751</v>
      </c>
      <c r="B1302" s="1" t="s">
        <v>1486</v>
      </c>
      <c r="C1302" s="1" t="s">
        <v>28</v>
      </c>
      <c r="D1302" t="s">
        <v>30</v>
      </c>
      <c r="E1302" t="s">
        <v>51</v>
      </c>
      <c r="F1302" t="s">
        <v>14</v>
      </c>
      <c r="G1302" t="s">
        <v>15</v>
      </c>
      <c r="H1302" s="3">
        <v>7</v>
      </c>
      <c r="I1302" s="3">
        <v>57150</v>
      </c>
      <c r="J1302" s="3">
        <v>400050</v>
      </c>
      <c r="K1302" s="3">
        <v>45000</v>
      </c>
      <c r="L1302" s="3">
        <v>315000</v>
      </c>
      <c r="M1302" s="3">
        <v>85050</v>
      </c>
      <c r="N1302" s="4">
        <v>0.2125984251968504</v>
      </c>
    </row>
    <row r="1303" spans="1:14" x14ac:dyDescent="0.3">
      <c r="A1303" s="6">
        <v>45751</v>
      </c>
      <c r="B1303" s="1" t="s">
        <v>1487</v>
      </c>
      <c r="C1303" s="1" t="s">
        <v>27</v>
      </c>
      <c r="D1303" t="s">
        <v>34</v>
      </c>
      <c r="E1303" t="s">
        <v>357</v>
      </c>
      <c r="F1303" t="s">
        <v>22</v>
      </c>
      <c r="G1303" t="s">
        <v>18</v>
      </c>
      <c r="H1303" s="3">
        <v>9</v>
      </c>
      <c r="I1303" s="3">
        <v>9940</v>
      </c>
      <c r="J1303" s="3">
        <v>89460</v>
      </c>
      <c r="K1303" s="3">
        <v>7000</v>
      </c>
      <c r="L1303" s="3">
        <v>63000</v>
      </c>
      <c r="M1303" s="3">
        <v>26460</v>
      </c>
      <c r="N1303" s="4">
        <v>0.29577464788732394</v>
      </c>
    </row>
    <row r="1304" spans="1:14" x14ac:dyDescent="0.3">
      <c r="A1304" s="6">
        <v>45751</v>
      </c>
      <c r="B1304" s="1" t="s">
        <v>1488</v>
      </c>
      <c r="C1304" s="1" t="s">
        <v>28</v>
      </c>
      <c r="D1304" t="s">
        <v>32</v>
      </c>
      <c r="E1304" t="s">
        <v>131</v>
      </c>
      <c r="F1304" t="s">
        <v>24</v>
      </c>
      <c r="G1304" t="s">
        <v>25</v>
      </c>
      <c r="H1304" s="3">
        <v>5</v>
      </c>
      <c r="I1304" s="3">
        <v>3425.0000000000005</v>
      </c>
      <c r="J1304" s="3">
        <v>17125.000000000004</v>
      </c>
      <c r="K1304" s="3">
        <v>2500</v>
      </c>
      <c r="L1304" s="3">
        <v>12500</v>
      </c>
      <c r="M1304" s="3">
        <v>4625.0000000000036</v>
      </c>
      <c r="N1304" s="4">
        <v>0.2700729927007301</v>
      </c>
    </row>
    <row r="1305" spans="1:14" x14ac:dyDescent="0.3">
      <c r="A1305" s="6">
        <v>45751</v>
      </c>
      <c r="B1305" s="1" t="s">
        <v>1489</v>
      </c>
      <c r="C1305" s="1" t="s">
        <v>27</v>
      </c>
      <c r="D1305" t="s">
        <v>33</v>
      </c>
      <c r="E1305" t="s">
        <v>186</v>
      </c>
      <c r="F1305" t="s">
        <v>19</v>
      </c>
      <c r="G1305" t="s">
        <v>20</v>
      </c>
      <c r="H1305" s="3">
        <v>6</v>
      </c>
      <c r="I1305" s="3">
        <v>1080</v>
      </c>
      <c r="J1305" s="3">
        <v>6480</v>
      </c>
      <c r="K1305" s="3">
        <v>900</v>
      </c>
      <c r="L1305" s="3">
        <v>5400</v>
      </c>
      <c r="M1305" s="3">
        <v>1080</v>
      </c>
      <c r="N1305" s="4">
        <v>0.16666666666666666</v>
      </c>
    </row>
    <row r="1306" spans="1:14" x14ac:dyDescent="0.3">
      <c r="A1306" s="6">
        <v>45751</v>
      </c>
      <c r="B1306" s="1" t="s">
        <v>1490</v>
      </c>
      <c r="C1306" s="1" t="s">
        <v>28</v>
      </c>
      <c r="D1306" t="s">
        <v>33</v>
      </c>
      <c r="E1306" t="s">
        <v>157</v>
      </c>
      <c r="F1306" t="s">
        <v>24</v>
      </c>
      <c r="G1306" t="s">
        <v>25</v>
      </c>
      <c r="H1306" s="3">
        <v>2</v>
      </c>
      <c r="I1306" s="3">
        <v>3500</v>
      </c>
      <c r="J1306" s="3">
        <v>7000</v>
      </c>
      <c r="K1306" s="3">
        <v>2500</v>
      </c>
      <c r="L1306" s="3">
        <v>5000</v>
      </c>
      <c r="M1306" s="3">
        <v>2000</v>
      </c>
      <c r="N1306" s="4">
        <v>0.2857142857142857</v>
      </c>
    </row>
    <row r="1307" spans="1:14" x14ac:dyDescent="0.3">
      <c r="A1307" s="6">
        <v>45751</v>
      </c>
      <c r="B1307" s="1" t="s">
        <v>1491</v>
      </c>
      <c r="C1307" s="1" t="s">
        <v>29</v>
      </c>
      <c r="D1307" t="s">
        <v>35</v>
      </c>
      <c r="E1307" t="s">
        <v>698</v>
      </c>
      <c r="F1307" t="s">
        <v>23</v>
      </c>
      <c r="G1307" t="s">
        <v>25</v>
      </c>
      <c r="H1307" s="3">
        <v>8</v>
      </c>
      <c r="I1307" s="3">
        <v>4640</v>
      </c>
      <c r="J1307" s="3">
        <v>37120</v>
      </c>
      <c r="K1307" s="3">
        <v>3200</v>
      </c>
      <c r="L1307" s="3">
        <v>25600</v>
      </c>
      <c r="M1307" s="3">
        <v>11520</v>
      </c>
      <c r="N1307" s="4">
        <v>0.31034482758620691</v>
      </c>
    </row>
    <row r="1308" spans="1:14" x14ac:dyDescent="0.3">
      <c r="A1308" s="6">
        <v>45751</v>
      </c>
      <c r="B1308" s="1" t="s">
        <v>1492</v>
      </c>
      <c r="C1308" s="1" t="s">
        <v>27</v>
      </c>
      <c r="D1308" t="s">
        <v>33</v>
      </c>
      <c r="E1308" t="s">
        <v>137</v>
      </c>
      <c r="F1308" t="s">
        <v>19</v>
      </c>
      <c r="G1308" t="s">
        <v>20</v>
      </c>
      <c r="H1308" s="3">
        <v>3</v>
      </c>
      <c r="I1308" s="3">
        <v>1098</v>
      </c>
      <c r="J1308" s="3">
        <v>3294</v>
      </c>
      <c r="K1308" s="3">
        <v>900</v>
      </c>
      <c r="L1308" s="3">
        <v>2700</v>
      </c>
      <c r="M1308" s="3">
        <v>594</v>
      </c>
      <c r="N1308" s="4">
        <v>0.18032786885245902</v>
      </c>
    </row>
    <row r="1309" spans="1:14" x14ac:dyDescent="0.3">
      <c r="A1309" s="6">
        <v>45751</v>
      </c>
      <c r="B1309" s="1" t="s">
        <v>1493</v>
      </c>
      <c r="C1309" s="1" t="s">
        <v>29</v>
      </c>
      <c r="D1309" t="s">
        <v>35</v>
      </c>
      <c r="E1309" t="s">
        <v>161</v>
      </c>
      <c r="F1309" t="s">
        <v>22</v>
      </c>
      <c r="G1309" t="s">
        <v>18</v>
      </c>
      <c r="H1309" s="3">
        <v>4</v>
      </c>
      <c r="I1309" s="3">
        <v>9170</v>
      </c>
      <c r="J1309" s="3">
        <v>36680</v>
      </c>
      <c r="K1309" s="3">
        <v>7000</v>
      </c>
      <c r="L1309" s="3">
        <v>28000</v>
      </c>
      <c r="M1309" s="3">
        <v>8680</v>
      </c>
      <c r="N1309" s="4">
        <v>0.23664122137404581</v>
      </c>
    </row>
    <row r="1310" spans="1:14" x14ac:dyDescent="0.3">
      <c r="A1310" s="6">
        <v>45751</v>
      </c>
      <c r="B1310" s="1" t="s">
        <v>1494</v>
      </c>
      <c r="C1310" s="1" t="s">
        <v>26</v>
      </c>
      <c r="D1310" t="s">
        <v>31</v>
      </c>
      <c r="E1310" t="s">
        <v>349</v>
      </c>
      <c r="F1310" t="s">
        <v>16</v>
      </c>
      <c r="G1310" t="s">
        <v>15</v>
      </c>
      <c r="H1310" s="3">
        <v>2</v>
      </c>
      <c r="I1310" s="3">
        <v>47120</v>
      </c>
      <c r="J1310" s="3">
        <v>94240</v>
      </c>
      <c r="K1310" s="3">
        <v>38000</v>
      </c>
      <c r="L1310" s="3">
        <v>76000</v>
      </c>
      <c r="M1310" s="3">
        <v>18240</v>
      </c>
      <c r="N1310" s="4">
        <v>0.19354838709677419</v>
      </c>
    </row>
    <row r="1311" spans="1:14" x14ac:dyDescent="0.3">
      <c r="A1311" s="6">
        <v>45751</v>
      </c>
      <c r="B1311" s="1" t="s">
        <v>1495</v>
      </c>
      <c r="C1311" s="1" t="s">
        <v>27</v>
      </c>
      <c r="D1311" t="s">
        <v>31</v>
      </c>
      <c r="E1311" t="s">
        <v>184</v>
      </c>
      <c r="F1311" t="s">
        <v>24</v>
      </c>
      <c r="G1311" t="s">
        <v>25</v>
      </c>
      <c r="H1311" s="3">
        <v>5</v>
      </c>
      <c r="I1311" s="3">
        <v>3325</v>
      </c>
      <c r="J1311" s="3">
        <v>16625</v>
      </c>
      <c r="K1311" s="3">
        <v>2500</v>
      </c>
      <c r="L1311" s="3">
        <v>12500</v>
      </c>
      <c r="M1311" s="3">
        <v>4125</v>
      </c>
      <c r="N1311" s="4">
        <v>0.24812030075187969</v>
      </c>
    </row>
    <row r="1312" spans="1:14" x14ac:dyDescent="0.3">
      <c r="A1312" s="6">
        <v>45751</v>
      </c>
      <c r="B1312" s="1" t="s">
        <v>1496</v>
      </c>
      <c r="C1312" s="1" t="s">
        <v>27</v>
      </c>
      <c r="D1312" t="s">
        <v>30</v>
      </c>
      <c r="E1312" t="s">
        <v>96</v>
      </c>
      <c r="F1312" t="s">
        <v>22</v>
      </c>
      <c r="G1312" t="s">
        <v>18</v>
      </c>
      <c r="H1312" s="3">
        <v>3</v>
      </c>
      <c r="I1312" s="3">
        <v>9590</v>
      </c>
      <c r="J1312" s="3">
        <v>28770</v>
      </c>
      <c r="K1312" s="3">
        <v>7000</v>
      </c>
      <c r="L1312" s="3">
        <v>21000</v>
      </c>
      <c r="M1312" s="3">
        <v>7770</v>
      </c>
      <c r="N1312" s="4">
        <v>0.27007299270072993</v>
      </c>
    </row>
    <row r="1313" spans="1:14" x14ac:dyDescent="0.3">
      <c r="A1313" s="6">
        <v>45751</v>
      </c>
      <c r="B1313" s="1" t="s">
        <v>1497</v>
      </c>
      <c r="C1313" s="1" t="s">
        <v>27</v>
      </c>
      <c r="D1313" t="s">
        <v>31</v>
      </c>
      <c r="E1313" t="s">
        <v>411</v>
      </c>
      <c r="F1313" t="s">
        <v>19</v>
      </c>
      <c r="G1313" t="s">
        <v>20</v>
      </c>
      <c r="H1313" s="3">
        <v>7</v>
      </c>
      <c r="I1313" s="3">
        <v>1260</v>
      </c>
      <c r="J1313" s="3">
        <v>8820</v>
      </c>
      <c r="K1313" s="3">
        <v>900</v>
      </c>
      <c r="L1313" s="3">
        <v>6300</v>
      </c>
      <c r="M1313" s="3">
        <v>2520</v>
      </c>
      <c r="N1313" s="4">
        <v>0.2857142857142857</v>
      </c>
    </row>
    <row r="1314" spans="1:14" x14ac:dyDescent="0.3">
      <c r="A1314" s="6">
        <v>45751</v>
      </c>
      <c r="B1314" s="1" t="s">
        <v>1498</v>
      </c>
      <c r="C1314" s="1" t="s">
        <v>27</v>
      </c>
      <c r="D1314" t="s">
        <v>33</v>
      </c>
      <c r="E1314" t="s">
        <v>55</v>
      </c>
      <c r="F1314" t="s">
        <v>17</v>
      </c>
      <c r="G1314" t="s">
        <v>18</v>
      </c>
      <c r="H1314" s="3">
        <v>9</v>
      </c>
      <c r="I1314" s="3">
        <v>11730</v>
      </c>
      <c r="J1314" s="3">
        <v>105570</v>
      </c>
      <c r="K1314" s="3">
        <v>8500</v>
      </c>
      <c r="L1314" s="3">
        <v>76500</v>
      </c>
      <c r="M1314" s="3">
        <v>29070</v>
      </c>
      <c r="N1314" s="4">
        <v>0.27536231884057971</v>
      </c>
    </row>
    <row r="1315" spans="1:14" x14ac:dyDescent="0.3">
      <c r="A1315" s="6">
        <v>45751</v>
      </c>
      <c r="B1315" s="1" t="s">
        <v>1499</v>
      </c>
      <c r="C1315" s="1" t="s">
        <v>26</v>
      </c>
      <c r="D1315" t="s">
        <v>30</v>
      </c>
      <c r="E1315" t="s">
        <v>359</v>
      </c>
      <c r="F1315" t="s">
        <v>22</v>
      </c>
      <c r="G1315" t="s">
        <v>18</v>
      </c>
      <c r="H1315" s="3">
        <v>8</v>
      </c>
      <c r="I1315" s="3">
        <v>9030</v>
      </c>
      <c r="J1315" s="3">
        <v>72240</v>
      </c>
      <c r="K1315" s="3">
        <v>7000</v>
      </c>
      <c r="L1315" s="3">
        <v>56000</v>
      </c>
      <c r="M1315" s="3">
        <v>16240</v>
      </c>
      <c r="N1315" s="4">
        <v>0.22480620155038761</v>
      </c>
    </row>
    <row r="1316" spans="1:14" x14ac:dyDescent="0.3">
      <c r="A1316" s="6">
        <v>45752</v>
      </c>
      <c r="B1316" s="1" t="s">
        <v>1500</v>
      </c>
      <c r="C1316" s="1" t="s">
        <v>28</v>
      </c>
      <c r="D1316" t="s">
        <v>34</v>
      </c>
      <c r="E1316" t="s">
        <v>236</v>
      </c>
      <c r="F1316" t="s">
        <v>14</v>
      </c>
      <c r="G1316" t="s">
        <v>15</v>
      </c>
      <c r="H1316" s="3">
        <v>5</v>
      </c>
      <c r="I1316" s="3">
        <v>65250</v>
      </c>
      <c r="J1316" s="3">
        <v>326250</v>
      </c>
      <c r="K1316" s="3">
        <v>45000</v>
      </c>
      <c r="L1316" s="3">
        <v>225000</v>
      </c>
      <c r="M1316" s="3">
        <v>101250</v>
      </c>
      <c r="N1316" s="4">
        <v>0.31034482758620691</v>
      </c>
    </row>
    <row r="1317" spans="1:14" x14ac:dyDescent="0.3">
      <c r="A1317" s="6">
        <v>45752</v>
      </c>
      <c r="B1317" s="1" t="s">
        <v>1501</v>
      </c>
      <c r="C1317" s="1" t="s">
        <v>27</v>
      </c>
      <c r="D1317" t="s">
        <v>34</v>
      </c>
      <c r="E1317" t="s">
        <v>206</v>
      </c>
      <c r="F1317" t="s">
        <v>23</v>
      </c>
      <c r="G1317" t="s">
        <v>25</v>
      </c>
      <c r="H1317" s="3">
        <v>10</v>
      </c>
      <c r="I1317" s="3">
        <v>3872</v>
      </c>
      <c r="J1317" s="3">
        <v>38720</v>
      </c>
      <c r="K1317" s="3">
        <v>3200</v>
      </c>
      <c r="L1317" s="3">
        <v>32000</v>
      </c>
      <c r="M1317" s="3">
        <v>6720</v>
      </c>
      <c r="N1317" s="4">
        <v>0.17355371900826447</v>
      </c>
    </row>
    <row r="1318" spans="1:14" x14ac:dyDescent="0.3">
      <c r="A1318" s="6">
        <v>45752</v>
      </c>
      <c r="B1318" s="1" t="s">
        <v>1502</v>
      </c>
      <c r="C1318" s="1" t="s">
        <v>27</v>
      </c>
      <c r="D1318" t="s">
        <v>30</v>
      </c>
      <c r="E1318" t="s">
        <v>427</v>
      </c>
      <c r="F1318" t="s">
        <v>23</v>
      </c>
      <c r="G1318" t="s">
        <v>25</v>
      </c>
      <c r="H1318" s="3">
        <v>9</v>
      </c>
      <c r="I1318" s="3">
        <v>3840</v>
      </c>
      <c r="J1318" s="3">
        <v>34560</v>
      </c>
      <c r="K1318" s="3">
        <v>3200</v>
      </c>
      <c r="L1318" s="3">
        <v>28800</v>
      </c>
      <c r="M1318" s="3">
        <v>5760</v>
      </c>
      <c r="N1318" s="4">
        <v>0.16666666666666666</v>
      </c>
    </row>
    <row r="1319" spans="1:14" x14ac:dyDescent="0.3">
      <c r="A1319" s="6">
        <v>45752</v>
      </c>
      <c r="B1319" s="1" t="s">
        <v>1503</v>
      </c>
      <c r="C1319" s="1" t="s">
        <v>29</v>
      </c>
      <c r="D1319" t="s">
        <v>35</v>
      </c>
      <c r="E1319" t="s">
        <v>108</v>
      </c>
      <c r="F1319" t="s">
        <v>23</v>
      </c>
      <c r="G1319" t="s">
        <v>25</v>
      </c>
      <c r="H1319" s="3">
        <v>7</v>
      </c>
      <c r="I1319" s="3">
        <v>3936</v>
      </c>
      <c r="J1319" s="3">
        <v>27552</v>
      </c>
      <c r="K1319" s="3">
        <v>3200</v>
      </c>
      <c r="L1319" s="3">
        <v>22400</v>
      </c>
      <c r="M1319" s="3">
        <v>5152</v>
      </c>
      <c r="N1319" s="4">
        <v>0.18699186991869918</v>
      </c>
    </row>
    <row r="1320" spans="1:14" x14ac:dyDescent="0.3">
      <c r="A1320" s="6">
        <v>45752</v>
      </c>
      <c r="B1320" s="1" t="s">
        <v>1504</v>
      </c>
      <c r="C1320" s="1" t="s">
        <v>29</v>
      </c>
      <c r="D1320" t="s">
        <v>31</v>
      </c>
      <c r="E1320" t="s">
        <v>104</v>
      </c>
      <c r="F1320" t="s">
        <v>17</v>
      </c>
      <c r="G1320" t="s">
        <v>18</v>
      </c>
      <c r="H1320" s="3">
        <v>2</v>
      </c>
      <c r="I1320" s="3">
        <v>12240</v>
      </c>
      <c r="J1320" s="3">
        <v>24480</v>
      </c>
      <c r="K1320" s="3">
        <v>8500</v>
      </c>
      <c r="L1320" s="3">
        <v>17000</v>
      </c>
      <c r="M1320" s="3">
        <v>7480</v>
      </c>
      <c r="N1320" s="4">
        <v>0.30555555555555558</v>
      </c>
    </row>
    <row r="1321" spans="1:14" x14ac:dyDescent="0.3">
      <c r="A1321" s="6">
        <v>45752</v>
      </c>
      <c r="B1321" s="1" t="s">
        <v>1505</v>
      </c>
      <c r="C1321" s="1" t="s">
        <v>26</v>
      </c>
      <c r="D1321" t="s">
        <v>34</v>
      </c>
      <c r="E1321" t="s">
        <v>319</v>
      </c>
      <c r="F1321" t="s">
        <v>23</v>
      </c>
      <c r="G1321" t="s">
        <v>25</v>
      </c>
      <c r="H1321" s="3">
        <v>10</v>
      </c>
      <c r="I1321" s="3">
        <v>4448</v>
      </c>
      <c r="J1321" s="3">
        <v>44480</v>
      </c>
      <c r="K1321" s="3">
        <v>3200</v>
      </c>
      <c r="L1321" s="3">
        <v>32000</v>
      </c>
      <c r="M1321" s="3">
        <v>12480</v>
      </c>
      <c r="N1321" s="4">
        <v>0.2805755395683453</v>
      </c>
    </row>
    <row r="1322" spans="1:14" x14ac:dyDescent="0.3">
      <c r="A1322" s="6">
        <v>45752</v>
      </c>
      <c r="B1322" s="1" t="s">
        <v>1506</v>
      </c>
      <c r="C1322" s="1" t="s">
        <v>29</v>
      </c>
      <c r="D1322" t="s">
        <v>30</v>
      </c>
      <c r="E1322" t="s">
        <v>163</v>
      </c>
      <c r="F1322" t="s">
        <v>24</v>
      </c>
      <c r="G1322" t="s">
        <v>25</v>
      </c>
      <c r="H1322" s="3">
        <v>5</v>
      </c>
      <c r="I1322" s="3">
        <v>3125</v>
      </c>
      <c r="J1322" s="3">
        <v>15625</v>
      </c>
      <c r="K1322" s="3">
        <v>2500</v>
      </c>
      <c r="L1322" s="3">
        <v>12500</v>
      </c>
      <c r="M1322" s="3">
        <v>3125</v>
      </c>
      <c r="N1322" s="4">
        <v>0.2</v>
      </c>
    </row>
    <row r="1323" spans="1:14" x14ac:dyDescent="0.3">
      <c r="A1323" s="6">
        <v>45752</v>
      </c>
      <c r="B1323" s="1" t="s">
        <v>1507</v>
      </c>
      <c r="C1323" s="1" t="s">
        <v>29</v>
      </c>
      <c r="D1323" t="s">
        <v>34</v>
      </c>
      <c r="E1323" t="s">
        <v>582</v>
      </c>
      <c r="F1323" t="s">
        <v>19</v>
      </c>
      <c r="G1323" t="s">
        <v>20</v>
      </c>
      <c r="H1323" s="3">
        <v>10</v>
      </c>
      <c r="I1323" s="3">
        <v>1206</v>
      </c>
      <c r="J1323" s="3">
        <v>12060</v>
      </c>
      <c r="K1323" s="3">
        <v>900</v>
      </c>
      <c r="L1323" s="3">
        <v>9000</v>
      </c>
      <c r="M1323" s="3">
        <v>3060</v>
      </c>
      <c r="N1323" s="4">
        <v>0.2537313432835821</v>
      </c>
    </row>
    <row r="1324" spans="1:14" x14ac:dyDescent="0.3">
      <c r="A1324" s="6">
        <v>45752</v>
      </c>
      <c r="B1324" s="1" t="s">
        <v>1508</v>
      </c>
      <c r="C1324" s="1" t="s">
        <v>28</v>
      </c>
      <c r="D1324" t="s">
        <v>35</v>
      </c>
      <c r="E1324" t="s">
        <v>63</v>
      </c>
      <c r="F1324" t="s">
        <v>24</v>
      </c>
      <c r="G1324" t="s">
        <v>25</v>
      </c>
      <c r="H1324" s="3">
        <v>9</v>
      </c>
      <c r="I1324" s="3">
        <v>3075</v>
      </c>
      <c r="J1324" s="3">
        <v>27675</v>
      </c>
      <c r="K1324" s="3">
        <v>2500</v>
      </c>
      <c r="L1324" s="3">
        <v>22500</v>
      </c>
      <c r="M1324" s="3">
        <v>5175</v>
      </c>
      <c r="N1324" s="4">
        <v>0.18699186991869918</v>
      </c>
    </row>
    <row r="1325" spans="1:14" x14ac:dyDescent="0.3">
      <c r="A1325" s="6">
        <v>45752</v>
      </c>
      <c r="B1325" s="1" t="s">
        <v>1509</v>
      </c>
      <c r="C1325" s="1" t="s">
        <v>29</v>
      </c>
      <c r="D1325" t="s">
        <v>30</v>
      </c>
      <c r="E1325" t="s">
        <v>807</v>
      </c>
      <c r="F1325" t="s">
        <v>19</v>
      </c>
      <c r="G1325" t="s">
        <v>20</v>
      </c>
      <c r="H1325" s="3">
        <v>6</v>
      </c>
      <c r="I1325" s="3">
        <v>1161</v>
      </c>
      <c r="J1325" s="3">
        <v>6966</v>
      </c>
      <c r="K1325" s="3">
        <v>900</v>
      </c>
      <c r="L1325" s="3">
        <v>5400</v>
      </c>
      <c r="M1325" s="3">
        <v>1566</v>
      </c>
      <c r="N1325" s="4">
        <v>0.22480620155038761</v>
      </c>
    </row>
    <row r="1326" spans="1:14" x14ac:dyDescent="0.3">
      <c r="A1326" s="6">
        <v>45752</v>
      </c>
      <c r="B1326" s="1" t="s">
        <v>1510</v>
      </c>
      <c r="C1326" s="1" t="s">
        <v>28</v>
      </c>
      <c r="D1326" t="s">
        <v>34</v>
      </c>
      <c r="E1326" t="s">
        <v>120</v>
      </c>
      <c r="F1326" t="s">
        <v>22</v>
      </c>
      <c r="G1326" t="s">
        <v>18</v>
      </c>
      <c r="H1326" s="3">
        <v>6</v>
      </c>
      <c r="I1326" s="3">
        <v>9870</v>
      </c>
      <c r="J1326" s="3">
        <v>59220</v>
      </c>
      <c r="K1326" s="3">
        <v>7000</v>
      </c>
      <c r="L1326" s="3">
        <v>42000</v>
      </c>
      <c r="M1326" s="3">
        <v>17220</v>
      </c>
      <c r="N1326" s="4">
        <v>0.29078014184397161</v>
      </c>
    </row>
    <row r="1327" spans="1:14" x14ac:dyDescent="0.3">
      <c r="A1327" s="6">
        <v>45752</v>
      </c>
      <c r="B1327" s="1" t="s">
        <v>1511</v>
      </c>
      <c r="C1327" s="1" t="s">
        <v>28</v>
      </c>
      <c r="D1327" t="s">
        <v>33</v>
      </c>
      <c r="E1327" t="s">
        <v>92</v>
      </c>
      <c r="F1327" t="s">
        <v>24</v>
      </c>
      <c r="G1327" t="s">
        <v>25</v>
      </c>
      <c r="H1327" s="3">
        <v>1</v>
      </c>
      <c r="I1327" s="3">
        <v>3150</v>
      </c>
      <c r="J1327" s="3">
        <v>3150</v>
      </c>
      <c r="K1327" s="3">
        <v>2500</v>
      </c>
      <c r="L1327" s="3">
        <v>2500</v>
      </c>
      <c r="M1327" s="3">
        <v>650</v>
      </c>
      <c r="N1327" s="4">
        <v>0.20634920634920634</v>
      </c>
    </row>
    <row r="1328" spans="1:14" x14ac:dyDescent="0.3">
      <c r="A1328" s="6">
        <v>45752</v>
      </c>
      <c r="B1328" s="1" t="s">
        <v>1512</v>
      </c>
      <c r="C1328" s="1" t="s">
        <v>29</v>
      </c>
      <c r="D1328" t="s">
        <v>32</v>
      </c>
      <c r="E1328" t="s">
        <v>108</v>
      </c>
      <c r="F1328" t="s">
        <v>22</v>
      </c>
      <c r="G1328" t="s">
        <v>18</v>
      </c>
      <c r="H1328" s="3">
        <v>8</v>
      </c>
      <c r="I1328" s="3">
        <v>9240</v>
      </c>
      <c r="J1328" s="3">
        <v>73920</v>
      </c>
      <c r="K1328" s="3">
        <v>7000</v>
      </c>
      <c r="L1328" s="3">
        <v>56000</v>
      </c>
      <c r="M1328" s="3">
        <v>17920</v>
      </c>
      <c r="N1328" s="4">
        <v>0.24242424242424243</v>
      </c>
    </row>
    <row r="1329" spans="1:14" x14ac:dyDescent="0.3">
      <c r="A1329" s="6">
        <v>45752</v>
      </c>
      <c r="B1329" s="1" t="s">
        <v>1513</v>
      </c>
      <c r="C1329" s="1" t="s">
        <v>29</v>
      </c>
      <c r="D1329" t="s">
        <v>33</v>
      </c>
      <c r="E1329" t="s">
        <v>275</v>
      </c>
      <c r="F1329" t="s">
        <v>21</v>
      </c>
      <c r="G1329" t="s">
        <v>20</v>
      </c>
      <c r="H1329" s="3">
        <v>3</v>
      </c>
      <c r="I1329" s="3">
        <v>834.00000000000011</v>
      </c>
      <c r="J1329" s="3">
        <v>2502.0000000000005</v>
      </c>
      <c r="K1329" s="3">
        <v>600</v>
      </c>
      <c r="L1329" s="3">
        <v>1800</v>
      </c>
      <c r="M1329" s="3">
        <v>702.00000000000045</v>
      </c>
      <c r="N1329" s="4">
        <v>0.28057553956834547</v>
      </c>
    </row>
    <row r="1330" spans="1:14" x14ac:dyDescent="0.3">
      <c r="A1330" s="6">
        <v>45753</v>
      </c>
      <c r="B1330" s="1" t="s">
        <v>1514</v>
      </c>
      <c r="C1330" s="1" t="s">
        <v>28</v>
      </c>
      <c r="D1330" t="s">
        <v>35</v>
      </c>
      <c r="E1330" t="s">
        <v>283</v>
      </c>
      <c r="F1330" t="s">
        <v>19</v>
      </c>
      <c r="G1330" t="s">
        <v>20</v>
      </c>
      <c r="H1330" s="3">
        <v>10</v>
      </c>
      <c r="I1330" s="3">
        <v>1080</v>
      </c>
      <c r="J1330" s="3">
        <v>10800</v>
      </c>
      <c r="K1330" s="3">
        <v>900</v>
      </c>
      <c r="L1330" s="3">
        <v>9000</v>
      </c>
      <c r="M1330" s="3">
        <v>1800</v>
      </c>
      <c r="N1330" s="4">
        <v>0.16666666666666666</v>
      </c>
    </row>
    <row r="1331" spans="1:14" x14ac:dyDescent="0.3">
      <c r="A1331" s="6">
        <v>45753</v>
      </c>
      <c r="B1331" s="1" t="s">
        <v>1515</v>
      </c>
      <c r="C1331" s="1" t="s">
        <v>26</v>
      </c>
      <c r="D1331" t="s">
        <v>34</v>
      </c>
      <c r="E1331" t="s">
        <v>129</v>
      </c>
      <c r="F1331" t="s">
        <v>17</v>
      </c>
      <c r="G1331" t="s">
        <v>18</v>
      </c>
      <c r="H1331" s="3">
        <v>4</v>
      </c>
      <c r="I1331" s="3">
        <v>10965</v>
      </c>
      <c r="J1331" s="3">
        <v>43860</v>
      </c>
      <c r="K1331" s="3">
        <v>8500</v>
      </c>
      <c r="L1331" s="3">
        <v>34000</v>
      </c>
      <c r="M1331" s="3">
        <v>9860</v>
      </c>
      <c r="N1331" s="4">
        <v>0.22480620155038761</v>
      </c>
    </row>
    <row r="1332" spans="1:14" x14ac:dyDescent="0.3">
      <c r="A1332" s="6">
        <v>45753</v>
      </c>
      <c r="B1332" s="1" t="s">
        <v>1516</v>
      </c>
      <c r="C1332" s="1" t="s">
        <v>26</v>
      </c>
      <c r="D1332" t="s">
        <v>35</v>
      </c>
      <c r="E1332" t="s">
        <v>935</v>
      </c>
      <c r="F1332" t="s">
        <v>16</v>
      </c>
      <c r="G1332" t="s">
        <v>15</v>
      </c>
      <c r="H1332" s="3">
        <v>8</v>
      </c>
      <c r="I1332" s="3">
        <v>49400</v>
      </c>
      <c r="J1332" s="3">
        <v>395200</v>
      </c>
      <c r="K1332" s="3">
        <v>38000</v>
      </c>
      <c r="L1332" s="3">
        <v>304000</v>
      </c>
      <c r="M1332" s="3">
        <v>91200</v>
      </c>
      <c r="N1332" s="4">
        <v>0.23076923076923078</v>
      </c>
    </row>
    <row r="1333" spans="1:14" x14ac:dyDescent="0.3">
      <c r="A1333" s="6">
        <v>45753</v>
      </c>
      <c r="B1333" s="1" t="s">
        <v>1517</v>
      </c>
      <c r="C1333" s="1" t="s">
        <v>26</v>
      </c>
      <c r="D1333" t="s">
        <v>34</v>
      </c>
      <c r="E1333" t="s">
        <v>122</v>
      </c>
      <c r="F1333" t="s">
        <v>24</v>
      </c>
      <c r="G1333" t="s">
        <v>25</v>
      </c>
      <c r="H1333" s="3">
        <v>2</v>
      </c>
      <c r="I1333" s="3">
        <v>3425.0000000000005</v>
      </c>
      <c r="J1333" s="3">
        <v>6850.0000000000009</v>
      </c>
      <c r="K1333" s="3">
        <v>2500</v>
      </c>
      <c r="L1333" s="3">
        <v>5000</v>
      </c>
      <c r="M1333" s="3">
        <v>1850.0000000000009</v>
      </c>
      <c r="N1333" s="4">
        <v>0.27007299270073004</v>
      </c>
    </row>
    <row r="1334" spans="1:14" x14ac:dyDescent="0.3">
      <c r="A1334" s="6">
        <v>45753</v>
      </c>
      <c r="B1334" s="1" t="s">
        <v>1518</v>
      </c>
      <c r="C1334" s="1" t="s">
        <v>28</v>
      </c>
      <c r="D1334" t="s">
        <v>33</v>
      </c>
      <c r="E1334" t="s">
        <v>55</v>
      </c>
      <c r="F1334" t="s">
        <v>24</v>
      </c>
      <c r="G1334" t="s">
        <v>25</v>
      </c>
      <c r="H1334" s="3">
        <v>2</v>
      </c>
      <c r="I1334" s="3">
        <v>3300</v>
      </c>
      <c r="J1334" s="3">
        <v>6600</v>
      </c>
      <c r="K1334" s="3">
        <v>2500</v>
      </c>
      <c r="L1334" s="3">
        <v>5000</v>
      </c>
      <c r="M1334" s="3">
        <v>1600</v>
      </c>
      <c r="N1334" s="4">
        <v>0.24242424242424243</v>
      </c>
    </row>
    <row r="1335" spans="1:14" x14ac:dyDescent="0.3">
      <c r="A1335" s="6">
        <v>45753</v>
      </c>
      <c r="B1335" s="1" t="s">
        <v>1519</v>
      </c>
      <c r="C1335" s="1" t="s">
        <v>29</v>
      </c>
      <c r="D1335" t="s">
        <v>31</v>
      </c>
      <c r="E1335" t="s">
        <v>145</v>
      </c>
      <c r="F1335" t="s">
        <v>21</v>
      </c>
      <c r="G1335" t="s">
        <v>20</v>
      </c>
      <c r="H1335" s="3">
        <v>10</v>
      </c>
      <c r="I1335" s="3">
        <v>846</v>
      </c>
      <c r="J1335" s="3">
        <v>8460</v>
      </c>
      <c r="K1335" s="3">
        <v>600</v>
      </c>
      <c r="L1335" s="3">
        <v>6000</v>
      </c>
      <c r="M1335" s="3">
        <v>2460</v>
      </c>
      <c r="N1335" s="4">
        <v>0.29078014184397161</v>
      </c>
    </row>
    <row r="1336" spans="1:14" x14ac:dyDescent="0.3">
      <c r="A1336" s="6">
        <v>45753</v>
      </c>
      <c r="B1336" s="1" t="s">
        <v>1520</v>
      </c>
      <c r="C1336" s="1" t="s">
        <v>27</v>
      </c>
      <c r="D1336" t="s">
        <v>30</v>
      </c>
      <c r="E1336" t="s">
        <v>236</v>
      </c>
      <c r="F1336" t="s">
        <v>17</v>
      </c>
      <c r="G1336" t="s">
        <v>18</v>
      </c>
      <c r="H1336" s="3">
        <v>4</v>
      </c>
      <c r="I1336" s="3">
        <v>11645</v>
      </c>
      <c r="J1336" s="3">
        <v>46580</v>
      </c>
      <c r="K1336" s="3">
        <v>8500</v>
      </c>
      <c r="L1336" s="3">
        <v>34000</v>
      </c>
      <c r="M1336" s="3">
        <v>12580</v>
      </c>
      <c r="N1336" s="4">
        <v>0.27007299270072993</v>
      </c>
    </row>
    <row r="1337" spans="1:14" x14ac:dyDescent="0.3">
      <c r="A1337" s="6">
        <v>45753</v>
      </c>
      <c r="B1337" s="1" t="s">
        <v>1521</v>
      </c>
      <c r="C1337" s="1" t="s">
        <v>26</v>
      </c>
      <c r="D1337" t="s">
        <v>30</v>
      </c>
      <c r="E1337" t="s">
        <v>218</v>
      </c>
      <c r="F1337" t="s">
        <v>22</v>
      </c>
      <c r="G1337" t="s">
        <v>18</v>
      </c>
      <c r="H1337" s="3">
        <v>4</v>
      </c>
      <c r="I1337" s="3">
        <v>10010</v>
      </c>
      <c r="J1337" s="3">
        <v>40040</v>
      </c>
      <c r="K1337" s="3">
        <v>7000</v>
      </c>
      <c r="L1337" s="3">
        <v>28000</v>
      </c>
      <c r="M1337" s="3">
        <v>12040</v>
      </c>
      <c r="N1337" s="4">
        <v>0.30069930069930068</v>
      </c>
    </row>
    <row r="1338" spans="1:14" x14ac:dyDescent="0.3">
      <c r="A1338" s="6">
        <v>45753</v>
      </c>
      <c r="B1338" s="1" t="s">
        <v>1522</v>
      </c>
      <c r="C1338" s="1" t="s">
        <v>27</v>
      </c>
      <c r="D1338" t="s">
        <v>35</v>
      </c>
      <c r="E1338" t="s">
        <v>108</v>
      </c>
      <c r="F1338" t="s">
        <v>14</v>
      </c>
      <c r="G1338" t="s">
        <v>15</v>
      </c>
      <c r="H1338" s="3">
        <v>4</v>
      </c>
      <c r="I1338" s="3">
        <v>62999.999999999993</v>
      </c>
      <c r="J1338" s="3">
        <v>251999.99999999997</v>
      </c>
      <c r="K1338" s="3">
        <v>45000</v>
      </c>
      <c r="L1338" s="3">
        <v>180000</v>
      </c>
      <c r="M1338" s="3">
        <v>71999.999999999971</v>
      </c>
      <c r="N1338" s="4">
        <v>0.28571428571428564</v>
      </c>
    </row>
    <row r="1339" spans="1:14" x14ac:dyDescent="0.3">
      <c r="A1339" s="6">
        <v>45753</v>
      </c>
      <c r="B1339" s="1" t="s">
        <v>1523</v>
      </c>
      <c r="C1339" s="1" t="s">
        <v>26</v>
      </c>
      <c r="D1339" t="s">
        <v>31</v>
      </c>
      <c r="E1339" t="s">
        <v>283</v>
      </c>
      <c r="F1339" t="s">
        <v>22</v>
      </c>
      <c r="G1339" t="s">
        <v>18</v>
      </c>
      <c r="H1339" s="3">
        <v>9</v>
      </c>
      <c r="I1339" s="3">
        <v>9310</v>
      </c>
      <c r="J1339" s="3">
        <v>83790</v>
      </c>
      <c r="K1339" s="3">
        <v>7000</v>
      </c>
      <c r="L1339" s="3">
        <v>63000</v>
      </c>
      <c r="M1339" s="3">
        <v>20790</v>
      </c>
      <c r="N1339" s="4">
        <v>0.24812030075187969</v>
      </c>
    </row>
    <row r="1340" spans="1:14" x14ac:dyDescent="0.3">
      <c r="A1340" s="6">
        <v>45753</v>
      </c>
      <c r="B1340" s="1" t="s">
        <v>1524</v>
      </c>
      <c r="C1340" s="1" t="s">
        <v>28</v>
      </c>
      <c r="D1340" t="s">
        <v>31</v>
      </c>
      <c r="E1340" t="s">
        <v>228</v>
      </c>
      <c r="F1340" t="s">
        <v>17</v>
      </c>
      <c r="G1340" t="s">
        <v>18</v>
      </c>
      <c r="H1340" s="3">
        <v>4</v>
      </c>
      <c r="I1340" s="3">
        <v>11050</v>
      </c>
      <c r="J1340" s="3">
        <v>44200</v>
      </c>
      <c r="K1340" s="3">
        <v>8500</v>
      </c>
      <c r="L1340" s="3">
        <v>34000</v>
      </c>
      <c r="M1340" s="3">
        <v>10200</v>
      </c>
      <c r="N1340" s="4">
        <v>0.23076923076923078</v>
      </c>
    </row>
    <row r="1341" spans="1:14" x14ac:dyDescent="0.3">
      <c r="A1341" s="6">
        <v>45753</v>
      </c>
      <c r="B1341" s="1" t="s">
        <v>1525</v>
      </c>
      <c r="C1341" s="1" t="s">
        <v>29</v>
      </c>
      <c r="D1341" t="s">
        <v>35</v>
      </c>
      <c r="E1341" t="s">
        <v>169</v>
      </c>
      <c r="F1341" t="s">
        <v>21</v>
      </c>
      <c r="G1341" t="s">
        <v>20</v>
      </c>
      <c r="H1341" s="3">
        <v>4</v>
      </c>
      <c r="I1341" s="3">
        <v>726</v>
      </c>
      <c r="J1341" s="3">
        <v>2904</v>
      </c>
      <c r="K1341" s="3">
        <v>600</v>
      </c>
      <c r="L1341" s="3">
        <v>2400</v>
      </c>
      <c r="M1341" s="3">
        <v>504</v>
      </c>
      <c r="N1341" s="4">
        <v>0.17355371900826447</v>
      </c>
    </row>
    <row r="1342" spans="1:14" x14ac:dyDescent="0.3">
      <c r="A1342" s="6">
        <v>45753</v>
      </c>
      <c r="B1342" s="1" t="s">
        <v>1526</v>
      </c>
      <c r="C1342" s="1" t="s">
        <v>28</v>
      </c>
      <c r="D1342" t="s">
        <v>32</v>
      </c>
      <c r="E1342" t="s">
        <v>124</v>
      </c>
      <c r="F1342" t="s">
        <v>19</v>
      </c>
      <c r="G1342" t="s">
        <v>20</v>
      </c>
      <c r="H1342" s="3">
        <v>2</v>
      </c>
      <c r="I1342" s="3">
        <v>1233</v>
      </c>
      <c r="J1342" s="3">
        <v>2466</v>
      </c>
      <c r="K1342" s="3">
        <v>900</v>
      </c>
      <c r="L1342" s="3">
        <v>1800</v>
      </c>
      <c r="M1342" s="3">
        <v>666</v>
      </c>
      <c r="N1342" s="4">
        <v>0.27007299270072993</v>
      </c>
    </row>
    <row r="1343" spans="1:14" x14ac:dyDescent="0.3">
      <c r="A1343" s="6">
        <v>45753</v>
      </c>
      <c r="B1343" s="1" t="s">
        <v>1527</v>
      </c>
      <c r="C1343" s="1" t="s">
        <v>27</v>
      </c>
      <c r="D1343" t="s">
        <v>31</v>
      </c>
      <c r="E1343" t="s">
        <v>327</v>
      </c>
      <c r="F1343" t="s">
        <v>16</v>
      </c>
      <c r="G1343" t="s">
        <v>15</v>
      </c>
      <c r="H1343" s="3">
        <v>7</v>
      </c>
      <c r="I1343" s="3">
        <v>49020</v>
      </c>
      <c r="J1343" s="3">
        <v>343140</v>
      </c>
      <c r="K1343" s="3">
        <v>38000</v>
      </c>
      <c r="L1343" s="3">
        <v>266000</v>
      </c>
      <c r="M1343" s="3">
        <v>77140</v>
      </c>
      <c r="N1343" s="4">
        <v>0.22480620155038761</v>
      </c>
    </row>
    <row r="1344" spans="1:14" x14ac:dyDescent="0.3">
      <c r="A1344" s="6">
        <v>45754</v>
      </c>
      <c r="B1344" s="1" t="s">
        <v>1528</v>
      </c>
      <c r="C1344" s="1" t="s">
        <v>29</v>
      </c>
      <c r="D1344" t="s">
        <v>30</v>
      </c>
      <c r="E1344" t="s">
        <v>357</v>
      </c>
      <c r="F1344" t="s">
        <v>21</v>
      </c>
      <c r="G1344" t="s">
        <v>20</v>
      </c>
      <c r="H1344" s="3">
        <v>10</v>
      </c>
      <c r="I1344" s="3">
        <v>780</v>
      </c>
      <c r="J1344" s="3">
        <v>7800</v>
      </c>
      <c r="K1344" s="3">
        <v>600</v>
      </c>
      <c r="L1344" s="3">
        <v>6000</v>
      </c>
      <c r="M1344" s="3">
        <v>1800</v>
      </c>
      <c r="N1344" s="4">
        <v>0.23076923076923078</v>
      </c>
    </row>
    <row r="1345" spans="1:14" x14ac:dyDescent="0.3">
      <c r="A1345" s="6">
        <v>45754</v>
      </c>
      <c r="B1345" s="1" t="s">
        <v>1529</v>
      </c>
      <c r="C1345" s="1" t="s">
        <v>26</v>
      </c>
      <c r="D1345" t="s">
        <v>33</v>
      </c>
      <c r="E1345" t="s">
        <v>388</v>
      </c>
      <c r="F1345" t="s">
        <v>24</v>
      </c>
      <c r="G1345" t="s">
        <v>25</v>
      </c>
      <c r="H1345" s="3">
        <v>2</v>
      </c>
      <c r="I1345" s="3">
        <v>3449.9999999999995</v>
      </c>
      <c r="J1345" s="3">
        <v>6899.9999999999991</v>
      </c>
      <c r="K1345" s="3">
        <v>2500</v>
      </c>
      <c r="L1345" s="3">
        <v>5000</v>
      </c>
      <c r="M1345" s="3">
        <v>1899.9999999999991</v>
      </c>
      <c r="N1345" s="4">
        <v>0.2753623188405796</v>
      </c>
    </row>
    <row r="1346" spans="1:14" x14ac:dyDescent="0.3">
      <c r="A1346" s="6">
        <v>45754</v>
      </c>
      <c r="B1346" s="1" t="s">
        <v>1530</v>
      </c>
      <c r="C1346" s="1" t="s">
        <v>28</v>
      </c>
      <c r="D1346" t="s">
        <v>35</v>
      </c>
      <c r="E1346" t="s">
        <v>306</v>
      </c>
      <c r="F1346" t="s">
        <v>14</v>
      </c>
      <c r="G1346" t="s">
        <v>15</v>
      </c>
      <c r="H1346" s="3">
        <v>8</v>
      </c>
      <c r="I1346" s="3">
        <v>58950</v>
      </c>
      <c r="J1346" s="3">
        <v>471600</v>
      </c>
      <c r="K1346" s="3">
        <v>45000</v>
      </c>
      <c r="L1346" s="3">
        <v>360000</v>
      </c>
      <c r="M1346" s="3">
        <v>111600</v>
      </c>
      <c r="N1346" s="4">
        <v>0.23664122137404581</v>
      </c>
    </row>
    <row r="1347" spans="1:14" x14ac:dyDescent="0.3">
      <c r="A1347" s="6">
        <v>45754</v>
      </c>
      <c r="B1347" s="1" t="s">
        <v>1531</v>
      </c>
      <c r="C1347" s="1" t="s">
        <v>29</v>
      </c>
      <c r="D1347" t="s">
        <v>34</v>
      </c>
      <c r="E1347" t="s">
        <v>431</v>
      </c>
      <c r="F1347" t="s">
        <v>22</v>
      </c>
      <c r="G1347" t="s">
        <v>18</v>
      </c>
      <c r="H1347" s="3">
        <v>8</v>
      </c>
      <c r="I1347" s="3">
        <v>8470</v>
      </c>
      <c r="J1347" s="3">
        <v>67760</v>
      </c>
      <c r="K1347" s="3">
        <v>7000</v>
      </c>
      <c r="L1347" s="3">
        <v>56000</v>
      </c>
      <c r="M1347" s="3">
        <v>11760</v>
      </c>
      <c r="N1347" s="4">
        <v>0.17355371900826447</v>
      </c>
    </row>
    <row r="1348" spans="1:14" x14ac:dyDescent="0.3">
      <c r="A1348" s="6">
        <v>45754</v>
      </c>
      <c r="B1348" s="1" t="s">
        <v>1532</v>
      </c>
      <c r="C1348" s="1" t="s">
        <v>27</v>
      </c>
      <c r="D1348" t="s">
        <v>33</v>
      </c>
      <c r="E1348" t="s">
        <v>166</v>
      </c>
      <c r="F1348" t="s">
        <v>14</v>
      </c>
      <c r="G1348" t="s">
        <v>15</v>
      </c>
      <c r="H1348" s="3">
        <v>8</v>
      </c>
      <c r="I1348" s="3">
        <v>54900</v>
      </c>
      <c r="J1348" s="3">
        <v>439200</v>
      </c>
      <c r="K1348" s="3">
        <v>45000</v>
      </c>
      <c r="L1348" s="3">
        <v>360000</v>
      </c>
      <c r="M1348" s="3">
        <v>79200</v>
      </c>
      <c r="N1348" s="4">
        <v>0.18032786885245902</v>
      </c>
    </row>
    <row r="1349" spans="1:14" x14ac:dyDescent="0.3">
      <c r="A1349" s="6">
        <v>45754</v>
      </c>
      <c r="B1349" s="1" t="s">
        <v>1533</v>
      </c>
      <c r="C1349" s="1" t="s">
        <v>28</v>
      </c>
      <c r="D1349" t="s">
        <v>33</v>
      </c>
      <c r="E1349" t="s">
        <v>807</v>
      </c>
      <c r="F1349" t="s">
        <v>17</v>
      </c>
      <c r="G1349" t="s">
        <v>18</v>
      </c>
      <c r="H1349" s="3">
        <v>10</v>
      </c>
      <c r="I1349" s="3">
        <v>12240</v>
      </c>
      <c r="J1349" s="3">
        <v>122400</v>
      </c>
      <c r="K1349" s="3">
        <v>8500</v>
      </c>
      <c r="L1349" s="3">
        <v>85000</v>
      </c>
      <c r="M1349" s="3">
        <v>37400</v>
      </c>
      <c r="N1349" s="4">
        <v>0.30555555555555558</v>
      </c>
    </row>
    <row r="1350" spans="1:14" x14ac:dyDescent="0.3">
      <c r="A1350" s="6">
        <v>45754</v>
      </c>
      <c r="B1350" s="1" t="s">
        <v>1534</v>
      </c>
      <c r="C1350" s="1" t="s">
        <v>26</v>
      </c>
      <c r="D1350" t="s">
        <v>31</v>
      </c>
      <c r="E1350" t="s">
        <v>129</v>
      </c>
      <c r="F1350" t="s">
        <v>19</v>
      </c>
      <c r="G1350" t="s">
        <v>20</v>
      </c>
      <c r="H1350" s="3">
        <v>8</v>
      </c>
      <c r="I1350" s="3">
        <v>1116</v>
      </c>
      <c r="J1350" s="3">
        <v>8928</v>
      </c>
      <c r="K1350" s="3">
        <v>900</v>
      </c>
      <c r="L1350" s="3">
        <v>7200</v>
      </c>
      <c r="M1350" s="3">
        <v>1728</v>
      </c>
      <c r="N1350" s="4">
        <v>0.19354838709677419</v>
      </c>
    </row>
    <row r="1351" spans="1:14" x14ac:dyDescent="0.3">
      <c r="A1351" s="6">
        <v>45754</v>
      </c>
      <c r="B1351" s="1" t="s">
        <v>1535</v>
      </c>
      <c r="C1351" s="1" t="s">
        <v>29</v>
      </c>
      <c r="D1351" t="s">
        <v>34</v>
      </c>
      <c r="E1351" t="s">
        <v>69</v>
      </c>
      <c r="F1351" t="s">
        <v>17</v>
      </c>
      <c r="G1351" t="s">
        <v>18</v>
      </c>
      <c r="H1351" s="3">
        <v>5</v>
      </c>
      <c r="I1351" s="3">
        <v>10880</v>
      </c>
      <c r="J1351" s="3">
        <v>54400</v>
      </c>
      <c r="K1351" s="3">
        <v>8500</v>
      </c>
      <c r="L1351" s="3">
        <v>42500</v>
      </c>
      <c r="M1351" s="3">
        <v>11900</v>
      </c>
      <c r="N1351" s="4">
        <v>0.21875</v>
      </c>
    </row>
    <row r="1352" spans="1:14" x14ac:dyDescent="0.3">
      <c r="A1352" s="6">
        <v>45754</v>
      </c>
      <c r="B1352" s="1" t="s">
        <v>1536</v>
      </c>
      <c r="C1352" s="1" t="s">
        <v>29</v>
      </c>
      <c r="D1352" t="s">
        <v>30</v>
      </c>
      <c r="E1352" t="s">
        <v>228</v>
      </c>
      <c r="F1352" t="s">
        <v>24</v>
      </c>
      <c r="G1352" t="s">
        <v>25</v>
      </c>
      <c r="H1352" s="3">
        <v>2</v>
      </c>
      <c r="I1352" s="3">
        <v>3449.9999999999995</v>
      </c>
      <c r="J1352" s="3">
        <v>6899.9999999999991</v>
      </c>
      <c r="K1352" s="3">
        <v>2500</v>
      </c>
      <c r="L1352" s="3">
        <v>5000</v>
      </c>
      <c r="M1352" s="3">
        <v>1899.9999999999991</v>
      </c>
      <c r="N1352" s="4">
        <v>0.2753623188405796</v>
      </c>
    </row>
    <row r="1353" spans="1:14" x14ac:dyDescent="0.3">
      <c r="A1353" s="6">
        <v>45754</v>
      </c>
      <c r="B1353" s="1" t="s">
        <v>1537</v>
      </c>
      <c r="C1353" s="1" t="s">
        <v>27</v>
      </c>
      <c r="D1353" t="s">
        <v>32</v>
      </c>
      <c r="E1353" t="s">
        <v>104</v>
      </c>
      <c r="F1353" t="s">
        <v>22</v>
      </c>
      <c r="G1353" t="s">
        <v>18</v>
      </c>
      <c r="H1353" s="3">
        <v>5</v>
      </c>
      <c r="I1353" s="3">
        <v>9450</v>
      </c>
      <c r="J1353" s="3">
        <v>47250</v>
      </c>
      <c r="K1353" s="3">
        <v>7000</v>
      </c>
      <c r="L1353" s="3">
        <v>35000</v>
      </c>
      <c r="M1353" s="3">
        <v>12250</v>
      </c>
      <c r="N1353" s="4">
        <v>0.25925925925925924</v>
      </c>
    </row>
    <row r="1354" spans="1:14" x14ac:dyDescent="0.3">
      <c r="A1354" s="6">
        <v>45754</v>
      </c>
      <c r="B1354" s="1" t="s">
        <v>1538</v>
      </c>
      <c r="C1354" s="1" t="s">
        <v>26</v>
      </c>
      <c r="D1354" t="s">
        <v>31</v>
      </c>
      <c r="E1354" t="s">
        <v>149</v>
      </c>
      <c r="F1354" t="s">
        <v>22</v>
      </c>
      <c r="G1354" t="s">
        <v>18</v>
      </c>
      <c r="H1354" s="3">
        <v>10</v>
      </c>
      <c r="I1354" s="3">
        <v>9870</v>
      </c>
      <c r="J1354" s="3">
        <v>98700</v>
      </c>
      <c r="K1354" s="3">
        <v>7000</v>
      </c>
      <c r="L1354" s="3">
        <v>70000</v>
      </c>
      <c r="M1354" s="3">
        <v>28700</v>
      </c>
      <c r="N1354" s="4">
        <v>0.29078014184397161</v>
      </c>
    </row>
    <row r="1355" spans="1:14" x14ac:dyDescent="0.3">
      <c r="A1355" s="6">
        <v>45754</v>
      </c>
      <c r="B1355" s="1" t="s">
        <v>1539</v>
      </c>
      <c r="C1355" s="1" t="s">
        <v>29</v>
      </c>
      <c r="D1355" t="s">
        <v>33</v>
      </c>
      <c r="E1355" t="s">
        <v>304</v>
      </c>
      <c r="F1355" t="s">
        <v>24</v>
      </c>
      <c r="G1355" t="s">
        <v>25</v>
      </c>
      <c r="H1355" s="3">
        <v>7</v>
      </c>
      <c r="I1355" s="3">
        <v>3025</v>
      </c>
      <c r="J1355" s="3">
        <v>21175</v>
      </c>
      <c r="K1355" s="3">
        <v>2500</v>
      </c>
      <c r="L1355" s="3">
        <v>17500</v>
      </c>
      <c r="M1355" s="3">
        <v>3675</v>
      </c>
      <c r="N1355" s="4">
        <v>0.17355371900826447</v>
      </c>
    </row>
    <row r="1356" spans="1:14" x14ac:dyDescent="0.3">
      <c r="A1356" s="6">
        <v>45754</v>
      </c>
      <c r="B1356" s="1" t="s">
        <v>1540</v>
      </c>
      <c r="C1356" s="1" t="s">
        <v>29</v>
      </c>
      <c r="D1356" t="s">
        <v>32</v>
      </c>
      <c r="E1356" t="s">
        <v>436</v>
      </c>
      <c r="F1356" t="s">
        <v>21</v>
      </c>
      <c r="G1356" t="s">
        <v>20</v>
      </c>
      <c r="H1356" s="3">
        <v>7</v>
      </c>
      <c r="I1356" s="3">
        <v>815.99999999999989</v>
      </c>
      <c r="J1356" s="3">
        <v>5711.9999999999991</v>
      </c>
      <c r="K1356" s="3">
        <v>600</v>
      </c>
      <c r="L1356" s="3">
        <v>4200</v>
      </c>
      <c r="M1356" s="3">
        <v>1511.9999999999991</v>
      </c>
      <c r="N1356" s="4">
        <v>0.26470588235294107</v>
      </c>
    </row>
    <row r="1357" spans="1:14" x14ac:dyDescent="0.3">
      <c r="A1357" s="6">
        <v>45754</v>
      </c>
      <c r="B1357" s="1" t="s">
        <v>1541</v>
      </c>
      <c r="C1357" s="1" t="s">
        <v>28</v>
      </c>
      <c r="D1357" t="s">
        <v>32</v>
      </c>
      <c r="E1357" t="s">
        <v>280</v>
      </c>
      <c r="F1357" t="s">
        <v>21</v>
      </c>
      <c r="G1357" t="s">
        <v>20</v>
      </c>
      <c r="H1357" s="3">
        <v>5</v>
      </c>
      <c r="I1357" s="3">
        <v>822.00000000000011</v>
      </c>
      <c r="J1357" s="3">
        <v>4110.0000000000009</v>
      </c>
      <c r="K1357" s="3">
        <v>600</v>
      </c>
      <c r="L1357" s="3">
        <v>3000</v>
      </c>
      <c r="M1357" s="3">
        <v>1110.0000000000009</v>
      </c>
      <c r="N1357" s="4">
        <v>0.2700729927007301</v>
      </c>
    </row>
    <row r="1358" spans="1:14" x14ac:dyDescent="0.3">
      <c r="A1358" s="6">
        <v>45755</v>
      </c>
      <c r="B1358" s="1" t="s">
        <v>1542</v>
      </c>
      <c r="C1358" s="1" t="s">
        <v>27</v>
      </c>
      <c r="D1358" t="s">
        <v>35</v>
      </c>
      <c r="E1358" t="s">
        <v>166</v>
      </c>
      <c r="F1358" t="s">
        <v>21</v>
      </c>
      <c r="G1358" t="s">
        <v>20</v>
      </c>
      <c r="H1358" s="3">
        <v>2</v>
      </c>
      <c r="I1358" s="3">
        <v>798</v>
      </c>
      <c r="J1358" s="3">
        <v>1596</v>
      </c>
      <c r="K1358" s="3">
        <v>600</v>
      </c>
      <c r="L1358" s="3">
        <v>1200</v>
      </c>
      <c r="M1358" s="3">
        <v>396</v>
      </c>
      <c r="N1358" s="4">
        <v>0.24812030075187969</v>
      </c>
    </row>
    <row r="1359" spans="1:14" x14ac:dyDescent="0.3">
      <c r="A1359" s="6">
        <v>45755</v>
      </c>
      <c r="B1359" s="1" t="s">
        <v>1543</v>
      </c>
      <c r="C1359" s="1" t="s">
        <v>27</v>
      </c>
      <c r="D1359" t="s">
        <v>34</v>
      </c>
      <c r="E1359" t="s">
        <v>81</v>
      </c>
      <c r="F1359" t="s">
        <v>17</v>
      </c>
      <c r="G1359" t="s">
        <v>18</v>
      </c>
      <c r="H1359" s="3">
        <v>1</v>
      </c>
      <c r="I1359" s="3">
        <v>11559.999999999998</v>
      </c>
      <c r="J1359" s="3">
        <v>11559.999999999998</v>
      </c>
      <c r="K1359" s="3">
        <v>8500</v>
      </c>
      <c r="L1359" s="3">
        <v>8500</v>
      </c>
      <c r="M1359" s="3">
        <v>3059.9999999999982</v>
      </c>
      <c r="N1359" s="4">
        <v>0.26470588235294107</v>
      </c>
    </row>
    <row r="1360" spans="1:14" x14ac:dyDescent="0.3">
      <c r="A1360" s="6">
        <v>45755</v>
      </c>
      <c r="B1360" s="1" t="s">
        <v>1544</v>
      </c>
      <c r="C1360" s="1" t="s">
        <v>29</v>
      </c>
      <c r="D1360" t="s">
        <v>31</v>
      </c>
      <c r="E1360" t="s">
        <v>349</v>
      </c>
      <c r="F1360" t="s">
        <v>19</v>
      </c>
      <c r="G1360" t="s">
        <v>20</v>
      </c>
      <c r="H1360" s="3">
        <v>7</v>
      </c>
      <c r="I1360" s="3">
        <v>1251</v>
      </c>
      <c r="J1360" s="3">
        <v>8757</v>
      </c>
      <c r="K1360" s="3">
        <v>900</v>
      </c>
      <c r="L1360" s="3">
        <v>6300</v>
      </c>
      <c r="M1360" s="3">
        <v>2457</v>
      </c>
      <c r="N1360" s="4">
        <v>0.2805755395683453</v>
      </c>
    </row>
    <row r="1361" spans="1:14" x14ac:dyDescent="0.3">
      <c r="A1361" s="6">
        <v>45755</v>
      </c>
      <c r="B1361" s="1" t="s">
        <v>1545</v>
      </c>
      <c r="C1361" s="1" t="s">
        <v>29</v>
      </c>
      <c r="D1361" t="s">
        <v>34</v>
      </c>
      <c r="E1361" t="s">
        <v>100</v>
      </c>
      <c r="F1361" t="s">
        <v>22</v>
      </c>
      <c r="G1361" t="s">
        <v>18</v>
      </c>
      <c r="H1361" s="3">
        <v>1</v>
      </c>
      <c r="I1361" s="3">
        <v>9590</v>
      </c>
      <c r="J1361" s="3">
        <v>9590</v>
      </c>
      <c r="K1361" s="3">
        <v>7000</v>
      </c>
      <c r="L1361" s="3">
        <v>7000</v>
      </c>
      <c r="M1361" s="3">
        <v>2590</v>
      </c>
      <c r="N1361" s="4">
        <v>0.27007299270072993</v>
      </c>
    </row>
    <row r="1362" spans="1:14" x14ac:dyDescent="0.3">
      <c r="A1362" s="6">
        <v>45755</v>
      </c>
      <c r="B1362" s="1" t="s">
        <v>1546</v>
      </c>
      <c r="C1362" s="1" t="s">
        <v>27</v>
      </c>
      <c r="D1362" t="s">
        <v>34</v>
      </c>
      <c r="E1362" t="s">
        <v>175</v>
      </c>
      <c r="F1362" t="s">
        <v>23</v>
      </c>
      <c r="G1362" t="s">
        <v>25</v>
      </c>
      <c r="H1362" s="3">
        <v>6</v>
      </c>
      <c r="I1362" s="3">
        <v>4480</v>
      </c>
      <c r="J1362" s="3">
        <v>26880</v>
      </c>
      <c r="K1362" s="3">
        <v>3200</v>
      </c>
      <c r="L1362" s="3">
        <v>19200</v>
      </c>
      <c r="M1362" s="3">
        <v>7680</v>
      </c>
      <c r="N1362" s="4">
        <v>0.2857142857142857</v>
      </c>
    </row>
    <row r="1363" spans="1:14" x14ac:dyDescent="0.3">
      <c r="A1363" s="6">
        <v>45755</v>
      </c>
      <c r="B1363" s="1" t="s">
        <v>1547</v>
      </c>
      <c r="C1363" s="1" t="s">
        <v>27</v>
      </c>
      <c r="D1363" t="s">
        <v>32</v>
      </c>
      <c r="E1363" t="s">
        <v>331</v>
      </c>
      <c r="F1363" t="s">
        <v>23</v>
      </c>
      <c r="G1363" t="s">
        <v>25</v>
      </c>
      <c r="H1363" s="3">
        <v>2</v>
      </c>
      <c r="I1363" s="3">
        <v>4384</v>
      </c>
      <c r="J1363" s="3">
        <v>8768</v>
      </c>
      <c r="K1363" s="3">
        <v>3200</v>
      </c>
      <c r="L1363" s="3">
        <v>6400</v>
      </c>
      <c r="M1363" s="3">
        <v>2368</v>
      </c>
      <c r="N1363" s="4">
        <v>0.27007299270072993</v>
      </c>
    </row>
    <row r="1364" spans="1:14" x14ac:dyDescent="0.3">
      <c r="A1364" s="6">
        <v>45755</v>
      </c>
      <c r="B1364" s="1" t="s">
        <v>1548</v>
      </c>
      <c r="C1364" s="1" t="s">
        <v>29</v>
      </c>
      <c r="D1364" t="s">
        <v>30</v>
      </c>
      <c r="E1364" t="s">
        <v>155</v>
      </c>
      <c r="F1364" t="s">
        <v>14</v>
      </c>
      <c r="G1364" t="s">
        <v>15</v>
      </c>
      <c r="H1364" s="3">
        <v>8</v>
      </c>
      <c r="I1364" s="3">
        <v>63450</v>
      </c>
      <c r="J1364" s="3">
        <v>507600</v>
      </c>
      <c r="K1364" s="3">
        <v>45000</v>
      </c>
      <c r="L1364" s="3">
        <v>360000</v>
      </c>
      <c r="M1364" s="3">
        <v>147600</v>
      </c>
      <c r="N1364" s="4">
        <v>0.29078014184397161</v>
      </c>
    </row>
    <row r="1365" spans="1:14" x14ac:dyDescent="0.3">
      <c r="A1365" s="6">
        <v>45755</v>
      </c>
      <c r="B1365" s="1" t="s">
        <v>1549</v>
      </c>
      <c r="C1365" s="1" t="s">
        <v>28</v>
      </c>
      <c r="D1365" t="s">
        <v>32</v>
      </c>
      <c r="E1365" t="s">
        <v>43</v>
      </c>
      <c r="F1365" t="s">
        <v>21</v>
      </c>
      <c r="G1365" t="s">
        <v>20</v>
      </c>
      <c r="H1365" s="3">
        <v>2</v>
      </c>
      <c r="I1365" s="3">
        <v>870</v>
      </c>
      <c r="J1365" s="3">
        <v>1740</v>
      </c>
      <c r="K1365" s="3">
        <v>600</v>
      </c>
      <c r="L1365" s="3">
        <v>1200</v>
      </c>
      <c r="M1365" s="3">
        <v>540</v>
      </c>
      <c r="N1365" s="4">
        <v>0.31034482758620691</v>
      </c>
    </row>
    <row r="1366" spans="1:14" x14ac:dyDescent="0.3">
      <c r="A1366" s="6">
        <v>45755</v>
      </c>
      <c r="B1366" s="1" t="s">
        <v>1550</v>
      </c>
      <c r="C1366" s="1" t="s">
        <v>28</v>
      </c>
      <c r="D1366" t="s">
        <v>30</v>
      </c>
      <c r="E1366" t="s">
        <v>304</v>
      </c>
      <c r="F1366" t="s">
        <v>19</v>
      </c>
      <c r="G1366" t="s">
        <v>20</v>
      </c>
      <c r="H1366" s="3">
        <v>9</v>
      </c>
      <c r="I1366" s="3">
        <v>1170</v>
      </c>
      <c r="J1366" s="3">
        <v>10530</v>
      </c>
      <c r="K1366" s="3">
        <v>900</v>
      </c>
      <c r="L1366" s="3">
        <v>8100</v>
      </c>
      <c r="M1366" s="3">
        <v>2430</v>
      </c>
      <c r="N1366" s="4">
        <v>0.23076923076923078</v>
      </c>
    </row>
    <row r="1367" spans="1:14" x14ac:dyDescent="0.3">
      <c r="A1367" s="6">
        <v>45755</v>
      </c>
      <c r="B1367" s="1" t="s">
        <v>1551</v>
      </c>
      <c r="C1367" s="1" t="s">
        <v>26</v>
      </c>
      <c r="D1367" t="s">
        <v>32</v>
      </c>
      <c r="E1367" t="s">
        <v>365</v>
      </c>
      <c r="F1367" t="s">
        <v>23</v>
      </c>
      <c r="G1367" t="s">
        <v>25</v>
      </c>
      <c r="H1367" s="3">
        <v>4</v>
      </c>
      <c r="I1367" s="3">
        <v>4352</v>
      </c>
      <c r="J1367" s="3">
        <v>17408</v>
      </c>
      <c r="K1367" s="3">
        <v>3200</v>
      </c>
      <c r="L1367" s="3">
        <v>12800</v>
      </c>
      <c r="M1367" s="3">
        <v>4608</v>
      </c>
      <c r="N1367" s="4">
        <v>0.26470588235294118</v>
      </c>
    </row>
    <row r="1368" spans="1:14" x14ac:dyDescent="0.3">
      <c r="A1368" s="6">
        <v>45755</v>
      </c>
      <c r="B1368" s="1" t="s">
        <v>1552</v>
      </c>
      <c r="C1368" s="1" t="s">
        <v>26</v>
      </c>
      <c r="D1368" t="s">
        <v>30</v>
      </c>
      <c r="E1368" t="s">
        <v>120</v>
      </c>
      <c r="F1368" t="s">
        <v>16</v>
      </c>
      <c r="G1368" t="s">
        <v>15</v>
      </c>
      <c r="H1368" s="3">
        <v>5</v>
      </c>
      <c r="I1368" s="3">
        <v>51679.999999999993</v>
      </c>
      <c r="J1368" s="3">
        <v>258399.99999999997</v>
      </c>
      <c r="K1368" s="3">
        <v>38000</v>
      </c>
      <c r="L1368" s="3">
        <v>190000</v>
      </c>
      <c r="M1368" s="3">
        <v>68399.999999999971</v>
      </c>
      <c r="N1368" s="4">
        <v>0.26470588235294107</v>
      </c>
    </row>
    <row r="1369" spans="1:14" x14ac:dyDescent="0.3">
      <c r="A1369" s="6">
        <v>45755</v>
      </c>
      <c r="B1369" s="1" t="s">
        <v>1553</v>
      </c>
      <c r="C1369" s="1" t="s">
        <v>29</v>
      </c>
      <c r="D1369" t="s">
        <v>30</v>
      </c>
      <c r="E1369" t="s">
        <v>112</v>
      </c>
      <c r="F1369" t="s">
        <v>23</v>
      </c>
      <c r="G1369" t="s">
        <v>25</v>
      </c>
      <c r="H1369" s="3">
        <v>1</v>
      </c>
      <c r="I1369" s="3">
        <v>4192</v>
      </c>
      <c r="J1369" s="3">
        <v>4192</v>
      </c>
      <c r="K1369" s="3">
        <v>3200</v>
      </c>
      <c r="L1369" s="3">
        <v>3200</v>
      </c>
      <c r="M1369" s="3">
        <v>992</v>
      </c>
      <c r="N1369" s="4">
        <v>0.23664122137404581</v>
      </c>
    </row>
    <row r="1370" spans="1:14" x14ac:dyDescent="0.3">
      <c r="A1370" s="6">
        <v>45755</v>
      </c>
      <c r="B1370" s="1" t="s">
        <v>1554</v>
      </c>
      <c r="C1370" s="1" t="s">
        <v>27</v>
      </c>
      <c r="D1370" t="s">
        <v>32</v>
      </c>
      <c r="E1370" t="s">
        <v>361</v>
      </c>
      <c r="F1370" t="s">
        <v>19</v>
      </c>
      <c r="G1370" t="s">
        <v>20</v>
      </c>
      <c r="H1370" s="3">
        <v>4</v>
      </c>
      <c r="I1370" s="3">
        <v>1188</v>
      </c>
      <c r="J1370" s="3">
        <v>4752</v>
      </c>
      <c r="K1370" s="3">
        <v>900</v>
      </c>
      <c r="L1370" s="3">
        <v>3600</v>
      </c>
      <c r="M1370" s="3">
        <v>1152</v>
      </c>
      <c r="N1370" s="4">
        <v>0.24242424242424243</v>
      </c>
    </row>
    <row r="1371" spans="1:14" x14ac:dyDescent="0.3">
      <c r="A1371" s="6">
        <v>45755</v>
      </c>
      <c r="B1371" s="1" t="s">
        <v>1555</v>
      </c>
      <c r="C1371" s="1" t="s">
        <v>27</v>
      </c>
      <c r="D1371" t="s">
        <v>34</v>
      </c>
      <c r="E1371" t="s">
        <v>151</v>
      </c>
      <c r="F1371" t="s">
        <v>16</v>
      </c>
      <c r="G1371" t="s">
        <v>15</v>
      </c>
      <c r="H1371" s="3">
        <v>9</v>
      </c>
      <c r="I1371" s="3">
        <v>50160</v>
      </c>
      <c r="J1371" s="3">
        <v>451440</v>
      </c>
      <c r="K1371" s="3">
        <v>38000</v>
      </c>
      <c r="L1371" s="3">
        <v>342000</v>
      </c>
      <c r="M1371" s="3">
        <v>109440</v>
      </c>
      <c r="N1371" s="4">
        <v>0.24242424242424243</v>
      </c>
    </row>
    <row r="1372" spans="1:14" x14ac:dyDescent="0.3">
      <c r="A1372" s="6">
        <v>45756</v>
      </c>
      <c r="B1372" s="1" t="s">
        <v>1556</v>
      </c>
      <c r="C1372" s="1" t="s">
        <v>27</v>
      </c>
      <c r="D1372" t="s">
        <v>33</v>
      </c>
      <c r="E1372" t="s">
        <v>407</v>
      </c>
      <c r="F1372" t="s">
        <v>14</v>
      </c>
      <c r="G1372" t="s">
        <v>15</v>
      </c>
      <c r="H1372" s="3">
        <v>1</v>
      </c>
      <c r="I1372" s="3">
        <v>65250</v>
      </c>
      <c r="J1372" s="3">
        <v>65250</v>
      </c>
      <c r="K1372" s="3">
        <v>45000</v>
      </c>
      <c r="L1372" s="3">
        <v>45000</v>
      </c>
      <c r="M1372" s="3">
        <v>20250</v>
      </c>
      <c r="N1372" s="4">
        <v>0.31034482758620691</v>
      </c>
    </row>
    <row r="1373" spans="1:14" x14ac:dyDescent="0.3">
      <c r="A1373" s="6">
        <v>45756</v>
      </c>
      <c r="B1373" s="1" t="s">
        <v>1557</v>
      </c>
      <c r="C1373" s="1" t="s">
        <v>26</v>
      </c>
      <c r="D1373" t="s">
        <v>30</v>
      </c>
      <c r="E1373" t="s">
        <v>576</v>
      </c>
      <c r="F1373" t="s">
        <v>16</v>
      </c>
      <c r="G1373" t="s">
        <v>15</v>
      </c>
      <c r="H1373" s="3">
        <v>5</v>
      </c>
      <c r="I1373" s="3">
        <v>47880</v>
      </c>
      <c r="J1373" s="3">
        <v>239400</v>
      </c>
      <c r="K1373" s="3">
        <v>38000</v>
      </c>
      <c r="L1373" s="3">
        <v>190000</v>
      </c>
      <c r="M1373" s="3">
        <v>49400</v>
      </c>
      <c r="N1373" s="4">
        <v>0.20634920634920634</v>
      </c>
    </row>
    <row r="1374" spans="1:14" x14ac:dyDescent="0.3">
      <c r="A1374" s="6">
        <v>45756</v>
      </c>
      <c r="B1374" s="1" t="s">
        <v>1558</v>
      </c>
      <c r="C1374" s="1" t="s">
        <v>28</v>
      </c>
      <c r="D1374" t="s">
        <v>30</v>
      </c>
      <c r="E1374" t="s">
        <v>218</v>
      </c>
      <c r="F1374" t="s">
        <v>19</v>
      </c>
      <c r="G1374" t="s">
        <v>20</v>
      </c>
      <c r="H1374" s="3">
        <v>3</v>
      </c>
      <c r="I1374" s="3">
        <v>1305</v>
      </c>
      <c r="J1374" s="3">
        <v>3915</v>
      </c>
      <c r="K1374" s="3">
        <v>900</v>
      </c>
      <c r="L1374" s="3">
        <v>2700</v>
      </c>
      <c r="M1374" s="3">
        <v>1215</v>
      </c>
      <c r="N1374" s="4">
        <v>0.31034482758620691</v>
      </c>
    </row>
    <row r="1375" spans="1:14" x14ac:dyDescent="0.3">
      <c r="A1375" s="6">
        <v>45756</v>
      </c>
      <c r="B1375" s="1" t="s">
        <v>1559</v>
      </c>
      <c r="C1375" s="1" t="s">
        <v>29</v>
      </c>
      <c r="D1375" t="s">
        <v>30</v>
      </c>
      <c r="E1375" t="s">
        <v>436</v>
      </c>
      <c r="F1375" t="s">
        <v>14</v>
      </c>
      <c r="G1375" t="s">
        <v>15</v>
      </c>
      <c r="H1375" s="3">
        <v>9</v>
      </c>
      <c r="I1375" s="3">
        <v>58500</v>
      </c>
      <c r="J1375" s="3">
        <v>526500</v>
      </c>
      <c r="K1375" s="3">
        <v>45000</v>
      </c>
      <c r="L1375" s="3">
        <v>405000</v>
      </c>
      <c r="M1375" s="3">
        <v>121500</v>
      </c>
      <c r="N1375" s="4">
        <v>0.23076923076923078</v>
      </c>
    </row>
    <row r="1376" spans="1:14" x14ac:dyDescent="0.3">
      <c r="A1376" s="6">
        <v>45756</v>
      </c>
      <c r="B1376" s="1" t="s">
        <v>1560</v>
      </c>
      <c r="C1376" s="1" t="s">
        <v>26</v>
      </c>
      <c r="D1376" t="s">
        <v>34</v>
      </c>
      <c r="E1376" t="s">
        <v>90</v>
      </c>
      <c r="F1376" t="s">
        <v>16</v>
      </c>
      <c r="G1376" t="s">
        <v>15</v>
      </c>
      <c r="H1376" s="3">
        <v>10</v>
      </c>
      <c r="I1376" s="3">
        <v>48640</v>
      </c>
      <c r="J1376" s="3">
        <v>486400</v>
      </c>
      <c r="K1376" s="3">
        <v>38000</v>
      </c>
      <c r="L1376" s="3">
        <v>380000</v>
      </c>
      <c r="M1376" s="3">
        <v>106400</v>
      </c>
      <c r="N1376" s="4">
        <v>0.21875</v>
      </c>
    </row>
    <row r="1377" spans="1:14" x14ac:dyDescent="0.3">
      <c r="A1377" s="6">
        <v>45756</v>
      </c>
      <c r="B1377" s="1" t="s">
        <v>1561</v>
      </c>
      <c r="C1377" s="1" t="s">
        <v>26</v>
      </c>
      <c r="D1377" t="s">
        <v>30</v>
      </c>
      <c r="E1377" t="s">
        <v>400</v>
      </c>
      <c r="F1377" t="s">
        <v>24</v>
      </c>
      <c r="G1377" t="s">
        <v>25</v>
      </c>
      <c r="H1377" s="3">
        <v>6</v>
      </c>
      <c r="I1377" s="3">
        <v>3425.0000000000005</v>
      </c>
      <c r="J1377" s="3">
        <v>20550.000000000004</v>
      </c>
      <c r="K1377" s="3">
        <v>2500</v>
      </c>
      <c r="L1377" s="3">
        <v>15000</v>
      </c>
      <c r="M1377" s="3">
        <v>5550.0000000000036</v>
      </c>
      <c r="N1377" s="4">
        <v>0.27007299270073004</v>
      </c>
    </row>
    <row r="1378" spans="1:14" x14ac:dyDescent="0.3">
      <c r="A1378" s="6">
        <v>45756</v>
      </c>
      <c r="B1378" s="1" t="s">
        <v>1562</v>
      </c>
      <c r="C1378" s="1" t="s">
        <v>27</v>
      </c>
      <c r="D1378" t="s">
        <v>30</v>
      </c>
      <c r="E1378" t="s">
        <v>63</v>
      </c>
      <c r="F1378" t="s">
        <v>21</v>
      </c>
      <c r="G1378" t="s">
        <v>20</v>
      </c>
      <c r="H1378" s="3">
        <v>4</v>
      </c>
      <c r="I1378" s="3">
        <v>792</v>
      </c>
      <c r="J1378" s="3">
        <v>3168</v>
      </c>
      <c r="K1378" s="3">
        <v>600</v>
      </c>
      <c r="L1378" s="3">
        <v>2400</v>
      </c>
      <c r="M1378" s="3">
        <v>768</v>
      </c>
      <c r="N1378" s="4">
        <v>0.24242424242424243</v>
      </c>
    </row>
    <row r="1379" spans="1:14" x14ac:dyDescent="0.3">
      <c r="A1379" s="6">
        <v>45756</v>
      </c>
      <c r="B1379" s="1" t="s">
        <v>1563</v>
      </c>
      <c r="C1379" s="1" t="s">
        <v>27</v>
      </c>
      <c r="D1379" t="s">
        <v>31</v>
      </c>
      <c r="E1379" t="s">
        <v>273</v>
      </c>
      <c r="F1379" t="s">
        <v>19</v>
      </c>
      <c r="G1379" t="s">
        <v>20</v>
      </c>
      <c r="H1379" s="3">
        <v>9</v>
      </c>
      <c r="I1379" s="3">
        <v>1224</v>
      </c>
      <c r="J1379" s="3">
        <v>11016</v>
      </c>
      <c r="K1379" s="3">
        <v>900</v>
      </c>
      <c r="L1379" s="3">
        <v>8100</v>
      </c>
      <c r="M1379" s="3">
        <v>2916</v>
      </c>
      <c r="N1379" s="4">
        <v>0.26470588235294118</v>
      </c>
    </row>
    <row r="1380" spans="1:14" x14ac:dyDescent="0.3">
      <c r="A1380" s="6">
        <v>45756</v>
      </c>
      <c r="B1380" s="1" t="s">
        <v>1564</v>
      </c>
      <c r="C1380" s="1" t="s">
        <v>29</v>
      </c>
      <c r="D1380" t="s">
        <v>30</v>
      </c>
      <c r="E1380" t="s">
        <v>275</v>
      </c>
      <c r="F1380" t="s">
        <v>19</v>
      </c>
      <c r="G1380" t="s">
        <v>20</v>
      </c>
      <c r="H1380" s="3">
        <v>2</v>
      </c>
      <c r="I1380" s="3">
        <v>1080</v>
      </c>
      <c r="J1380" s="3">
        <v>2160</v>
      </c>
      <c r="K1380" s="3">
        <v>900</v>
      </c>
      <c r="L1380" s="3">
        <v>1800</v>
      </c>
      <c r="M1380" s="3">
        <v>360</v>
      </c>
      <c r="N1380" s="4">
        <v>0.16666666666666666</v>
      </c>
    </row>
    <row r="1381" spans="1:14" x14ac:dyDescent="0.3">
      <c r="A1381" s="6">
        <v>45756</v>
      </c>
      <c r="B1381" s="1" t="s">
        <v>1565</v>
      </c>
      <c r="C1381" s="1" t="s">
        <v>26</v>
      </c>
      <c r="D1381" t="s">
        <v>32</v>
      </c>
      <c r="E1381" t="s">
        <v>201</v>
      </c>
      <c r="F1381" t="s">
        <v>24</v>
      </c>
      <c r="G1381" t="s">
        <v>25</v>
      </c>
      <c r="H1381" s="3">
        <v>5</v>
      </c>
      <c r="I1381" s="3">
        <v>3525</v>
      </c>
      <c r="J1381" s="3">
        <v>17625</v>
      </c>
      <c r="K1381" s="3">
        <v>2500</v>
      </c>
      <c r="L1381" s="3">
        <v>12500</v>
      </c>
      <c r="M1381" s="3">
        <v>5125</v>
      </c>
      <c r="N1381" s="4">
        <v>0.29078014184397161</v>
      </c>
    </row>
    <row r="1382" spans="1:14" x14ac:dyDescent="0.3">
      <c r="A1382" s="6">
        <v>45756</v>
      </c>
      <c r="B1382" s="1" t="s">
        <v>1566</v>
      </c>
      <c r="C1382" s="1" t="s">
        <v>29</v>
      </c>
      <c r="D1382" t="s">
        <v>33</v>
      </c>
      <c r="E1382" t="s">
        <v>807</v>
      </c>
      <c r="F1382" t="s">
        <v>17</v>
      </c>
      <c r="G1382" t="s">
        <v>18</v>
      </c>
      <c r="H1382" s="3">
        <v>2</v>
      </c>
      <c r="I1382" s="3">
        <v>11475</v>
      </c>
      <c r="J1382" s="3">
        <v>22950</v>
      </c>
      <c r="K1382" s="3">
        <v>8500</v>
      </c>
      <c r="L1382" s="3">
        <v>17000</v>
      </c>
      <c r="M1382" s="3">
        <v>5950</v>
      </c>
      <c r="N1382" s="4">
        <v>0.25925925925925924</v>
      </c>
    </row>
    <row r="1383" spans="1:14" x14ac:dyDescent="0.3">
      <c r="A1383" s="6">
        <v>45756</v>
      </c>
      <c r="B1383" s="1" t="s">
        <v>1567</v>
      </c>
      <c r="C1383" s="1" t="s">
        <v>29</v>
      </c>
      <c r="D1383" t="s">
        <v>30</v>
      </c>
      <c r="E1383" t="s">
        <v>453</v>
      </c>
      <c r="F1383" t="s">
        <v>21</v>
      </c>
      <c r="G1383" t="s">
        <v>20</v>
      </c>
      <c r="H1383" s="3">
        <v>1</v>
      </c>
      <c r="I1383" s="3">
        <v>750</v>
      </c>
      <c r="J1383" s="3">
        <v>750</v>
      </c>
      <c r="K1383" s="3">
        <v>600</v>
      </c>
      <c r="L1383" s="3">
        <v>600</v>
      </c>
      <c r="M1383" s="3">
        <v>150</v>
      </c>
      <c r="N1383" s="4">
        <v>0.2</v>
      </c>
    </row>
    <row r="1384" spans="1:14" x14ac:dyDescent="0.3">
      <c r="A1384" s="6">
        <v>45756</v>
      </c>
      <c r="B1384" s="1" t="s">
        <v>1568</v>
      </c>
      <c r="C1384" s="1" t="s">
        <v>29</v>
      </c>
      <c r="D1384" t="s">
        <v>35</v>
      </c>
      <c r="E1384" t="s">
        <v>104</v>
      </c>
      <c r="F1384" t="s">
        <v>17</v>
      </c>
      <c r="G1384" t="s">
        <v>18</v>
      </c>
      <c r="H1384" s="3">
        <v>8</v>
      </c>
      <c r="I1384" s="3">
        <v>10200</v>
      </c>
      <c r="J1384" s="3">
        <v>81600</v>
      </c>
      <c r="K1384" s="3">
        <v>8500</v>
      </c>
      <c r="L1384" s="3">
        <v>68000</v>
      </c>
      <c r="M1384" s="3">
        <v>13600</v>
      </c>
      <c r="N1384" s="4">
        <v>0.16666666666666666</v>
      </c>
    </row>
    <row r="1385" spans="1:14" x14ac:dyDescent="0.3">
      <c r="A1385" s="6">
        <v>45756</v>
      </c>
      <c r="B1385" s="1" t="s">
        <v>1569</v>
      </c>
      <c r="C1385" s="1" t="s">
        <v>27</v>
      </c>
      <c r="D1385" t="s">
        <v>31</v>
      </c>
      <c r="E1385" t="s">
        <v>283</v>
      </c>
      <c r="F1385" t="s">
        <v>21</v>
      </c>
      <c r="G1385" t="s">
        <v>20</v>
      </c>
      <c r="H1385" s="3">
        <v>8</v>
      </c>
      <c r="I1385" s="3">
        <v>815.99999999999989</v>
      </c>
      <c r="J1385" s="3">
        <v>6527.9999999999991</v>
      </c>
      <c r="K1385" s="3">
        <v>600</v>
      </c>
      <c r="L1385" s="3">
        <v>4800</v>
      </c>
      <c r="M1385" s="3">
        <v>1727.9999999999991</v>
      </c>
      <c r="N1385" s="4">
        <v>0.26470588235294107</v>
      </c>
    </row>
    <row r="1386" spans="1:14" x14ac:dyDescent="0.3">
      <c r="A1386" s="6">
        <v>45757</v>
      </c>
      <c r="B1386" s="1" t="s">
        <v>1570</v>
      </c>
      <c r="C1386" s="1" t="s">
        <v>29</v>
      </c>
      <c r="D1386" t="s">
        <v>32</v>
      </c>
      <c r="E1386" t="s">
        <v>351</v>
      </c>
      <c r="F1386" t="s">
        <v>23</v>
      </c>
      <c r="G1386" t="s">
        <v>25</v>
      </c>
      <c r="H1386" s="3">
        <v>3</v>
      </c>
      <c r="I1386" s="3">
        <v>4608</v>
      </c>
      <c r="J1386" s="3">
        <v>13824</v>
      </c>
      <c r="K1386" s="3">
        <v>3200</v>
      </c>
      <c r="L1386" s="3">
        <v>9600</v>
      </c>
      <c r="M1386" s="3">
        <v>4224</v>
      </c>
      <c r="N1386" s="4">
        <v>0.30555555555555558</v>
      </c>
    </row>
    <row r="1387" spans="1:14" x14ac:dyDescent="0.3">
      <c r="A1387" s="6">
        <v>45757</v>
      </c>
      <c r="B1387" s="1" t="s">
        <v>1571</v>
      </c>
      <c r="C1387" s="1" t="s">
        <v>27</v>
      </c>
      <c r="D1387" t="s">
        <v>31</v>
      </c>
      <c r="E1387" t="s">
        <v>37</v>
      </c>
      <c r="F1387" t="s">
        <v>16</v>
      </c>
      <c r="G1387" t="s">
        <v>15</v>
      </c>
      <c r="H1387" s="3">
        <v>6</v>
      </c>
      <c r="I1387" s="3">
        <v>54720</v>
      </c>
      <c r="J1387" s="3">
        <v>328320</v>
      </c>
      <c r="K1387" s="3">
        <v>38000</v>
      </c>
      <c r="L1387" s="3">
        <v>228000</v>
      </c>
      <c r="M1387" s="3">
        <v>100320</v>
      </c>
      <c r="N1387" s="4">
        <v>0.30555555555555558</v>
      </c>
    </row>
    <row r="1388" spans="1:14" x14ac:dyDescent="0.3">
      <c r="A1388" s="6">
        <v>45757</v>
      </c>
      <c r="B1388" s="1" t="s">
        <v>1572</v>
      </c>
      <c r="C1388" s="1" t="s">
        <v>26</v>
      </c>
      <c r="D1388" t="s">
        <v>32</v>
      </c>
      <c r="E1388" t="s">
        <v>139</v>
      </c>
      <c r="F1388" t="s">
        <v>17</v>
      </c>
      <c r="G1388" t="s">
        <v>18</v>
      </c>
      <c r="H1388" s="3">
        <v>8</v>
      </c>
      <c r="I1388" s="3">
        <v>10455</v>
      </c>
      <c r="J1388" s="3">
        <v>83640</v>
      </c>
      <c r="K1388" s="3">
        <v>8500</v>
      </c>
      <c r="L1388" s="3">
        <v>68000</v>
      </c>
      <c r="M1388" s="3">
        <v>15640</v>
      </c>
      <c r="N1388" s="4">
        <v>0.18699186991869918</v>
      </c>
    </row>
    <row r="1389" spans="1:14" x14ac:dyDescent="0.3">
      <c r="A1389" s="6">
        <v>45757</v>
      </c>
      <c r="B1389" s="1" t="s">
        <v>1573</v>
      </c>
      <c r="C1389" s="1" t="s">
        <v>29</v>
      </c>
      <c r="D1389" t="s">
        <v>33</v>
      </c>
      <c r="E1389" t="s">
        <v>157</v>
      </c>
      <c r="F1389" t="s">
        <v>21</v>
      </c>
      <c r="G1389" t="s">
        <v>20</v>
      </c>
      <c r="H1389" s="3">
        <v>10</v>
      </c>
      <c r="I1389" s="3">
        <v>768</v>
      </c>
      <c r="J1389" s="3">
        <v>7680</v>
      </c>
      <c r="K1389" s="3">
        <v>600</v>
      </c>
      <c r="L1389" s="3">
        <v>6000</v>
      </c>
      <c r="M1389" s="3">
        <v>1680</v>
      </c>
      <c r="N1389" s="4">
        <v>0.21875</v>
      </c>
    </row>
    <row r="1390" spans="1:14" x14ac:dyDescent="0.3">
      <c r="A1390" s="6">
        <v>45757</v>
      </c>
      <c r="B1390" s="1" t="s">
        <v>1574</v>
      </c>
      <c r="C1390" s="1" t="s">
        <v>26</v>
      </c>
      <c r="D1390" t="s">
        <v>30</v>
      </c>
      <c r="E1390" t="s">
        <v>357</v>
      </c>
      <c r="F1390" t="s">
        <v>19</v>
      </c>
      <c r="G1390" t="s">
        <v>20</v>
      </c>
      <c r="H1390" s="3">
        <v>9</v>
      </c>
      <c r="I1390" s="3">
        <v>1089</v>
      </c>
      <c r="J1390" s="3">
        <v>9801</v>
      </c>
      <c r="K1390" s="3">
        <v>900</v>
      </c>
      <c r="L1390" s="3">
        <v>8100</v>
      </c>
      <c r="M1390" s="3">
        <v>1701</v>
      </c>
      <c r="N1390" s="4">
        <v>0.17355371900826447</v>
      </c>
    </row>
    <row r="1391" spans="1:14" x14ac:dyDescent="0.3">
      <c r="A1391" s="6">
        <v>45757</v>
      </c>
      <c r="B1391" s="1" t="s">
        <v>1575</v>
      </c>
      <c r="C1391" s="1" t="s">
        <v>29</v>
      </c>
      <c r="D1391" t="s">
        <v>30</v>
      </c>
      <c r="E1391" t="s">
        <v>565</v>
      </c>
      <c r="F1391" t="s">
        <v>14</v>
      </c>
      <c r="G1391" t="s">
        <v>15</v>
      </c>
      <c r="H1391" s="3">
        <v>5</v>
      </c>
      <c r="I1391" s="3">
        <v>61650.000000000007</v>
      </c>
      <c r="J1391" s="3">
        <v>308250.00000000006</v>
      </c>
      <c r="K1391" s="3">
        <v>45000</v>
      </c>
      <c r="L1391" s="3">
        <v>225000</v>
      </c>
      <c r="M1391" s="3">
        <v>83250.000000000058</v>
      </c>
      <c r="N1391" s="4">
        <v>0.27007299270073004</v>
      </c>
    </row>
    <row r="1392" spans="1:14" x14ac:dyDescent="0.3">
      <c r="A1392" s="6">
        <v>45757</v>
      </c>
      <c r="B1392" s="1" t="s">
        <v>1576</v>
      </c>
      <c r="C1392" s="1" t="s">
        <v>26</v>
      </c>
      <c r="D1392" t="s">
        <v>32</v>
      </c>
      <c r="E1392" t="s">
        <v>157</v>
      </c>
      <c r="F1392" t="s">
        <v>14</v>
      </c>
      <c r="G1392" t="s">
        <v>15</v>
      </c>
      <c r="H1392" s="3">
        <v>1</v>
      </c>
      <c r="I1392" s="3">
        <v>61650.000000000007</v>
      </c>
      <c r="J1392" s="3">
        <v>61650.000000000007</v>
      </c>
      <c r="K1392" s="3">
        <v>45000</v>
      </c>
      <c r="L1392" s="3">
        <v>45000</v>
      </c>
      <c r="M1392" s="3">
        <v>16650.000000000007</v>
      </c>
      <c r="N1392" s="4">
        <v>0.27007299270072999</v>
      </c>
    </row>
    <row r="1393" spans="1:14" x14ac:dyDescent="0.3">
      <c r="A1393" s="6">
        <v>45757</v>
      </c>
      <c r="B1393" s="1" t="s">
        <v>1577</v>
      </c>
      <c r="C1393" s="1" t="s">
        <v>27</v>
      </c>
      <c r="D1393" t="s">
        <v>33</v>
      </c>
      <c r="E1393" t="s">
        <v>807</v>
      </c>
      <c r="F1393" t="s">
        <v>16</v>
      </c>
      <c r="G1393" t="s">
        <v>15</v>
      </c>
      <c r="H1393" s="3">
        <v>8</v>
      </c>
      <c r="I1393" s="3">
        <v>54340</v>
      </c>
      <c r="J1393" s="3">
        <v>434720</v>
      </c>
      <c r="K1393" s="3">
        <v>38000</v>
      </c>
      <c r="L1393" s="3">
        <v>304000</v>
      </c>
      <c r="M1393" s="3">
        <v>130720</v>
      </c>
      <c r="N1393" s="4">
        <v>0.30069930069930068</v>
      </c>
    </row>
    <row r="1394" spans="1:14" x14ac:dyDescent="0.3">
      <c r="A1394" s="6">
        <v>45757</v>
      </c>
      <c r="B1394" s="1" t="s">
        <v>1578</v>
      </c>
      <c r="C1394" s="1" t="s">
        <v>29</v>
      </c>
      <c r="D1394" t="s">
        <v>32</v>
      </c>
      <c r="E1394" t="s">
        <v>508</v>
      </c>
      <c r="F1394" t="s">
        <v>14</v>
      </c>
      <c r="G1394" t="s">
        <v>15</v>
      </c>
      <c r="H1394" s="3">
        <v>1</v>
      </c>
      <c r="I1394" s="3">
        <v>62099.999999999993</v>
      </c>
      <c r="J1394" s="3">
        <v>62099.999999999993</v>
      </c>
      <c r="K1394" s="3">
        <v>45000</v>
      </c>
      <c r="L1394" s="3">
        <v>45000</v>
      </c>
      <c r="M1394" s="3">
        <v>17099.999999999993</v>
      </c>
      <c r="N1394" s="4">
        <v>0.2753623188405796</v>
      </c>
    </row>
    <row r="1395" spans="1:14" x14ac:dyDescent="0.3">
      <c r="A1395" s="6">
        <v>45757</v>
      </c>
      <c r="B1395" s="1" t="s">
        <v>1579</v>
      </c>
      <c r="C1395" s="1" t="s">
        <v>28</v>
      </c>
      <c r="D1395" t="s">
        <v>31</v>
      </c>
      <c r="E1395" t="s">
        <v>180</v>
      </c>
      <c r="F1395" t="s">
        <v>14</v>
      </c>
      <c r="G1395" t="s">
        <v>15</v>
      </c>
      <c r="H1395" s="3">
        <v>9</v>
      </c>
      <c r="I1395" s="3">
        <v>60750.000000000007</v>
      </c>
      <c r="J1395" s="3">
        <v>546750.00000000012</v>
      </c>
      <c r="K1395" s="3">
        <v>45000</v>
      </c>
      <c r="L1395" s="3">
        <v>405000</v>
      </c>
      <c r="M1395" s="3">
        <v>141750.00000000012</v>
      </c>
      <c r="N1395" s="4">
        <v>0.25925925925925941</v>
      </c>
    </row>
    <row r="1396" spans="1:14" x14ac:dyDescent="0.3">
      <c r="A1396" s="6">
        <v>45757</v>
      </c>
      <c r="B1396" s="1" t="s">
        <v>1580</v>
      </c>
      <c r="C1396" s="1" t="s">
        <v>26</v>
      </c>
      <c r="D1396" t="s">
        <v>34</v>
      </c>
      <c r="E1396" t="s">
        <v>47</v>
      </c>
      <c r="F1396" t="s">
        <v>24</v>
      </c>
      <c r="G1396" t="s">
        <v>25</v>
      </c>
      <c r="H1396" s="3">
        <v>8</v>
      </c>
      <c r="I1396" s="3">
        <v>3150</v>
      </c>
      <c r="J1396" s="3">
        <v>25200</v>
      </c>
      <c r="K1396" s="3">
        <v>2500</v>
      </c>
      <c r="L1396" s="3">
        <v>20000</v>
      </c>
      <c r="M1396" s="3">
        <v>5200</v>
      </c>
      <c r="N1396" s="4">
        <v>0.20634920634920634</v>
      </c>
    </row>
    <row r="1397" spans="1:14" x14ac:dyDescent="0.3">
      <c r="A1397" s="6">
        <v>45757</v>
      </c>
      <c r="B1397" s="1" t="s">
        <v>1581</v>
      </c>
      <c r="C1397" s="1" t="s">
        <v>26</v>
      </c>
      <c r="D1397" t="s">
        <v>35</v>
      </c>
      <c r="E1397" t="s">
        <v>137</v>
      </c>
      <c r="F1397" t="s">
        <v>22</v>
      </c>
      <c r="G1397" t="s">
        <v>18</v>
      </c>
      <c r="H1397" s="3">
        <v>10</v>
      </c>
      <c r="I1397" s="3">
        <v>10150</v>
      </c>
      <c r="J1397" s="3">
        <v>101500</v>
      </c>
      <c r="K1397" s="3">
        <v>7000</v>
      </c>
      <c r="L1397" s="3">
        <v>70000</v>
      </c>
      <c r="M1397" s="3">
        <v>31500</v>
      </c>
      <c r="N1397" s="4">
        <v>0.31034482758620691</v>
      </c>
    </row>
    <row r="1398" spans="1:14" x14ac:dyDescent="0.3">
      <c r="A1398" s="6">
        <v>45757</v>
      </c>
      <c r="B1398" s="1" t="s">
        <v>1582</v>
      </c>
      <c r="C1398" s="1" t="s">
        <v>29</v>
      </c>
      <c r="D1398" t="s">
        <v>31</v>
      </c>
      <c r="E1398" t="s">
        <v>67</v>
      </c>
      <c r="F1398" t="s">
        <v>21</v>
      </c>
      <c r="G1398" t="s">
        <v>20</v>
      </c>
      <c r="H1398" s="3">
        <v>8</v>
      </c>
      <c r="I1398" s="3">
        <v>732</v>
      </c>
      <c r="J1398" s="3">
        <v>5856</v>
      </c>
      <c r="K1398" s="3">
        <v>600</v>
      </c>
      <c r="L1398" s="3">
        <v>4800</v>
      </c>
      <c r="M1398" s="3">
        <v>1056</v>
      </c>
      <c r="N1398" s="4">
        <v>0.18032786885245902</v>
      </c>
    </row>
    <row r="1399" spans="1:14" x14ac:dyDescent="0.3">
      <c r="A1399" s="6">
        <v>45757</v>
      </c>
      <c r="B1399" s="1" t="s">
        <v>1583</v>
      </c>
      <c r="C1399" s="1" t="s">
        <v>27</v>
      </c>
      <c r="D1399" t="s">
        <v>31</v>
      </c>
      <c r="E1399" t="s">
        <v>96</v>
      </c>
      <c r="F1399" t="s">
        <v>24</v>
      </c>
      <c r="G1399" t="s">
        <v>25</v>
      </c>
      <c r="H1399" s="3">
        <v>6</v>
      </c>
      <c r="I1399" s="3">
        <v>3125</v>
      </c>
      <c r="J1399" s="3">
        <v>18750</v>
      </c>
      <c r="K1399" s="3">
        <v>2500</v>
      </c>
      <c r="L1399" s="3">
        <v>15000</v>
      </c>
      <c r="M1399" s="3">
        <v>3750</v>
      </c>
      <c r="N1399" s="4">
        <v>0.2</v>
      </c>
    </row>
    <row r="1400" spans="1:14" x14ac:dyDescent="0.3">
      <c r="A1400" s="6">
        <v>45758</v>
      </c>
      <c r="B1400" s="1" t="s">
        <v>1584</v>
      </c>
      <c r="C1400" s="1" t="s">
        <v>26</v>
      </c>
      <c r="D1400" t="s">
        <v>30</v>
      </c>
      <c r="E1400" t="s">
        <v>72</v>
      </c>
      <c r="F1400" t="s">
        <v>21</v>
      </c>
      <c r="G1400" t="s">
        <v>20</v>
      </c>
      <c r="H1400" s="3">
        <v>2</v>
      </c>
      <c r="I1400" s="3">
        <v>750</v>
      </c>
      <c r="J1400" s="3">
        <v>1500</v>
      </c>
      <c r="K1400" s="3">
        <v>600</v>
      </c>
      <c r="L1400" s="3">
        <v>1200</v>
      </c>
      <c r="M1400" s="3">
        <v>300</v>
      </c>
      <c r="N1400" s="4">
        <v>0.2</v>
      </c>
    </row>
    <row r="1401" spans="1:14" x14ac:dyDescent="0.3">
      <c r="A1401" s="6">
        <v>45758</v>
      </c>
      <c r="B1401" s="1" t="s">
        <v>1585</v>
      </c>
      <c r="C1401" s="1" t="s">
        <v>27</v>
      </c>
      <c r="D1401" t="s">
        <v>35</v>
      </c>
      <c r="E1401" t="s">
        <v>43</v>
      </c>
      <c r="F1401" t="s">
        <v>22</v>
      </c>
      <c r="G1401" t="s">
        <v>18</v>
      </c>
      <c r="H1401" s="3">
        <v>7</v>
      </c>
      <c r="I1401" s="3">
        <v>9590</v>
      </c>
      <c r="J1401" s="3">
        <v>67130</v>
      </c>
      <c r="K1401" s="3">
        <v>7000</v>
      </c>
      <c r="L1401" s="3">
        <v>49000</v>
      </c>
      <c r="M1401" s="3">
        <v>18130</v>
      </c>
      <c r="N1401" s="4">
        <v>0.27007299270072993</v>
      </c>
    </row>
    <row r="1402" spans="1:14" x14ac:dyDescent="0.3">
      <c r="A1402" s="6">
        <v>45758</v>
      </c>
      <c r="B1402" s="1" t="s">
        <v>1586</v>
      </c>
      <c r="C1402" s="1" t="s">
        <v>27</v>
      </c>
      <c r="D1402" t="s">
        <v>32</v>
      </c>
      <c r="E1402" t="s">
        <v>329</v>
      </c>
      <c r="F1402" t="s">
        <v>24</v>
      </c>
      <c r="G1402" t="s">
        <v>25</v>
      </c>
      <c r="H1402" s="3">
        <v>7</v>
      </c>
      <c r="I1402" s="3">
        <v>3550</v>
      </c>
      <c r="J1402" s="3">
        <v>24850</v>
      </c>
      <c r="K1402" s="3">
        <v>2500</v>
      </c>
      <c r="L1402" s="3">
        <v>17500</v>
      </c>
      <c r="M1402" s="3">
        <v>7350</v>
      </c>
      <c r="N1402" s="4">
        <v>0.29577464788732394</v>
      </c>
    </row>
    <row r="1403" spans="1:14" x14ac:dyDescent="0.3">
      <c r="A1403" s="6">
        <v>45758</v>
      </c>
      <c r="B1403" s="1" t="s">
        <v>1587</v>
      </c>
      <c r="C1403" s="1" t="s">
        <v>28</v>
      </c>
      <c r="D1403" t="s">
        <v>31</v>
      </c>
      <c r="E1403" t="s">
        <v>74</v>
      </c>
      <c r="F1403" t="s">
        <v>21</v>
      </c>
      <c r="G1403" t="s">
        <v>20</v>
      </c>
      <c r="H1403" s="3">
        <v>6</v>
      </c>
      <c r="I1403" s="3">
        <v>804</v>
      </c>
      <c r="J1403" s="3">
        <v>4824</v>
      </c>
      <c r="K1403" s="3">
        <v>600</v>
      </c>
      <c r="L1403" s="3">
        <v>3600</v>
      </c>
      <c r="M1403" s="3">
        <v>1224</v>
      </c>
      <c r="N1403" s="4">
        <v>0.2537313432835821</v>
      </c>
    </row>
    <row r="1404" spans="1:14" x14ac:dyDescent="0.3">
      <c r="A1404" s="6">
        <v>45758</v>
      </c>
      <c r="B1404" s="1" t="s">
        <v>1588</v>
      </c>
      <c r="C1404" s="1" t="s">
        <v>27</v>
      </c>
      <c r="D1404" t="s">
        <v>30</v>
      </c>
      <c r="E1404" t="s">
        <v>139</v>
      </c>
      <c r="F1404" t="s">
        <v>23</v>
      </c>
      <c r="G1404" t="s">
        <v>25</v>
      </c>
      <c r="H1404" s="3">
        <v>8</v>
      </c>
      <c r="I1404" s="3">
        <v>4608</v>
      </c>
      <c r="J1404" s="3">
        <v>36864</v>
      </c>
      <c r="K1404" s="3">
        <v>3200</v>
      </c>
      <c r="L1404" s="3">
        <v>25600</v>
      </c>
      <c r="M1404" s="3">
        <v>11264</v>
      </c>
      <c r="N1404" s="4">
        <v>0.30555555555555558</v>
      </c>
    </row>
    <row r="1405" spans="1:14" x14ac:dyDescent="0.3">
      <c r="A1405" s="6">
        <v>45758</v>
      </c>
      <c r="B1405" s="1" t="s">
        <v>1589</v>
      </c>
      <c r="C1405" s="1" t="s">
        <v>27</v>
      </c>
      <c r="D1405" t="s">
        <v>30</v>
      </c>
      <c r="E1405" t="s">
        <v>265</v>
      </c>
      <c r="F1405" t="s">
        <v>23</v>
      </c>
      <c r="G1405" t="s">
        <v>25</v>
      </c>
      <c r="H1405" s="3">
        <v>1</v>
      </c>
      <c r="I1405" s="3">
        <v>4096</v>
      </c>
      <c r="J1405" s="3">
        <v>4096</v>
      </c>
      <c r="K1405" s="3">
        <v>3200</v>
      </c>
      <c r="L1405" s="3">
        <v>3200</v>
      </c>
      <c r="M1405" s="3">
        <v>896</v>
      </c>
      <c r="N1405" s="4">
        <v>0.21875</v>
      </c>
    </row>
    <row r="1406" spans="1:14" x14ac:dyDescent="0.3">
      <c r="A1406" s="6">
        <v>45758</v>
      </c>
      <c r="B1406" s="1" t="s">
        <v>1590</v>
      </c>
      <c r="C1406" s="1" t="s">
        <v>27</v>
      </c>
      <c r="D1406" t="s">
        <v>31</v>
      </c>
      <c r="E1406" t="s">
        <v>273</v>
      </c>
      <c r="F1406" t="s">
        <v>17</v>
      </c>
      <c r="G1406" t="s">
        <v>18</v>
      </c>
      <c r="H1406" s="3">
        <v>3</v>
      </c>
      <c r="I1406" s="3">
        <v>10455</v>
      </c>
      <c r="J1406" s="3">
        <v>31365</v>
      </c>
      <c r="K1406" s="3">
        <v>8500</v>
      </c>
      <c r="L1406" s="3">
        <v>25500</v>
      </c>
      <c r="M1406" s="3">
        <v>5865</v>
      </c>
      <c r="N1406" s="4">
        <v>0.18699186991869918</v>
      </c>
    </row>
    <row r="1407" spans="1:14" x14ac:dyDescent="0.3">
      <c r="A1407" s="6">
        <v>45758</v>
      </c>
      <c r="B1407" s="1" t="s">
        <v>1591</v>
      </c>
      <c r="C1407" s="1" t="s">
        <v>26</v>
      </c>
      <c r="D1407" t="s">
        <v>31</v>
      </c>
      <c r="E1407" t="s">
        <v>45</v>
      </c>
      <c r="F1407" t="s">
        <v>17</v>
      </c>
      <c r="G1407" t="s">
        <v>18</v>
      </c>
      <c r="H1407" s="3">
        <v>7</v>
      </c>
      <c r="I1407" s="3">
        <v>12325</v>
      </c>
      <c r="J1407" s="3">
        <v>86275</v>
      </c>
      <c r="K1407" s="3">
        <v>8500</v>
      </c>
      <c r="L1407" s="3">
        <v>59500</v>
      </c>
      <c r="M1407" s="3">
        <v>26775</v>
      </c>
      <c r="N1407" s="4">
        <v>0.31034482758620691</v>
      </c>
    </row>
    <row r="1408" spans="1:14" x14ac:dyDescent="0.3">
      <c r="A1408" s="6">
        <v>45758</v>
      </c>
      <c r="B1408" s="1" t="s">
        <v>1592</v>
      </c>
      <c r="C1408" s="1" t="s">
        <v>28</v>
      </c>
      <c r="D1408" t="s">
        <v>33</v>
      </c>
      <c r="E1408" t="s">
        <v>186</v>
      </c>
      <c r="F1408" t="s">
        <v>23</v>
      </c>
      <c r="G1408" t="s">
        <v>25</v>
      </c>
      <c r="H1408" s="3">
        <v>4</v>
      </c>
      <c r="I1408" s="3">
        <v>4160</v>
      </c>
      <c r="J1408" s="3">
        <v>16640</v>
      </c>
      <c r="K1408" s="3">
        <v>3200</v>
      </c>
      <c r="L1408" s="3">
        <v>12800</v>
      </c>
      <c r="M1408" s="3">
        <v>3840</v>
      </c>
      <c r="N1408" s="4">
        <v>0.23076923076923078</v>
      </c>
    </row>
    <row r="1409" spans="1:14" x14ac:dyDescent="0.3">
      <c r="A1409" s="6">
        <v>45758</v>
      </c>
      <c r="B1409" s="1" t="s">
        <v>1593</v>
      </c>
      <c r="C1409" s="1" t="s">
        <v>28</v>
      </c>
      <c r="D1409" t="s">
        <v>31</v>
      </c>
      <c r="E1409" t="s">
        <v>275</v>
      </c>
      <c r="F1409" t="s">
        <v>17</v>
      </c>
      <c r="G1409" t="s">
        <v>18</v>
      </c>
      <c r="H1409" s="3">
        <v>1</v>
      </c>
      <c r="I1409" s="3">
        <v>10710</v>
      </c>
      <c r="J1409" s="3">
        <v>10710</v>
      </c>
      <c r="K1409" s="3">
        <v>8500</v>
      </c>
      <c r="L1409" s="3">
        <v>8500</v>
      </c>
      <c r="M1409" s="3">
        <v>2210</v>
      </c>
      <c r="N1409" s="4">
        <v>0.20634920634920634</v>
      </c>
    </row>
    <row r="1410" spans="1:14" x14ac:dyDescent="0.3">
      <c r="A1410" s="6">
        <v>45758</v>
      </c>
      <c r="B1410" s="1" t="s">
        <v>1594</v>
      </c>
      <c r="C1410" s="1" t="s">
        <v>26</v>
      </c>
      <c r="D1410" t="s">
        <v>34</v>
      </c>
      <c r="E1410" t="s">
        <v>280</v>
      </c>
      <c r="F1410" t="s">
        <v>14</v>
      </c>
      <c r="G1410" t="s">
        <v>15</v>
      </c>
      <c r="H1410" s="3">
        <v>4</v>
      </c>
      <c r="I1410" s="3">
        <v>65250</v>
      </c>
      <c r="J1410" s="3">
        <v>261000</v>
      </c>
      <c r="K1410" s="3">
        <v>45000</v>
      </c>
      <c r="L1410" s="3">
        <v>180000</v>
      </c>
      <c r="M1410" s="3">
        <v>81000</v>
      </c>
      <c r="N1410" s="4">
        <v>0.31034482758620691</v>
      </c>
    </row>
    <row r="1411" spans="1:14" x14ac:dyDescent="0.3">
      <c r="A1411" s="6">
        <v>45758</v>
      </c>
      <c r="B1411" s="1" t="s">
        <v>1595</v>
      </c>
      <c r="C1411" s="1" t="s">
        <v>28</v>
      </c>
      <c r="D1411" t="s">
        <v>33</v>
      </c>
      <c r="E1411" t="s">
        <v>67</v>
      </c>
      <c r="F1411" t="s">
        <v>23</v>
      </c>
      <c r="G1411" t="s">
        <v>25</v>
      </c>
      <c r="H1411" s="3">
        <v>10</v>
      </c>
      <c r="I1411" s="3">
        <v>3968</v>
      </c>
      <c r="J1411" s="3">
        <v>39680</v>
      </c>
      <c r="K1411" s="3">
        <v>3200</v>
      </c>
      <c r="L1411" s="3">
        <v>32000</v>
      </c>
      <c r="M1411" s="3">
        <v>7680</v>
      </c>
      <c r="N1411" s="4">
        <v>0.19354838709677419</v>
      </c>
    </row>
    <row r="1412" spans="1:14" x14ac:dyDescent="0.3">
      <c r="A1412" s="6">
        <v>45758</v>
      </c>
      <c r="B1412" s="1" t="s">
        <v>1596</v>
      </c>
      <c r="C1412" s="1" t="s">
        <v>27</v>
      </c>
      <c r="D1412" t="s">
        <v>30</v>
      </c>
      <c r="E1412" t="s">
        <v>308</v>
      </c>
      <c r="F1412" t="s">
        <v>22</v>
      </c>
      <c r="G1412" t="s">
        <v>18</v>
      </c>
      <c r="H1412" s="3">
        <v>10</v>
      </c>
      <c r="I1412" s="3">
        <v>9240</v>
      </c>
      <c r="J1412" s="3">
        <v>92400</v>
      </c>
      <c r="K1412" s="3">
        <v>7000</v>
      </c>
      <c r="L1412" s="3">
        <v>70000</v>
      </c>
      <c r="M1412" s="3">
        <v>22400</v>
      </c>
      <c r="N1412" s="4">
        <v>0.24242424242424243</v>
      </c>
    </row>
    <row r="1413" spans="1:14" x14ac:dyDescent="0.3">
      <c r="A1413" s="6">
        <v>45758</v>
      </c>
      <c r="B1413" s="1" t="s">
        <v>1597</v>
      </c>
      <c r="C1413" s="1" t="s">
        <v>27</v>
      </c>
      <c r="D1413" t="s">
        <v>33</v>
      </c>
      <c r="E1413" t="s">
        <v>357</v>
      </c>
      <c r="F1413" t="s">
        <v>21</v>
      </c>
      <c r="G1413" t="s">
        <v>20</v>
      </c>
      <c r="H1413" s="3">
        <v>9</v>
      </c>
      <c r="I1413" s="3">
        <v>732</v>
      </c>
      <c r="J1413" s="3">
        <v>6588</v>
      </c>
      <c r="K1413" s="3">
        <v>600</v>
      </c>
      <c r="L1413" s="3">
        <v>5400</v>
      </c>
      <c r="M1413" s="3">
        <v>1188</v>
      </c>
      <c r="N1413" s="4">
        <v>0.18032786885245902</v>
      </c>
    </row>
    <row r="1414" spans="1:14" x14ac:dyDescent="0.3">
      <c r="A1414" s="6">
        <v>45759</v>
      </c>
      <c r="B1414" s="1" t="s">
        <v>1598</v>
      </c>
      <c r="C1414" s="1" t="s">
        <v>26</v>
      </c>
      <c r="D1414" t="s">
        <v>32</v>
      </c>
      <c r="E1414" t="s">
        <v>65</v>
      </c>
      <c r="F1414" t="s">
        <v>22</v>
      </c>
      <c r="G1414" t="s">
        <v>18</v>
      </c>
      <c r="H1414" s="3">
        <v>1</v>
      </c>
      <c r="I1414" s="3">
        <v>8960</v>
      </c>
      <c r="J1414" s="3">
        <v>8960</v>
      </c>
      <c r="K1414" s="3">
        <v>7000</v>
      </c>
      <c r="L1414" s="3">
        <v>7000</v>
      </c>
      <c r="M1414" s="3">
        <v>1960</v>
      </c>
      <c r="N1414" s="4">
        <v>0.21875</v>
      </c>
    </row>
    <row r="1415" spans="1:14" x14ac:dyDescent="0.3">
      <c r="A1415" s="6">
        <v>45759</v>
      </c>
      <c r="B1415" s="1" t="s">
        <v>1599</v>
      </c>
      <c r="C1415" s="1" t="s">
        <v>29</v>
      </c>
      <c r="D1415" t="s">
        <v>31</v>
      </c>
      <c r="E1415" t="s">
        <v>351</v>
      </c>
      <c r="F1415" t="s">
        <v>16</v>
      </c>
      <c r="G1415" t="s">
        <v>15</v>
      </c>
      <c r="H1415" s="3">
        <v>1</v>
      </c>
      <c r="I1415" s="3">
        <v>54720</v>
      </c>
      <c r="J1415" s="3">
        <v>54720</v>
      </c>
      <c r="K1415" s="3">
        <v>38000</v>
      </c>
      <c r="L1415" s="3">
        <v>38000</v>
      </c>
      <c r="M1415" s="3">
        <v>16720</v>
      </c>
      <c r="N1415" s="4">
        <v>0.30555555555555558</v>
      </c>
    </row>
    <row r="1416" spans="1:14" x14ac:dyDescent="0.3">
      <c r="A1416" s="6">
        <v>45759</v>
      </c>
      <c r="B1416" s="1" t="s">
        <v>1600</v>
      </c>
      <c r="C1416" s="1" t="s">
        <v>28</v>
      </c>
      <c r="D1416" t="s">
        <v>32</v>
      </c>
      <c r="E1416" t="s">
        <v>65</v>
      </c>
      <c r="F1416" t="s">
        <v>17</v>
      </c>
      <c r="G1416" t="s">
        <v>18</v>
      </c>
      <c r="H1416" s="3">
        <v>6</v>
      </c>
      <c r="I1416" s="3">
        <v>12325</v>
      </c>
      <c r="J1416" s="3">
        <v>73950</v>
      </c>
      <c r="K1416" s="3">
        <v>8500</v>
      </c>
      <c r="L1416" s="3">
        <v>51000</v>
      </c>
      <c r="M1416" s="3">
        <v>22950</v>
      </c>
      <c r="N1416" s="4">
        <v>0.31034482758620691</v>
      </c>
    </row>
    <row r="1417" spans="1:14" x14ac:dyDescent="0.3">
      <c r="A1417" s="6">
        <v>45759</v>
      </c>
      <c r="B1417" s="1" t="s">
        <v>1601</v>
      </c>
      <c r="C1417" s="1" t="s">
        <v>29</v>
      </c>
      <c r="D1417" t="s">
        <v>32</v>
      </c>
      <c r="E1417" t="s">
        <v>189</v>
      </c>
      <c r="F1417" t="s">
        <v>16</v>
      </c>
      <c r="G1417" t="s">
        <v>15</v>
      </c>
      <c r="H1417" s="3">
        <v>4</v>
      </c>
      <c r="I1417" s="3">
        <v>53580</v>
      </c>
      <c r="J1417" s="3">
        <v>214320</v>
      </c>
      <c r="K1417" s="3">
        <v>38000</v>
      </c>
      <c r="L1417" s="3">
        <v>152000</v>
      </c>
      <c r="M1417" s="3">
        <v>62320</v>
      </c>
      <c r="N1417" s="4">
        <v>0.29078014184397161</v>
      </c>
    </row>
    <row r="1418" spans="1:14" x14ac:dyDescent="0.3">
      <c r="A1418" s="6">
        <v>45759</v>
      </c>
      <c r="B1418" s="1" t="s">
        <v>1602</v>
      </c>
      <c r="C1418" s="1" t="s">
        <v>28</v>
      </c>
      <c r="D1418" t="s">
        <v>34</v>
      </c>
      <c r="E1418" t="s">
        <v>157</v>
      </c>
      <c r="F1418" t="s">
        <v>24</v>
      </c>
      <c r="G1418" t="s">
        <v>25</v>
      </c>
      <c r="H1418" s="3">
        <v>9</v>
      </c>
      <c r="I1418" s="3">
        <v>3125</v>
      </c>
      <c r="J1418" s="3">
        <v>28125</v>
      </c>
      <c r="K1418" s="3">
        <v>2500</v>
      </c>
      <c r="L1418" s="3">
        <v>22500</v>
      </c>
      <c r="M1418" s="3">
        <v>5625</v>
      </c>
      <c r="N1418" s="4">
        <v>0.2</v>
      </c>
    </row>
    <row r="1419" spans="1:14" x14ac:dyDescent="0.3">
      <c r="A1419" s="6">
        <v>45759</v>
      </c>
      <c r="B1419" s="1" t="s">
        <v>1603</v>
      </c>
      <c r="C1419" s="1" t="s">
        <v>26</v>
      </c>
      <c r="D1419" t="s">
        <v>33</v>
      </c>
      <c r="E1419" t="s">
        <v>55</v>
      </c>
      <c r="F1419" t="s">
        <v>23</v>
      </c>
      <c r="G1419" t="s">
        <v>25</v>
      </c>
      <c r="H1419" s="3">
        <v>1</v>
      </c>
      <c r="I1419" s="3">
        <v>4448</v>
      </c>
      <c r="J1419" s="3">
        <v>4448</v>
      </c>
      <c r="K1419" s="3">
        <v>3200</v>
      </c>
      <c r="L1419" s="3">
        <v>3200</v>
      </c>
      <c r="M1419" s="3">
        <v>1248</v>
      </c>
      <c r="N1419" s="4">
        <v>0.2805755395683453</v>
      </c>
    </row>
    <row r="1420" spans="1:14" x14ac:dyDescent="0.3">
      <c r="A1420" s="6">
        <v>45759</v>
      </c>
      <c r="B1420" s="1" t="s">
        <v>1604</v>
      </c>
      <c r="C1420" s="1" t="s">
        <v>27</v>
      </c>
      <c r="D1420" t="s">
        <v>33</v>
      </c>
      <c r="E1420" t="s">
        <v>147</v>
      </c>
      <c r="F1420" t="s">
        <v>22</v>
      </c>
      <c r="G1420" t="s">
        <v>18</v>
      </c>
      <c r="H1420" s="3">
        <v>7</v>
      </c>
      <c r="I1420" s="3">
        <v>8750</v>
      </c>
      <c r="J1420" s="3">
        <v>61250</v>
      </c>
      <c r="K1420" s="3">
        <v>7000</v>
      </c>
      <c r="L1420" s="3">
        <v>49000</v>
      </c>
      <c r="M1420" s="3">
        <v>12250</v>
      </c>
      <c r="N1420" s="4">
        <v>0.2</v>
      </c>
    </row>
    <row r="1421" spans="1:14" x14ac:dyDescent="0.3">
      <c r="A1421" s="6">
        <v>45759</v>
      </c>
      <c r="B1421" s="1" t="s">
        <v>1605</v>
      </c>
      <c r="C1421" s="1" t="s">
        <v>28</v>
      </c>
      <c r="D1421" t="s">
        <v>34</v>
      </c>
      <c r="E1421" t="s">
        <v>239</v>
      </c>
      <c r="F1421" t="s">
        <v>24</v>
      </c>
      <c r="G1421" t="s">
        <v>25</v>
      </c>
      <c r="H1421" s="3">
        <v>5</v>
      </c>
      <c r="I1421" s="3">
        <v>3399.9999999999995</v>
      </c>
      <c r="J1421" s="3">
        <v>16999.999999999996</v>
      </c>
      <c r="K1421" s="3">
        <v>2500</v>
      </c>
      <c r="L1421" s="3">
        <v>12500</v>
      </c>
      <c r="M1421" s="3">
        <v>4499.9999999999964</v>
      </c>
      <c r="N1421" s="4">
        <v>0.26470588235294101</v>
      </c>
    </row>
    <row r="1422" spans="1:14" x14ac:dyDescent="0.3">
      <c r="A1422" s="6">
        <v>45759</v>
      </c>
      <c r="B1422" s="1" t="s">
        <v>1606</v>
      </c>
      <c r="C1422" s="1" t="s">
        <v>29</v>
      </c>
      <c r="D1422" t="s">
        <v>33</v>
      </c>
      <c r="E1422" t="s">
        <v>807</v>
      </c>
      <c r="F1422" t="s">
        <v>23</v>
      </c>
      <c r="G1422" t="s">
        <v>25</v>
      </c>
      <c r="H1422" s="3">
        <v>1</v>
      </c>
      <c r="I1422" s="3">
        <v>4480</v>
      </c>
      <c r="J1422" s="3">
        <v>4480</v>
      </c>
      <c r="K1422" s="3">
        <v>3200</v>
      </c>
      <c r="L1422" s="3">
        <v>3200</v>
      </c>
      <c r="M1422" s="3">
        <v>1280</v>
      </c>
      <c r="N1422" s="4">
        <v>0.2857142857142857</v>
      </c>
    </row>
    <row r="1423" spans="1:14" x14ac:dyDescent="0.3">
      <c r="A1423" s="6">
        <v>45759</v>
      </c>
      <c r="B1423" s="1" t="s">
        <v>1607</v>
      </c>
      <c r="C1423" s="1" t="s">
        <v>28</v>
      </c>
      <c r="D1423" t="s">
        <v>31</v>
      </c>
      <c r="E1423" t="s">
        <v>142</v>
      </c>
      <c r="F1423" t="s">
        <v>17</v>
      </c>
      <c r="G1423" t="s">
        <v>18</v>
      </c>
      <c r="H1423" s="3">
        <v>7</v>
      </c>
      <c r="I1423" s="3">
        <v>11900</v>
      </c>
      <c r="J1423" s="3">
        <v>83300</v>
      </c>
      <c r="K1423" s="3">
        <v>8500</v>
      </c>
      <c r="L1423" s="3">
        <v>59500</v>
      </c>
      <c r="M1423" s="3">
        <v>23800</v>
      </c>
      <c r="N1423" s="4">
        <v>0.2857142857142857</v>
      </c>
    </row>
    <row r="1424" spans="1:14" x14ac:dyDescent="0.3">
      <c r="A1424" s="6">
        <v>45759</v>
      </c>
      <c r="B1424" s="1" t="s">
        <v>1608</v>
      </c>
      <c r="C1424" s="1" t="s">
        <v>26</v>
      </c>
      <c r="D1424" t="s">
        <v>32</v>
      </c>
      <c r="E1424" t="s">
        <v>49</v>
      </c>
      <c r="F1424" t="s">
        <v>23</v>
      </c>
      <c r="G1424" t="s">
        <v>25</v>
      </c>
      <c r="H1424" s="3">
        <v>1</v>
      </c>
      <c r="I1424" s="3">
        <v>3904</v>
      </c>
      <c r="J1424" s="3">
        <v>3904</v>
      </c>
      <c r="K1424" s="3">
        <v>3200</v>
      </c>
      <c r="L1424" s="3">
        <v>3200</v>
      </c>
      <c r="M1424" s="3">
        <v>704</v>
      </c>
      <c r="N1424" s="4">
        <v>0.18032786885245902</v>
      </c>
    </row>
    <row r="1425" spans="1:14" x14ac:dyDescent="0.3">
      <c r="A1425" s="6">
        <v>45759</v>
      </c>
      <c r="B1425" s="1" t="s">
        <v>1609</v>
      </c>
      <c r="C1425" s="1" t="s">
        <v>27</v>
      </c>
      <c r="D1425" t="s">
        <v>30</v>
      </c>
      <c r="E1425" t="s">
        <v>61</v>
      </c>
      <c r="F1425" t="s">
        <v>19</v>
      </c>
      <c r="G1425" t="s">
        <v>20</v>
      </c>
      <c r="H1425" s="3">
        <v>1</v>
      </c>
      <c r="I1425" s="3">
        <v>1188</v>
      </c>
      <c r="J1425" s="3">
        <v>1188</v>
      </c>
      <c r="K1425" s="3">
        <v>900</v>
      </c>
      <c r="L1425" s="3">
        <v>900</v>
      </c>
      <c r="M1425" s="3">
        <v>288</v>
      </c>
      <c r="N1425" s="4">
        <v>0.24242424242424243</v>
      </c>
    </row>
    <row r="1426" spans="1:14" x14ac:dyDescent="0.3">
      <c r="A1426" s="6">
        <v>45759</v>
      </c>
      <c r="B1426" s="1" t="s">
        <v>1610</v>
      </c>
      <c r="C1426" s="1" t="s">
        <v>26</v>
      </c>
      <c r="D1426" t="s">
        <v>34</v>
      </c>
      <c r="E1426" t="s">
        <v>292</v>
      </c>
      <c r="F1426" t="s">
        <v>22</v>
      </c>
      <c r="G1426" t="s">
        <v>18</v>
      </c>
      <c r="H1426" s="3">
        <v>8</v>
      </c>
      <c r="I1426" s="3">
        <v>9870</v>
      </c>
      <c r="J1426" s="3">
        <v>78960</v>
      </c>
      <c r="K1426" s="3">
        <v>7000</v>
      </c>
      <c r="L1426" s="3">
        <v>56000</v>
      </c>
      <c r="M1426" s="3">
        <v>22960</v>
      </c>
      <c r="N1426" s="4">
        <v>0.29078014184397161</v>
      </c>
    </row>
    <row r="1427" spans="1:14" x14ac:dyDescent="0.3">
      <c r="A1427" s="6">
        <v>45759</v>
      </c>
      <c r="B1427" s="1" t="s">
        <v>1611</v>
      </c>
      <c r="C1427" s="1" t="s">
        <v>28</v>
      </c>
      <c r="D1427" t="s">
        <v>34</v>
      </c>
      <c r="E1427" t="s">
        <v>361</v>
      </c>
      <c r="F1427" t="s">
        <v>16</v>
      </c>
      <c r="G1427" t="s">
        <v>15</v>
      </c>
      <c r="H1427" s="3">
        <v>4</v>
      </c>
      <c r="I1427" s="3">
        <v>51300</v>
      </c>
      <c r="J1427" s="3">
        <v>205200</v>
      </c>
      <c r="K1427" s="3">
        <v>38000</v>
      </c>
      <c r="L1427" s="3">
        <v>152000</v>
      </c>
      <c r="M1427" s="3">
        <v>53200</v>
      </c>
      <c r="N1427" s="4">
        <v>0.25925925925925924</v>
      </c>
    </row>
    <row r="1428" spans="1:14" x14ac:dyDescent="0.3">
      <c r="A1428" s="6">
        <v>45760</v>
      </c>
      <c r="B1428" s="1" t="s">
        <v>1612</v>
      </c>
      <c r="C1428" s="1" t="s">
        <v>27</v>
      </c>
      <c r="D1428" t="s">
        <v>31</v>
      </c>
      <c r="E1428" t="s">
        <v>268</v>
      </c>
      <c r="F1428" t="s">
        <v>24</v>
      </c>
      <c r="G1428" t="s">
        <v>25</v>
      </c>
      <c r="H1428" s="3">
        <v>4</v>
      </c>
      <c r="I1428" s="3">
        <v>3250</v>
      </c>
      <c r="J1428" s="3">
        <v>13000</v>
      </c>
      <c r="K1428" s="3">
        <v>2500</v>
      </c>
      <c r="L1428" s="3">
        <v>10000</v>
      </c>
      <c r="M1428" s="3">
        <v>3000</v>
      </c>
      <c r="N1428" s="4">
        <v>0.23076923076923078</v>
      </c>
    </row>
    <row r="1429" spans="1:14" x14ac:dyDescent="0.3">
      <c r="A1429" s="6">
        <v>45760</v>
      </c>
      <c r="B1429" s="1" t="s">
        <v>1613</v>
      </c>
      <c r="C1429" s="1" t="s">
        <v>29</v>
      </c>
      <c r="D1429" t="s">
        <v>30</v>
      </c>
      <c r="E1429" t="s">
        <v>92</v>
      </c>
      <c r="F1429" t="s">
        <v>19</v>
      </c>
      <c r="G1429" t="s">
        <v>20</v>
      </c>
      <c r="H1429" s="3">
        <v>5</v>
      </c>
      <c r="I1429" s="3">
        <v>1215</v>
      </c>
      <c r="J1429" s="3">
        <v>6075</v>
      </c>
      <c r="K1429" s="3">
        <v>900</v>
      </c>
      <c r="L1429" s="3">
        <v>4500</v>
      </c>
      <c r="M1429" s="3">
        <v>1575</v>
      </c>
      <c r="N1429" s="4">
        <v>0.25925925925925924</v>
      </c>
    </row>
    <row r="1430" spans="1:14" x14ac:dyDescent="0.3">
      <c r="A1430" s="6">
        <v>45760</v>
      </c>
      <c r="B1430" s="1" t="s">
        <v>1614</v>
      </c>
      <c r="C1430" s="1" t="s">
        <v>26</v>
      </c>
      <c r="D1430" t="s">
        <v>34</v>
      </c>
      <c r="E1430" t="s">
        <v>45</v>
      </c>
      <c r="F1430" t="s">
        <v>22</v>
      </c>
      <c r="G1430" t="s">
        <v>18</v>
      </c>
      <c r="H1430" s="3">
        <v>5</v>
      </c>
      <c r="I1430" s="3">
        <v>8540</v>
      </c>
      <c r="J1430" s="3">
        <v>42700</v>
      </c>
      <c r="K1430" s="3">
        <v>7000</v>
      </c>
      <c r="L1430" s="3">
        <v>35000</v>
      </c>
      <c r="M1430" s="3">
        <v>7700</v>
      </c>
      <c r="N1430" s="4">
        <v>0.18032786885245902</v>
      </c>
    </row>
    <row r="1431" spans="1:14" x14ac:dyDescent="0.3">
      <c r="A1431" s="6">
        <v>45760</v>
      </c>
      <c r="B1431" s="1" t="s">
        <v>1615</v>
      </c>
      <c r="C1431" s="1" t="s">
        <v>26</v>
      </c>
      <c r="D1431" t="s">
        <v>30</v>
      </c>
      <c r="E1431" t="s">
        <v>169</v>
      </c>
      <c r="F1431" t="s">
        <v>17</v>
      </c>
      <c r="G1431" t="s">
        <v>18</v>
      </c>
      <c r="H1431" s="3">
        <v>7</v>
      </c>
      <c r="I1431" s="3">
        <v>11730</v>
      </c>
      <c r="J1431" s="3">
        <v>82110</v>
      </c>
      <c r="K1431" s="3">
        <v>8500</v>
      </c>
      <c r="L1431" s="3">
        <v>59500</v>
      </c>
      <c r="M1431" s="3">
        <v>22610</v>
      </c>
      <c r="N1431" s="4">
        <v>0.27536231884057971</v>
      </c>
    </row>
    <row r="1432" spans="1:14" x14ac:dyDescent="0.3">
      <c r="A1432" s="6">
        <v>45760</v>
      </c>
      <c r="B1432" s="1" t="s">
        <v>1616</v>
      </c>
      <c r="C1432" s="1" t="s">
        <v>29</v>
      </c>
      <c r="D1432" t="s">
        <v>30</v>
      </c>
      <c r="E1432" t="s">
        <v>302</v>
      </c>
      <c r="F1432" t="s">
        <v>21</v>
      </c>
      <c r="G1432" t="s">
        <v>20</v>
      </c>
      <c r="H1432" s="3">
        <v>1</v>
      </c>
      <c r="I1432" s="3">
        <v>827.99999999999989</v>
      </c>
      <c r="J1432" s="3">
        <v>827.99999999999989</v>
      </c>
      <c r="K1432" s="3">
        <v>600</v>
      </c>
      <c r="L1432" s="3">
        <v>600</v>
      </c>
      <c r="M1432" s="3">
        <v>227.99999999999989</v>
      </c>
      <c r="N1432" s="4">
        <v>0.2753623188405796</v>
      </c>
    </row>
    <row r="1433" spans="1:14" x14ac:dyDescent="0.3">
      <c r="A1433" s="6">
        <v>45760</v>
      </c>
      <c r="B1433" s="1" t="s">
        <v>1617</v>
      </c>
      <c r="C1433" s="1" t="s">
        <v>26</v>
      </c>
      <c r="D1433" t="s">
        <v>32</v>
      </c>
      <c r="E1433" t="s">
        <v>184</v>
      </c>
      <c r="F1433" t="s">
        <v>19</v>
      </c>
      <c r="G1433" t="s">
        <v>20</v>
      </c>
      <c r="H1433" s="3">
        <v>7</v>
      </c>
      <c r="I1433" s="3">
        <v>1233</v>
      </c>
      <c r="J1433" s="3">
        <v>8631</v>
      </c>
      <c r="K1433" s="3">
        <v>900</v>
      </c>
      <c r="L1433" s="3">
        <v>6300</v>
      </c>
      <c r="M1433" s="3">
        <v>2331</v>
      </c>
      <c r="N1433" s="4">
        <v>0.27007299270072993</v>
      </c>
    </row>
    <row r="1434" spans="1:14" x14ac:dyDescent="0.3">
      <c r="A1434" s="6">
        <v>45760</v>
      </c>
      <c r="B1434" s="1" t="s">
        <v>1618</v>
      </c>
      <c r="C1434" s="1" t="s">
        <v>26</v>
      </c>
      <c r="D1434" t="s">
        <v>30</v>
      </c>
      <c r="E1434" t="s">
        <v>198</v>
      </c>
      <c r="F1434" t="s">
        <v>14</v>
      </c>
      <c r="G1434" t="s">
        <v>15</v>
      </c>
      <c r="H1434" s="3">
        <v>1</v>
      </c>
      <c r="I1434" s="3">
        <v>62550.000000000007</v>
      </c>
      <c r="J1434" s="3">
        <v>62550.000000000007</v>
      </c>
      <c r="K1434" s="3">
        <v>45000</v>
      </c>
      <c r="L1434" s="3">
        <v>45000</v>
      </c>
      <c r="M1434" s="3">
        <v>17550.000000000007</v>
      </c>
      <c r="N1434" s="4">
        <v>0.28057553956834541</v>
      </c>
    </row>
    <row r="1435" spans="1:14" x14ac:dyDescent="0.3">
      <c r="A1435" s="6">
        <v>45760</v>
      </c>
      <c r="B1435" s="1" t="s">
        <v>1619</v>
      </c>
      <c r="C1435" s="1" t="s">
        <v>27</v>
      </c>
      <c r="D1435" t="s">
        <v>32</v>
      </c>
      <c r="E1435" t="s">
        <v>265</v>
      </c>
      <c r="F1435" t="s">
        <v>19</v>
      </c>
      <c r="G1435" t="s">
        <v>20</v>
      </c>
      <c r="H1435" s="3">
        <v>8</v>
      </c>
      <c r="I1435" s="3">
        <v>1161</v>
      </c>
      <c r="J1435" s="3">
        <v>9288</v>
      </c>
      <c r="K1435" s="3">
        <v>900</v>
      </c>
      <c r="L1435" s="3">
        <v>7200</v>
      </c>
      <c r="M1435" s="3">
        <v>2088</v>
      </c>
      <c r="N1435" s="4">
        <v>0.22480620155038761</v>
      </c>
    </row>
    <row r="1436" spans="1:14" x14ac:dyDescent="0.3">
      <c r="A1436" s="6">
        <v>45760</v>
      </c>
      <c r="B1436" s="1" t="s">
        <v>1620</v>
      </c>
      <c r="C1436" s="1" t="s">
        <v>27</v>
      </c>
      <c r="D1436" t="s">
        <v>34</v>
      </c>
      <c r="E1436" t="s">
        <v>59</v>
      </c>
      <c r="F1436" t="s">
        <v>14</v>
      </c>
      <c r="G1436" t="s">
        <v>15</v>
      </c>
      <c r="H1436" s="3">
        <v>8</v>
      </c>
      <c r="I1436" s="3">
        <v>62550.000000000007</v>
      </c>
      <c r="J1436" s="3">
        <v>500400.00000000006</v>
      </c>
      <c r="K1436" s="3">
        <v>45000</v>
      </c>
      <c r="L1436" s="3">
        <v>360000</v>
      </c>
      <c r="M1436" s="3">
        <v>140400.00000000006</v>
      </c>
      <c r="N1436" s="4">
        <v>0.28057553956834541</v>
      </c>
    </row>
    <row r="1437" spans="1:14" x14ac:dyDescent="0.3">
      <c r="A1437" s="6">
        <v>45760</v>
      </c>
      <c r="B1437" s="1" t="s">
        <v>1621</v>
      </c>
      <c r="C1437" s="1" t="s">
        <v>29</v>
      </c>
      <c r="D1437" t="s">
        <v>30</v>
      </c>
      <c r="E1437" t="s">
        <v>807</v>
      </c>
      <c r="F1437" t="s">
        <v>24</v>
      </c>
      <c r="G1437" t="s">
        <v>25</v>
      </c>
      <c r="H1437" s="3">
        <v>5</v>
      </c>
      <c r="I1437" s="3">
        <v>3625</v>
      </c>
      <c r="J1437" s="3">
        <v>18125</v>
      </c>
      <c r="K1437" s="3">
        <v>2500</v>
      </c>
      <c r="L1437" s="3">
        <v>12500</v>
      </c>
      <c r="M1437" s="3">
        <v>5625</v>
      </c>
      <c r="N1437" s="4">
        <v>0.31034482758620691</v>
      </c>
    </row>
    <row r="1438" spans="1:14" x14ac:dyDescent="0.3">
      <c r="A1438" s="6">
        <v>45760</v>
      </c>
      <c r="B1438" s="1" t="s">
        <v>1622</v>
      </c>
      <c r="C1438" s="1" t="s">
        <v>28</v>
      </c>
      <c r="D1438" t="s">
        <v>32</v>
      </c>
      <c r="E1438" t="s">
        <v>582</v>
      </c>
      <c r="F1438" t="s">
        <v>14</v>
      </c>
      <c r="G1438" t="s">
        <v>15</v>
      </c>
      <c r="H1438" s="3">
        <v>10</v>
      </c>
      <c r="I1438" s="3">
        <v>56250</v>
      </c>
      <c r="J1438" s="3">
        <v>562500</v>
      </c>
      <c r="K1438" s="3">
        <v>45000</v>
      </c>
      <c r="L1438" s="3">
        <v>450000</v>
      </c>
      <c r="M1438" s="3">
        <v>112500</v>
      </c>
      <c r="N1438" s="4">
        <v>0.2</v>
      </c>
    </row>
    <row r="1439" spans="1:14" x14ac:dyDescent="0.3">
      <c r="A1439" s="6">
        <v>45760</v>
      </c>
      <c r="B1439" s="1" t="s">
        <v>1623</v>
      </c>
      <c r="C1439" s="1" t="s">
        <v>29</v>
      </c>
      <c r="D1439" t="s">
        <v>32</v>
      </c>
      <c r="E1439" t="s">
        <v>304</v>
      </c>
      <c r="F1439" t="s">
        <v>14</v>
      </c>
      <c r="G1439" t="s">
        <v>15</v>
      </c>
      <c r="H1439" s="3">
        <v>6</v>
      </c>
      <c r="I1439" s="3">
        <v>57600</v>
      </c>
      <c r="J1439" s="3">
        <v>345600</v>
      </c>
      <c r="K1439" s="3">
        <v>45000</v>
      </c>
      <c r="L1439" s="3">
        <v>270000</v>
      </c>
      <c r="M1439" s="3">
        <v>75600</v>
      </c>
      <c r="N1439" s="4">
        <v>0.21875</v>
      </c>
    </row>
    <row r="1440" spans="1:14" x14ac:dyDescent="0.3">
      <c r="A1440" s="6">
        <v>45760</v>
      </c>
      <c r="B1440" s="1" t="s">
        <v>1624</v>
      </c>
      <c r="C1440" s="1" t="s">
        <v>28</v>
      </c>
      <c r="D1440" t="s">
        <v>33</v>
      </c>
      <c r="E1440" t="s">
        <v>204</v>
      </c>
      <c r="F1440" t="s">
        <v>23</v>
      </c>
      <c r="G1440" t="s">
        <v>25</v>
      </c>
      <c r="H1440" s="3">
        <v>4</v>
      </c>
      <c r="I1440" s="3">
        <v>3968</v>
      </c>
      <c r="J1440" s="3">
        <v>15872</v>
      </c>
      <c r="K1440" s="3">
        <v>3200</v>
      </c>
      <c r="L1440" s="3">
        <v>12800</v>
      </c>
      <c r="M1440" s="3">
        <v>3072</v>
      </c>
      <c r="N1440" s="4">
        <v>0.19354838709677419</v>
      </c>
    </row>
    <row r="1441" spans="1:14" x14ac:dyDescent="0.3">
      <c r="A1441" s="6">
        <v>45760</v>
      </c>
      <c r="B1441" s="1" t="s">
        <v>1625</v>
      </c>
      <c r="C1441" s="1" t="s">
        <v>27</v>
      </c>
      <c r="D1441" t="s">
        <v>35</v>
      </c>
      <c r="E1441" t="s">
        <v>106</v>
      </c>
      <c r="F1441" t="s">
        <v>24</v>
      </c>
      <c r="G1441" t="s">
        <v>25</v>
      </c>
      <c r="H1441" s="3">
        <v>6</v>
      </c>
      <c r="I1441" s="3">
        <v>3375</v>
      </c>
      <c r="J1441" s="3">
        <v>20250</v>
      </c>
      <c r="K1441" s="3">
        <v>2500</v>
      </c>
      <c r="L1441" s="3">
        <v>15000</v>
      </c>
      <c r="M1441" s="3">
        <v>5250</v>
      </c>
      <c r="N1441" s="4">
        <v>0.25925925925925924</v>
      </c>
    </row>
    <row r="1442" spans="1:14" x14ac:dyDescent="0.3">
      <c r="A1442" s="6">
        <v>45761</v>
      </c>
      <c r="B1442" s="1" t="s">
        <v>1626</v>
      </c>
      <c r="C1442" s="1" t="s">
        <v>27</v>
      </c>
      <c r="D1442" t="s">
        <v>34</v>
      </c>
      <c r="E1442" t="s">
        <v>106</v>
      </c>
      <c r="F1442" t="s">
        <v>19</v>
      </c>
      <c r="G1442" t="s">
        <v>20</v>
      </c>
      <c r="H1442" s="3">
        <v>6</v>
      </c>
      <c r="I1442" s="3">
        <v>1152</v>
      </c>
      <c r="J1442" s="3">
        <v>6912</v>
      </c>
      <c r="K1442" s="3">
        <v>900</v>
      </c>
      <c r="L1442" s="3">
        <v>5400</v>
      </c>
      <c r="M1442" s="3">
        <v>1512</v>
      </c>
      <c r="N1442" s="4">
        <v>0.21875</v>
      </c>
    </row>
    <row r="1443" spans="1:14" x14ac:dyDescent="0.3">
      <c r="A1443" s="6">
        <v>45761</v>
      </c>
      <c r="B1443" s="1" t="s">
        <v>1627</v>
      </c>
      <c r="C1443" s="1" t="s">
        <v>27</v>
      </c>
      <c r="D1443" t="s">
        <v>32</v>
      </c>
      <c r="E1443" t="s">
        <v>411</v>
      </c>
      <c r="F1443" t="s">
        <v>19</v>
      </c>
      <c r="G1443" t="s">
        <v>20</v>
      </c>
      <c r="H1443" s="3">
        <v>8</v>
      </c>
      <c r="I1443" s="3">
        <v>1089</v>
      </c>
      <c r="J1443" s="3">
        <v>8712</v>
      </c>
      <c r="K1443" s="3">
        <v>900</v>
      </c>
      <c r="L1443" s="3">
        <v>7200</v>
      </c>
      <c r="M1443" s="3">
        <v>1512</v>
      </c>
      <c r="N1443" s="4">
        <v>0.17355371900826447</v>
      </c>
    </row>
    <row r="1444" spans="1:14" x14ac:dyDescent="0.3">
      <c r="A1444" s="6">
        <v>45761</v>
      </c>
      <c r="B1444" s="1" t="s">
        <v>1628</v>
      </c>
      <c r="C1444" s="1" t="s">
        <v>28</v>
      </c>
      <c r="D1444" t="s">
        <v>33</v>
      </c>
      <c r="E1444" t="s">
        <v>134</v>
      </c>
      <c r="F1444" t="s">
        <v>19</v>
      </c>
      <c r="G1444" t="s">
        <v>20</v>
      </c>
      <c r="H1444" s="3">
        <v>6</v>
      </c>
      <c r="I1444" s="3">
        <v>1260</v>
      </c>
      <c r="J1444" s="3">
        <v>7560</v>
      </c>
      <c r="K1444" s="3">
        <v>900</v>
      </c>
      <c r="L1444" s="3">
        <v>5400</v>
      </c>
      <c r="M1444" s="3">
        <v>2160</v>
      </c>
      <c r="N1444" s="4">
        <v>0.2857142857142857</v>
      </c>
    </row>
    <row r="1445" spans="1:14" x14ac:dyDescent="0.3">
      <c r="A1445" s="6">
        <v>45761</v>
      </c>
      <c r="B1445" s="1" t="s">
        <v>1629</v>
      </c>
      <c r="C1445" s="1" t="s">
        <v>26</v>
      </c>
      <c r="D1445" t="s">
        <v>32</v>
      </c>
      <c r="E1445" t="s">
        <v>78</v>
      </c>
      <c r="F1445" t="s">
        <v>23</v>
      </c>
      <c r="G1445" t="s">
        <v>25</v>
      </c>
      <c r="H1445" s="3">
        <v>3</v>
      </c>
      <c r="I1445" s="3">
        <v>4608</v>
      </c>
      <c r="J1445" s="3">
        <v>13824</v>
      </c>
      <c r="K1445" s="3">
        <v>3200</v>
      </c>
      <c r="L1445" s="3">
        <v>9600</v>
      </c>
      <c r="M1445" s="3">
        <v>4224</v>
      </c>
      <c r="N1445" s="4">
        <v>0.30555555555555558</v>
      </c>
    </row>
    <row r="1446" spans="1:14" x14ac:dyDescent="0.3">
      <c r="A1446" s="6">
        <v>45761</v>
      </c>
      <c r="B1446" s="1" t="s">
        <v>1630</v>
      </c>
      <c r="C1446" s="1" t="s">
        <v>29</v>
      </c>
      <c r="D1446" t="s">
        <v>32</v>
      </c>
      <c r="E1446" t="s">
        <v>379</v>
      </c>
      <c r="F1446" t="s">
        <v>17</v>
      </c>
      <c r="G1446" t="s">
        <v>18</v>
      </c>
      <c r="H1446" s="3">
        <v>5</v>
      </c>
      <c r="I1446" s="3">
        <v>11475</v>
      </c>
      <c r="J1446" s="3">
        <v>57375</v>
      </c>
      <c r="K1446" s="3">
        <v>8500</v>
      </c>
      <c r="L1446" s="3">
        <v>42500</v>
      </c>
      <c r="M1446" s="3">
        <v>14875</v>
      </c>
      <c r="N1446" s="4">
        <v>0.25925925925925924</v>
      </c>
    </row>
    <row r="1447" spans="1:14" x14ac:dyDescent="0.3">
      <c r="A1447" s="6">
        <v>45761</v>
      </c>
      <c r="B1447" s="1" t="s">
        <v>1631</v>
      </c>
      <c r="C1447" s="1" t="s">
        <v>26</v>
      </c>
      <c r="D1447" t="s">
        <v>30</v>
      </c>
      <c r="E1447" t="s">
        <v>108</v>
      </c>
      <c r="F1447" t="s">
        <v>23</v>
      </c>
      <c r="G1447" t="s">
        <v>25</v>
      </c>
      <c r="H1447" s="3">
        <v>8</v>
      </c>
      <c r="I1447" s="3">
        <v>4000</v>
      </c>
      <c r="J1447" s="3">
        <v>32000</v>
      </c>
      <c r="K1447" s="3">
        <v>3200</v>
      </c>
      <c r="L1447" s="3">
        <v>25600</v>
      </c>
      <c r="M1447" s="3">
        <v>6400</v>
      </c>
      <c r="N1447" s="4">
        <v>0.2</v>
      </c>
    </row>
    <row r="1448" spans="1:14" x14ac:dyDescent="0.3">
      <c r="A1448" s="6">
        <v>45761</v>
      </c>
      <c r="B1448" s="1" t="s">
        <v>1632</v>
      </c>
      <c r="C1448" s="1" t="s">
        <v>27</v>
      </c>
      <c r="D1448" t="s">
        <v>34</v>
      </c>
      <c r="E1448" t="s">
        <v>114</v>
      </c>
      <c r="F1448" t="s">
        <v>14</v>
      </c>
      <c r="G1448" t="s">
        <v>15</v>
      </c>
      <c r="H1448" s="3">
        <v>6</v>
      </c>
      <c r="I1448" s="3">
        <v>58950</v>
      </c>
      <c r="J1448" s="3">
        <v>353700</v>
      </c>
      <c r="K1448" s="3">
        <v>45000</v>
      </c>
      <c r="L1448" s="3">
        <v>270000</v>
      </c>
      <c r="M1448" s="3">
        <v>83700</v>
      </c>
      <c r="N1448" s="4">
        <v>0.23664122137404581</v>
      </c>
    </row>
    <row r="1449" spans="1:14" x14ac:dyDescent="0.3">
      <c r="A1449" s="6">
        <v>45761</v>
      </c>
      <c r="B1449" s="1" t="s">
        <v>1633</v>
      </c>
      <c r="C1449" s="1" t="s">
        <v>29</v>
      </c>
      <c r="D1449" t="s">
        <v>30</v>
      </c>
      <c r="E1449" t="s">
        <v>538</v>
      </c>
      <c r="F1449" t="s">
        <v>22</v>
      </c>
      <c r="G1449" t="s">
        <v>18</v>
      </c>
      <c r="H1449" s="3">
        <v>1</v>
      </c>
      <c r="I1449" s="3">
        <v>9030</v>
      </c>
      <c r="J1449" s="3">
        <v>9030</v>
      </c>
      <c r="K1449" s="3">
        <v>7000</v>
      </c>
      <c r="L1449" s="3">
        <v>7000</v>
      </c>
      <c r="M1449" s="3">
        <v>2030</v>
      </c>
      <c r="N1449" s="4">
        <v>0.22480620155038761</v>
      </c>
    </row>
    <row r="1450" spans="1:14" x14ac:dyDescent="0.3">
      <c r="A1450" s="6">
        <v>45761</v>
      </c>
      <c r="B1450" s="1" t="s">
        <v>1634</v>
      </c>
      <c r="C1450" s="1" t="s">
        <v>29</v>
      </c>
      <c r="D1450" t="s">
        <v>34</v>
      </c>
      <c r="E1450" t="s">
        <v>582</v>
      </c>
      <c r="F1450" t="s">
        <v>14</v>
      </c>
      <c r="G1450" t="s">
        <v>15</v>
      </c>
      <c r="H1450" s="3">
        <v>3</v>
      </c>
      <c r="I1450" s="3">
        <v>59850</v>
      </c>
      <c r="J1450" s="3">
        <v>179550</v>
      </c>
      <c r="K1450" s="3">
        <v>45000</v>
      </c>
      <c r="L1450" s="3">
        <v>135000</v>
      </c>
      <c r="M1450" s="3">
        <v>44550</v>
      </c>
      <c r="N1450" s="4">
        <v>0.24812030075187969</v>
      </c>
    </row>
    <row r="1451" spans="1:14" x14ac:dyDescent="0.3">
      <c r="A1451" s="6">
        <v>45761</v>
      </c>
      <c r="B1451" s="1" t="s">
        <v>1635</v>
      </c>
      <c r="C1451" s="1" t="s">
        <v>29</v>
      </c>
      <c r="D1451" t="s">
        <v>35</v>
      </c>
      <c r="E1451" t="s">
        <v>201</v>
      </c>
      <c r="F1451" t="s">
        <v>17</v>
      </c>
      <c r="G1451" t="s">
        <v>18</v>
      </c>
      <c r="H1451" s="3">
        <v>8</v>
      </c>
      <c r="I1451" s="3">
        <v>10540</v>
      </c>
      <c r="J1451" s="3">
        <v>84320</v>
      </c>
      <c r="K1451" s="3">
        <v>8500</v>
      </c>
      <c r="L1451" s="3">
        <v>68000</v>
      </c>
      <c r="M1451" s="3">
        <v>16320</v>
      </c>
      <c r="N1451" s="4">
        <v>0.19354838709677419</v>
      </c>
    </row>
    <row r="1452" spans="1:14" x14ac:dyDescent="0.3">
      <c r="A1452" s="6">
        <v>45761</v>
      </c>
      <c r="B1452" s="1" t="s">
        <v>1636</v>
      </c>
      <c r="C1452" s="1" t="s">
        <v>27</v>
      </c>
      <c r="D1452" t="s">
        <v>30</v>
      </c>
      <c r="E1452" t="s">
        <v>302</v>
      </c>
      <c r="F1452" t="s">
        <v>23</v>
      </c>
      <c r="G1452" t="s">
        <v>25</v>
      </c>
      <c r="H1452" s="3">
        <v>5</v>
      </c>
      <c r="I1452" s="3">
        <v>4064</v>
      </c>
      <c r="J1452" s="3">
        <v>20320</v>
      </c>
      <c r="K1452" s="3">
        <v>3200</v>
      </c>
      <c r="L1452" s="3">
        <v>16000</v>
      </c>
      <c r="M1452" s="3">
        <v>4320</v>
      </c>
      <c r="N1452" s="4">
        <v>0.2125984251968504</v>
      </c>
    </row>
    <row r="1453" spans="1:14" x14ac:dyDescent="0.3">
      <c r="A1453" s="6">
        <v>45761</v>
      </c>
      <c r="B1453" s="1" t="s">
        <v>1637</v>
      </c>
      <c r="C1453" s="1" t="s">
        <v>27</v>
      </c>
      <c r="D1453" t="s">
        <v>33</v>
      </c>
      <c r="E1453" t="s">
        <v>306</v>
      </c>
      <c r="F1453" t="s">
        <v>21</v>
      </c>
      <c r="G1453" t="s">
        <v>20</v>
      </c>
      <c r="H1453" s="3">
        <v>3</v>
      </c>
      <c r="I1453" s="3">
        <v>780</v>
      </c>
      <c r="J1453" s="3">
        <v>2340</v>
      </c>
      <c r="K1453" s="3">
        <v>600</v>
      </c>
      <c r="L1453" s="3">
        <v>1800</v>
      </c>
      <c r="M1453" s="3">
        <v>540</v>
      </c>
      <c r="N1453" s="4">
        <v>0.23076923076923078</v>
      </c>
    </row>
    <row r="1454" spans="1:14" x14ac:dyDescent="0.3">
      <c r="A1454" s="6">
        <v>45761</v>
      </c>
      <c r="B1454" s="1" t="s">
        <v>1638</v>
      </c>
      <c r="C1454" s="1" t="s">
        <v>28</v>
      </c>
      <c r="D1454" t="s">
        <v>34</v>
      </c>
      <c r="E1454" t="s">
        <v>147</v>
      </c>
      <c r="F1454" t="s">
        <v>23</v>
      </c>
      <c r="G1454" t="s">
        <v>25</v>
      </c>
      <c r="H1454" s="3">
        <v>8</v>
      </c>
      <c r="I1454" s="3">
        <v>4096</v>
      </c>
      <c r="J1454" s="3">
        <v>32768</v>
      </c>
      <c r="K1454" s="3">
        <v>3200</v>
      </c>
      <c r="L1454" s="3">
        <v>25600</v>
      </c>
      <c r="M1454" s="3">
        <v>7168</v>
      </c>
      <c r="N1454" s="4">
        <v>0.21875</v>
      </c>
    </row>
    <row r="1455" spans="1:14" x14ac:dyDescent="0.3">
      <c r="A1455" s="6">
        <v>45761</v>
      </c>
      <c r="B1455" s="1" t="s">
        <v>1639</v>
      </c>
      <c r="C1455" s="1" t="s">
        <v>26</v>
      </c>
      <c r="D1455" t="s">
        <v>34</v>
      </c>
      <c r="E1455" t="s">
        <v>85</v>
      </c>
      <c r="F1455" t="s">
        <v>22</v>
      </c>
      <c r="G1455" t="s">
        <v>18</v>
      </c>
      <c r="H1455" s="3">
        <v>1</v>
      </c>
      <c r="I1455" s="3">
        <v>9940</v>
      </c>
      <c r="J1455" s="3">
        <v>9940</v>
      </c>
      <c r="K1455" s="3">
        <v>7000</v>
      </c>
      <c r="L1455" s="3">
        <v>7000</v>
      </c>
      <c r="M1455" s="3">
        <v>2940</v>
      </c>
      <c r="N1455" s="4">
        <v>0.29577464788732394</v>
      </c>
    </row>
    <row r="1456" spans="1:14" x14ac:dyDescent="0.3">
      <c r="A1456" s="6">
        <v>45762</v>
      </c>
      <c r="B1456" s="1" t="s">
        <v>1640</v>
      </c>
      <c r="C1456" s="1" t="s">
        <v>29</v>
      </c>
      <c r="D1456" t="s">
        <v>33</v>
      </c>
      <c r="E1456" t="s">
        <v>351</v>
      </c>
      <c r="F1456" t="s">
        <v>17</v>
      </c>
      <c r="G1456" t="s">
        <v>18</v>
      </c>
      <c r="H1456" s="3">
        <v>1</v>
      </c>
      <c r="I1456" s="3">
        <v>10285</v>
      </c>
      <c r="J1456" s="3">
        <v>10285</v>
      </c>
      <c r="K1456" s="3">
        <v>8500</v>
      </c>
      <c r="L1456" s="3">
        <v>8500</v>
      </c>
      <c r="M1456" s="3">
        <v>1785</v>
      </c>
      <c r="N1456" s="4">
        <v>0.17355371900826447</v>
      </c>
    </row>
    <row r="1457" spans="1:14" x14ac:dyDescent="0.3">
      <c r="A1457" s="6">
        <v>45762</v>
      </c>
      <c r="B1457" s="1" t="s">
        <v>1641</v>
      </c>
      <c r="C1457" s="1" t="s">
        <v>29</v>
      </c>
      <c r="D1457" t="s">
        <v>33</v>
      </c>
      <c r="E1457" t="s">
        <v>92</v>
      </c>
      <c r="F1457" t="s">
        <v>19</v>
      </c>
      <c r="G1457" t="s">
        <v>20</v>
      </c>
      <c r="H1457" s="3">
        <v>3</v>
      </c>
      <c r="I1457" s="3">
        <v>1197</v>
      </c>
      <c r="J1457" s="3">
        <v>3591</v>
      </c>
      <c r="K1457" s="3">
        <v>900</v>
      </c>
      <c r="L1457" s="3">
        <v>2700</v>
      </c>
      <c r="M1457" s="3">
        <v>891</v>
      </c>
      <c r="N1457" s="4">
        <v>0.24812030075187969</v>
      </c>
    </row>
    <row r="1458" spans="1:14" x14ac:dyDescent="0.3">
      <c r="A1458" s="6">
        <v>45762</v>
      </c>
      <c r="B1458" s="1" t="s">
        <v>1642</v>
      </c>
      <c r="C1458" s="1" t="s">
        <v>26</v>
      </c>
      <c r="D1458" t="s">
        <v>35</v>
      </c>
      <c r="E1458" t="s">
        <v>92</v>
      </c>
      <c r="F1458" t="s">
        <v>22</v>
      </c>
      <c r="G1458" t="s">
        <v>18</v>
      </c>
      <c r="H1458" s="3">
        <v>8</v>
      </c>
      <c r="I1458" s="3">
        <v>10080</v>
      </c>
      <c r="J1458" s="3">
        <v>80640</v>
      </c>
      <c r="K1458" s="3">
        <v>7000</v>
      </c>
      <c r="L1458" s="3">
        <v>56000</v>
      </c>
      <c r="M1458" s="3">
        <v>24640</v>
      </c>
      <c r="N1458" s="4">
        <v>0.30555555555555558</v>
      </c>
    </row>
    <row r="1459" spans="1:14" x14ac:dyDescent="0.3">
      <c r="A1459" s="6">
        <v>45762</v>
      </c>
      <c r="B1459" s="1" t="s">
        <v>1643</v>
      </c>
      <c r="C1459" s="1" t="s">
        <v>28</v>
      </c>
      <c r="D1459" t="s">
        <v>32</v>
      </c>
      <c r="E1459" t="s">
        <v>122</v>
      </c>
      <c r="F1459" t="s">
        <v>22</v>
      </c>
      <c r="G1459" t="s">
        <v>18</v>
      </c>
      <c r="H1459" s="3">
        <v>3</v>
      </c>
      <c r="I1459" s="3">
        <v>9310</v>
      </c>
      <c r="J1459" s="3">
        <v>27930</v>
      </c>
      <c r="K1459" s="3">
        <v>7000</v>
      </c>
      <c r="L1459" s="3">
        <v>21000</v>
      </c>
      <c r="M1459" s="3">
        <v>6930</v>
      </c>
      <c r="N1459" s="4">
        <v>0.24812030075187969</v>
      </c>
    </row>
    <row r="1460" spans="1:14" x14ac:dyDescent="0.3">
      <c r="A1460" s="6">
        <v>45762</v>
      </c>
      <c r="B1460" s="1" t="s">
        <v>1644</v>
      </c>
      <c r="C1460" s="1" t="s">
        <v>26</v>
      </c>
      <c r="D1460" t="s">
        <v>31</v>
      </c>
      <c r="E1460" t="s">
        <v>275</v>
      </c>
      <c r="F1460" t="s">
        <v>22</v>
      </c>
      <c r="G1460" t="s">
        <v>18</v>
      </c>
      <c r="H1460" s="3">
        <v>6</v>
      </c>
      <c r="I1460" s="3">
        <v>10010</v>
      </c>
      <c r="J1460" s="3">
        <v>60060</v>
      </c>
      <c r="K1460" s="3">
        <v>7000</v>
      </c>
      <c r="L1460" s="3">
        <v>42000</v>
      </c>
      <c r="M1460" s="3">
        <v>18060</v>
      </c>
      <c r="N1460" s="4">
        <v>0.30069930069930068</v>
      </c>
    </row>
    <row r="1461" spans="1:14" x14ac:dyDescent="0.3">
      <c r="A1461" s="6">
        <v>45762</v>
      </c>
      <c r="B1461" s="1" t="s">
        <v>1645</v>
      </c>
      <c r="C1461" s="1" t="s">
        <v>28</v>
      </c>
      <c r="D1461" t="s">
        <v>35</v>
      </c>
      <c r="E1461" t="s">
        <v>263</v>
      </c>
      <c r="F1461" t="s">
        <v>22</v>
      </c>
      <c r="G1461" t="s">
        <v>18</v>
      </c>
      <c r="H1461" s="3">
        <v>10</v>
      </c>
      <c r="I1461" s="3">
        <v>8400</v>
      </c>
      <c r="J1461" s="3">
        <v>84000</v>
      </c>
      <c r="K1461" s="3">
        <v>7000</v>
      </c>
      <c r="L1461" s="3">
        <v>70000</v>
      </c>
      <c r="M1461" s="3">
        <v>14000</v>
      </c>
      <c r="N1461" s="4">
        <v>0.16666666666666666</v>
      </c>
    </row>
    <row r="1462" spans="1:14" x14ac:dyDescent="0.3">
      <c r="A1462" s="6">
        <v>45762</v>
      </c>
      <c r="B1462" s="1" t="s">
        <v>1646</v>
      </c>
      <c r="C1462" s="1" t="s">
        <v>29</v>
      </c>
      <c r="D1462" t="s">
        <v>35</v>
      </c>
      <c r="E1462" t="s">
        <v>431</v>
      </c>
      <c r="F1462" t="s">
        <v>21</v>
      </c>
      <c r="G1462" t="s">
        <v>20</v>
      </c>
      <c r="H1462" s="3">
        <v>6</v>
      </c>
      <c r="I1462" s="3">
        <v>738</v>
      </c>
      <c r="J1462" s="3">
        <v>4428</v>
      </c>
      <c r="K1462" s="3">
        <v>600</v>
      </c>
      <c r="L1462" s="3">
        <v>3600</v>
      </c>
      <c r="M1462" s="3">
        <v>828</v>
      </c>
      <c r="N1462" s="4">
        <v>0.18699186991869918</v>
      </c>
    </row>
    <row r="1463" spans="1:14" x14ac:dyDescent="0.3">
      <c r="A1463" s="6">
        <v>45762</v>
      </c>
      <c r="B1463" s="1" t="s">
        <v>1647</v>
      </c>
      <c r="C1463" s="1" t="s">
        <v>27</v>
      </c>
      <c r="D1463" t="s">
        <v>34</v>
      </c>
      <c r="E1463" t="s">
        <v>371</v>
      </c>
      <c r="F1463" t="s">
        <v>17</v>
      </c>
      <c r="G1463" t="s">
        <v>18</v>
      </c>
      <c r="H1463" s="3">
        <v>6</v>
      </c>
      <c r="I1463" s="3">
        <v>11645</v>
      </c>
      <c r="J1463" s="3">
        <v>69870</v>
      </c>
      <c r="K1463" s="3">
        <v>8500</v>
      </c>
      <c r="L1463" s="3">
        <v>51000</v>
      </c>
      <c r="M1463" s="3">
        <v>18870</v>
      </c>
      <c r="N1463" s="4">
        <v>0.27007299270072993</v>
      </c>
    </row>
    <row r="1464" spans="1:14" x14ac:dyDescent="0.3">
      <c r="A1464" s="6">
        <v>45762</v>
      </c>
      <c r="B1464" s="1" t="s">
        <v>1648</v>
      </c>
      <c r="C1464" s="1" t="s">
        <v>28</v>
      </c>
      <c r="D1464" t="s">
        <v>31</v>
      </c>
      <c r="E1464" t="s">
        <v>447</v>
      </c>
      <c r="F1464" t="s">
        <v>16</v>
      </c>
      <c r="G1464" t="s">
        <v>15</v>
      </c>
      <c r="H1464" s="3">
        <v>7</v>
      </c>
      <c r="I1464" s="3">
        <v>46740</v>
      </c>
      <c r="J1464" s="3">
        <v>327180</v>
      </c>
      <c r="K1464" s="3">
        <v>38000</v>
      </c>
      <c r="L1464" s="3">
        <v>266000</v>
      </c>
      <c r="M1464" s="3">
        <v>61180</v>
      </c>
      <c r="N1464" s="4">
        <v>0.18699186991869918</v>
      </c>
    </row>
    <row r="1465" spans="1:14" x14ac:dyDescent="0.3">
      <c r="A1465" s="6">
        <v>45762</v>
      </c>
      <c r="B1465" s="1" t="s">
        <v>1649</v>
      </c>
      <c r="C1465" s="1" t="s">
        <v>29</v>
      </c>
      <c r="D1465" t="s">
        <v>30</v>
      </c>
      <c r="E1465" t="s">
        <v>204</v>
      </c>
      <c r="F1465" t="s">
        <v>23</v>
      </c>
      <c r="G1465" t="s">
        <v>25</v>
      </c>
      <c r="H1465" s="3">
        <v>1</v>
      </c>
      <c r="I1465" s="3">
        <v>4224</v>
      </c>
      <c r="J1465" s="3">
        <v>4224</v>
      </c>
      <c r="K1465" s="3">
        <v>3200</v>
      </c>
      <c r="L1465" s="3">
        <v>3200</v>
      </c>
      <c r="M1465" s="3">
        <v>1024</v>
      </c>
      <c r="N1465" s="4">
        <v>0.24242424242424243</v>
      </c>
    </row>
    <row r="1466" spans="1:14" x14ac:dyDescent="0.3">
      <c r="A1466" s="6">
        <v>45762</v>
      </c>
      <c r="B1466" s="1" t="s">
        <v>1650</v>
      </c>
      <c r="C1466" s="1" t="s">
        <v>27</v>
      </c>
      <c r="D1466" t="s">
        <v>30</v>
      </c>
      <c r="E1466" t="s">
        <v>327</v>
      </c>
      <c r="F1466" t="s">
        <v>19</v>
      </c>
      <c r="G1466" t="s">
        <v>20</v>
      </c>
      <c r="H1466" s="3">
        <v>6</v>
      </c>
      <c r="I1466" s="3">
        <v>1269</v>
      </c>
      <c r="J1466" s="3">
        <v>7614</v>
      </c>
      <c r="K1466" s="3">
        <v>900</v>
      </c>
      <c r="L1466" s="3">
        <v>5400</v>
      </c>
      <c r="M1466" s="3">
        <v>2214</v>
      </c>
      <c r="N1466" s="4">
        <v>0.29078014184397161</v>
      </c>
    </row>
    <row r="1467" spans="1:14" x14ac:dyDescent="0.3">
      <c r="A1467" s="6">
        <v>45762</v>
      </c>
      <c r="B1467" s="1" t="s">
        <v>1651</v>
      </c>
      <c r="C1467" s="1" t="s">
        <v>29</v>
      </c>
      <c r="D1467" t="s">
        <v>35</v>
      </c>
      <c r="E1467" t="s">
        <v>69</v>
      </c>
      <c r="F1467" t="s">
        <v>17</v>
      </c>
      <c r="G1467" t="s">
        <v>18</v>
      </c>
      <c r="H1467" s="3">
        <v>9</v>
      </c>
      <c r="I1467" s="3">
        <v>11050</v>
      </c>
      <c r="J1467" s="3">
        <v>99450</v>
      </c>
      <c r="K1467" s="3">
        <v>8500</v>
      </c>
      <c r="L1467" s="3">
        <v>76500</v>
      </c>
      <c r="M1467" s="3">
        <v>22950</v>
      </c>
      <c r="N1467" s="4">
        <v>0.23076923076923078</v>
      </c>
    </row>
    <row r="1468" spans="1:14" x14ac:dyDescent="0.3">
      <c r="A1468" s="6">
        <v>45762</v>
      </c>
      <c r="B1468" s="1" t="s">
        <v>1652</v>
      </c>
      <c r="C1468" s="1" t="s">
        <v>27</v>
      </c>
      <c r="D1468" t="s">
        <v>32</v>
      </c>
      <c r="E1468" t="s">
        <v>208</v>
      </c>
      <c r="F1468" t="s">
        <v>22</v>
      </c>
      <c r="G1468" t="s">
        <v>18</v>
      </c>
      <c r="H1468" s="3">
        <v>8</v>
      </c>
      <c r="I1468" s="3">
        <v>9520</v>
      </c>
      <c r="J1468" s="3">
        <v>76160</v>
      </c>
      <c r="K1468" s="3">
        <v>7000</v>
      </c>
      <c r="L1468" s="3">
        <v>56000</v>
      </c>
      <c r="M1468" s="3">
        <v>20160</v>
      </c>
      <c r="N1468" s="4">
        <v>0.26470588235294118</v>
      </c>
    </row>
    <row r="1469" spans="1:14" x14ac:dyDescent="0.3">
      <c r="A1469" s="6">
        <v>45762</v>
      </c>
      <c r="B1469" s="1" t="s">
        <v>1653</v>
      </c>
      <c r="C1469" s="1" t="s">
        <v>28</v>
      </c>
      <c r="D1469" t="s">
        <v>35</v>
      </c>
      <c r="E1469" t="s">
        <v>201</v>
      </c>
      <c r="F1469" t="s">
        <v>22</v>
      </c>
      <c r="G1469" t="s">
        <v>18</v>
      </c>
      <c r="H1469" s="3">
        <v>7</v>
      </c>
      <c r="I1469" s="3">
        <v>9100</v>
      </c>
      <c r="J1469" s="3">
        <v>63700</v>
      </c>
      <c r="K1469" s="3">
        <v>7000</v>
      </c>
      <c r="L1469" s="3">
        <v>49000</v>
      </c>
      <c r="M1469" s="3">
        <v>14700</v>
      </c>
      <c r="N1469" s="4">
        <v>0.23076923076923078</v>
      </c>
    </row>
    <row r="1470" spans="1:14" x14ac:dyDescent="0.3">
      <c r="A1470" s="6">
        <v>45763</v>
      </c>
      <c r="B1470" s="1" t="s">
        <v>1654</v>
      </c>
      <c r="C1470" s="1" t="s">
        <v>27</v>
      </c>
      <c r="D1470" t="s">
        <v>34</v>
      </c>
      <c r="E1470" t="s">
        <v>427</v>
      </c>
      <c r="F1470" t="s">
        <v>16</v>
      </c>
      <c r="G1470" t="s">
        <v>15</v>
      </c>
      <c r="H1470" s="3">
        <v>9</v>
      </c>
      <c r="I1470" s="3">
        <v>53200</v>
      </c>
      <c r="J1470" s="3">
        <v>478800</v>
      </c>
      <c r="K1470" s="3">
        <v>38000</v>
      </c>
      <c r="L1470" s="3">
        <v>342000</v>
      </c>
      <c r="M1470" s="3">
        <v>136800</v>
      </c>
      <c r="N1470" s="4">
        <v>0.2857142857142857</v>
      </c>
    </row>
    <row r="1471" spans="1:14" x14ac:dyDescent="0.3">
      <c r="A1471" s="6">
        <v>45763</v>
      </c>
      <c r="B1471" s="1" t="s">
        <v>1655</v>
      </c>
      <c r="C1471" s="1" t="s">
        <v>28</v>
      </c>
      <c r="D1471" t="s">
        <v>33</v>
      </c>
      <c r="E1471" t="s">
        <v>126</v>
      </c>
      <c r="F1471" t="s">
        <v>14</v>
      </c>
      <c r="G1471" t="s">
        <v>15</v>
      </c>
      <c r="H1471" s="3">
        <v>1</v>
      </c>
      <c r="I1471" s="3">
        <v>57600</v>
      </c>
      <c r="J1471" s="3">
        <v>57600</v>
      </c>
      <c r="K1471" s="3">
        <v>45000</v>
      </c>
      <c r="L1471" s="3">
        <v>45000</v>
      </c>
      <c r="M1471" s="3">
        <v>12600</v>
      </c>
      <c r="N1471" s="4">
        <v>0.21875</v>
      </c>
    </row>
    <row r="1472" spans="1:14" x14ac:dyDescent="0.3">
      <c r="A1472" s="6">
        <v>45763</v>
      </c>
      <c r="B1472" s="1" t="s">
        <v>1656</v>
      </c>
      <c r="C1472" s="1" t="s">
        <v>28</v>
      </c>
      <c r="D1472" t="s">
        <v>34</v>
      </c>
      <c r="E1472" t="s">
        <v>198</v>
      </c>
      <c r="F1472" t="s">
        <v>17</v>
      </c>
      <c r="G1472" t="s">
        <v>18</v>
      </c>
      <c r="H1472" s="3">
        <v>7</v>
      </c>
      <c r="I1472" s="3">
        <v>12070</v>
      </c>
      <c r="J1472" s="3">
        <v>84490</v>
      </c>
      <c r="K1472" s="3">
        <v>8500</v>
      </c>
      <c r="L1472" s="3">
        <v>59500</v>
      </c>
      <c r="M1472" s="3">
        <v>24990</v>
      </c>
      <c r="N1472" s="4">
        <v>0.29577464788732394</v>
      </c>
    </row>
    <row r="1473" spans="1:14" x14ac:dyDescent="0.3">
      <c r="A1473" s="6">
        <v>45763</v>
      </c>
      <c r="B1473" s="1" t="s">
        <v>1657</v>
      </c>
      <c r="C1473" s="1" t="s">
        <v>29</v>
      </c>
      <c r="D1473" t="s">
        <v>32</v>
      </c>
      <c r="E1473" t="s">
        <v>302</v>
      </c>
      <c r="F1473" t="s">
        <v>21</v>
      </c>
      <c r="G1473" t="s">
        <v>20</v>
      </c>
      <c r="H1473" s="3">
        <v>1</v>
      </c>
      <c r="I1473" s="3">
        <v>827.99999999999989</v>
      </c>
      <c r="J1473" s="3">
        <v>827.99999999999989</v>
      </c>
      <c r="K1473" s="3">
        <v>600</v>
      </c>
      <c r="L1473" s="3">
        <v>600</v>
      </c>
      <c r="M1473" s="3">
        <v>227.99999999999989</v>
      </c>
      <c r="N1473" s="4">
        <v>0.2753623188405796</v>
      </c>
    </row>
    <row r="1474" spans="1:14" x14ac:dyDescent="0.3">
      <c r="A1474" s="6">
        <v>45763</v>
      </c>
      <c r="B1474" s="1" t="s">
        <v>1658</v>
      </c>
      <c r="C1474" s="1" t="s">
        <v>27</v>
      </c>
      <c r="D1474" t="s">
        <v>31</v>
      </c>
      <c r="E1474" t="s">
        <v>331</v>
      </c>
      <c r="F1474" t="s">
        <v>22</v>
      </c>
      <c r="G1474" t="s">
        <v>18</v>
      </c>
      <c r="H1474" s="3">
        <v>10</v>
      </c>
      <c r="I1474" s="3">
        <v>9590</v>
      </c>
      <c r="J1474" s="3">
        <v>95900</v>
      </c>
      <c r="K1474" s="3">
        <v>7000</v>
      </c>
      <c r="L1474" s="3">
        <v>70000</v>
      </c>
      <c r="M1474" s="3">
        <v>25900</v>
      </c>
      <c r="N1474" s="4">
        <v>0.27007299270072993</v>
      </c>
    </row>
    <row r="1475" spans="1:14" x14ac:dyDescent="0.3">
      <c r="A1475" s="6">
        <v>45763</v>
      </c>
      <c r="B1475" s="1" t="s">
        <v>1659</v>
      </c>
      <c r="C1475" s="1" t="s">
        <v>28</v>
      </c>
      <c r="D1475" t="s">
        <v>35</v>
      </c>
      <c r="E1475" t="s">
        <v>222</v>
      </c>
      <c r="F1475" t="s">
        <v>21</v>
      </c>
      <c r="G1475" t="s">
        <v>20</v>
      </c>
      <c r="H1475" s="3">
        <v>2</v>
      </c>
      <c r="I1475" s="3">
        <v>846</v>
      </c>
      <c r="J1475" s="3">
        <v>1692</v>
      </c>
      <c r="K1475" s="3">
        <v>600</v>
      </c>
      <c r="L1475" s="3">
        <v>1200</v>
      </c>
      <c r="M1475" s="3">
        <v>492</v>
      </c>
      <c r="N1475" s="4">
        <v>0.29078014184397161</v>
      </c>
    </row>
    <row r="1476" spans="1:14" x14ac:dyDescent="0.3">
      <c r="A1476" s="6">
        <v>45763</v>
      </c>
      <c r="B1476" s="1" t="s">
        <v>1660</v>
      </c>
      <c r="C1476" s="1" t="s">
        <v>29</v>
      </c>
      <c r="D1476" t="s">
        <v>31</v>
      </c>
      <c r="E1476" t="s">
        <v>163</v>
      </c>
      <c r="F1476" t="s">
        <v>19</v>
      </c>
      <c r="G1476" t="s">
        <v>20</v>
      </c>
      <c r="H1476" s="3">
        <v>5</v>
      </c>
      <c r="I1476" s="3">
        <v>1152</v>
      </c>
      <c r="J1476" s="3">
        <v>5760</v>
      </c>
      <c r="K1476" s="3">
        <v>900</v>
      </c>
      <c r="L1476" s="3">
        <v>4500</v>
      </c>
      <c r="M1476" s="3">
        <v>1260</v>
      </c>
      <c r="N1476" s="4">
        <v>0.21875</v>
      </c>
    </row>
    <row r="1477" spans="1:14" x14ac:dyDescent="0.3">
      <c r="A1477" s="6">
        <v>45763</v>
      </c>
      <c r="B1477" s="1" t="s">
        <v>1661</v>
      </c>
      <c r="C1477" s="1" t="s">
        <v>27</v>
      </c>
      <c r="D1477" t="s">
        <v>35</v>
      </c>
      <c r="E1477" t="s">
        <v>131</v>
      </c>
      <c r="F1477" t="s">
        <v>24</v>
      </c>
      <c r="G1477" t="s">
        <v>25</v>
      </c>
      <c r="H1477" s="3">
        <v>9</v>
      </c>
      <c r="I1477" s="3">
        <v>3050</v>
      </c>
      <c r="J1477" s="3">
        <v>27450</v>
      </c>
      <c r="K1477" s="3">
        <v>2500</v>
      </c>
      <c r="L1477" s="3">
        <v>22500</v>
      </c>
      <c r="M1477" s="3">
        <v>4950</v>
      </c>
      <c r="N1477" s="4">
        <v>0.18032786885245902</v>
      </c>
    </row>
    <row r="1478" spans="1:14" x14ac:dyDescent="0.3">
      <c r="A1478" s="6">
        <v>45763</v>
      </c>
      <c r="B1478" s="1" t="s">
        <v>1662</v>
      </c>
      <c r="C1478" s="1" t="s">
        <v>27</v>
      </c>
      <c r="D1478" t="s">
        <v>33</v>
      </c>
      <c r="E1478" t="s">
        <v>280</v>
      </c>
      <c r="F1478" t="s">
        <v>23</v>
      </c>
      <c r="G1478" t="s">
        <v>25</v>
      </c>
      <c r="H1478" s="3">
        <v>6</v>
      </c>
      <c r="I1478" s="3">
        <v>4448</v>
      </c>
      <c r="J1478" s="3">
        <v>26688</v>
      </c>
      <c r="K1478" s="3">
        <v>3200</v>
      </c>
      <c r="L1478" s="3">
        <v>19200</v>
      </c>
      <c r="M1478" s="3">
        <v>7488</v>
      </c>
      <c r="N1478" s="4">
        <v>0.2805755395683453</v>
      </c>
    </row>
    <row r="1479" spans="1:14" x14ac:dyDescent="0.3">
      <c r="A1479" s="6">
        <v>45763</v>
      </c>
      <c r="B1479" s="1" t="s">
        <v>1663</v>
      </c>
      <c r="C1479" s="1" t="s">
        <v>29</v>
      </c>
      <c r="D1479" t="s">
        <v>33</v>
      </c>
      <c r="E1479" t="s">
        <v>47</v>
      </c>
      <c r="F1479" t="s">
        <v>21</v>
      </c>
      <c r="G1479" t="s">
        <v>20</v>
      </c>
      <c r="H1479" s="3">
        <v>6</v>
      </c>
      <c r="I1479" s="3">
        <v>726</v>
      </c>
      <c r="J1479" s="3">
        <v>4356</v>
      </c>
      <c r="K1479" s="3">
        <v>600</v>
      </c>
      <c r="L1479" s="3">
        <v>3600</v>
      </c>
      <c r="M1479" s="3">
        <v>756</v>
      </c>
      <c r="N1479" s="4">
        <v>0.17355371900826447</v>
      </c>
    </row>
    <row r="1480" spans="1:14" x14ac:dyDescent="0.3">
      <c r="A1480" s="6">
        <v>45763</v>
      </c>
      <c r="B1480" s="1" t="s">
        <v>1664</v>
      </c>
      <c r="C1480" s="1" t="s">
        <v>28</v>
      </c>
      <c r="D1480" t="s">
        <v>31</v>
      </c>
      <c r="E1480" t="s">
        <v>122</v>
      </c>
      <c r="F1480" t="s">
        <v>21</v>
      </c>
      <c r="G1480" t="s">
        <v>20</v>
      </c>
      <c r="H1480" s="3">
        <v>2</v>
      </c>
      <c r="I1480" s="3">
        <v>846</v>
      </c>
      <c r="J1480" s="3">
        <v>1692</v>
      </c>
      <c r="K1480" s="3">
        <v>600</v>
      </c>
      <c r="L1480" s="3">
        <v>1200</v>
      </c>
      <c r="M1480" s="3">
        <v>492</v>
      </c>
      <c r="N1480" s="4">
        <v>0.29078014184397161</v>
      </c>
    </row>
    <row r="1481" spans="1:14" x14ac:dyDescent="0.3">
      <c r="A1481" s="6">
        <v>45763</v>
      </c>
      <c r="B1481" s="1" t="s">
        <v>1665</v>
      </c>
      <c r="C1481" s="1" t="s">
        <v>28</v>
      </c>
      <c r="D1481" t="s">
        <v>33</v>
      </c>
      <c r="E1481" t="s">
        <v>292</v>
      </c>
      <c r="F1481" t="s">
        <v>24</v>
      </c>
      <c r="G1481" t="s">
        <v>25</v>
      </c>
      <c r="H1481" s="3">
        <v>8</v>
      </c>
      <c r="I1481" s="3">
        <v>3350</v>
      </c>
      <c r="J1481" s="3">
        <v>26800</v>
      </c>
      <c r="K1481" s="3">
        <v>2500</v>
      </c>
      <c r="L1481" s="3">
        <v>20000</v>
      </c>
      <c r="M1481" s="3">
        <v>6800</v>
      </c>
      <c r="N1481" s="4">
        <v>0.2537313432835821</v>
      </c>
    </row>
    <row r="1482" spans="1:14" x14ac:dyDescent="0.3">
      <c r="A1482" s="6">
        <v>45763</v>
      </c>
      <c r="B1482" s="1" t="s">
        <v>1666</v>
      </c>
      <c r="C1482" s="1" t="s">
        <v>27</v>
      </c>
      <c r="D1482" t="s">
        <v>31</v>
      </c>
      <c r="E1482" t="s">
        <v>321</v>
      </c>
      <c r="F1482" t="s">
        <v>21</v>
      </c>
      <c r="G1482" t="s">
        <v>20</v>
      </c>
      <c r="H1482" s="3">
        <v>7</v>
      </c>
      <c r="I1482" s="3">
        <v>858</v>
      </c>
      <c r="J1482" s="3">
        <v>6006</v>
      </c>
      <c r="K1482" s="3">
        <v>600</v>
      </c>
      <c r="L1482" s="3">
        <v>4200</v>
      </c>
      <c r="M1482" s="3">
        <v>1806</v>
      </c>
      <c r="N1482" s="4">
        <v>0.30069930069930068</v>
      </c>
    </row>
    <row r="1483" spans="1:14" x14ac:dyDescent="0.3">
      <c r="A1483" s="6">
        <v>45763</v>
      </c>
      <c r="B1483" s="1" t="s">
        <v>1667</v>
      </c>
      <c r="C1483" s="1" t="s">
        <v>28</v>
      </c>
      <c r="D1483" t="s">
        <v>30</v>
      </c>
      <c r="E1483" t="s">
        <v>122</v>
      </c>
      <c r="F1483" t="s">
        <v>23</v>
      </c>
      <c r="G1483" t="s">
        <v>25</v>
      </c>
      <c r="H1483" s="3">
        <v>4</v>
      </c>
      <c r="I1483" s="3">
        <v>4160</v>
      </c>
      <c r="J1483" s="3">
        <v>16640</v>
      </c>
      <c r="K1483" s="3">
        <v>3200</v>
      </c>
      <c r="L1483" s="3">
        <v>12800</v>
      </c>
      <c r="M1483" s="3">
        <v>3840</v>
      </c>
      <c r="N1483" s="4">
        <v>0.23076923076923078</v>
      </c>
    </row>
    <row r="1484" spans="1:14" x14ac:dyDescent="0.3">
      <c r="A1484" s="6">
        <v>45764</v>
      </c>
      <c r="B1484" s="1" t="s">
        <v>1668</v>
      </c>
      <c r="C1484" s="1" t="s">
        <v>29</v>
      </c>
      <c r="D1484" t="s">
        <v>35</v>
      </c>
      <c r="E1484" t="s">
        <v>76</v>
      </c>
      <c r="F1484" t="s">
        <v>24</v>
      </c>
      <c r="G1484" t="s">
        <v>25</v>
      </c>
      <c r="H1484" s="3">
        <v>2</v>
      </c>
      <c r="I1484" s="3">
        <v>3200</v>
      </c>
      <c r="J1484" s="3">
        <v>6400</v>
      </c>
      <c r="K1484" s="3">
        <v>2500</v>
      </c>
      <c r="L1484" s="3">
        <v>5000</v>
      </c>
      <c r="M1484" s="3">
        <v>1400</v>
      </c>
      <c r="N1484" s="4">
        <v>0.21875</v>
      </c>
    </row>
    <row r="1485" spans="1:14" x14ac:dyDescent="0.3">
      <c r="A1485" s="6">
        <v>45764</v>
      </c>
      <c r="B1485" s="1" t="s">
        <v>1669</v>
      </c>
      <c r="C1485" s="1" t="s">
        <v>28</v>
      </c>
      <c r="D1485" t="s">
        <v>31</v>
      </c>
      <c r="E1485" t="s">
        <v>336</v>
      </c>
      <c r="F1485" t="s">
        <v>14</v>
      </c>
      <c r="G1485" t="s">
        <v>15</v>
      </c>
      <c r="H1485" s="3">
        <v>3</v>
      </c>
      <c r="I1485" s="3">
        <v>55800</v>
      </c>
      <c r="J1485" s="3">
        <v>167400</v>
      </c>
      <c r="K1485" s="3">
        <v>45000</v>
      </c>
      <c r="L1485" s="3">
        <v>135000</v>
      </c>
      <c r="M1485" s="3">
        <v>32400</v>
      </c>
      <c r="N1485" s="4">
        <v>0.19354838709677419</v>
      </c>
    </row>
    <row r="1486" spans="1:14" x14ac:dyDescent="0.3">
      <c r="A1486" s="6">
        <v>45764</v>
      </c>
      <c r="B1486" s="1" t="s">
        <v>1670</v>
      </c>
      <c r="C1486" s="1" t="s">
        <v>29</v>
      </c>
      <c r="D1486" t="s">
        <v>31</v>
      </c>
      <c r="E1486" t="s">
        <v>222</v>
      </c>
      <c r="F1486" t="s">
        <v>23</v>
      </c>
      <c r="G1486" t="s">
        <v>25</v>
      </c>
      <c r="H1486" s="3">
        <v>2</v>
      </c>
      <c r="I1486" s="3">
        <v>4576</v>
      </c>
      <c r="J1486" s="3">
        <v>9152</v>
      </c>
      <c r="K1486" s="3">
        <v>3200</v>
      </c>
      <c r="L1486" s="3">
        <v>6400</v>
      </c>
      <c r="M1486" s="3">
        <v>2752</v>
      </c>
      <c r="N1486" s="4">
        <v>0.30069930069930068</v>
      </c>
    </row>
    <row r="1487" spans="1:14" x14ac:dyDescent="0.3">
      <c r="A1487" s="6">
        <v>45764</v>
      </c>
      <c r="B1487" s="1" t="s">
        <v>1671</v>
      </c>
      <c r="C1487" s="1" t="s">
        <v>27</v>
      </c>
      <c r="D1487" t="s">
        <v>31</v>
      </c>
      <c r="E1487" t="s">
        <v>222</v>
      </c>
      <c r="F1487" t="s">
        <v>23</v>
      </c>
      <c r="G1487" t="s">
        <v>25</v>
      </c>
      <c r="H1487" s="3">
        <v>1</v>
      </c>
      <c r="I1487" s="3">
        <v>3968</v>
      </c>
      <c r="J1487" s="3">
        <v>3968</v>
      </c>
      <c r="K1487" s="3">
        <v>3200</v>
      </c>
      <c r="L1487" s="3">
        <v>3200</v>
      </c>
      <c r="M1487" s="3">
        <v>768</v>
      </c>
      <c r="N1487" s="4">
        <v>0.19354838709677419</v>
      </c>
    </row>
    <row r="1488" spans="1:14" x14ac:dyDescent="0.3">
      <c r="A1488" s="6">
        <v>45764</v>
      </c>
      <c r="B1488" s="1" t="s">
        <v>1672</v>
      </c>
      <c r="C1488" s="1" t="s">
        <v>27</v>
      </c>
      <c r="D1488" t="s">
        <v>33</v>
      </c>
      <c r="E1488" t="s">
        <v>280</v>
      </c>
      <c r="F1488" t="s">
        <v>14</v>
      </c>
      <c r="G1488" t="s">
        <v>15</v>
      </c>
      <c r="H1488" s="3">
        <v>10</v>
      </c>
      <c r="I1488" s="3">
        <v>63900</v>
      </c>
      <c r="J1488" s="3">
        <v>639000</v>
      </c>
      <c r="K1488" s="3">
        <v>45000</v>
      </c>
      <c r="L1488" s="3">
        <v>450000</v>
      </c>
      <c r="M1488" s="3">
        <v>189000</v>
      </c>
      <c r="N1488" s="4">
        <v>0.29577464788732394</v>
      </c>
    </row>
    <row r="1489" spans="1:14" x14ac:dyDescent="0.3">
      <c r="A1489" s="6">
        <v>45764</v>
      </c>
      <c r="B1489" s="1" t="s">
        <v>1673</v>
      </c>
      <c r="C1489" s="1" t="s">
        <v>29</v>
      </c>
      <c r="D1489" t="s">
        <v>31</v>
      </c>
      <c r="E1489" t="s">
        <v>118</v>
      </c>
      <c r="F1489" t="s">
        <v>14</v>
      </c>
      <c r="G1489" t="s">
        <v>15</v>
      </c>
      <c r="H1489" s="3">
        <v>3</v>
      </c>
      <c r="I1489" s="3">
        <v>62099.999999999993</v>
      </c>
      <c r="J1489" s="3">
        <v>186299.99999999997</v>
      </c>
      <c r="K1489" s="3">
        <v>45000</v>
      </c>
      <c r="L1489" s="3">
        <v>135000</v>
      </c>
      <c r="M1489" s="3">
        <v>51299.999999999971</v>
      </c>
      <c r="N1489" s="4">
        <v>0.2753623188405796</v>
      </c>
    </row>
    <row r="1490" spans="1:14" x14ac:dyDescent="0.3">
      <c r="A1490" s="6">
        <v>45764</v>
      </c>
      <c r="B1490" s="1" t="s">
        <v>1674</v>
      </c>
      <c r="C1490" s="1" t="s">
        <v>26</v>
      </c>
      <c r="D1490" t="s">
        <v>32</v>
      </c>
      <c r="E1490" t="s">
        <v>342</v>
      </c>
      <c r="F1490" t="s">
        <v>16</v>
      </c>
      <c r="G1490" t="s">
        <v>15</v>
      </c>
      <c r="H1490" s="3">
        <v>6</v>
      </c>
      <c r="I1490" s="3">
        <v>52060.000000000007</v>
      </c>
      <c r="J1490" s="3">
        <v>312360.00000000006</v>
      </c>
      <c r="K1490" s="3">
        <v>38000</v>
      </c>
      <c r="L1490" s="3">
        <v>228000</v>
      </c>
      <c r="M1490" s="3">
        <v>84360.000000000058</v>
      </c>
      <c r="N1490" s="4">
        <v>0.27007299270073004</v>
      </c>
    </row>
    <row r="1491" spans="1:14" x14ac:dyDescent="0.3">
      <c r="A1491" s="6">
        <v>45764</v>
      </c>
      <c r="B1491" s="1" t="s">
        <v>1675</v>
      </c>
      <c r="C1491" s="1" t="s">
        <v>29</v>
      </c>
      <c r="D1491" t="s">
        <v>32</v>
      </c>
      <c r="E1491" t="s">
        <v>63</v>
      </c>
      <c r="F1491" t="s">
        <v>22</v>
      </c>
      <c r="G1491" t="s">
        <v>18</v>
      </c>
      <c r="H1491" s="3">
        <v>4</v>
      </c>
      <c r="I1491" s="3">
        <v>8610</v>
      </c>
      <c r="J1491" s="3">
        <v>34440</v>
      </c>
      <c r="K1491" s="3">
        <v>7000</v>
      </c>
      <c r="L1491" s="3">
        <v>28000</v>
      </c>
      <c r="M1491" s="3">
        <v>6440</v>
      </c>
      <c r="N1491" s="4">
        <v>0.18699186991869918</v>
      </c>
    </row>
    <row r="1492" spans="1:14" x14ac:dyDescent="0.3">
      <c r="A1492" s="6">
        <v>45764</v>
      </c>
      <c r="B1492" s="1" t="s">
        <v>1676</v>
      </c>
      <c r="C1492" s="1" t="s">
        <v>27</v>
      </c>
      <c r="D1492" t="s">
        <v>30</v>
      </c>
      <c r="E1492" t="s">
        <v>145</v>
      </c>
      <c r="F1492" t="s">
        <v>19</v>
      </c>
      <c r="G1492" t="s">
        <v>20</v>
      </c>
      <c r="H1492" s="3">
        <v>5</v>
      </c>
      <c r="I1492" s="3">
        <v>1089</v>
      </c>
      <c r="J1492" s="3">
        <v>5445</v>
      </c>
      <c r="K1492" s="3">
        <v>900</v>
      </c>
      <c r="L1492" s="3">
        <v>4500</v>
      </c>
      <c r="M1492" s="3">
        <v>945</v>
      </c>
      <c r="N1492" s="4">
        <v>0.17355371900826447</v>
      </c>
    </row>
    <row r="1493" spans="1:14" x14ac:dyDescent="0.3">
      <c r="A1493" s="6">
        <v>45764</v>
      </c>
      <c r="B1493" s="1" t="s">
        <v>1677</v>
      </c>
      <c r="C1493" s="1" t="s">
        <v>28</v>
      </c>
      <c r="D1493" t="s">
        <v>35</v>
      </c>
      <c r="E1493" t="s">
        <v>582</v>
      </c>
      <c r="F1493" t="s">
        <v>24</v>
      </c>
      <c r="G1493" t="s">
        <v>25</v>
      </c>
      <c r="H1493" s="3">
        <v>8</v>
      </c>
      <c r="I1493" s="3">
        <v>3175</v>
      </c>
      <c r="J1493" s="3">
        <v>25400</v>
      </c>
      <c r="K1493" s="3">
        <v>2500</v>
      </c>
      <c r="L1493" s="3">
        <v>20000</v>
      </c>
      <c r="M1493" s="3">
        <v>5400</v>
      </c>
      <c r="N1493" s="4">
        <v>0.2125984251968504</v>
      </c>
    </row>
    <row r="1494" spans="1:14" x14ac:dyDescent="0.3">
      <c r="A1494" s="6">
        <v>45764</v>
      </c>
      <c r="B1494" s="1" t="s">
        <v>1678</v>
      </c>
      <c r="C1494" s="1" t="s">
        <v>26</v>
      </c>
      <c r="D1494" t="s">
        <v>33</v>
      </c>
      <c r="E1494" t="s">
        <v>351</v>
      </c>
      <c r="F1494" t="s">
        <v>16</v>
      </c>
      <c r="G1494" t="s">
        <v>15</v>
      </c>
      <c r="H1494" s="3">
        <v>2</v>
      </c>
      <c r="I1494" s="3">
        <v>46740</v>
      </c>
      <c r="J1494" s="3">
        <v>93480</v>
      </c>
      <c r="K1494" s="3">
        <v>38000</v>
      </c>
      <c r="L1494" s="3">
        <v>76000</v>
      </c>
      <c r="M1494" s="3">
        <v>17480</v>
      </c>
      <c r="N1494" s="4">
        <v>0.18699186991869918</v>
      </c>
    </row>
    <row r="1495" spans="1:14" x14ac:dyDescent="0.3">
      <c r="A1495" s="6">
        <v>45764</v>
      </c>
      <c r="B1495" s="1" t="s">
        <v>1679</v>
      </c>
      <c r="C1495" s="1" t="s">
        <v>28</v>
      </c>
      <c r="D1495" t="s">
        <v>30</v>
      </c>
      <c r="E1495" t="s">
        <v>61</v>
      </c>
      <c r="F1495" t="s">
        <v>21</v>
      </c>
      <c r="G1495" t="s">
        <v>20</v>
      </c>
      <c r="H1495" s="3">
        <v>7</v>
      </c>
      <c r="I1495" s="3">
        <v>762</v>
      </c>
      <c r="J1495" s="3">
        <v>5334</v>
      </c>
      <c r="K1495" s="3">
        <v>600</v>
      </c>
      <c r="L1495" s="3">
        <v>4200</v>
      </c>
      <c r="M1495" s="3">
        <v>1134</v>
      </c>
      <c r="N1495" s="4">
        <v>0.2125984251968504</v>
      </c>
    </row>
    <row r="1496" spans="1:14" x14ac:dyDescent="0.3">
      <c r="A1496" s="6">
        <v>45764</v>
      </c>
      <c r="B1496" s="1" t="s">
        <v>1680</v>
      </c>
      <c r="C1496" s="1" t="s">
        <v>26</v>
      </c>
      <c r="D1496" t="s">
        <v>34</v>
      </c>
      <c r="E1496" t="s">
        <v>85</v>
      </c>
      <c r="F1496" t="s">
        <v>24</v>
      </c>
      <c r="G1496" t="s">
        <v>25</v>
      </c>
      <c r="H1496" s="3">
        <v>4</v>
      </c>
      <c r="I1496" s="3">
        <v>3449.9999999999995</v>
      </c>
      <c r="J1496" s="3">
        <v>13799.999999999998</v>
      </c>
      <c r="K1496" s="3">
        <v>2500</v>
      </c>
      <c r="L1496" s="3">
        <v>10000</v>
      </c>
      <c r="M1496" s="3">
        <v>3799.9999999999982</v>
      </c>
      <c r="N1496" s="4">
        <v>0.2753623188405796</v>
      </c>
    </row>
    <row r="1497" spans="1:14" x14ac:dyDescent="0.3">
      <c r="A1497" s="6">
        <v>45764</v>
      </c>
      <c r="B1497" s="1" t="s">
        <v>1681</v>
      </c>
      <c r="C1497" s="1" t="s">
        <v>29</v>
      </c>
      <c r="D1497" t="s">
        <v>31</v>
      </c>
      <c r="E1497" t="s">
        <v>189</v>
      </c>
      <c r="F1497" t="s">
        <v>22</v>
      </c>
      <c r="G1497" t="s">
        <v>18</v>
      </c>
      <c r="H1497" s="3">
        <v>4</v>
      </c>
      <c r="I1497" s="3">
        <v>10150</v>
      </c>
      <c r="J1497" s="3">
        <v>40600</v>
      </c>
      <c r="K1497" s="3">
        <v>7000</v>
      </c>
      <c r="L1497" s="3">
        <v>28000</v>
      </c>
      <c r="M1497" s="3">
        <v>12600</v>
      </c>
      <c r="N1497" s="4">
        <v>0.31034482758620691</v>
      </c>
    </row>
    <row r="1498" spans="1:14" x14ac:dyDescent="0.3">
      <c r="A1498" s="6">
        <v>45765</v>
      </c>
      <c r="B1498" s="1" t="s">
        <v>1682</v>
      </c>
      <c r="C1498" s="1" t="s">
        <v>26</v>
      </c>
      <c r="D1498" t="s">
        <v>32</v>
      </c>
      <c r="E1498" t="s">
        <v>409</v>
      </c>
      <c r="F1498" t="s">
        <v>23</v>
      </c>
      <c r="G1498" t="s">
        <v>25</v>
      </c>
      <c r="H1498" s="3">
        <v>8</v>
      </c>
      <c r="I1498" s="3">
        <v>3936</v>
      </c>
      <c r="J1498" s="3">
        <v>31488</v>
      </c>
      <c r="K1498" s="3">
        <v>3200</v>
      </c>
      <c r="L1498" s="3">
        <v>25600</v>
      </c>
      <c r="M1498" s="3">
        <v>5888</v>
      </c>
      <c r="N1498" s="4">
        <v>0.18699186991869918</v>
      </c>
    </row>
    <row r="1499" spans="1:14" x14ac:dyDescent="0.3">
      <c r="A1499" s="6">
        <v>45765</v>
      </c>
      <c r="B1499" s="1" t="s">
        <v>1683</v>
      </c>
      <c r="C1499" s="1" t="s">
        <v>26</v>
      </c>
      <c r="D1499" t="s">
        <v>32</v>
      </c>
      <c r="E1499" t="s">
        <v>155</v>
      </c>
      <c r="F1499" t="s">
        <v>14</v>
      </c>
      <c r="G1499" t="s">
        <v>15</v>
      </c>
      <c r="H1499" s="3">
        <v>2</v>
      </c>
      <c r="I1499" s="3">
        <v>54450</v>
      </c>
      <c r="J1499" s="3">
        <v>108900</v>
      </c>
      <c r="K1499" s="3">
        <v>45000</v>
      </c>
      <c r="L1499" s="3">
        <v>90000</v>
      </c>
      <c r="M1499" s="3">
        <v>18900</v>
      </c>
      <c r="N1499" s="4">
        <v>0.17355371900826447</v>
      </c>
    </row>
    <row r="1500" spans="1:14" x14ac:dyDescent="0.3">
      <c r="A1500" s="6">
        <v>45765</v>
      </c>
      <c r="B1500" s="1" t="s">
        <v>1684</v>
      </c>
      <c r="C1500" s="1" t="s">
        <v>26</v>
      </c>
      <c r="D1500" t="s">
        <v>31</v>
      </c>
      <c r="E1500" t="s">
        <v>184</v>
      </c>
      <c r="F1500" t="s">
        <v>22</v>
      </c>
      <c r="G1500" t="s">
        <v>18</v>
      </c>
      <c r="H1500" s="3">
        <v>10</v>
      </c>
      <c r="I1500" s="3">
        <v>9240</v>
      </c>
      <c r="J1500" s="3">
        <v>92400</v>
      </c>
      <c r="K1500" s="3">
        <v>7000</v>
      </c>
      <c r="L1500" s="3">
        <v>70000</v>
      </c>
      <c r="M1500" s="3">
        <v>22400</v>
      </c>
      <c r="N1500" s="4">
        <v>0.24242424242424243</v>
      </c>
    </row>
    <row r="1501" spans="1:14" x14ac:dyDescent="0.3">
      <c r="A1501" s="6">
        <v>45765</v>
      </c>
      <c r="B1501" s="1" t="s">
        <v>1685</v>
      </c>
      <c r="C1501" s="1" t="s">
        <v>26</v>
      </c>
      <c r="D1501" t="s">
        <v>32</v>
      </c>
      <c r="E1501" t="s">
        <v>239</v>
      </c>
      <c r="F1501" t="s">
        <v>21</v>
      </c>
      <c r="G1501" t="s">
        <v>20</v>
      </c>
      <c r="H1501" s="3">
        <v>7</v>
      </c>
      <c r="I1501" s="3">
        <v>762</v>
      </c>
      <c r="J1501" s="3">
        <v>5334</v>
      </c>
      <c r="K1501" s="3">
        <v>600</v>
      </c>
      <c r="L1501" s="3">
        <v>4200</v>
      </c>
      <c r="M1501" s="3">
        <v>1134</v>
      </c>
      <c r="N1501" s="4">
        <v>0.2125984251968504</v>
      </c>
    </row>
    <row r="1502" spans="1:14" x14ac:dyDescent="0.3">
      <c r="A1502" s="6">
        <v>45765</v>
      </c>
      <c r="B1502" s="1" t="s">
        <v>1686</v>
      </c>
      <c r="C1502" s="1" t="s">
        <v>27</v>
      </c>
      <c r="D1502" t="s">
        <v>31</v>
      </c>
      <c r="E1502" t="s">
        <v>41</v>
      </c>
      <c r="F1502" t="s">
        <v>19</v>
      </c>
      <c r="G1502" t="s">
        <v>20</v>
      </c>
      <c r="H1502" s="3">
        <v>7</v>
      </c>
      <c r="I1502" s="3">
        <v>1296</v>
      </c>
      <c r="J1502" s="3">
        <v>9072</v>
      </c>
      <c r="K1502" s="3">
        <v>900</v>
      </c>
      <c r="L1502" s="3">
        <v>6300</v>
      </c>
      <c r="M1502" s="3">
        <v>2772</v>
      </c>
      <c r="N1502" s="4">
        <v>0.30555555555555558</v>
      </c>
    </row>
    <row r="1503" spans="1:14" x14ac:dyDescent="0.3">
      <c r="A1503" s="6">
        <v>45765</v>
      </c>
      <c r="B1503" s="1" t="s">
        <v>1687</v>
      </c>
      <c r="C1503" s="1" t="s">
        <v>27</v>
      </c>
      <c r="D1503" t="s">
        <v>33</v>
      </c>
      <c r="E1503" t="s">
        <v>363</v>
      </c>
      <c r="F1503" t="s">
        <v>16</v>
      </c>
      <c r="G1503" t="s">
        <v>15</v>
      </c>
      <c r="H1503" s="3">
        <v>6</v>
      </c>
      <c r="I1503" s="3">
        <v>52060.000000000007</v>
      </c>
      <c r="J1503" s="3">
        <v>312360.00000000006</v>
      </c>
      <c r="K1503" s="3">
        <v>38000</v>
      </c>
      <c r="L1503" s="3">
        <v>228000</v>
      </c>
      <c r="M1503" s="3">
        <v>84360.000000000058</v>
      </c>
      <c r="N1503" s="4">
        <v>0.27007299270073004</v>
      </c>
    </row>
    <row r="1504" spans="1:14" x14ac:dyDescent="0.3">
      <c r="A1504" s="6">
        <v>45765</v>
      </c>
      <c r="B1504" s="1" t="s">
        <v>1688</v>
      </c>
      <c r="C1504" s="1" t="s">
        <v>29</v>
      </c>
      <c r="D1504" t="s">
        <v>32</v>
      </c>
      <c r="E1504" t="s">
        <v>110</v>
      </c>
      <c r="F1504" t="s">
        <v>24</v>
      </c>
      <c r="G1504" t="s">
        <v>25</v>
      </c>
      <c r="H1504" s="3">
        <v>2</v>
      </c>
      <c r="I1504" s="3">
        <v>3325</v>
      </c>
      <c r="J1504" s="3">
        <v>6650</v>
      </c>
      <c r="K1504" s="3">
        <v>2500</v>
      </c>
      <c r="L1504" s="3">
        <v>5000</v>
      </c>
      <c r="M1504" s="3">
        <v>1650</v>
      </c>
      <c r="N1504" s="4">
        <v>0.24812030075187969</v>
      </c>
    </row>
    <row r="1505" spans="1:14" x14ac:dyDescent="0.3">
      <c r="A1505" s="6">
        <v>45765</v>
      </c>
      <c r="B1505" s="1" t="s">
        <v>1689</v>
      </c>
      <c r="C1505" s="1" t="s">
        <v>27</v>
      </c>
      <c r="D1505" t="s">
        <v>31</v>
      </c>
      <c r="E1505" t="s">
        <v>94</v>
      </c>
      <c r="F1505" t="s">
        <v>24</v>
      </c>
      <c r="G1505" t="s">
        <v>25</v>
      </c>
      <c r="H1505" s="3">
        <v>10</v>
      </c>
      <c r="I1505" s="3">
        <v>3250</v>
      </c>
      <c r="J1505" s="3">
        <v>32500</v>
      </c>
      <c r="K1505" s="3">
        <v>2500</v>
      </c>
      <c r="L1505" s="3">
        <v>25000</v>
      </c>
      <c r="M1505" s="3">
        <v>7500</v>
      </c>
      <c r="N1505" s="4">
        <v>0.23076923076923078</v>
      </c>
    </row>
    <row r="1506" spans="1:14" x14ac:dyDescent="0.3">
      <c r="A1506" s="6">
        <v>45765</v>
      </c>
      <c r="B1506" s="1" t="s">
        <v>1690</v>
      </c>
      <c r="C1506" s="1" t="s">
        <v>29</v>
      </c>
      <c r="D1506" t="s">
        <v>33</v>
      </c>
      <c r="E1506" t="s">
        <v>149</v>
      </c>
      <c r="F1506" t="s">
        <v>24</v>
      </c>
      <c r="G1506" t="s">
        <v>25</v>
      </c>
      <c r="H1506" s="3">
        <v>3</v>
      </c>
      <c r="I1506" s="3">
        <v>3325</v>
      </c>
      <c r="J1506" s="3">
        <v>9975</v>
      </c>
      <c r="K1506" s="3">
        <v>2500</v>
      </c>
      <c r="L1506" s="3">
        <v>7500</v>
      </c>
      <c r="M1506" s="3">
        <v>2475</v>
      </c>
      <c r="N1506" s="4">
        <v>0.24812030075187969</v>
      </c>
    </row>
    <row r="1507" spans="1:14" x14ac:dyDescent="0.3">
      <c r="A1507" s="6">
        <v>45765</v>
      </c>
      <c r="B1507" s="1" t="s">
        <v>1691</v>
      </c>
      <c r="C1507" s="1" t="s">
        <v>27</v>
      </c>
      <c r="D1507" t="s">
        <v>32</v>
      </c>
      <c r="E1507" t="s">
        <v>249</v>
      </c>
      <c r="F1507" t="s">
        <v>17</v>
      </c>
      <c r="G1507" t="s">
        <v>18</v>
      </c>
      <c r="H1507" s="3">
        <v>3</v>
      </c>
      <c r="I1507" s="3">
        <v>11559.999999999998</v>
      </c>
      <c r="J1507" s="3">
        <v>34679.999999999993</v>
      </c>
      <c r="K1507" s="3">
        <v>8500</v>
      </c>
      <c r="L1507" s="3">
        <v>25500</v>
      </c>
      <c r="M1507" s="3">
        <v>9179.9999999999927</v>
      </c>
      <c r="N1507" s="4">
        <v>0.26470588235294101</v>
      </c>
    </row>
    <row r="1508" spans="1:14" x14ac:dyDescent="0.3">
      <c r="A1508" s="6">
        <v>45765</v>
      </c>
      <c r="B1508" s="1" t="s">
        <v>1692</v>
      </c>
      <c r="C1508" s="1" t="s">
        <v>29</v>
      </c>
      <c r="D1508" t="s">
        <v>30</v>
      </c>
      <c r="E1508" t="s">
        <v>349</v>
      </c>
      <c r="F1508" t="s">
        <v>14</v>
      </c>
      <c r="G1508" t="s">
        <v>15</v>
      </c>
      <c r="H1508" s="3">
        <v>6</v>
      </c>
      <c r="I1508" s="3">
        <v>57600</v>
      </c>
      <c r="J1508" s="3">
        <v>345600</v>
      </c>
      <c r="K1508" s="3">
        <v>45000</v>
      </c>
      <c r="L1508" s="3">
        <v>270000</v>
      </c>
      <c r="M1508" s="3">
        <v>75600</v>
      </c>
      <c r="N1508" s="4">
        <v>0.21875</v>
      </c>
    </row>
    <row r="1509" spans="1:14" x14ac:dyDescent="0.3">
      <c r="A1509" s="6">
        <v>45765</v>
      </c>
      <c r="B1509" s="1" t="s">
        <v>1693</v>
      </c>
      <c r="C1509" s="1" t="s">
        <v>28</v>
      </c>
      <c r="D1509" t="s">
        <v>30</v>
      </c>
      <c r="E1509" t="s">
        <v>222</v>
      </c>
      <c r="F1509" t="s">
        <v>22</v>
      </c>
      <c r="G1509" t="s">
        <v>18</v>
      </c>
      <c r="H1509" s="3">
        <v>4</v>
      </c>
      <c r="I1509" s="3">
        <v>10080</v>
      </c>
      <c r="J1509" s="3">
        <v>40320</v>
      </c>
      <c r="K1509" s="3">
        <v>7000</v>
      </c>
      <c r="L1509" s="3">
        <v>28000</v>
      </c>
      <c r="M1509" s="3">
        <v>12320</v>
      </c>
      <c r="N1509" s="4">
        <v>0.30555555555555558</v>
      </c>
    </row>
    <row r="1510" spans="1:14" x14ac:dyDescent="0.3">
      <c r="A1510" s="6">
        <v>45765</v>
      </c>
      <c r="B1510" s="1" t="s">
        <v>1694</v>
      </c>
      <c r="C1510" s="1" t="s">
        <v>28</v>
      </c>
      <c r="D1510" t="s">
        <v>31</v>
      </c>
      <c r="E1510" t="s">
        <v>361</v>
      </c>
      <c r="F1510" t="s">
        <v>14</v>
      </c>
      <c r="G1510" t="s">
        <v>15</v>
      </c>
      <c r="H1510" s="3">
        <v>4</v>
      </c>
      <c r="I1510" s="3">
        <v>59400</v>
      </c>
      <c r="J1510" s="3">
        <v>237600</v>
      </c>
      <c r="K1510" s="3">
        <v>45000</v>
      </c>
      <c r="L1510" s="3">
        <v>180000</v>
      </c>
      <c r="M1510" s="3">
        <v>57600</v>
      </c>
      <c r="N1510" s="4">
        <v>0.24242424242424243</v>
      </c>
    </row>
    <row r="1511" spans="1:14" x14ac:dyDescent="0.3">
      <c r="A1511" s="6">
        <v>45765</v>
      </c>
      <c r="B1511" s="1" t="s">
        <v>1695</v>
      </c>
      <c r="C1511" s="1" t="s">
        <v>26</v>
      </c>
      <c r="D1511" t="s">
        <v>31</v>
      </c>
      <c r="E1511" t="s">
        <v>166</v>
      </c>
      <c r="F1511" t="s">
        <v>14</v>
      </c>
      <c r="G1511" t="s">
        <v>15</v>
      </c>
      <c r="H1511" s="3">
        <v>3</v>
      </c>
      <c r="I1511" s="3">
        <v>58500</v>
      </c>
      <c r="J1511" s="3">
        <v>175500</v>
      </c>
      <c r="K1511" s="3">
        <v>45000</v>
      </c>
      <c r="L1511" s="3">
        <v>135000</v>
      </c>
      <c r="M1511" s="3">
        <v>40500</v>
      </c>
      <c r="N1511" s="4">
        <v>0.23076923076923078</v>
      </c>
    </row>
    <row r="1512" spans="1:14" x14ac:dyDescent="0.3">
      <c r="A1512" s="6">
        <v>45766</v>
      </c>
      <c r="B1512" s="1" t="s">
        <v>1696</v>
      </c>
      <c r="C1512" s="1" t="s">
        <v>28</v>
      </c>
      <c r="D1512" t="s">
        <v>35</v>
      </c>
      <c r="E1512" t="s">
        <v>208</v>
      </c>
      <c r="F1512" t="s">
        <v>22</v>
      </c>
      <c r="G1512" t="s">
        <v>18</v>
      </c>
      <c r="H1512" s="3">
        <v>6</v>
      </c>
      <c r="I1512" s="3">
        <v>8750</v>
      </c>
      <c r="J1512" s="3">
        <v>52500</v>
      </c>
      <c r="K1512" s="3">
        <v>7000</v>
      </c>
      <c r="L1512" s="3">
        <v>42000</v>
      </c>
      <c r="M1512" s="3">
        <v>10500</v>
      </c>
      <c r="N1512" s="4">
        <v>0.2</v>
      </c>
    </row>
    <row r="1513" spans="1:14" x14ac:dyDescent="0.3">
      <c r="A1513" s="6">
        <v>45766</v>
      </c>
      <c r="B1513" s="1" t="s">
        <v>1697</v>
      </c>
      <c r="C1513" s="1" t="s">
        <v>27</v>
      </c>
      <c r="D1513" t="s">
        <v>30</v>
      </c>
      <c r="E1513" t="s">
        <v>365</v>
      </c>
      <c r="F1513" t="s">
        <v>16</v>
      </c>
      <c r="G1513" t="s">
        <v>15</v>
      </c>
      <c r="H1513" s="3">
        <v>7</v>
      </c>
      <c r="I1513" s="3">
        <v>46740</v>
      </c>
      <c r="J1513" s="3">
        <v>327180</v>
      </c>
      <c r="K1513" s="3">
        <v>38000</v>
      </c>
      <c r="L1513" s="3">
        <v>266000</v>
      </c>
      <c r="M1513" s="3">
        <v>61180</v>
      </c>
      <c r="N1513" s="4">
        <v>0.18699186991869918</v>
      </c>
    </row>
    <row r="1514" spans="1:14" x14ac:dyDescent="0.3">
      <c r="A1514" s="6">
        <v>45766</v>
      </c>
      <c r="B1514" s="1" t="s">
        <v>1698</v>
      </c>
      <c r="C1514" s="1" t="s">
        <v>28</v>
      </c>
      <c r="D1514" t="s">
        <v>34</v>
      </c>
      <c r="E1514" t="s">
        <v>94</v>
      </c>
      <c r="F1514" t="s">
        <v>22</v>
      </c>
      <c r="G1514" t="s">
        <v>18</v>
      </c>
      <c r="H1514" s="3">
        <v>8</v>
      </c>
      <c r="I1514" s="3">
        <v>10080</v>
      </c>
      <c r="J1514" s="3">
        <v>80640</v>
      </c>
      <c r="K1514" s="3">
        <v>7000</v>
      </c>
      <c r="L1514" s="3">
        <v>56000</v>
      </c>
      <c r="M1514" s="3">
        <v>24640</v>
      </c>
      <c r="N1514" s="4">
        <v>0.30555555555555558</v>
      </c>
    </row>
    <row r="1515" spans="1:14" x14ac:dyDescent="0.3">
      <c r="A1515" s="6">
        <v>45766</v>
      </c>
      <c r="B1515" s="1" t="s">
        <v>1699</v>
      </c>
      <c r="C1515" s="1" t="s">
        <v>29</v>
      </c>
      <c r="D1515" t="s">
        <v>30</v>
      </c>
      <c r="E1515" t="s">
        <v>102</v>
      </c>
      <c r="F1515" t="s">
        <v>16</v>
      </c>
      <c r="G1515" t="s">
        <v>15</v>
      </c>
      <c r="H1515" s="3">
        <v>10</v>
      </c>
      <c r="I1515" s="3">
        <v>46360</v>
      </c>
      <c r="J1515" s="3">
        <v>463600</v>
      </c>
      <c r="K1515" s="3">
        <v>38000</v>
      </c>
      <c r="L1515" s="3">
        <v>380000</v>
      </c>
      <c r="M1515" s="3">
        <v>83600</v>
      </c>
      <c r="N1515" s="4">
        <v>0.18032786885245902</v>
      </c>
    </row>
    <row r="1516" spans="1:14" x14ac:dyDescent="0.3">
      <c r="A1516" s="6">
        <v>45766</v>
      </c>
      <c r="B1516" s="1" t="s">
        <v>1700</v>
      </c>
      <c r="C1516" s="1" t="s">
        <v>29</v>
      </c>
      <c r="D1516" t="s">
        <v>34</v>
      </c>
      <c r="E1516" t="s">
        <v>76</v>
      </c>
      <c r="F1516" t="s">
        <v>22</v>
      </c>
      <c r="G1516" t="s">
        <v>18</v>
      </c>
      <c r="H1516" s="3">
        <v>7</v>
      </c>
      <c r="I1516" s="3">
        <v>8540</v>
      </c>
      <c r="J1516" s="3">
        <v>59780</v>
      </c>
      <c r="K1516" s="3">
        <v>7000</v>
      </c>
      <c r="L1516" s="3">
        <v>49000</v>
      </c>
      <c r="M1516" s="3">
        <v>10780</v>
      </c>
      <c r="N1516" s="4">
        <v>0.18032786885245902</v>
      </c>
    </row>
    <row r="1517" spans="1:14" x14ac:dyDescent="0.3">
      <c r="A1517" s="6">
        <v>45766</v>
      </c>
      <c r="B1517" s="1" t="s">
        <v>1701</v>
      </c>
      <c r="C1517" s="1" t="s">
        <v>27</v>
      </c>
      <c r="D1517" t="s">
        <v>33</v>
      </c>
      <c r="E1517" t="s">
        <v>361</v>
      </c>
      <c r="F1517" t="s">
        <v>22</v>
      </c>
      <c r="G1517" t="s">
        <v>18</v>
      </c>
      <c r="H1517" s="3">
        <v>6</v>
      </c>
      <c r="I1517" s="3">
        <v>9870</v>
      </c>
      <c r="J1517" s="3">
        <v>59220</v>
      </c>
      <c r="K1517" s="3">
        <v>7000</v>
      </c>
      <c r="L1517" s="3">
        <v>42000</v>
      </c>
      <c r="M1517" s="3">
        <v>17220</v>
      </c>
      <c r="N1517" s="4">
        <v>0.29078014184397161</v>
      </c>
    </row>
    <row r="1518" spans="1:14" x14ac:dyDescent="0.3">
      <c r="A1518" s="6">
        <v>45766</v>
      </c>
      <c r="B1518" s="1" t="s">
        <v>1702</v>
      </c>
      <c r="C1518" s="1" t="s">
        <v>27</v>
      </c>
      <c r="D1518" t="s">
        <v>31</v>
      </c>
      <c r="E1518" t="s">
        <v>521</v>
      </c>
      <c r="F1518" t="s">
        <v>14</v>
      </c>
      <c r="G1518" t="s">
        <v>15</v>
      </c>
      <c r="H1518" s="3">
        <v>5</v>
      </c>
      <c r="I1518" s="3">
        <v>61199.999999999993</v>
      </c>
      <c r="J1518" s="3">
        <v>305999.99999999994</v>
      </c>
      <c r="K1518" s="3">
        <v>45000</v>
      </c>
      <c r="L1518" s="3">
        <v>225000</v>
      </c>
      <c r="M1518" s="3">
        <v>80999.999999999942</v>
      </c>
      <c r="N1518" s="4">
        <v>0.26470588235294101</v>
      </c>
    </row>
    <row r="1519" spans="1:14" x14ac:dyDescent="0.3">
      <c r="A1519" s="6">
        <v>45766</v>
      </c>
      <c r="B1519" s="1" t="s">
        <v>1703</v>
      </c>
      <c r="C1519" s="1" t="s">
        <v>27</v>
      </c>
      <c r="D1519" t="s">
        <v>32</v>
      </c>
      <c r="E1519" t="s">
        <v>388</v>
      </c>
      <c r="F1519" t="s">
        <v>14</v>
      </c>
      <c r="G1519" t="s">
        <v>15</v>
      </c>
      <c r="H1519" s="3">
        <v>7</v>
      </c>
      <c r="I1519" s="3">
        <v>64350</v>
      </c>
      <c r="J1519" s="3">
        <v>450450</v>
      </c>
      <c r="K1519" s="3">
        <v>45000</v>
      </c>
      <c r="L1519" s="3">
        <v>315000</v>
      </c>
      <c r="M1519" s="3">
        <v>135450</v>
      </c>
      <c r="N1519" s="4">
        <v>0.30069930069930068</v>
      </c>
    </row>
    <row r="1520" spans="1:14" x14ac:dyDescent="0.3">
      <c r="A1520" s="6">
        <v>45766</v>
      </c>
      <c r="B1520" s="1" t="s">
        <v>1704</v>
      </c>
      <c r="C1520" s="1" t="s">
        <v>28</v>
      </c>
      <c r="D1520" t="s">
        <v>35</v>
      </c>
      <c r="E1520" t="s">
        <v>310</v>
      </c>
      <c r="F1520" t="s">
        <v>23</v>
      </c>
      <c r="G1520" t="s">
        <v>25</v>
      </c>
      <c r="H1520" s="3">
        <v>3</v>
      </c>
      <c r="I1520" s="3">
        <v>4576</v>
      </c>
      <c r="J1520" s="3">
        <v>13728</v>
      </c>
      <c r="K1520" s="3">
        <v>3200</v>
      </c>
      <c r="L1520" s="3">
        <v>9600</v>
      </c>
      <c r="M1520" s="3">
        <v>4128</v>
      </c>
      <c r="N1520" s="4">
        <v>0.30069930069930068</v>
      </c>
    </row>
    <row r="1521" spans="1:14" x14ac:dyDescent="0.3">
      <c r="A1521" s="6">
        <v>45766</v>
      </c>
      <c r="B1521" s="1" t="s">
        <v>1705</v>
      </c>
      <c r="C1521" s="1" t="s">
        <v>26</v>
      </c>
      <c r="D1521" t="s">
        <v>34</v>
      </c>
      <c r="E1521" t="s">
        <v>163</v>
      </c>
      <c r="F1521" t="s">
        <v>21</v>
      </c>
      <c r="G1521" t="s">
        <v>20</v>
      </c>
      <c r="H1521" s="3">
        <v>2</v>
      </c>
      <c r="I1521" s="3">
        <v>750</v>
      </c>
      <c r="J1521" s="3">
        <v>1500</v>
      </c>
      <c r="K1521" s="3">
        <v>600</v>
      </c>
      <c r="L1521" s="3">
        <v>1200</v>
      </c>
      <c r="M1521" s="3">
        <v>300</v>
      </c>
      <c r="N1521" s="4">
        <v>0.2</v>
      </c>
    </row>
    <row r="1522" spans="1:14" x14ac:dyDescent="0.3">
      <c r="A1522" s="6">
        <v>45766</v>
      </c>
      <c r="B1522" s="1" t="s">
        <v>1706</v>
      </c>
      <c r="C1522" s="1" t="s">
        <v>26</v>
      </c>
      <c r="D1522" t="s">
        <v>35</v>
      </c>
      <c r="E1522" t="s">
        <v>306</v>
      </c>
      <c r="F1522" t="s">
        <v>17</v>
      </c>
      <c r="G1522" t="s">
        <v>18</v>
      </c>
      <c r="H1522" s="3">
        <v>6</v>
      </c>
      <c r="I1522" s="3">
        <v>10795</v>
      </c>
      <c r="J1522" s="3">
        <v>64770</v>
      </c>
      <c r="K1522" s="3">
        <v>8500</v>
      </c>
      <c r="L1522" s="3">
        <v>51000</v>
      </c>
      <c r="M1522" s="3">
        <v>13770</v>
      </c>
      <c r="N1522" s="4">
        <v>0.2125984251968504</v>
      </c>
    </row>
    <row r="1523" spans="1:14" x14ac:dyDescent="0.3">
      <c r="A1523" s="6">
        <v>45766</v>
      </c>
      <c r="B1523" s="1" t="s">
        <v>1707</v>
      </c>
      <c r="C1523" s="1" t="s">
        <v>28</v>
      </c>
      <c r="D1523" t="s">
        <v>34</v>
      </c>
      <c r="E1523" t="s">
        <v>379</v>
      </c>
      <c r="F1523" t="s">
        <v>17</v>
      </c>
      <c r="G1523" t="s">
        <v>18</v>
      </c>
      <c r="H1523" s="3">
        <v>5</v>
      </c>
      <c r="I1523" s="3">
        <v>10455</v>
      </c>
      <c r="J1523" s="3">
        <v>52275</v>
      </c>
      <c r="K1523" s="3">
        <v>8500</v>
      </c>
      <c r="L1523" s="3">
        <v>42500</v>
      </c>
      <c r="M1523" s="3">
        <v>9775</v>
      </c>
      <c r="N1523" s="4">
        <v>0.18699186991869918</v>
      </c>
    </row>
    <row r="1524" spans="1:14" x14ac:dyDescent="0.3">
      <c r="A1524" s="6">
        <v>45766</v>
      </c>
      <c r="B1524" s="1" t="s">
        <v>1708</v>
      </c>
      <c r="C1524" s="1" t="s">
        <v>29</v>
      </c>
      <c r="D1524" t="s">
        <v>32</v>
      </c>
      <c r="E1524" t="s">
        <v>231</v>
      </c>
      <c r="F1524" t="s">
        <v>22</v>
      </c>
      <c r="G1524" t="s">
        <v>18</v>
      </c>
      <c r="H1524" s="3">
        <v>8</v>
      </c>
      <c r="I1524" s="3">
        <v>9660</v>
      </c>
      <c r="J1524" s="3">
        <v>77280</v>
      </c>
      <c r="K1524" s="3">
        <v>7000</v>
      </c>
      <c r="L1524" s="3">
        <v>56000</v>
      </c>
      <c r="M1524" s="3">
        <v>21280</v>
      </c>
      <c r="N1524" s="4">
        <v>0.27536231884057971</v>
      </c>
    </row>
    <row r="1525" spans="1:14" x14ac:dyDescent="0.3">
      <c r="A1525" s="6">
        <v>45766</v>
      </c>
      <c r="B1525" s="1" t="s">
        <v>1709</v>
      </c>
      <c r="C1525" s="1" t="s">
        <v>26</v>
      </c>
      <c r="D1525" t="s">
        <v>32</v>
      </c>
      <c r="E1525" t="s">
        <v>349</v>
      </c>
      <c r="F1525" t="s">
        <v>17</v>
      </c>
      <c r="G1525" t="s">
        <v>18</v>
      </c>
      <c r="H1525" s="3">
        <v>7</v>
      </c>
      <c r="I1525" s="3">
        <v>12070</v>
      </c>
      <c r="J1525" s="3">
        <v>84490</v>
      </c>
      <c r="K1525" s="3">
        <v>8500</v>
      </c>
      <c r="L1525" s="3">
        <v>59500</v>
      </c>
      <c r="M1525" s="3">
        <v>24990</v>
      </c>
      <c r="N1525" s="4">
        <v>0.29577464788732394</v>
      </c>
    </row>
    <row r="1526" spans="1:14" x14ac:dyDescent="0.3">
      <c r="A1526" s="6">
        <v>45767</v>
      </c>
      <c r="B1526" s="1" t="s">
        <v>1710</v>
      </c>
      <c r="C1526" s="1" t="s">
        <v>29</v>
      </c>
      <c r="D1526" t="s">
        <v>31</v>
      </c>
      <c r="E1526" t="s">
        <v>239</v>
      </c>
      <c r="F1526" t="s">
        <v>21</v>
      </c>
      <c r="G1526" t="s">
        <v>20</v>
      </c>
      <c r="H1526" s="3">
        <v>5</v>
      </c>
      <c r="I1526" s="3">
        <v>815.99999999999989</v>
      </c>
      <c r="J1526" s="3">
        <v>4079.9999999999995</v>
      </c>
      <c r="K1526" s="3">
        <v>600</v>
      </c>
      <c r="L1526" s="3">
        <v>3000</v>
      </c>
      <c r="M1526" s="3">
        <v>1079.9999999999995</v>
      </c>
      <c r="N1526" s="4">
        <v>0.26470588235294107</v>
      </c>
    </row>
    <row r="1527" spans="1:14" x14ac:dyDescent="0.3">
      <c r="A1527" s="6">
        <v>45767</v>
      </c>
      <c r="B1527" s="1" t="s">
        <v>1711</v>
      </c>
      <c r="C1527" s="1" t="s">
        <v>28</v>
      </c>
      <c r="D1527" t="s">
        <v>33</v>
      </c>
      <c r="E1527" t="s">
        <v>327</v>
      </c>
      <c r="F1527" t="s">
        <v>17</v>
      </c>
      <c r="G1527" t="s">
        <v>18</v>
      </c>
      <c r="H1527" s="3">
        <v>3</v>
      </c>
      <c r="I1527" s="3">
        <v>11985</v>
      </c>
      <c r="J1527" s="3">
        <v>35955</v>
      </c>
      <c r="K1527" s="3">
        <v>8500</v>
      </c>
      <c r="L1527" s="3">
        <v>25500</v>
      </c>
      <c r="M1527" s="3">
        <v>10455</v>
      </c>
      <c r="N1527" s="4">
        <v>0.29078014184397161</v>
      </c>
    </row>
    <row r="1528" spans="1:14" x14ac:dyDescent="0.3">
      <c r="A1528" s="6">
        <v>45767</v>
      </c>
      <c r="B1528" s="1" t="s">
        <v>1712</v>
      </c>
      <c r="C1528" s="1" t="s">
        <v>26</v>
      </c>
      <c r="D1528" t="s">
        <v>33</v>
      </c>
      <c r="E1528" t="s">
        <v>145</v>
      </c>
      <c r="F1528" t="s">
        <v>23</v>
      </c>
      <c r="G1528" t="s">
        <v>25</v>
      </c>
      <c r="H1528" s="3">
        <v>6</v>
      </c>
      <c r="I1528" s="3">
        <v>4384</v>
      </c>
      <c r="J1528" s="3">
        <v>26304</v>
      </c>
      <c r="K1528" s="3">
        <v>3200</v>
      </c>
      <c r="L1528" s="3">
        <v>19200</v>
      </c>
      <c r="M1528" s="3">
        <v>7104</v>
      </c>
      <c r="N1528" s="4">
        <v>0.27007299270072993</v>
      </c>
    </row>
    <row r="1529" spans="1:14" x14ac:dyDescent="0.3">
      <c r="A1529" s="6">
        <v>45767</v>
      </c>
      <c r="B1529" s="1" t="s">
        <v>1713</v>
      </c>
      <c r="C1529" s="1" t="s">
        <v>27</v>
      </c>
      <c r="D1529" t="s">
        <v>31</v>
      </c>
      <c r="E1529" t="s">
        <v>355</v>
      </c>
      <c r="F1529" t="s">
        <v>19</v>
      </c>
      <c r="G1529" t="s">
        <v>20</v>
      </c>
      <c r="H1529" s="3">
        <v>10</v>
      </c>
      <c r="I1529" s="3">
        <v>1242</v>
      </c>
      <c r="J1529" s="3">
        <v>12420</v>
      </c>
      <c r="K1529" s="3">
        <v>900</v>
      </c>
      <c r="L1529" s="3">
        <v>9000</v>
      </c>
      <c r="M1529" s="3">
        <v>3420</v>
      </c>
      <c r="N1529" s="4">
        <v>0.27536231884057971</v>
      </c>
    </row>
    <row r="1530" spans="1:14" x14ac:dyDescent="0.3">
      <c r="A1530" s="6">
        <v>45767</v>
      </c>
      <c r="B1530" s="1" t="s">
        <v>1714</v>
      </c>
      <c r="C1530" s="1" t="s">
        <v>28</v>
      </c>
      <c r="D1530" t="s">
        <v>34</v>
      </c>
      <c r="E1530" t="s">
        <v>521</v>
      </c>
      <c r="F1530" t="s">
        <v>17</v>
      </c>
      <c r="G1530" t="s">
        <v>18</v>
      </c>
      <c r="H1530" s="3">
        <v>9</v>
      </c>
      <c r="I1530" s="3">
        <v>11050</v>
      </c>
      <c r="J1530" s="3">
        <v>99450</v>
      </c>
      <c r="K1530" s="3">
        <v>8500</v>
      </c>
      <c r="L1530" s="3">
        <v>76500</v>
      </c>
      <c r="M1530" s="3">
        <v>22950</v>
      </c>
      <c r="N1530" s="4">
        <v>0.23076923076923078</v>
      </c>
    </row>
    <row r="1531" spans="1:14" x14ac:dyDescent="0.3">
      <c r="A1531" s="6">
        <v>45767</v>
      </c>
      <c r="B1531" s="1" t="s">
        <v>1715</v>
      </c>
      <c r="C1531" s="1" t="s">
        <v>29</v>
      </c>
      <c r="D1531" t="s">
        <v>33</v>
      </c>
      <c r="E1531" t="s">
        <v>37</v>
      </c>
      <c r="F1531" t="s">
        <v>24</v>
      </c>
      <c r="G1531" t="s">
        <v>25</v>
      </c>
      <c r="H1531" s="3">
        <v>2</v>
      </c>
      <c r="I1531" s="3">
        <v>3225</v>
      </c>
      <c r="J1531" s="3">
        <v>6450</v>
      </c>
      <c r="K1531" s="3">
        <v>2500</v>
      </c>
      <c r="L1531" s="3">
        <v>5000</v>
      </c>
      <c r="M1531" s="3">
        <v>1450</v>
      </c>
      <c r="N1531" s="4">
        <v>0.22480620155038761</v>
      </c>
    </row>
    <row r="1532" spans="1:14" x14ac:dyDescent="0.3">
      <c r="A1532" s="6">
        <v>45767</v>
      </c>
      <c r="B1532" s="1" t="s">
        <v>1716</v>
      </c>
      <c r="C1532" s="1" t="s">
        <v>28</v>
      </c>
      <c r="D1532" t="s">
        <v>30</v>
      </c>
      <c r="E1532" t="s">
        <v>243</v>
      </c>
      <c r="F1532" t="s">
        <v>14</v>
      </c>
      <c r="G1532" t="s">
        <v>15</v>
      </c>
      <c r="H1532" s="3">
        <v>5</v>
      </c>
      <c r="I1532" s="3">
        <v>62550.000000000007</v>
      </c>
      <c r="J1532" s="3">
        <v>312750.00000000006</v>
      </c>
      <c r="K1532" s="3">
        <v>45000</v>
      </c>
      <c r="L1532" s="3">
        <v>225000</v>
      </c>
      <c r="M1532" s="3">
        <v>87750.000000000058</v>
      </c>
      <c r="N1532" s="4">
        <v>0.28057553956834547</v>
      </c>
    </row>
    <row r="1533" spans="1:14" x14ac:dyDescent="0.3">
      <c r="A1533" s="6">
        <v>45767</v>
      </c>
      <c r="B1533" s="1" t="s">
        <v>1717</v>
      </c>
      <c r="C1533" s="1" t="s">
        <v>29</v>
      </c>
      <c r="D1533" t="s">
        <v>31</v>
      </c>
      <c r="E1533" t="s">
        <v>275</v>
      </c>
      <c r="F1533" t="s">
        <v>21</v>
      </c>
      <c r="G1533" t="s">
        <v>20</v>
      </c>
      <c r="H1533" s="3">
        <v>10</v>
      </c>
      <c r="I1533" s="3">
        <v>756</v>
      </c>
      <c r="J1533" s="3">
        <v>7560</v>
      </c>
      <c r="K1533" s="3">
        <v>600</v>
      </c>
      <c r="L1533" s="3">
        <v>6000</v>
      </c>
      <c r="M1533" s="3">
        <v>1560</v>
      </c>
      <c r="N1533" s="4">
        <v>0.20634920634920634</v>
      </c>
    </row>
    <row r="1534" spans="1:14" x14ac:dyDescent="0.3">
      <c r="A1534" s="6">
        <v>45767</v>
      </c>
      <c r="B1534" s="1" t="s">
        <v>1718</v>
      </c>
      <c r="C1534" s="1" t="s">
        <v>27</v>
      </c>
      <c r="D1534" t="s">
        <v>33</v>
      </c>
      <c r="E1534" t="s">
        <v>41</v>
      </c>
      <c r="F1534" t="s">
        <v>23</v>
      </c>
      <c r="G1534" t="s">
        <v>25</v>
      </c>
      <c r="H1534" s="3">
        <v>1</v>
      </c>
      <c r="I1534" s="3">
        <v>4576</v>
      </c>
      <c r="J1534" s="3">
        <v>4576</v>
      </c>
      <c r="K1534" s="3">
        <v>3200</v>
      </c>
      <c r="L1534" s="3">
        <v>3200</v>
      </c>
      <c r="M1534" s="3">
        <v>1376</v>
      </c>
      <c r="N1534" s="4">
        <v>0.30069930069930068</v>
      </c>
    </row>
    <row r="1535" spans="1:14" x14ac:dyDescent="0.3">
      <c r="A1535" s="6">
        <v>45767</v>
      </c>
      <c r="B1535" s="1" t="s">
        <v>1719</v>
      </c>
      <c r="C1535" s="1" t="s">
        <v>27</v>
      </c>
      <c r="D1535" t="s">
        <v>33</v>
      </c>
      <c r="E1535" t="s">
        <v>280</v>
      </c>
      <c r="F1535" t="s">
        <v>16</v>
      </c>
      <c r="G1535" t="s">
        <v>15</v>
      </c>
      <c r="H1535" s="3">
        <v>10</v>
      </c>
      <c r="I1535" s="3">
        <v>53200</v>
      </c>
      <c r="J1535" s="3">
        <v>532000</v>
      </c>
      <c r="K1535" s="3">
        <v>38000</v>
      </c>
      <c r="L1535" s="3">
        <v>380000</v>
      </c>
      <c r="M1535" s="3">
        <v>152000</v>
      </c>
      <c r="N1535" s="4">
        <v>0.2857142857142857</v>
      </c>
    </row>
    <row r="1536" spans="1:14" x14ac:dyDescent="0.3">
      <c r="A1536" s="6">
        <v>45767</v>
      </c>
      <c r="B1536" s="1" t="s">
        <v>1720</v>
      </c>
      <c r="C1536" s="1" t="s">
        <v>26</v>
      </c>
      <c r="D1536" t="s">
        <v>30</v>
      </c>
      <c r="E1536" t="s">
        <v>124</v>
      </c>
      <c r="F1536" t="s">
        <v>24</v>
      </c>
      <c r="G1536" t="s">
        <v>25</v>
      </c>
      <c r="H1536" s="3">
        <v>5</v>
      </c>
      <c r="I1536" s="3">
        <v>3399.9999999999995</v>
      </c>
      <c r="J1536" s="3">
        <v>16999.999999999996</v>
      </c>
      <c r="K1536" s="3">
        <v>2500</v>
      </c>
      <c r="L1536" s="3">
        <v>12500</v>
      </c>
      <c r="M1536" s="3">
        <v>4499.9999999999964</v>
      </c>
      <c r="N1536" s="4">
        <v>0.26470588235294101</v>
      </c>
    </row>
    <row r="1537" spans="1:14" x14ac:dyDescent="0.3">
      <c r="A1537" s="6">
        <v>45767</v>
      </c>
      <c r="B1537" s="1" t="s">
        <v>1721</v>
      </c>
      <c r="C1537" s="1" t="s">
        <v>28</v>
      </c>
      <c r="D1537" t="s">
        <v>35</v>
      </c>
      <c r="E1537" t="s">
        <v>124</v>
      </c>
      <c r="F1537" t="s">
        <v>21</v>
      </c>
      <c r="G1537" t="s">
        <v>20</v>
      </c>
      <c r="H1537" s="3">
        <v>7</v>
      </c>
      <c r="I1537" s="3">
        <v>834.00000000000011</v>
      </c>
      <c r="J1537" s="3">
        <v>5838.0000000000009</v>
      </c>
      <c r="K1537" s="3">
        <v>600</v>
      </c>
      <c r="L1537" s="3">
        <v>4200</v>
      </c>
      <c r="M1537" s="3">
        <v>1638.0000000000009</v>
      </c>
      <c r="N1537" s="4">
        <v>0.28057553956834541</v>
      </c>
    </row>
    <row r="1538" spans="1:14" x14ac:dyDescent="0.3">
      <c r="A1538" s="6">
        <v>45767</v>
      </c>
      <c r="B1538" s="1" t="s">
        <v>1722</v>
      </c>
      <c r="C1538" s="1" t="s">
        <v>26</v>
      </c>
      <c r="D1538" t="s">
        <v>32</v>
      </c>
      <c r="E1538" t="s">
        <v>508</v>
      </c>
      <c r="F1538" t="s">
        <v>17</v>
      </c>
      <c r="G1538" t="s">
        <v>18</v>
      </c>
      <c r="H1538" s="3">
        <v>9</v>
      </c>
      <c r="I1538" s="3">
        <v>11305</v>
      </c>
      <c r="J1538" s="3">
        <v>101745</v>
      </c>
      <c r="K1538" s="3">
        <v>8500</v>
      </c>
      <c r="L1538" s="3">
        <v>76500</v>
      </c>
      <c r="M1538" s="3">
        <v>25245</v>
      </c>
      <c r="N1538" s="4">
        <v>0.24812030075187969</v>
      </c>
    </row>
    <row r="1539" spans="1:14" x14ac:dyDescent="0.3">
      <c r="A1539" s="6">
        <v>45767</v>
      </c>
      <c r="B1539" s="1" t="s">
        <v>1723</v>
      </c>
      <c r="C1539" s="1" t="s">
        <v>28</v>
      </c>
      <c r="D1539" t="s">
        <v>30</v>
      </c>
      <c r="E1539" t="s">
        <v>357</v>
      </c>
      <c r="F1539" t="s">
        <v>16</v>
      </c>
      <c r="G1539" t="s">
        <v>15</v>
      </c>
      <c r="H1539" s="3">
        <v>1</v>
      </c>
      <c r="I1539" s="3">
        <v>45980</v>
      </c>
      <c r="J1539" s="3">
        <v>45980</v>
      </c>
      <c r="K1539" s="3">
        <v>38000</v>
      </c>
      <c r="L1539" s="3">
        <v>38000</v>
      </c>
      <c r="M1539" s="3">
        <v>7980</v>
      </c>
      <c r="N1539" s="4">
        <v>0.17355371900826447</v>
      </c>
    </row>
    <row r="1540" spans="1:14" x14ac:dyDescent="0.3">
      <c r="A1540" s="6">
        <v>45768</v>
      </c>
      <c r="B1540" s="1" t="s">
        <v>1724</v>
      </c>
      <c r="C1540" s="1" t="s">
        <v>27</v>
      </c>
      <c r="D1540" t="s">
        <v>30</v>
      </c>
      <c r="E1540" t="s">
        <v>214</v>
      </c>
      <c r="F1540" t="s">
        <v>14</v>
      </c>
      <c r="G1540" t="s">
        <v>15</v>
      </c>
      <c r="H1540" s="3">
        <v>3</v>
      </c>
      <c r="I1540" s="3">
        <v>64800</v>
      </c>
      <c r="J1540" s="3">
        <v>194400</v>
      </c>
      <c r="K1540" s="3">
        <v>45000</v>
      </c>
      <c r="L1540" s="3">
        <v>135000</v>
      </c>
      <c r="M1540" s="3">
        <v>59400</v>
      </c>
      <c r="N1540" s="4">
        <v>0.30555555555555558</v>
      </c>
    </row>
    <row r="1541" spans="1:14" x14ac:dyDescent="0.3">
      <c r="A1541" s="6">
        <v>45768</v>
      </c>
      <c r="B1541" s="1" t="s">
        <v>1725</v>
      </c>
      <c r="C1541" s="1" t="s">
        <v>29</v>
      </c>
      <c r="D1541" t="s">
        <v>34</v>
      </c>
      <c r="E1541" t="s">
        <v>37</v>
      </c>
      <c r="F1541" t="s">
        <v>14</v>
      </c>
      <c r="G1541" t="s">
        <v>15</v>
      </c>
      <c r="H1541" s="3">
        <v>3</v>
      </c>
      <c r="I1541" s="3">
        <v>59850</v>
      </c>
      <c r="J1541" s="3">
        <v>179550</v>
      </c>
      <c r="K1541" s="3">
        <v>45000</v>
      </c>
      <c r="L1541" s="3">
        <v>135000</v>
      </c>
      <c r="M1541" s="3">
        <v>44550</v>
      </c>
      <c r="N1541" s="4">
        <v>0.24812030075187969</v>
      </c>
    </row>
    <row r="1542" spans="1:14" x14ac:dyDescent="0.3">
      <c r="A1542" s="6">
        <v>45768</v>
      </c>
      <c r="B1542" s="1" t="s">
        <v>1726</v>
      </c>
      <c r="C1542" s="1" t="s">
        <v>28</v>
      </c>
      <c r="D1542" t="s">
        <v>31</v>
      </c>
      <c r="E1542" t="s">
        <v>81</v>
      </c>
      <c r="F1542" t="s">
        <v>23</v>
      </c>
      <c r="G1542" t="s">
        <v>25</v>
      </c>
      <c r="H1542" s="3">
        <v>2</v>
      </c>
      <c r="I1542" s="3">
        <v>4256</v>
      </c>
      <c r="J1542" s="3">
        <v>8512</v>
      </c>
      <c r="K1542" s="3">
        <v>3200</v>
      </c>
      <c r="L1542" s="3">
        <v>6400</v>
      </c>
      <c r="M1542" s="3">
        <v>2112</v>
      </c>
      <c r="N1542" s="4">
        <v>0.24812030075187969</v>
      </c>
    </row>
    <row r="1543" spans="1:14" x14ac:dyDescent="0.3">
      <c r="A1543" s="6">
        <v>45768</v>
      </c>
      <c r="B1543" s="1" t="s">
        <v>1727</v>
      </c>
      <c r="C1543" s="1" t="s">
        <v>28</v>
      </c>
      <c r="D1543" t="s">
        <v>30</v>
      </c>
      <c r="E1543" t="s">
        <v>90</v>
      </c>
      <c r="F1543" t="s">
        <v>23</v>
      </c>
      <c r="G1543" t="s">
        <v>25</v>
      </c>
      <c r="H1543" s="3">
        <v>9</v>
      </c>
      <c r="I1543" s="3">
        <v>4512</v>
      </c>
      <c r="J1543" s="3">
        <v>40608</v>
      </c>
      <c r="K1543" s="3">
        <v>3200</v>
      </c>
      <c r="L1543" s="3">
        <v>28800</v>
      </c>
      <c r="M1543" s="3">
        <v>11808</v>
      </c>
      <c r="N1543" s="4">
        <v>0.29078014184397161</v>
      </c>
    </row>
    <row r="1544" spans="1:14" x14ac:dyDescent="0.3">
      <c r="A1544" s="6">
        <v>45768</v>
      </c>
      <c r="B1544" s="1" t="s">
        <v>1728</v>
      </c>
      <c r="C1544" s="1" t="s">
        <v>28</v>
      </c>
      <c r="D1544" t="s">
        <v>34</v>
      </c>
      <c r="E1544" t="s">
        <v>236</v>
      </c>
      <c r="F1544" t="s">
        <v>22</v>
      </c>
      <c r="G1544" t="s">
        <v>18</v>
      </c>
      <c r="H1544" s="3">
        <v>9</v>
      </c>
      <c r="I1544" s="3">
        <v>9660</v>
      </c>
      <c r="J1544" s="3">
        <v>86940</v>
      </c>
      <c r="K1544" s="3">
        <v>7000</v>
      </c>
      <c r="L1544" s="3">
        <v>63000</v>
      </c>
      <c r="M1544" s="3">
        <v>23940</v>
      </c>
      <c r="N1544" s="4">
        <v>0.27536231884057971</v>
      </c>
    </row>
    <row r="1545" spans="1:14" x14ac:dyDescent="0.3">
      <c r="A1545" s="6">
        <v>45768</v>
      </c>
      <c r="B1545" s="1" t="s">
        <v>1729</v>
      </c>
      <c r="C1545" s="1" t="s">
        <v>28</v>
      </c>
      <c r="D1545" t="s">
        <v>30</v>
      </c>
      <c r="E1545" t="s">
        <v>114</v>
      </c>
      <c r="F1545" t="s">
        <v>22</v>
      </c>
      <c r="G1545" t="s">
        <v>18</v>
      </c>
      <c r="H1545" s="3">
        <v>10</v>
      </c>
      <c r="I1545" s="3">
        <v>10080</v>
      </c>
      <c r="J1545" s="3">
        <v>100800</v>
      </c>
      <c r="K1545" s="3">
        <v>7000</v>
      </c>
      <c r="L1545" s="3">
        <v>70000</v>
      </c>
      <c r="M1545" s="3">
        <v>30800</v>
      </c>
      <c r="N1545" s="4">
        <v>0.30555555555555558</v>
      </c>
    </row>
    <row r="1546" spans="1:14" x14ac:dyDescent="0.3">
      <c r="A1546" s="6">
        <v>45768</v>
      </c>
      <c r="B1546" s="1" t="s">
        <v>1730</v>
      </c>
      <c r="C1546" s="1" t="s">
        <v>26</v>
      </c>
      <c r="D1546" t="s">
        <v>33</v>
      </c>
      <c r="E1546" t="s">
        <v>61</v>
      </c>
      <c r="F1546" t="s">
        <v>16</v>
      </c>
      <c r="G1546" t="s">
        <v>15</v>
      </c>
      <c r="H1546" s="3">
        <v>1</v>
      </c>
      <c r="I1546" s="3">
        <v>53200</v>
      </c>
      <c r="J1546" s="3">
        <v>53200</v>
      </c>
      <c r="K1546" s="3">
        <v>38000</v>
      </c>
      <c r="L1546" s="3">
        <v>38000</v>
      </c>
      <c r="M1546" s="3">
        <v>15200</v>
      </c>
      <c r="N1546" s="4">
        <v>0.2857142857142857</v>
      </c>
    </row>
    <row r="1547" spans="1:14" x14ac:dyDescent="0.3">
      <c r="A1547" s="6">
        <v>45768</v>
      </c>
      <c r="B1547" s="1" t="s">
        <v>1731</v>
      </c>
      <c r="C1547" s="1" t="s">
        <v>27</v>
      </c>
      <c r="D1547" t="s">
        <v>33</v>
      </c>
      <c r="E1547" t="s">
        <v>308</v>
      </c>
      <c r="F1547" t="s">
        <v>21</v>
      </c>
      <c r="G1547" t="s">
        <v>20</v>
      </c>
      <c r="H1547" s="3">
        <v>3</v>
      </c>
      <c r="I1547" s="3">
        <v>750</v>
      </c>
      <c r="J1547" s="3">
        <v>2250</v>
      </c>
      <c r="K1547" s="3">
        <v>600</v>
      </c>
      <c r="L1547" s="3">
        <v>1800</v>
      </c>
      <c r="M1547" s="3">
        <v>450</v>
      </c>
      <c r="N1547" s="4">
        <v>0.2</v>
      </c>
    </row>
    <row r="1548" spans="1:14" x14ac:dyDescent="0.3">
      <c r="A1548" s="6">
        <v>45768</v>
      </c>
      <c r="B1548" s="1" t="s">
        <v>1732</v>
      </c>
      <c r="C1548" s="1" t="s">
        <v>28</v>
      </c>
      <c r="D1548" t="s">
        <v>35</v>
      </c>
      <c r="E1548" t="s">
        <v>169</v>
      </c>
      <c r="F1548" t="s">
        <v>16</v>
      </c>
      <c r="G1548" t="s">
        <v>15</v>
      </c>
      <c r="H1548" s="3">
        <v>7</v>
      </c>
      <c r="I1548" s="3">
        <v>49400</v>
      </c>
      <c r="J1548" s="3">
        <v>345800</v>
      </c>
      <c r="K1548" s="3">
        <v>38000</v>
      </c>
      <c r="L1548" s="3">
        <v>266000</v>
      </c>
      <c r="M1548" s="3">
        <v>79800</v>
      </c>
      <c r="N1548" s="4">
        <v>0.23076923076923078</v>
      </c>
    </row>
    <row r="1549" spans="1:14" x14ac:dyDescent="0.3">
      <c r="A1549" s="6">
        <v>45768</v>
      </c>
      <c r="B1549" s="1" t="s">
        <v>1733</v>
      </c>
      <c r="C1549" s="1" t="s">
        <v>27</v>
      </c>
      <c r="D1549" t="s">
        <v>32</v>
      </c>
      <c r="E1549" t="s">
        <v>521</v>
      </c>
      <c r="F1549" t="s">
        <v>24</v>
      </c>
      <c r="G1549" t="s">
        <v>25</v>
      </c>
      <c r="H1549" s="3">
        <v>9</v>
      </c>
      <c r="I1549" s="3">
        <v>3150</v>
      </c>
      <c r="J1549" s="3">
        <v>28350</v>
      </c>
      <c r="K1549" s="3">
        <v>2500</v>
      </c>
      <c r="L1549" s="3">
        <v>22500</v>
      </c>
      <c r="M1549" s="3">
        <v>5850</v>
      </c>
      <c r="N1549" s="4">
        <v>0.20634920634920634</v>
      </c>
    </row>
    <row r="1550" spans="1:14" x14ac:dyDescent="0.3">
      <c r="A1550" s="6">
        <v>45768</v>
      </c>
      <c r="B1550" s="1" t="s">
        <v>1734</v>
      </c>
      <c r="C1550" s="1" t="s">
        <v>28</v>
      </c>
      <c r="D1550" t="s">
        <v>32</v>
      </c>
      <c r="E1550" t="s">
        <v>198</v>
      </c>
      <c r="F1550" t="s">
        <v>23</v>
      </c>
      <c r="G1550" t="s">
        <v>25</v>
      </c>
      <c r="H1550" s="3">
        <v>9</v>
      </c>
      <c r="I1550" s="3">
        <v>4224</v>
      </c>
      <c r="J1550" s="3">
        <v>38016</v>
      </c>
      <c r="K1550" s="3">
        <v>3200</v>
      </c>
      <c r="L1550" s="3">
        <v>28800</v>
      </c>
      <c r="M1550" s="3">
        <v>9216</v>
      </c>
      <c r="N1550" s="4">
        <v>0.24242424242424243</v>
      </c>
    </row>
    <row r="1551" spans="1:14" x14ac:dyDescent="0.3">
      <c r="A1551" s="6">
        <v>45768</v>
      </c>
      <c r="B1551" s="1" t="s">
        <v>1735</v>
      </c>
      <c r="C1551" s="1" t="s">
        <v>28</v>
      </c>
      <c r="D1551" t="s">
        <v>30</v>
      </c>
      <c r="E1551" t="s">
        <v>243</v>
      </c>
      <c r="F1551" t="s">
        <v>22</v>
      </c>
      <c r="G1551" t="s">
        <v>18</v>
      </c>
      <c r="H1551" s="3">
        <v>8</v>
      </c>
      <c r="I1551" s="3">
        <v>9800</v>
      </c>
      <c r="J1551" s="3">
        <v>78400</v>
      </c>
      <c r="K1551" s="3">
        <v>7000</v>
      </c>
      <c r="L1551" s="3">
        <v>56000</v>
      </c>
      <c r="M1551" s="3">
        <v>22400</v>
      </c>
      <c r="N1551" s="4">
        <v>0.2857142857142857</v>
      </c>
    </row>
    <row r="1552" spans="1:14" x14ac:dyDescent="0.3">
      <c r="A1552" s="6">
        <v>45768</v>
      </c>
      <c r="B1552" s="1" t="s">
        <v>1736</v>
      </c>
      <c r="C1552" s="1" t="s">
        <v>29</v>
      </c>
      <c r="D1552" t="s">
        <v>32</v>
      </c>
      <c r="E1552" t="s">
        <v>129</v>
      </c>
      <c r="F1552" t="s">
        <v>23</v>
      </c>
      <c r="G1552" t="s">
        <v>25</v>
      </c>
      <c r="H1552" s="3">
        <v>6</v>
      </c>
      <c r="I1552" s="3">
        <v>4576</v>
      </c>
      <c r="J1552" s="3">
        <v>27456</v>
      </c>
      <c r="K1552" s="3">
        <v>3200</v>
      </c>
      <c r="L1552" s="3">
        <v>19200</v>
      </c>
      <c r="M1552" s="3">
        <v>8256</v>
      </c>
      <c r="N1552" s="4">
        <v>0.30069930069930068</v>
      </c>
    </row>
    <row r="1553" spans="1:14" x14ac:dyDescent="0.3">
      <c r="A1553" s="6">
        <v>45768</v>
      </c>
      <c r="B1553" s="1" t="s">
        <v>1737</v>
      </c>
      <c r="C1553" s="1" t="s">
        <v>28</v>
      </c>
      <c r="D1553" t="s">
        <v>35</v>
      </c>
      <c r="E1553" t="s">
        <v>453</v>
      </c>
      <c r="F1553" t="s">
        <v>24</v>
      </c>
      <c r="G1553" t="s">
        <v>25</v>
      </c>
      <c r="H1553" s="3">
        <v>6</v>
      </c>
      <c r="I1553" s="3">
        <v>3100</v>
      </c>
      <c r="J1553" s="3">
        <v>18600</v>
      </c>
      <c r="K1553" s="3">
        <v>2500</v>
      </c>
      <c r="L1553" s="3">
        <v>15000</v>
      </c>
      <c r="M1553" s="3">
        <v>3600</v>
      </c>
      <c r="N1553" s="4">
        <v>0.19354838709677419</v>
      </c>
    </row>
    <row r="1554" spans="1:14" x14ac:dyDescent="0.3">
      <c r="A1554" s="6">
        <v>45769</v>
      </c>
      <c r="B1554" s="1" t="s">
        <v>1738</v>
      </c>
      <c r="C1554" s="1" t="s">
        <v>29</v>
      </c>
      <c r="D1554" t="s">
        <v>30</v>
      </c>
      <c r="E1554" t="s">
        <v>379</v>
      </c>
      <c r="F1554" t="s">
        <v>24</v>
      </c>
      <c r="G1554" t="s">
        <v>25</v>
      </c>
      <c r="H1554" s="3">
        <v>3</v>
      </c>
      <c r="I1554" s="3">
        <v>3125</v>
      </c>
      <c r="J1554" s="3">
        <v>9375</v>
      </c>
      <c r="K1554" s="3">
        <v>2500</v>
      </c>
      <c r="L1554" s="3">
        <v>7500</v>
      </c>
      <c r="M1554" s="3">
        <v>1875</v>
      </c>
      <c r="N1554" s="4">
        <v>0.2</v>
      </c>
    </row>
    <row r="1555" spans="1:14" x14ac:dyDescent="0.3">
      <c r="A1555" s="6">
        <v>45769</v>
      </c>
      <c r="B1555" s="1" t="s">
        <v>1739</v>
      </c>
      <c r="C1555" s="1" t="s">
        <v>29</v>
      </c>
      <c r="D1555" t="s">
        <v>35</v>
      </c>
      <c r="E1555" t="s">
        <v>390</v>
      </c>
      <c r="F1555" t="s">
        <v>14</v>
      </c>
      <c r="G1555" t="s">
        <v>15</v>
      </c>
      <c r="H1555" s="3">
        <v>9</v>
      </c>
      <c r="I1555" s="3">
        <v>63450</v>
      </c>
      <c r="J1555" s="3">
        <v>571050</v>
      </c>
      <c r="K1555" s="3">
        <v>45000</v>
      </c>
      <c r="L1555" s="3">
        <v>405000</v>
      </c>
      <c r="M1555" s="3">
        <v>166050</v>
      </c>
      <c r="N1555" s="4">
        <v>0.29078014184397161</v>
      </c>
    </row>
    <row r="1556" spans="1:14" x14ac:dyDescent="0.3">
      <c r="A1556" s="6">
        <v>45769</v>
      </c>
      <c r="B1556" s="1" t="s">
        <v>1740</v>
      </c>
      <c r="C1556" s="1" t="s">
        <v>26</v>
      </c>
      <c r="D1556" t="s">
        <v>30</v>
      </c>
      <c r="E1556" t="s">
        <v>43</v>
      </c>
      <c r="F1556" t="s">
        <v>22</v>
      </c>
      <c r="G1556" t="s">
        <v>18</v>
      </c>
      <c r="H1556" s="3">
        <v>2</v>
      </c>
      <c r="I1556" s="3">
        <v>9730</v>
      </c>
      <c r="J1556" s="3">
        <v>19460</v>
      </c>
      <c r="K1556" s="3">
        <v>7000</v>
      </c>
      <c r="L1556" s="3">
        <v>14000</v>
      </c>
      <c r="M1556" s="3">
        <v>5460</v>
      </c>
      <c r="N1556" s="4">
        <v>0.2805755395683453</v>
      </c>
    </row>
    <row r="1557" spans="1:14" x14ac:dyDescent="0.3">
      <c r="A1557" s="6">
        <v>45769</v>
      </c>
      <c r="B1557" s="1" t="s">
        <v>1741</v>
      </c>
      <c r="C1557" s="1" t="s">
        <v>26</v>
      </c>
      <c r="D1557" t="s">
        <v>31</v>
      </c>
      <c r="E1557" t="s">
        <v>189</v>
      </c>
      <c r="F1557" t="s">
        <v>19</v>
      </c>
      <c r="G1557" t="s">
        <v>20</v>
      </c>
      <c r="H1557" s="3">
        <v>7</v>
      </c>
      <c r="I1557" s="3">
        <v>1206</v>
      </c>
      <c r="J1557" s="3">
        <v>8442</v>
      </c>
      <c r="K1557" s="3">
        <v>900</v>
      </c>
      <c r="L1557" s="3">
        <v>6300</v>
      </c>
      <c r="M1557" s="3">
        <v>2142</v>
      </c>
      <c r="N1557" s="4">
        <v>0.2537313432835821</v>
      </c>
    </row>
    <row r="1558" spans="1:14" x14ac:dyDescent="0.3">
      <c r="A1558" s="6">
        <v>45769</v>
      </c>
      <c r="B1558" s="1" t="s">
        <v>1742</v>
      </c>
      <c r="C1558" s="1" t="s">
        <v>26</v>
      </c>
      <c r="D1558" t="s">
        <v>35</v>
      </c>
      <c r="E1558" t="s">
        <v>129</v>
      </c>
      <c r="F1558" t="s">
        <v>23</v>
      </c>
      <c r="G1558" t="s">
        <v>25</v>
      </c>
      <c r="H1558" s="3">
        <v>9</v>
      </c>
      <c r="I1558" s="3">
        <v>4320</v>
      </c>
      <c r="J1558" s="3">
        <v>38880</v>
      </c>
      <c r="K1558" s="3">
        <v>3200</v>
      </c>
      <c r="L1558" s="3">
        <v>28800</v>
      </c>
      <c r="M1558" s="3">
        <v>10080</v>
      </c>
      <c r="N1558" s="4">
        <v>0.25925925925925924</v>
      </c>
    </row>
    <row r="1559" spans="1:14" x14ac:dyDescent="0.3">
      <c r="A1559" s="6">
        <v>45769</v>
      </c>
      <c r="B1559" s="1" t="s">
        <v>1743</v>
      </c>
      <c r="C1559" s="1" t="s">
        <v>28</v>
      </c>
      <c r="D1559" t="s">
        <v>30</v>
      </c>
      <c r="E1559" t="s">
        <v>521</v>
      </c>
      <c r="F1559" t="s">
        <v>19</v>
      </c>
      <c r="G1559" t="s">
        <v>20</v>
      </c>
      <c r="H1559" s="3">
        <v>2</v>
      </c>
      <c r="I1559" s="3">
        <v>1098</v>
      </c>
      <c r="J1559" s="3">
        <v>2196</v>
      </c>
      <c r="K1559" s="3">
        <v>900</v>
      </c>
      <c r="L1559" s="3">
        <v>1800</v>
      </c>
      <c r="M1559" s="3">
        <v>396</v>
      </c>
      <c r="N1559" s="4">
        <v>0.18032786885245902</v>
      </c>
    </row>
    <row r="1560" spans="1:14" x14ac:dyDescent="0.3">
      <c r="A1560" s="6">
        <v>45769</v>
      </c>
      <c r="B1560" s="1" t="s">
        <v>1744</v>
      </c>
      <c r="C1560" s="1" t="s">
        <v>26</v>
      </c>
      <c r="D1560" t="s">
        <v>34</v>
      </c>
      <c r="E1560" t="s">
        <v>153</v>
      </c>
      <c r="F1560" t="s">
        <v>24</v>
      </c>
      <c r="G1560" t="s">
        <v>25</v>
      </c>
      <c r="H1560" s="3">
        <v>4</v>
      </c>
      <c r="I1560" s="3">
        <v>3300</v>
      </c>
      <c r="J1560" s="3">
        <v>13200</v>
      </c>
      <c r="K1560" s="3">
        <v>2500</v>
      </c>
      <c r="L1560" s="3">
        <v>10000</v>
      </c>
      <c r="M1560" s="3">
        <v>3200</v>
      </c>
      <c r="N1560" s="4">
        <v>0.24242424242424243</v>
      </c>
    </row>
    <row r="1561" spans="1:14" x14ac:dyDescent="0.3">
      <c r="A1561" s="6">
        <v>45769</v>
      </c>
      <c r="B1561" s="1" t="s">
        <v>1745</v>
      </c>
      <c r="C1561" s="1" t="s">
        <v>26</v>
      </c>
      <c r="D1561" t="s">
        <v>31</v>
      </c>
      <c r="E1561" t="s">
        <v>453</v>
      </c>
      <c r="F1561" t="s">
        <v>16</v>
      </c>
      <c r="G1561" t="s">
        <v>15</v>
      </c>
      <c r="H1561" s="3">
        <v>5</v>
      </c>
      <c r="I1561" s="3">
        <v>46740</v>
      </c>
      <c r="J1561" s="3">
        <v>233700</v>
      </c>
      <c r="K1561" s="3">
        <v>38000</v>
      </c>
      <c r="L1561" s="3">
        <v>190000</v>
      </c>
      <c r="M1561" s="3">
        <v>43700</v>
      </c>
      <c r="N1561" s="4">
        <v>0.18699186991869918</v>
      </c>
    </row>
    <row r="1562" spans="1:14" x14ac:dyDescent="0.3">
      <c r="A1562" s="6">
        <v>45769</v>
      </c>
      <c r="B1562" s="1" t="s">
        <v>1746</v>
      </c>
      <c r="C1562" s="1" t="s">
        <v>29</v>
      </c>
      <c r="D1562" t="s">
        <v>33</v>
      </c>
      <c r="E1562" t="s">
        <v>126</v>
      </c>
      <c r="F1562" t="s">
        <v>22</v>
      </c>
      <c r="G1562" t="s">
        <v>18</v>
      </c>
      <c r="H1562" s="3">
        <v>6</v>
      </c>
      <c r="I1562" s="3">
        <v>8890</v>
      </c>
      <c r="J1562" s="3">
        <v>53340</v>
      </c>
      <c r="K1562" s="3">
        <v>7000</v>
      </c>
      <c r="L1562" s="3">
        <v>42000</v>
      </c>
      <c r="M1562" s="3">
        <v>11340</v>
      </c>
      <c r="N1562" s="4">
        <v>0.2125984251968504</v>
      </c>
    </row>
    <row r="1563" spans="1:14" x14ac:dyDescent="0.3">
      <c r="A1563" s="6">
        <v>45769</v>
      </c>
      <c r="B1563" s="1" t="s">
        <v>1747</v>
      </c>
      <c r="C1563" s="1" t="s">
        <v>27</v>
      </c>
      <c r="D1563" t="s">
        <v>34</v>
      </c>
      <c r="E1563" t="s">
        <v>331</v>
      </c>
      <c r="F1563" t="s">
        <v>22</v>
      </c>
      <c r="G1563" t="s">
        <v>18</v>
      </c>
      <c r="H1563" s="3">
        <v>4</v>
      </c>
      <c r="I1563" s="3">
        <v>10150</v>
      </c>
      <c r="J1563" s="3">
        <v>40600</v>
      </c>
      <c r="K1563" s="3">
        <v>7000</v>
      </c>
      <c r="L1563" s="3">
        <v>28000</v>
      </c>
      <c r="M1563" s="3">
        <v>12600</v>
      </c>
      <c r="N1563" s="4">
        <v>0.31034482758620691</v>
      </c>
    </row>
    <row r="1564" spans="1:14" x14ac:dyDescent="0.3">
      <c r="A1564" s="6">
        <v>45769</v>
      </c>
      <c r="B1564" s="1" t="s">
        <v>1748</v>
      </c>
      <c r="C1564" s="1" t="s">
        <v>27</v>
      </c>
      <c r="D1564" t="s">
        <v>30</v>
      </c>
      <c r="E1564" t="s">
        <v>292</v>
      </c>
      <c r="F1564" t="s">
        <v>16</v>
      </c>
      <c r="G1564" t="s">
        <v>15</v>
      </c>
      <c r="H1564" s="3">
        <v>2</v>
      </c>
      <c r="I1564" s="3">
        <v>51300</v>
      </c>
      <c r="J1564" s="3">
        <v>102600</v>
      </c>
      <c r="K1564" s="3">
        <v>38000</v>
      </c>
      <c r="L1564" s="3">
        <v>76000</v>
      </c>
      <c r="M1564" s="3">
        <v>26600</v>
      </c>
      <c r="N1564" s="4">
        <v>0.25925925925925924</v>
      </c>
    </row>
    <row r="1565" spans="1:14" x14ac:dyDescent="0.3">
      <c r="A1565" s="6">
        <v>45769</v>
      </c>
      <c r="B1565" s="1" t="s">
        <v>1749</v>
      </c>
      <c r="C1565" s="1" t="s">
        <v>29</v>
      </c>
      <c r="D1565" t="s">
        <v>33</v>
      </c>
      <c r="E1565" t="s">
        <v>222</v>
      </c>
      <c r="F1565" t="s">
        <v>16</v>
      </c>
      <c r="G1565" t="s">
        <v>15</v>
      </c>
      <c r="H1565" s="3">
        <v>6</v>
      </c>
      <c r="I1565" s="3">
        <v>46360</v>
      </c>
      <c r="J1565" s="3">
        <v>278160</v>
      </c>
      <c r="K1565" s="3">
        <v>38000</v>
      </c>
      <c r="L1565" s="3">
        <v>228000</v>
      </c>
      <c r="M1565" s="3">
        <v>50160</v>
      </c>
      <c r="N1565" s="4">
        <v>0.18032786885245902</v>
      </c>
    </row>
    <row r="1566" spans="1:14" x14ac:dyDescent="0.3">
      <c r="A1566" s="6">
        <v>45769</v>
      </c>
      <c r="B1566" s="1" t="s">
        <v>1750</v>
      </c>
      <c r="C1566" s="1" t="s">
        <v>27</v>
      </c>
      <c r="D1566" t="s">
        <v>32</v>
      </c>
      <c r="E1566" t="s">
        <v>74</v>
      </c>
      <c r="F1566" t="s">
        <v>17</v>
      </c>
      <c r="G1566" t="s">
        <v>18</v>
      </c>
      <c r="H1566" s="3">
        <v>3</v>
      </c>
      <c r="I1566" s="3">
        <v>11815.000000000002</v>
      </c>
      <c r="J1566" s="3">
        <v>35445.000000000007</v>
      </c>
      <c r="K1566" s="3">
        <v>8500</v>
      </c>
      <c r="L1566" s="3">
        <v>25500</v>
      </c>
      <c r="M1566" s="3">
        <v>9945.0000000000073</v>
      </c>
      <c r="N1566" s="4">
        <v>0.28057553956834547</v>
      </c>
    </row>
    <row r="1567" spans="1:14" x14ac:dyDescent="0.3">
      <c r="A1567" s="6">
        <v>45769</v>
      </c>
      <c r="B1567" s="1" t="s">
        <v>1751</v>
      </c>
      <c r="C1567" s="1" t="s">
        <v>26</v>
      </c>
      <c r="D1567" t="s">
        <v>33</v>
      </c>
      <c r="E1567" t="s">
        <v>149</v>
      </c>
      <c r="F1567" t="s">
        <v>22</v>
      </c>
      <c r="G1567" t="s">
        <v>18</v>
      </c>
      <c r="H1567" s="3">
        <v>9</v>
      </c>
      <c r="I1567" s="3">
        <v>9030</v>
      </c>
      <c r="J1567" s="3">
        <v>81270</v>
      </c>
      <c r="K1567" s="3">
        <v>7000</v>
      </c>
      <c r="L1567" s="3">
        <v>63000</v>
      </c>
      <c r="M1567" s="3">
        <v>18270</v>
      </c>
      <c r="N1567" s="4">
        <v>0.22480620155038761</v>
      </c>
    </row>
    <row r="1568" spans="1:14" x14ac:dyDescent="0.3">
      <c r="A1568" s="6">
        <v>45770</v>
      </c>
      <c r="B1568" s="1" t="s">
        <v>1752</v>
      </c>
      <c r="C1568" s="1" t="s">
        <v>26</v>
      </c>
      <c r="D1568" t="s">
        <v>33</v>
      </c>
      <c r="E1568" t="s">
        <v>226</v>
      </c>
      <c r="F1568" t="s">
        <v>22</v>
      </c>
      <c r="G1568" t="s">
        <v>18</v>
      </c>
      <c r="H1568" s="3">
        <v>9</v>
      </c>
      <c r="I1568" s="3">
        <v>8400</v>
      </c>
      <c r="J1568" s="3">
        <v>75600</v>
      </c>
      <c r="K1568" s="3">
        <v>7000</v>
      </c>
      <c r="L1568" s="3">
        <v>63000</v>
      </c>
      <c r="M1568" s="3">
        <v>12600</v>
      </c>
      <c r="N1568" s="4">
        <v>0.16666666666666666</v>
      </c>
    </row>
    <row r="1569" spans="1:14" x14ac:dyDescent="0.3">
      <c r="A1569" s="6">
        <v>45770</v>
      </c>
      <c r="B1569" s="1" t="s">
        <v>1753</v>
      </c>
      <c r="C1569" s="1" t="s">
        <v>26</v>
      </c>
      <c r="D1569" t="s">
        <v>31</v>
      </c>
      <c r="E1569" t="s">
        <v>239</v>
      </c>
      <c r="F1569" t="s">
        <v>19</v>
      </c>
      <c r="G1569" t="s">
        <v>20</v>
      </c>
      <c r="H1569" s="3">
        <v>7</v>
      </c>
      <c r="I1569" s="3">
        <v>1161</v>
      </c>
      <c r="J1569" s="3">
        <v>8127</v>
      </c>
      <c r="K1569" s="3">
        <v>900</v>
      </c>
      <c r="L1569" s="3">
        <v>6300</v>
      </c>
      <c r="M1569" s="3">
        <v>1827</v>
      </c>
      <c r="N1569" s="4">
        <v>0.22480620155038761</v>
      </c>
    </row>
    <row r="1570" spans="1:14" x14ac:dyDescent="0.3">
      <c r="A1570" s="6">
        <v>45770</v>
      </c>
      <c r="B1570" s="1" t="s">
        <v>1754</v>
      </c>
      <c r="C1570" s="1" t="s">
        <v>26</v>
      </c>
      <c r="D1570" t="s">
        <v>30</v>
      </c>
      <c r="E1570" t="s">
        <v>365</v>
      </c>
      <c r="F1570" t="s">
        <v>14</v>
      </c>
      <c r="G1570" t="s">
        <v>15</v>
      </c>
      <c r="H1570" s="3">
        <v>7</v>
      </c>
      <c r="I1570" s="3">
        <v>58500</v>
      </c>
      <c r="J1570" s="3">
        <v>409500</v>
      </c>
      <c r="K1570" s="3">
        <v>45000</v>
      </c>
      <c r="L1570" s="3">
        <v>315000</v>
      </c>
      <c r="M1570" s="3">
        <v>94500</v>
      </c>
      <c r="N1570" s="4">
        <v>0.23076923076923078</v>
      </c>
    </row>
    <row r="1571" spans="1:14" x14ac:dyDescent="0.3">
      <c r="A1571" s="6">
        <v>45770</v>
      </c>
      <c r="B1571" s="1" t="s">
        <v>1755</v>
      </c>
      <c r="C1571" s="1" t="s">
        <v>26</v>
      </c>
      <c r="D1571" t="s">
        <v>33</v>
      </c>
      <c r="E1571" t="s">
        <v>37</v>
      </c>
      <c r="F1571" t="s">
        <v>14</v>
      </c>
      <c r="G1571" t="s">
        <v>15</v>
      </c>
      <c r="H1571" s="3">
        <v>3</v>
      </c>
      <c r="I1571" s="3">
        <v>59850</v>
      </c>
      <c r="J1571" s="3">
        <v>179550</v>
      </c>
      <c r="K1571" s="3">
        <v>45000</v>
      </c>
      <c r="L1571" s="3">
        <v>135000</v>
      </c>
      <c r="M1571" s="3">
        <v>44550</v>
      </c>
      <c r="N1571" s="4">
        <v>0.24812030075187969</v>
      </c>
    </row>
    <row r="1572" spans="1:14" x14ac:dyDescent="0.3">
      <c r="A1572" s="6">
        <v>45770</v>
      </c>
      <c r="B1572" s="1" t="s">
        <v>1756</v>
      </c>
      <c r="C1572" s="1" t="s">
        <v>26</v>
      </c>
      <c r="D1572" t="s">
        <v>32</v>
      </c>
      <c r="E1572" t="s">
        <v>379</v>
      </c>
      <c r="F1572" t="s">
        <v>14</v>
      </c>
      <c r="G1572" t="s">
        <v>15</v>
      </c>
      <c r="H1572" s="3">
        <v>9</v>
      </c>
      <c r="I1572" s="3">
        <v>58500</v>
      </c>
      <c r="J1572" s="3">
        <v>526500</v>
      </c>
      <c r="K1572" s="3">
        <v>45000</v>
      </c>
      <c r="L1572" s="3">
        <v>405000</v>
      </c>
      <c r="M1572" s="3">
        <v>121500</v>
      </c>
      <c r="N1572" s="4">
        <v>0.23076923076923078</v>
      </c>
    </row>
    <row r="1573" spans="1:14" x14ac:dyDescent="0.3">
      <c r="A1573" s="6">
        <v>45770</v>
      </c>
      <c r="B1573" s="1" t="s">
        <v>1757</v>
      </c>
      <c r="C1573" s="1" t="s">
        <v>27</v>
      </c>
      <c r="D1573" t="s">
        <v>34</v>
      </c>
      <c r="E1573" t="s">
        <v>265</v>
      </c>
      <c r="F1573" t="s">
        <v>24</v>
      </c>
      <c r="G1573" t="s">
        <v>25</v>
      </c>
      <c r="H1573" s="3">
        <v>1</v>
      </c>
      <c r="I1573" s="3">
        <v>3550</v>
      </c>
      <c r="J1573" s="3">
        <v>3550</v>
      </c>
      <c r="K1573" s="3">
        <v>2500</v>
      </c>
      <c r="L1573" s="3">
        <v>2500</v>
      </c>
      <c r="M1573" s="3">
        <v>1050</v>
      </c>
      <c r="N1573" s="4">
        <v>0.29577464788732394</v>
      </c>
    </row>
    <row r="1574" spans="1:14" x14ac:dyDescent="0.3">
      <c r="A1574" s="6">
        <v>45770</v>
      </c>
      <c r="B1574" s="1" t="s">
        <v>1758</v>
      </c>
      <c r="C1574" s="1" t="s">
        <v>27</v>
      </c>
      <c r="D1574" t="s">
        <v>32</v>
      </c>
      <c r="E1574" t="s">
        <v>55</v>
      </c>
      <c r="F1574" t="s">
        <v>23</v>
      </c>
      <c r="G1574" t="s">
        <v>25</v>
      </c>
      <c r="H1574" s="3">
        <v>8</v>
      </c>
      <c r="I1574" s="3">
        <v>3872</v>
      </c>
      <c r="J1574" s="3">
        <v>30976</v>
      </c>
      <c r="K1574" s="3">
        <v>3200</v>
      </c>
      <c r="L1574" s="3">
        <v>25600</v>
      </c>
      <c r="M1574" s="3">
        <v>5376</v>
      </c>
      <c r="N1574" s="4">
        <v>0.17355371900826447</v>
      </c>
    </row>
    <row r="1575" spans="1:14" x14ac:dyDescent="0.3">
      <c r="A1575" s="6">
        <v>45770</v>
      </c>
      <c r="B1575" s="1" t="s">
        <v>1759</v>
      </c>
      <c r="C1575" s="1" t="s">
        <v>26</v>
      </c>
      <c r="D1575" t="s">
        <v>35</v>
      </c>
      <c r="E1575" t="s">
        <v>280</v>
      </c>
      <c r="F1575" t="s">
        <v>24</v>
      </c>
      <c r="G1575" t="s">
        <v>25</v>
      </c>
      <c r="H1575" s="3">
        <v>1</v>
      </c>
      <c r="I1575" s="3">
        <v>3575</v>
      </c>
      <c r="J1575" s="3">
        <v>3575</v>
      </c>
      <c r="K1575" s="3">
        <v>2500</v>
      </c>
      <c r="L1575" s="3">
        <v>2500</v>
      </c>
      <c r="M1575" s="3">
        <v>1075</v>
      </c>
      <c r="N1575" s="4">
        <v>0.30069930069930068</v>
      </c>
    </row>
    <row r="1576" spans="1:14" x14ac:dyDescent="0.3">
      <c r="A1576" s="6">
        <v>45770</v>
      </c>
      <c r="B1576" s="1" t="s">
        <v>1760</v>
      </c>
      <c r="C1576" s="1" t="s">
        <v>27</v>
      </c>
      <c r="D1576" t="s">
        <v>30</v>
      </c>
      <c r="E1576" t="s">
        <v>243</v>
      </c>
      <c r="F1576" t="s">
        <v>22</v>
      </c>
      <c r="G1576" t="s">
        <v>18</v>
      </c>
      <c r="H1576" s="3">
        <v>6</v>
      </c>
      <c r="I1576" s="3">
        <v>9730</v>
      </c>
      <c r="J1576" s="3">
        <v>58380</v>
      </c>
      <c r="K1576" s="3">
        <v>7000</v>
      </c>
      <c r="L1576" s="3">
        <v>42000</v>
      </c>
      <c r="M1576" s="3">
        <v>16380</v>
      </c>
      <c r="N1576" s="4">
        <v>0.2805755395683453</v>
      </c>
    </row>
    <row r="1577" spans="1:14" x14ac:dyDescent="0.3">
      <c r="A1577" s="6">
        <v>45770</v>
      </c>
      <c r="B1577" s="1" t="s">
        <v>1761</v>
      </c>
      <c r="C1577" s="1" t="s">
        <v>26</v>
      </c>
      <c r="D1577" t="s">
        <v>30</v>
      </c>
      <c r="E1577" t="s">
        <v>57</v>
      </c>
      <c r="F1577" t="s">
        <v>21</v>
      </c>
      <c r="G1577" t="s">
        <v>20</v>
      </c>
      <c r="H1577" s="3">
        <v>5</v>
      </c>
      <c r="I1577" s="3">
        <v>864</v>
      </c>
      <c r="J1577" s="3">
        <v>4320</v>
      </c>
      <c r="K1577" s="3">
        <v>600</v>
      </c>
      <c r="L1577" s="3">
        <v>3000</v>
      </c>
      <c r="M1577" s="3">
        <v>1320</v>
      </c>
      <c r="N1577" s="4">
        <v>0.30555555555555558</v>
      </c>
    </row>
    <row r="1578" spans="1:14" x14ac:dyDescent="0.3">
      <c r="A1578" s="6">
        <v>45770</v>
      </c>
      <c r="B1578" s="1" t="s">
        <v>1762</v>
      </c>
      <c r="C1578" s="1" t="s">
        <v>27</v>
      </c>
      <c r="D1578" t="s">
        <v>31</v>
      </c>
      <c r="E1578" t="s">
        <v>431</v>
      </c>
      <c r="F1578" t="s">
        <v>17</v>
      </c>
      <c r="G1578" t="s">
        <v>18</v>
      </c>
      <c r="H1578" s="3">
        <v>9</v>
      </c>
      <c r="I1578" s="3">
        <v>11815.000000000002</v>
      </c>
      <c r="J1578" s="3">
        <v>106335.00000000001</v>
      </c>
      <c r="K1578" s="3">
        <v>8500</v>
      </c>
      <c r="L1578" s="3">
        <v>76500</v>
      </c>
      <c r="M1578" s="3">
        <v>29835.000000000015</v>
      </c>
      <c r="N1578" s="4">
        <v>0.28057553956834541</v>
      </c>
    </row>
    <row r="1579" spans="1:14" x14ac:dyDescent="0.3">
      <c r="A1579" s="6">
        <v>45770</v>
      </c>
      <c r="B1579" s="1" t="s">
        <v>1763</v>
      </c>
      <c r="C1579" s="1" t="s">
        <v>28</v>
      </c>
      <c r="D1579" t="s">
        <v>31</v>
      </c>
      <c r="E1579" t="s">
        <v>76</v>
      </c>
      <c r="F1579" t="s">
        <v>17</v>
      </c>
      <c r="G1579" t="s">
        <v>18</v>
      </c>
      <c r="H1579" s="3">
        <v>9</v>
      </c>
      <c r="I1579" s="3">
        <v>11559.999999999998</v>
      </c>
      <c r="J1579" s="3">
        <v>104039.99999999999</v>
      </c>
      <c r="K1579" s="3">
        <v>8500</v>
      </c>
      <c r="L1579" s="3">
        <v>76500</v>
      </c>
      <c r="M1579" s="3">
        <v>27539.999999999985</v>
      </c>
      <c r="N1579" s="4">
        <v>0.26470588235294107</v>
      </c>
    </row>
    <row r="1580" spans="1:14" x14ac:dyDescent="0.3">
      <c r="A1580" s="6">
        <v>45770</v>
      </c>
      <c r="B1580" s="1" t="s">
        <v>1764</v>
      </c>
      <c r="C1580" s="1" t="s">
        <v>26</v>
      </c>
      <c r="D1580" t="s">
        <v>35</v>
      </c>
      <c r="E1580" t="s">
        <v>57</v>
      </c>
      <c r="F1580" t="s">
        <v>17</v>
      </c>
      <c r="G1580" t="s">
        <v>18</v>
      </c>
      <c r="H1580" s="3">
        <v>4</v>
      </c>
      <c r="I1580" s="3">
        <v>11220</v>
      </c>
      <c r="J1580" s="3">
        <v>44880</v>
      </c>
      <c r="K1580" s="3">
        <v>8500</v>
      </c>
      <c r="L1580" s="3">
        <v>34000</v>
      </c>
      <c r="M1580" s="3">
        <v>10880</v>
      </c>
      <c r="N1580" s="4">
        <v>0.24242424242424243</v>
      </c>
    </row>
    <row r="1581" spans="1:14" x14ac:dyDescent="0.3">
      <c r="A1581" s="6">
        <v>45770</v>
      </c>
      <c r="B1581" s="1" t="s">
        <v>1765</v>
      </c>
      <c r="C1581" s="1" t="s">
        <v>27</v>
      </c>
      <c r="D1581" t="s">
        <v>34</v>
      </c>
      <c r="E1581" t="s">
        <v>193</v>
      </c>
      <c r="F1581" t="s">
        <v>16</v>
      </c>
      <c r="G1581" t="s">
        <v>15</v>
      </c>
      <c r="H1581" s="3">
        <v>8</v>
      </c>
      <c r="I1581" s="3">
        <v>48640</v>
      </c>
      <c r="J1581" s="3">
        <v>389120</v>
      </c>
      <c r="K1581" s="3">
        <v>38000</v>
      </c>
      <c r="L1581" s="3">
        <v>304000</v>
      </c>
      <c r="M1581" s="3">
        <v>85120</v>
      </c>
      <c r="N1581" s="4">
        <v>0.21875</v>
      </c>
    </row>
    <row r="1582" spans="1:14" x14ac:dyDescent="0.3">
      <c r="A1582" s="6">
        <v>45771</v>
      </c>
      <c r="B1582" s="1" t="s">
        <v>1766</v>
      </c>
      <c r="C1582" s="1" t="s">
        <v>28</v>
      </c>
      <c r="D1582" t="s">
        <v>33</v>
      </c>
      <c r="E1582" t="s">
        <v>273</v>
      </c>
      <c r="F1582" t="s">
        <v>14</v>
      </c>
      <c r="G1582" t="s">
        <v>15</v>
      </c>
      <c r="H1582" s="3">
        <v>9</v>
      </c>
      <c r="I1582" s="3">
        <v>58050</v>
      </c>
      <c r="J1582" s="3">
        <v>522450</v>
      </c>
      <c r="K1582" s="3">
        <v>45000</v>
      </c>
      <c r="L1582" s="3">
        <v>405000</v>
      </c>
      <c r="M1582" s="3">
        <v>117450</v>
      </c>
      <c r="N1582" s="4">
        <v>0.22480620155038761</v>
      </c>
    </row>
    <row r="1583" spans="1:14" x14ac:dyDescent="0.3">
      <c r="A1583" s="6">
        <v>45771</v>
      </c>
      <c r="B1583" s="1" t="s">
        <v>1767</v>
      </c>
      <c r="C1583" s="1" t="s">
        <v>28</v>
      </c>
      <c r="D1583" t="s">
        <v>33</v>
      </c>
      <c r="E1583" t="s">
        <v>47</v>
      </c>
      <c r="F1583" t="s">
        <v>22</v>
      </c>
      <c r="G1583" t="s">
        <v>18</v>
      </c>
      <c r="H1583" s="3">
        <v>7</v>
      </c>
      <c r="I1583" s="3">
        <v>8960</v>
      </c>
      <c r="J1583" s="3">
        <v>62720</v>
      </c>
      <c r="K1583" s="3">
        <v>7000</v>
      </c>
      <c r="L1583" s="3">
        <v>49000</v>
      </c>
      <c r="M1583" s="3">
        <v>13720</v>
      </c>
      <c r="N1583" s="4">
        <v>0.21875</v>
      </c>
    </row>
    <row r="1584" spans="1:14" x14ac:dyDescent="0.3">
      <c r="A1584" s="6">
        <v>45771</v>
      </c>
      <c r="B1584" s="1" t="s">
        <v>1768</v>
      </c>
      <c r="C1584" s="1" t="s">
        <v>27</v>
      </c>
      <c r="D1584" t="s">
        <v>31</v>
      </c>
      <c r="E1584" t="s">
        <v>436</v>
      </c>
      <c r="F1584" t="s">
        <v>21</v>
      </c>
      <c r="G1584" t="s">
        <v>20</v>
      </c>
      <c r="H1584" s="3">
        <v>8</v>
      </c>
      <c r="I1584" s="3">
        <v>852</v>
      </c>
      <c r="J1584" s="3">
        <v>6816</v>
      </c>
      <c r="K1584" s="3">
        <v>600</v>
      </c>
      <c r="L1584" s="3">
        <v>4800</v>
      </c>
      <c r="M1584" s="3">
        <v>2016</v>
      </c>
      <c r="N1584" s="4">
        <v>0.29577464788732394</v>
      </c>
    </row>
    <row r="1585" spans="1:14" x14ac:dyDescent="0.3">
      <c r="A1585" s="6">
        <v>45771</v>
      </c>
      <c r="B1585" s="1" t="s">
        <v>1769</v>
      </c>
      <c r="C1585" s="1" t="s">
        <v>27</v>
      </c>
      <c r="D1585" t="s">
        <v>35</v>
      </c>
      <c r="E1585" t="s">
        <v>342</v>
      </c>
      <c r="F1585" t="s">
        <v>21</v>
      </c>
      <c r="G1585" t="s">
        <v>20</v>
      </c>
      <c r="H1585" s="3">
        <v>3</v>
      </c>
      <c r="I1585" s="3">
        <v>834.00000000000011</v>
      </c>
      <c r="J1585" s="3">
        <v>2502.0000000000005</v>
      </c>
      <c r="K1585" s="3">
        <v>600</v>
      </c>
      <c r="L1585" s="3">
        <v>1800</v>
      </c>
      <c r="M1585" s="3">
        <v>702.00000000000045</v>
      </c>
      <c r="N1585" s="4">
        <v>0.28057553956834547</v>
      </c>
    </row>
    <row r="1586" spans="1:14" x14ac:dyDescent="0.3">
      <c r="A1586" s="6">
        <v>45771</v>
      </c>
      <c r="B1586" s="1" t="s">
        <v>1770</v>
      </c>
      <c r="C1586" s="1" t="s">
        <v>29</v>
      </c>
      <c r="D1586" t="s">
        <v>33</v>
      </c>
      <c r="E1586" t="s">
        <v>268</v>
      </c>
      <c r="F1586" t="s">
        <v>16</v>
      </c>
      <c r="G1586" t="s">
        <v>15</v>
      </c>
      <c r="H1586" s="3">
        <v>7</v>
      </c>
      <c r="I1586" s="3">
        <v>53580</v>
      </c>
      <c r="J1586" s="3">
        <v>375060</v>
      </c>
      <c r="K1586" s="3">
        <v>38000</v>
      </c>
      <c r="L1586" s="3">
        <v>266000</v>
      </c>
      <c r="M1586" s="3">
        <v>109060</v>
      </c>
      <c r="N1586" s="4">
        <v>0.29078014184397161</v>
      </c>
    </row>
    <row r="1587" spans="1:14" x14ac:dyDescent="0.3">
      <c r="A1587" s="6">
        <v>45771</v>
      </c>
      <c r="B1587" s="1" t="s">
        <v>1771</v>
      </c>
      <c r="C1587" s="1" t="s">
        <v>26</v>
      </c>
      <c r="D1587" t="s">
        <v>32</v>
      </c>
      <c r="E1587" t="s">
        <v>76</v>
      </c>
      <c r="F1587" t="s">
        <v>24</v>
      </c>
      <c r="G1587" t="s">
        <v>25</v>
      </c>
      <c r="H1587" s="3">
        <v>10</v>
      </c>
      <c r="I1587" s="3">
        <v>3525</v>
      </c>
      <c r="J1587" s="3">
        <v>35250</v>
      </c>
      <c r="K1587" s="3">
        <v>2500</v>
      </c>
      <c r="L1587" s="3">
        <v>25000</v>
      </c>
      <c r="M1587" s="3">
        <v>10250</v>
      </c>
      <c r="N1587" s="4">
        <v>0.29078014184397161</v>
      </c>
    </row>
    <row r="1588" spans="1:14" x14ac:dyDescent="0.3">
      <c r="A1588" s="6">
        <v>45771</v>
      </c>
      <c r="B1588" s="1" t="s">
        <v>1772</v>
      </c>
      <c r="C1588" s="1" t="s">
        <v>29</v>
      </c>
      <c r="D1588" t="s">
        <v>34</v>
      </c>
      <c r="E1588" t="s">
        <v>61</v>
      </c>
      <c r="F1588" t="s">
        <v>22</v>
      </c>
      <c r="G1588" t="s">
        <v>18</v>
      </c>
      <c r="H1588" s="3">
        <v>6</v>
      </c>
      <c r="I1588" s="3">
        <v>9660</v>
      </c>
      <c r="J1588" s="3">
        <v>57960</v>
      </c>
      <c r="K1588" s="3">
        <v>7000</v>
      </c>
      <c r="L1588" s="3">
        <v>42000</v>
      </c>
      <c r="M1588" s="3">
        <v>15960</v>
      </c>
      <c r="N1588" s="4">
        <v>0.27536231884057971</v>
      </c>
    </row>
    <row r="1589" spans="1:14" x14ac:dyDescent="0.3">
      <c r="A1589" s="6">
        <v>45771</v>
      </c>
      <c r="B1589" s="1" t="s">
        <v>1773</v>
      </c>
      <c r="C1589" s="1" t="s">
        <v>28</v>
      </c>
      <c r="D1589" t="s">
        <v>34</v>
      </c>
      <c r="E1589" t="s">
        <v>263</v>
      </c>
      <c r="F1589" t="s">
        <v>17</v>
      </c>
      <c r="G1589" t="s">
        <v>18</v>
      </c>
      <c r="H1589" s="3">
        <v>8</v>
      </c>
      <c r="I1589" s="3">
        <v>11220</v>
      </c>
      <c r="J1589" s="3">
        <v>89760</v>
      </c>
      <c r="K1589" s="3">
        <v>8500</v>
      </c>
      <c r="L1589" s="3">
        <v>68000</v>
      </c>
      <c r="M1589" s="3">
        <v>21760</v>
      </c>
      <c r="N1589" s="4">
        <v>0.24242424242424243</v>
      </c>
    </row>
    <row r="1590" spans="1:14" x14ac:dyDescent="0.3">
      <c r="A1590" s="6">
        <v>45771</v>
      </c>
      <c r="B1590" s="1" t="s">
        <v>1774</v>
      </c>
      <c r="C1590" s="1" t="s">
        <v>28</v>
      </c>
      <c r="D1590" t="s">
        <v>31</v>
      </c>
      <c r="E1590" t="s">
        <v>369</v>
      </c>
      <c r="F1590" t="s">
        <v>22</v>
      </c>
      <c r="G1590" t="s">
        <v>18</v>
      </c>
      <c r="H1590" s="3">
        <v>7</v>
      </c>
      <c r="I1590" s="3">
        <v>8470</v>
      </c>
      <c r="J1590" s="3">
        <v>59290</v>
      </c>
      <c r="K1590" s="3">
        <v>7000</v>
      </c>
      <c r="L1590" s="3">
        <v>49000</v>
      </c>
      <c r="M1590" s="3">
        <v>10290</v>
      </c>
      <c r="N1590" s="4">
        <v>0.17355371900826447</v>
      </c>
    </row>
    <row r="1591" spans="1:14" x14ac:dyDescent="0.3">
      <c r="A1591" s="6">
        <v>45771</v>
      </c>
      <c r="B1591" s="1" t="s">
        <v>1775</v>
      </c>
      <c r="C1591" s="1" t="s">
        <v>28</v>
      </c>
      <c r="D1591" t="s">
        <v>34</v>
      </c>
      <c r="E1591" t="s">
        <v>112</v>
      </c>
      <c r="F1591" t="s">
        <v>14</v>
      </c>
      <c r="G1591" t="s">
        <v>15</v>
      </c>
      <c r="H1591" s="3">
        <v>9</v>
      </c>
      <c r="I1591" s="3">
        <v>60750.000000000007</v>
      </c>
      <c r="J1591" s="3">
        <v>546750.00000000012</v>
      </c>
      <c r="K1591" s="3">
        <v>45000</v>
      </c>
      <c r="L1591" s="3">
        <v>405000</v>
      </c>
      <c r="M1591" s="3">
        <v>141750.00000000012</v>
      </c>
      <c r="N1591" s="4">
        <v>0.25925925925925941</v>
      </c>
    </row>
    <row r="1592" spans="1:14" x14ac:dyDescent="0.3">
      <c r="A1592" s="6">
        <v>45771</v>
      </c>
      <c r="B1592" s="1" t="s">
        <v>1776</v>
      </c>
      <c r="C1592" s="1" t="s">
        <v>26</v>
      </c>
      <c r="D1592" t="s">
        <v>32</v>
      </c>
      <c r="E1592" t="s">
        <v>286</v>
      </c>
      <c r="F1592" t="s">
        <v>19</v>
      </c>
      <c r="G1592" t="s">
        <v>20</v>
      </c>
      <c r="H1592" s="3">
        <v>9</v>
      </c>
      <c r="I1592" s="3">
        <v>1260</v>
      </c>
      <c r="J1592" s="3">
        <v>11340</v>
      </c>
      <c r="K1592" s="3">
        <v>900</v>
      </c>
      <c r="L1592" s="3">
        <v>8100</v>
      </c>
      <c r="M1592" s="3">
        <v>3240</v>
      </c>
      <c r="N1592" s="4">
        <v>0.2857142857142857</v>
      </c>
    </row>
    <row r="1593" spans="1:14" x14ac:dyDescent="0.3">
      <c r="A1593" s="6">
        <v>45771</v>
      </c>
      <c r="B1593" s="1" t="s">
        <v>1777</v>
      </c>
      <c r="C1593" s="1" t="s">
        <v>26</v>
      </c>
      <c r="D1593" t="s">
        <v>34</v>
      </c>
      <c r="E1593" t="s">
        <v>351</v>
      </c>
      <c r="F1593" t="s">
        <v>17</v>
      </c>
      <c r="G1593" t="s">
        <v>18</v>
      </c>
      <c r="H1593" s="3">
        <v>1</v>
      </c>
      <c r="I1593" s="3">
        <v>12155</v>
      </c>
      <c r="J1593" s="3">
        <v>12155</v>
      </c>
      <c r="K1593" s="3">
        <v>8500</v>
      </c>
      <c r="L1593" s="3">
        <v>8500</v>
      </c>
      <c r="M1593" s="3">
        <v>3655</v>
      </c>
      <c r="N1593" s="4">
        <v>0.30069930069930068</v>
      </c>
    </row>
    <row r="1594" spans="1:14" x14ac:dyDescent="0.3">
      <c r="A1594" s="6">
        <v>45771</v>
      </c>
      <c r="B1594" s="1" t="s">
        <v>1778</v>
      </c>
      <c r="C1594" s="1" t="s">
        <v>26</v>
      </c>
      <c r="D1594" t="s">
        <v>34</v>
      </c>
      <c r="E1594" t="s">
        <v>166</v>
      </c>
      <c r="F1594" t="s">
        <v>24</v>
      </c>
      <c r="G1594" t="s">
        <v>25</v>
      </c>
      <c r="H1594" s="3">
        <v>1</v>
      </c>
      <c r="I1594" s="3">
        <v>3475.0000000000005</v>
      </c>
      <c r="J1594" s="3">
        <v>3475.0000000000005</v>
      </c>
      <c r="K1594" s="3">
        <v>2500</v>
      </c>
      <c r="L1594" s="3">
        <v>2500</v>
      </c>
      <c r="M1594" s="3">
        <v>975.00000000000045</v>
      </c>
      <c r="N1594" s="4">
        <v>0.28057553956834541</v>
      </c>
    </row>
    <row r="1595" spans="1:14" x14ac:dyDescent="0.3">
      <c r="A1595" s="6">
        <v>45771</v>
      </c>
      <c r="B1595" s="1" t="s">
        <v>1779</v>
      </c>
      <c r="C1595" s="1" t="s">
        <v>27</v>
      </c>
      <c r="D1595" t="s">
        <v>35</v>
      </c>
      <c r="E1595" t="s">
        <v>129</v>
      </c>
      <c r="F1595" t="s">
        <v>14</v>
      </c>
      <c r="G1595" t="s">
        <v>15</v>
      </c>
      <c r="H1595" s="3">
        <v>7</v>
      </c>
      <c r="I1595" s="3">
        <v>60750.000000000007</v>
      </c>
      <c r="J1595" s="3">
        <v>425250.00000000006</v>
      </c>
      <c r="K1595" s="3">
        <v>45000</v>
      </c>
      <c r="L1595" s="3">
        <v>315000</v>
      </c>
      <c r="M1595" s="3">
        <v>110250.00000000006</v>
      </c>
      <c r="N1595" s="4">
        <v>0.25925925925925936</v>
      </c>
    </row>
    <row r="1596" spans="1:14" x14ac:dyDescent="0.3">
      <c r="A1596" s="6">
        <v>45772</v>
      </c>
      <c r="B1596" s="1" t="s">
        <v>1780</v>
      </c>
      <c r="C1596" s="1" t="s">
        <v>29</v>
      </c>
      <c r="D1596" t="s">
        <v>35</v>
      </c>
      <c r="E1596" t="s">
        <v>390</v>
      </c>
      <c r="F1596" t="s">
        <v>24</v>
      </c>
      <c r="G1596" t="s">
        <v>25</v>
      </c>
      <c r="H1596" s="3">
        <v>3</v>
      </c>
      <c r="I1596" s="3">
        <v>3225</v>
      </c>
      <c r="J1596" s="3">
        <v>9675</v>
      </c>
      <c r="K1596" s="3">
        <v>2500</v>
      </c>
      <c r="L1596" s="3">
        <v>7500</v>
      </c>
      <c r="M1596" s="3">
        <v>2175</v>
      </c>
      <c r="N1596" s="4">
        <v>0.22480620155038761</v>
      </c>
    </row>
    <row r="1597" spans="1:14" x14ac:dyDescent="0.3">
      <c r="A1597" s="6">
        <v>45772</v>
      </c>
      <c r="B1597" s="1" t="s">
        <v>1781</v>
      </c>
      <c r="C1597" s="1" t="s">
        <v>28</v>
      </c>
      <c r="D1597" t="s">
        <v>31</v>
      </c>
      <c r="E1597" t="s">
        <v>308</v>
      </c>
      <c r="F1597" t="s">
        <v>22</v>
      </c>
      <c r="G1597" t="s">
        <v>18</v>
      </c>
      <c r="H1597" s="3">
        <v>8</v>
      </c>
      <c r="I1597" s="3">
        <v>9030</v>
      </c>
      <c r="J1597" s="3">
        <v>72240</v>
      </c>
      <c r="K1597" s="3">
        <v>7000</v>
      </c>
      <c r="L1597" s="3">
        <v>56000</v>
      </c>
      <c r="M1597" s="3">
        <v>16240</v>
      </c>
      <c r="N1597" s="4">
        <v>0.22480620155038761</v>
      </c>
    </row>
    <row r="1598" spans="1:14" x14ac:dyDescent="0.3">
      <c r="A1598" s="6">
        <v>45772</v>
      </c>
      <c r="B1598" s="1" t="s">
        <v>1782</v>
      </c>
      <c r="C1598" s="1" t="s">
        <v>27</v>
      </c>
      <c r="D1598" t="s">
        <v>35</v>
      </c>
      <c r="E1598" t="s">
        <v>206</v>
      </c>
      <c r="F1598" t="s">
        <v>14</v>
      </c>
      <c r="G1598" t="s">
        <v>15</v>
      </c>
      <c r="H1598" s="3">
        <v>8</v>
      </c>
      <c r="I1598" s="3">
        <v>55350</v>
      </c>
      <c r="J1598" s="3">
        <v>442800</v>
      </c>
      <c r="K1598" s="3">
        <v>45000</v>
      </c>
      <c r="L1598" s="3">
        <v>360000</v>
      </c>
      <c r="M1598" s="3">
        <v>82800</v>
      </c>
      <c r="N1598" s="4">
        <v>0.18699186991869918</v>
      </c>
    </row>
    <row r="1599" spans="1:14" x14ac:dyDescent="0.3">
      <c r="A1599" s="6">
        <v>45772</v>
      </c>
      <c r="B1599" s="1" t="s">
        <v>1783</v>
      </c>
      <c r="C1599" s="1" t="s">
        <v>28</v>
      </c>
      <c r="D1599" t="s">
        <v>34</v>
      </c>
      <c r="E1599" t="s">
        <v>351</v>
      </c>
      <c r="F1599" t="s">
        <v>19</v>
      </c>
      <c r="G1599" t="s">
        <v>20</v>
      </c>
      <c r="H1599" s="3">
        <v>7</v>
      </c>
      <c r="I1599" s="3">
        <v>1188</v>
      </c>
      <c r="J1599" s="3">
        <v>8316</v>
      </c>
      <c r="K1599" s="3">
        <v>900</v>
      </c>
      <c r="L1599" s="3">
        <v>6300</v>
      </c>
      <c r="M1599" s="3">
        <v>2016</v>
      </c>
      <c r="N1599" s="4">
        <v>0.24242424242424243</v>
      </c>
    </row>
    <row r="1600" spans="1:14" x14ac:dyDescent="0.3">
      <c r="A1600" s="6">
        <v>45772</v>
      </c>
      <c r="B1600" s="1" t="s">
        <v>1784</v>
      </c>
      <c r="C1600" s="1" t="s">
        <v>26</v>
      </c>
      <c r="D1600" t="s">
        <v>35</v>
      </c>
      <c r="E1600" t="s">
        <v>442</v>
      </c>
      <c r="F1600" t="s">
        <v>14</v>
      </c>
      <c r="G1600" t="s">
        <v>15</v>
      </c>
      <c r="H1600" s="3">
        <v>7</v>
      </c>
      <c r="I1600" s="3">
        <v>57150</v>
      </c>
      <c r="J1600" s="3">
        <v>400050</v>
      </c>
      <c r="K1600" s="3">
        <v>45000</v>
      </c>
      <c r="L1600" s="3">
        <v>315000</v>
      </c>
      <c r="M1600" s="3">
        <v>85050</v>
      </c>
      <c r="N1600" s="4">
        <v>0.2125984251968504</v>
      </c>
    </row>
    <row r="1601" spans="1:14" x14ac:dyDescent="0.3">
      <c r="A1601" s="6">
        <v>45772</v>
      </c>
      <c r="B1601" s="1" t="s">
        <v>1785</v>
      </c>
      <c r="C1601" s="1" t="s">
        <v>29</v>
      </c>
      <c r="D1601" t="s">
        <v>30</v>
      </c>
      <c r="E1601" t="s">
        <v>306</v>
      </c>
      <c r="F1601" t="s">
        <v>21</v>
      </c>
      <c r="G1601" t="s">
        <v>20</v>
      </c>
      <c r="H1601" s="3">
        <v>10</v>
      </c>
      <c r="I1601" s="3">
        <v>732</v>
      </c>
      <c r="J1601" s="3">
        <v>7320</v>
      </c>
      <c r="K1601" s="3">
        <v>600</v>
      </c>
      <c r="L1601" s="3">
        <v>6000</v>
      </c>
      <c r="M1601" s="3">
        <v>1320</v>
      </c>
      <c r="N1601" s="4">
        <v>0.18032786885245902</v>
      </c>
    </row>
    <row r="1602" spans="1:14" x14ac:dyDescent="0.3">
      <c r="A1602" s="6">
        <v>45772</v>
      </c>
      <c r="B1602" s="1" t="s">
        <v>1786</v>
      </c>
      <c r="C1602" s="1" t="s">
        <v>29</v>
      </c>
      <c r="D1602" t="s">
        <v>34</v>
      </c>
      <c r="E1602" t="s">
        <v>204</v>
      </c>
      <c r="F1602" t="s">
        <v>16</v>
      </c>
      <c r="G1602" t="s">
        <v>15</v>
      </c>
      <c r="H1602" s="3">
        <v>4</v>
      </c>
      <c r="I1602" s="3">
        <v>53580</v>
      </c>
      <c r="J1602" s="3">
        <v>214320</v>
      </c>
      <c r="K1602" s="3">
        <v>38000</v>
      </c>
      <c r="L1602" s="3">
        <v>152000</v>
      </c>
      <c r="M1602" s="3">
        <v>62320</v>
      </c>
      <c r="N1602" s="4">
        <v>0.29078014184397161</v>
      </c>
    </row>
    <row r="1603" spans="1:14" x14ac:dyDescent="0.3">
      <c r="A1603" s="6">
        <v>45772</v>
      </c>
      <c r="B1603" s="1" t="s">
        <v>1787</v>
      </c>
      <c r="C1603" s="1" t="s">
        <v>27</v>
      </c>
      <c r="D1603" t="s">
        <v>35</v>
      </c>
      <c r="E1603" t="s">
        <v>379</v>
      </c>
      <c r="F1603" t="s">
        <v>22</v>
      </c>
      <c r="G1603" t="s">
        <v>18</v>
      </c>
      <c r="H1603" s="3">
        <v>9</v>
      </c>
      <c r="I1603" s="3">
        <v>8400</v>
      </c>
      <c r="J1603" s="3">
        <v>75600</v>
      </c>
      <c r="K1603" s="3">
        <v>7000</v>
      </c>
      <c r="L1603" s="3">
        <v>63000</v>
      </c>
      <c r="M1603" s="3">
        <v>12600</v>
      </c>
      <c r="N1603" s="4">
        <v>0.16666666666666666</v>
      </c>
    </row>
    <row r="1604" spans="1:14" x14ac:dyDescent="0.3">
      <c r="A1604" s="6">
        <v>45772</v>
      </c>
      <c r="B1604" s="1" t="s">
        <v>1788</v>
      </c>
      <c r="C1604" s="1" t="s">
        <v>26</v>
      </c>
      <c r="D1604" t="s">
        <v>32</v>
      </c>
      <c r="E1604" t="s">
        <v>159</v>
      </c>
      <c r="F1604" t="s">
        <v>23</v>
      </c>
      <c r="G1604" t="s">
        <v>25</v>
      </c>
      <c r="H1604" s="3">
        <v>1</v>
      </c>
      <c r="I1604" s="3">
        <v>4448</v>
      </c>
      <c r="J1604" s="3">
        <v>4448</v>
      </c>
      <c r="K1604" s="3">
        <v>3200</v>
      </c>
      <c r="L1604" s="3">
        <v>3200</v>
      </c>
      <c r="M1604" s="3">
        <v>1248</v>
      </c>
      <c r="N1604" s="4">
        <v>0.2805755395683453</v>
      </c>
    </row>
    <row r="1605" spans="1:14" x14ac:dyDescent="0.3">
      <c r="A1605" s="6">
        <v>45772</v>
      </c>
      <c r="B1605" s="1" t="s">
        <v>1789</v>
      </c>
      <c r="C1605" s="1" t="s">
        <v>26</v>
      </c>
      <c r="D1605" t="s">
        <v>35</v>
      </c>
      <c r="E1605" t="s">
        <v>263</v>
      </c>
      <c r="F1605" t="s">
        <v>16</v>
      </c>
      <c r="G1605" t="s">
        <v>15</v>
      </c>
      <c r="H1605" s="3">
        <v>3</v>
      </c>
      <c r="I1605" s="3">
        <v>54340</v>
      </c>
      <c r="J1605" s="3">
        <v>163020</v>
      </c>
      <c r="K1605" s="3">
        <v>38000</v>
      </c>
      <c r="L1605" s="3">
        <v>114000</v>
      </c>
      <c r="M1605" s="3">
        <v>49020</v>
      </c>
      <c r="N1605" s="4">
        <v>0.30069930069930068</v>
      </c>
    </row>
    <row r="1606" spans="1:14" x14ac:dyDescent="0.3">
      <c r="A1606" s="6">
        <v>45772</v>
      </c>
      <c r="B1606" s="1" t="s">
        <v>1790</v>
      </c>
      <c r="C1606" s="1" t="s">
        <v>28</v>
      </c>
      <c r="D1606" t="s">
        <v>34</v>
      </c>
      <c r="E1606" t="s">
        <v>157</v>
      </c>
      <c r="F1606" t="s">
        <v>22</v>
      </c>
      <c r="G1606" t="s">
        <v>18</v>
      </c>
      <c r="H1606" s="3">
        <v>2</v>
      </c>
      <c r="I1606" s="3">
        <v>8540</v>
      </c>
      <c r="J1606" s="3">
        <v>17080</v>
      </c>
      <c r="K1606" s="3">
        <v>7000</v>
      </c>
      <c r="L1606" s="3">
        <v>14000</v>
      </c>
      <c r="M1606" s="3">
        <v>3080</v>
      </c>
      <c r="N1606" s="4">
        <v>0.18032786885245902</v>
      </c>
    </row>
    <row r="1607" spans="1:14" x14ac:dyDescent="0.3">
      <c r="A1607" s="6">
        <v>45772</v>
      </c>
      <c r="B1607" s="1" t="s">
        <v>1791</v>
      </c>
      <c r="C1607" s="1" t="s">
        <v>28</v>
      </c>
      <c r="D1607" t="s">
        <v>34</v>
      </c>
      <c r="E1607" t="s">
        <v>331</v>
      </c>
      <c r="F1607" t="s">
        <v>21</v>
      </c>
      <c r="G1607" t="s">
        <v>20</v>
      </c>
      <c r="H1607" s="3">
        <v>5</v>
      </c>
      <c r="I1607" s="3">
        <v>858</v>
      </c>
      <c r="J1607" s="3">
        <v>4290</v>
      </c>
      <c r="K1607" s="3">
        <v>600</v>
      </c>
      <c r="L1607" s="3">
        <v>3000</v>
      </c>
      <c r="M1607" s="3">
        <v>1290</v>
      </c>
      <c r="N1607" s="4">
        <v>0.30069930069930068</v>
      </c>
    </row>
    <row r="1608" spans="1:14" x14ac:dyDescent="0.3">
      <c r="A1608" s="6">
        <v>45772</v>
      </c>
      <c r="B1608" s="1" t="s">
        <v>1792</v>
      </c>
      <c r="C1608" s="1" t="s">
        <v>26</v>
      </c>
      <c r="D1608" t="s">
        <v>35</v>
      </c>
      <c r="E1608" t="s">
        <v>180</v>
      </c>
      <c r="F1608" t="s">
        <v>21</v>
      </c>
      <c r="G1608" t="s">
        <v>20</v>
      </c>
      <c r="H1608" s="3">
        <v>8</v>
      </c>
      <c r="I1608" s="3">
        <v>846</v>
      </c>
      <c r="J1608" s="3">
        <v>6768</v>
      </c>
      <c r="K1608" s="3">
        <v>600</v>
      </c>
      <c r="L1608" s="3">
        <v>4800</v>
      </c>
      <c r="M1608" s="3">
        <v>1968</v>
      </c>
      <c r="N1608" s="4">
        <v>0.29078014184397161</v>
      </c>
    </row>
    <row r="1609" spans="1:14" x14ac:dyDescent="0.3">
      <c r="A1609" s="6">
        <v>45772</v>
      </c>
      <c r="B1609" s="1" t="s">
        <v>1793</v>
      </c>
      <c r="C1609" s="1" t="s">
        <v>26</v>
      </c>
      <c r="D1609" t="s">
        <v>30</v>
      </c>
      <c r="E1609" t="s">
        <v>329</v>
      </c>
      <c r="F1609" t="s">
        <v>23</v>
      </c>
      <c r="G1609" t="s">
        <v>25</v>
      </c>
      <c r="H1609" s="3">
        <v>8</v>
      </c>
      <c r="I1609" s="3">
        <v>4640</v>
      </c>
      <c r="J1609" s="3">
        <v>37120</v>
      </c>
      <c r="K1609" s="3">
        <v>3200</v>
      </c>
      <c r="L1609" s="3">
        <v>25600</v>
      </c>
      <c r="M1609" s="3">
        <v>11520</v>
      </c>
      <c r="N1609" s="4">
        <v>0.31034482758620691</v>
      </c>
    </row>
    <row r="1610" spans="1:14" x14ac:dyDescent="0.3">
      <c r="A1610" s="6">
        <v>45773</v>
      </c>
      <c r="B1610" s="1" t="s">
        <v>1794</v>
      </c>
      <c r="C1610" s="1" t="s">
        <v>29</v>
      </c>
      <c r="D1610" t="s">
        <v>30</v>
      </c>
      <c r="E1610" t="s">
        <v>85</v>
      </c>
      <c r="F1610" t="s">
        <v>22</v>
      </c>
      <c r="G1610" t="s">
        <v>18</v>
      </c>
      <c r="H1610" s="3">
        <v>9</v>
      </c>
      <c r="I1610" s="3">
        <v>9520</v>
      </c>
      <c r="J1610" s="3">
        <v>85680</v>
      </c>
      <c r="K1610" s="3">
        <v>7000</v>
      </c>
      <c r="L1610" s="3">
        <v>63000</v>
      </c>
      <c r="M1610" s="3">
        <v>22680</v>
      </c>
      <c r="N1610" s="4">
        <v>0.26470588235294118</v>
      </c>
    </row>
    <row r="1611" spans="1:14" x14ac:dyDescent="0.3">
      <c r="A1611" s="6">
        <v>45773</v>
      </c>
      <c r="B1611" s="1" t="s">
        <v>1795</v>
      </c>
      <c r="C1611" s="1" t="s">
        <v>27</v>
      </c>
      <c r="D1611" t="s">
        <v>34</v>
      </c>
      <c r="E1611" t="s">
        <v>45</v>
      </c>
      <c r="F1611" t="s">
        <v>16</v>
      </c>
      <c r="G1611" t="s">
        <v>15</v>
      </c>
      <c r="H1611" s="3">
        <v>2</v>
      </c>
      <c r="I1611" s="3">
        <v>49400</v>
      </c>
      <c r="J1611" s="3">
        <v>98800</v>
      </c>
      <c r="K1611" s="3">
        <v>38000</v>
      </c>
      <c r="L1611" s="3">
        <v>76000</v>
      </c>
      <c r="M1611" s="3">
        <v>22800</v>
      </c>
      <c r="N1611" s="4">
        <v>0.23076923076923078</v>
      </c>
    </row>
    <row r="1612" spans="1:14" x14ac:dyDescent="0.3">
      <c r="A1612" s="6">
        <v>45773</v>
      </c>
      <c r="B1612" s="1" t="s">
        <v>1796</v>
      </c>
      <c r="C1612" s="1" t="s">
        <v>29</v>
      </c>
      <c r="D1612" t="s">
        <v>31</v>
      </c>
      <c r="E1612" t="s">
        <v>216</v>
      </c>
      <c r="F1612" t="s">
        <v>16</v>
      </c>
      <c r="G1612" t="s">
        <v>15</v>
      </c>
      <c r="H1612" s="3">
        <v>8</v>
      </c>
      <c r="I1612" s="3">
        <v>52060.000000000007</v>
      </c>
      <c r="J1612" s="3">
        <v>416480.00000000006</v>
      </c>
      <c r="K1612" s="3">
        <v>38000</v>
      </c>
      <c r="L1612" s="3">
        <v>304000</v>
      </c>
      <c r="M1612" s="3">
        <v>112480.00000000006</v>
      </c>
      <c r="N1612" s="4">
        <v>0.27007299270073004</v>
      </c>
    </row>
    <row r="1613" spans="1:14" x14ac:dyDescent="0.3">
      <c r="A1613" s="6">
        <v>45773</v>
      </c>
      <c r="B1613" s="1" t="s">
        <v>1797</v>
      </c>
      <c r="C1613" s="1" t="s">
        <v>27</v>
      </c>
      <c r="D1613" t="s">
        <v>33</v>
      </c>
      <c r="E1613" t="s">
        <v>442</v>
      </c>
      <c r="F1613" t="s">
        <v>24</v>
      </c>
      <c r="G1613" t="s">
        <v>25</v>
      </c>
      <c r="H1613" s="3">
        <v>7</v>
      </c>
      <c r="I1613" s="3">
        <v>3575</v>
      </c>
      <c r="J1613" s="3">
        <v>25025</v>
      </c>
      <c r="K1613" s="3">
        <v>2500</v>
      </c>
      <c r="L1613" s="3">
        <v>17500</v>
      </c>
      <c r="M1613" s="3">
        <v>7525</v>
      </c>
      <c r="N1613" s="4">
        <v>0.30069930069930068</v>
      </c>
    </row>
    <row r="1614" spans="1:14" x14ac:dyDescent="0.3">
      <c r="A1614" s="6">
        <v>45773</v>
      </c>
      <c r="B1614" s="1" t="s">
        <v>1798</v>
      </c>
      <c r="C1614" s="1" t="s">
        <v>27</v>
      </c>
      <c r="D1614" t="s">
        <v>35</v>
      </c>
      <c r="E1614" t="s">
        <v>45</v>
      </c>
      <c r="F1614" t="s">
        <v>17</v>
      </c>
      <c r="G1614" t="s">
        <v>18</v>
      </c>
      <c r="H1614" s="3">
        <v>10</v>
      </c>
      <c r="I1614" s="3">
        <v>10540</v>
      </c>
      <c r="J1614" s="3">
        <v>105400</v>
      </c>
      <c r="K1614" s="3">
        <v>8500</v>
      </c>
      <c r="L1614" s="3">
        <v>85000</v>
      </c>
      <c r="M1614" s="3">
        <v>20400</v>
      </c>
      <c r="N1614" s="4">
        <v>0.19354838709677419</v>
      </c>
    </row>
    <row r="1615" spans="1:14" x14ac:dyDescent="0.3">
      <c r="A1615" s="6">
        <v>45773</v>
      </c>
      <c r="B1615" s="1" t="s">
        <v>1799</v>
      </c>
      <c r="C1615" s="1" t="s">
        <v>28</v>
      </c>
      <c r="D1615" t="s">
        <v>31</v>
      </c>
      <c r="E1615" t="s">
        <v>153</v>
      </c>
      <c r="F1615" t="s">
        <v>14</v>
      </c>
      <c r="G1615" t="s">
        <v>15</v>
      </c>
      <c r="H1615" s="3">
        <v>6</v>
      </c>
      <c r="I1615" s="3">
        <v>58500</v>
      </c>
      <c r="J1615" s="3">
        <v>351000</v>
      </c>
      <c r="K1615" s="3">
        <v>45000</v>
      </c>
      <c r="L1615" s="3">
        <v>270000</v>
      </c>
      <c r="M1615" s="3">
        <v>81000</v>
      </c>
      <c r="N1615" s="4">
        <v>0.23076923076923078</v>
      </c>
    </row>
    <row r="1616" spans="1:14" x14ac:dyDescent="0.3">
      <c r="A1616" s="6">
        <v>45773</v>
      </c>
      <c r="B1616" s="1" t="s">
        <v>1800</v>
      </c>
      <c r="C1616" s="1" t="s">
        <v>27</v>
      </c>
      <c r="D1616" t="s">
        <v>32</v>
      </c>
      <c r="E1616" t="s">
        <v>239</v>
      </c>
      <c r="F1616" t="s">
        <v>19</v>
      </c>
      <c r="G1616" t="s">
        <v>20</v>
      </c>
      <c r="H1616" s="3">
        <v>3</v>
      </c>
      <c r="I1616" s="3">
        <v>1215</v>
      </c>
      <c r="J1616" s="3">
        <v>3645</v>
      </c>
      <c r="K1616" s="3">
        <v>900</v>
      </c>
      <c r="L1616" s="3">
        <v>2700</v>
      </c>
      <c r="M1616" s="3">
        <v>945</v>
      </c>
      <c r="N1616" s="4">
        <v>0.25925925925925924</v>
      </c>
    </row>
    <row r="1617" spans="1:14" x14ac:dyDescent="0.3">
      <c r="A1617" s="6">
        <v>45773</v>
      </c>
      <c r="B1617" s="1" t="s">
        <v>1801</v>
      </c>
      <c r="C1617" s="1" t="s">
        <v>27</v>
      </c>
      <c r="D1617" t="s">
        <v>35</v>
      </c>
      <c r="E1617" t="s">
        <v>327</v>
      </c>
      <c r="F1617" t="s">
        <v>14</v>
      </c>
      <c r="G1617" t="s">
        <v>15</v>
      </c>
      <c r="H1617" s="3">
        <v>5</v>
      </c>
      <c r="I1617" s="3">
        <v>64350</v>
      </c>
      <c r="J1617" s="3">
        <v>321750</v>
      </c>
      <c r="K1617" s="3">
        <v>45000</v>
      </c>
      <c r="L1617" s="3">
        <v>225000</v>
      </c>
      <c r="M1617" s="3">
        <v>96750</v>
      </c>
      <c r="N1617" s="4">
        <v>0.30069930069930068</v>
      </c>
    </row>
    <row r="1618" spans="1:14" x14ac:dyDescent="0.3">
      <c r="A1618" s="6">
        <v>45773</v>
      </c>
      <c r="B1618" s="1" t="s">
        <v>1802</v>
      </c>
      <c r="C1618" s="1" t="s">
        <v>29</v>
      </c>
      <c r="D1618" t="s">
        <v>30</v>
      </c>
      <c r="E1618" t="s">
        <v>436</v>
      </c>
      <c r="F1618" t="s">
        <v>21</v>
      </c>
      <c r="G1618" t="s">
        <v>20</v>
      </c>
      <c r="H1618" s="3">
        <v>1</v>
      </c>
      <c r="I1618" s="3">
        <v>834.00000000000011</v>
      </c>
      <c r="J1618" s="3">
        <v>834.00000000000011</v>
      </c>
      <c r="K1618" s="3">
        <v>600</v>
      </c>
      <c r="L1618" s="3">
        <v>600</v>
      </c>
      <c r="M1618" s="3">
        <v>234.00000000000011</v>
      </c>
      <c r="N1618" s="4">
        <v>0.28057553956834541</v>
      </c>
    </row>
    <row r="1619" spans="1:14" x14ac:dyDescent="0.3">
      <c r="A1619" s="6">
        <v>45773</v>
      </c>
      <c r="B1619" s="1" t="s">
        <v>1803</v>
      </c>
      <c r="C1619" s="1" t="s">
        <v>28</v>
      </c>
      <c r="D1619" t="s">
        <v>31</v>
      </c>
      <c r="E1619" t="s">
        <v>363</v>
      </c>
      <c r="F1619" t="s">
        <v>21</v>
      </c>
      <c r="G1619" t="s">
        <v>20</v>
      </c>
      <c r="H1619" s="3">
        <v>9</v>
      </c>
      <c r="I1619" s="3">
        <v>744</v>
      </c>
      <c r="J1619" s="3">
        <v>6696</v>
      </c>
      <c r="K1619" s="3">
        <v>600</v>
      </c>
      <c r="L1619" s="3">
        <v>5400</v>
      </c>
      <c r="M1619" s="3">
        <v>1296</v>
      </c>
      <c r="N1619" s="4">
        <v>0.19354838709677419</v>
      </c>
    </row>
    <row r="1620" spans="1:14" x14ac:dyDescent="0.3">
      <c r="A1620" s="6">
        <v>45773</v>
      </c>
      <c r="B1620" s="1" t="s">
        <v>1804</v>
      </c>
      <c r="C1620" s="1" t="s">
        <v>27</v>
      </c>
      <c r="D1620" t="s">
        <v>33</v>
      </c>
      <c r="E1620" t="s">
        <v>126</v>
      </c>
      <c r="F1620" t="s">
        <v>21</v>
      </c>
      <c r="G1620" t="s">
        <v>20</v>
      </c>
      <c r="H1620" s="3">
        <v>6</v>
      </c>
      <c r="I1620" s="3">
        <v>792</v>
      </c>
      <c r="J1620" s="3">
        <v>4752</v>
      </c>
      <c r="K1620" s="3">
        <v>600</v>
      </c>
      <c r="L1620" s="3">
        <v>3600</v>
      </c>
      <c r="M1620" s="3">
        <v>1152</v>
      </c>
      <c r="N1620" s="4">
        <v>0.24242424242424243</v>
      </c>
    </row>
    <row r="1621" spans="1:14" x14ac:dyDescent="0.3">
      <c r="A1621" s="6">
        <v>45773</v>
      </c>
      <c r="B1621" s="1" t="s">
        <v>1805</v>
      </c>
      <c r="C1621" s="1" t="s">
        <v>26</v>
      </c>
      <c r="D1621" t="s">
        <v>30</v>
      </c>
      <c r="E1621" t="s">
        <v>935</v>
      </c>
      <c r="F1621" t="s">
        <v>16</v>
      </c>
      <c r="G1621" t="s">
        <v>15</v>
      </c>
      <c r="H1621" s="3">
        <v>6</v>
      </c>
      <c r="I1621" s="3">
        <v>53580</v>
      </c>
      <c r="J1621" s="3">
        <v>321480</v>
      </c>
      <c r="K1621" s="3">
        <v>38000</v>
      </c>
      <c r="L1621" s="3">
        <v>228000</v>
      </c>
      <c r="M1621" s="3">
        <v>93480</v>
      </c>
      <c r="N1621" s="4">
        <v>0.29078014184397161</v>
      </c>
    </row>
    <row r="1622" spans="1:14" x14ac:dyDescent="0.3">
      <c r="A1622" s="6">
        <v>45773</v>
      </c>
      <c r="B1622" s="1" t="s">
        <v>1806</v>
      </c>
      <c r="C1622" s="1" t="s">
        <v>26</v>
      </c>
      <c r="D1622" t="s">
        <v>33</v>
      </c>
      <c r="E1622" t="s">
        <v>442</v>
      </c>
      <c r="F1622" t="s">
        <v>24</v>
      </c>
      <c r="G1622" t="s">
        <v>25</v>
      </c>
      <c r="H1622" s="3">
        <v>6</v>
      </c>
      <c r="I1622" s="3">
        <v>3550</v>
      </c>
      <c r="J1622" s="3">
        <v>21300</v>
      </c>
      <c r="K1622" s="3">
        <v>2500</v>
      </c>
      <c r="L1622" s="3">
        <v>15000</v>
      </c>
      <c r="M1622" s="3">
        <v>6300</v>
      </c>
      <c r="N1622" s="4">
        <v>0.29577464788732394</v>
      </c>
    </row>
    <row r="1623" spans="1:14" x14ac:dyDescent="0.3">
      <c r="A1623" s="6">
        <v>45773</v>
      </c>
      <c r="B1623" s="1" t="s">
        <v>1807</v>
      </c>
      <c r="C1623" s="1" t="s">
        <v>27</v>
      </c>
      <c r="D1623" t="s">
        <v>34</v>
      </c>
      <c r="E1623" t="s">
        <v>424</v>
      </c>
      <c r="F1623" t="s">
        <v>23</v>
      </c>
      <c r="G1623" t="s">
        <v>25</v>
      </c>
      <c r="H1623" s="3">
        <v>2</v>
      </c>
      <c r="I1623" s="3">
        <v>4480</v>
      </c>
      <c r="J1623" s="3">
        <v>8960</v>
      </c>
      <c r="K1623" s="3">
        <v>3200</v>
      </c>
      <c r="L1623" s="3">
        <v>6400</v>
      </c>
      <c r="M1623" s="3">
        <v>2560</v>
      </c>
      <c r="N1623" s="4">
        <v>0.2857142857142857</v>
      </c>
    </row>
    <row r="1624" spans="1:14" x14ac:dyDescent="0.3">
      <c r="A1624" s="6">
        <v>45774</v>
      </c>
      <c r="B1624" s="1" t="s">
        <v>1808</v>
      </c>
      <c r="C1624" s="1" t="s">
        <v>28</v>
      </c>
      <c r="D1624" t="s">
        <v>33</v>
      </c>
      <c r="E1624" t="s">
        <v>336</v>
      </c>
      <c r="F1624" t="s">
        <v>22</v>
      </c>
      <c r="G1624" t="s">
        <v>18</v>
      </c>
      <c r="H1624" s="3">
        <v>9</v>
      </c>
      <c r="I1624" s="3">
        <v>9380</v>
      </c>
      <c r="J1624" s="3">
        <v>84420</v>
      </c>
      <c r="K1624" s="3">
        <v>7000</v>
      </c>
      <c r="L1624" s="3">
        <v>63000</v>
      </c>
      <c r="M1624" s="3">
        <v>21420</v>
      </c>
      <c r="N1624" s="4">
        <v>0.2537313432835821</v>
      </c>
    </row>
    <row r="1625" spans="1:14" x14ac:dyDescent="0.3">
      <c r="A1625" s="6">
        <v>45774</v>
      </c>
      <c r="B1625" s="1" t="s">
        <v>1809</v>
      </c>
      <c r="C1625" s="1" t="s">
        <v>26</v>
      </c>
      <c r="D1625" t="s">
        <v>35</v>
      </c>
      <c r="E1625" t="s">
        <v>193</v>
      </c>
      <c r="F1625" t="s">
        <v>24</v>
      </c>
      <c r="G1625" t="s">
        <v>25</v>
      </c>
      <c r="H1625" s="3">
        <v>3</v>
      </c>
      <c r="I1625" s="3">
        <v>3600</v>
      </c>
      <c r="J1625" s="3">
        <v>10800</v>
      </c>
      <c r="K1625" s="3">
        <v>2500</v>
      </c>
      <c r="L1625" s="3">
        <v>7500</v>
      </c>
      <c r="M1625" s="3">
        <v>3300</v>
      </c>
      <c r="N1625" s="4">
        <v>0.30555555555555558</v>
      </c>
    </row>
    <row r="1626" spans="1:14" x14ac:dyDescent="0.3">
      <c r="A1626" s="6">
        <v>45774</v>
      </c>
      <c r="B1626" s="1" t="s">
        <v>1810</v>
      </c>
      <c r="C1626" s="1" t="s">
        <v>29</v>
      </c>
      <c r="D1626" t="s">
        <v>32</v>
      </c>
      <c r="E1626" t="s">
        <v>106</v>
      </c>
      <c r="F1626" t="s">
        <v>24</v>
      </c>
      <c r="G1626" t="s">
        <v>25</v>
      </c>
      <c r="H1626" s="3">
        <v>9</v>
      </c>
      <c r="I1626" s="3">
        <v>3000</v>
      </c>
      <c r="J1626" s="3">
        <v>27000</v>
      </c>
      <c r="K1626" s="3">
        <v>2500</v>
      </c>
      <c r="L1626" s="3">
        <v>22500</v>
      </c>
      <c r="M1626" s="3">
        <v>4500</v>
      </c>
      <c r="N1626" s="4">
        <v>0.16666666666666666</v>
      </c>
    </row>
    <row r="1627" spans="1:14" x14ac:dyDescent="0.3">
      <c r="A1627" s="6">
        <v>45774</v>
      </c>
      <c r="B1627" s="1" t="s">
        <v>1811</v>
      </c>
      <c r="C1627" s="1" t="s">
        <v>27</v>
      </c>
      <c r="D1627" t="s">
        <v>32</v>
      </c>
      <c r="E1627" t="s">
        <v>72</v>
      </c>
      <c r="F1627" t="s">
        <v>16</v>
      </c>
      <c r="G1627" t="s">
        <v>15</v>
      </c>
      <c r="H1627" s="3">
        <v>5</v>
      </c>
      <c r="I1627" s="3">
        <v>53580</v>
      </c>
      <c r="J1627" s="3">
        <v>267900</v>
      </c>
      <c r="K1627" s="3">
        <v>38000</v>
      </c>
      <c r="L1627" s="3">
        <v>190000</v>
      </c>
      <c r="M1627" s="3">
        <v>77900</v>
      </c>
      <c r="N1627" s="4">
        <v>0.29078014184397161</v>
      </c>
    </row>
    <row r="1628" spans="1:14" x14ac:dyDescent="0.3">
      <c r="A1628" s="6">
        <v>45774</v>
      </c>
      <c r="B1628" s="1" t="s">
        <v>1812</v>
      </c>
      <c r="C1628" s="1" t="s">
        <v>27</v>
      </c>
      <c r="D1628" t="s">
        <v>31</v>
      </c>
      <c r="E1628" t="s">
        <v>442</v>
      </c>
      <c r="F1628" t="s">
        <v>23</v>
      </c>
      <c r="G1628" t="s">
        <v>25</v>
      </c>
      <c r="H1628" s="3">
        <v>10</v>
      </c>
      <c r="I1628" s="3">
        <v>4384</v>
      </c>
      <c r="J1628" s="3">
        <v>43840</v>
      </c>
      <c r="K1628" s="3">
        <v>3200</v>
      </c>
      <c r="L1628" s="3">
        <v>32000</v>
      </c>
      <c r="M1628" s="3">
        <v>11840</v>
      </c>
      <c r="N1628" s="4">
        <v>0.27007299270072993</v>
      </c>
    </row>
    <row r="1629" spans="1:14" x14ac:dyDescent="0.3">
      <c r="A1629" s="6">
        <v>45774</v>
      </c>
      <c r="B1629" s="1" t="s">
        <v>1813</v>
      </c>
      <c r="C1629" s="1" t="s">
        <v>29</v>
      </c>
      <c r="D1629" t="s">
        <v>31</v>
      </c>
      <c r="E1629" t="s">
        <v>208</v>
      </c>
      <c r="F1629" t="s">
        <v>17</v>
      </c>
      <c r="G1629" t="s">
        <v>18</v>
      </c>
      <c r="H1629" s="3">
        <v>3</v>
      </c>
      <c r="I1629" s="3">
        <v>10540</v>
      </c>
      <c r="J1629" s="3">
        <v>31620</v>
      </c>
      <c r="K1629" s="3">
        <v>8500</v>
      </c>
      <c r="L1629" s="3">
        <v>25500</v>
      </c>
      <c r="M1629" s="3">
        <v>6120</v>
      </c>
      <c r="N1629" s="4">
        <v>0.19354838709677419</v>
      </c>
    </row>
    <row r="1630" spans="1:14" x14ac:dyDescent="0.3">
      <c r="A1630" s="6">
        <v>45774</v>
      </c>
      <c r="B1630" s="1" t="s">
        <v>1814</v>
      </c>
      <c r="C1630" s="1" t="s">
        <v>27</v>
      </c>
      <c r="D1630" t="s">
        <v>30</v>
      </c>
      <c r="E1630" t="s">
        <v>41</v>
      </c>
      <c r="F1630" t="s">
        <v>22</v>
      </c>
      <c r="G1630" t="s">
        <v>18</v>
      </c>
      <c r="H1630" s="3">
        <v>4</v>
      </c>
      <c r="I1630" s="3">
        <v>8610</v>
      </c>
      <c r="J1630" s="3">
        <v>34440</v>
      </c>
      <c r="K1630" s="3">
        <v>7000</v>
      </c>
      <c r="L1630" s="3">
        <v>28000</v>
      </c>
      <c r="M1630" s="3">
        <v>6440</v>
      </c>
      <c r="N1630" s="4">
        <v>0.18699186991869918</v>
      </c>
    </row>
    <row r="1631" spans="1:14" x14ac:dyDescent="0.3">
      <c r="A1631" s="6">
        <v>45774</v>
      </c>
      <c r="B1631" s="1" t="s">
        <v>1815</v>
      </c>
      <c r="C1631" s="1" t="s">
        <v>28</v>
      </c>
      <c r="D1631" t="s">
        <v>30</v>
      </c>
      <c r="E1631" t="s">
        <v>118</v>
      </c>
      <c r="F1631" t="s">
        <v>14</v>
      </c>
      <c r="G1631" t="s">
        <v>15</v>
      </c>
      <c r="H1631" s="3">
        <v>9</v>
      </c>
      <c r="I1631" s="3">
        <v>55350</v>
      </c>
      <c r="J1631" s="3">
        <v>498150</v>
      </c>
      <c r="K1631" s="3">
        <v>45000</v>
      </c>
      <c r="L1631" s="3">
        <v>405000</v>
      </c>
      <c r="M1631" s="3">
        <v>93150</v>
      </c>
      <c r="N1631" s="4">
        <v>0.18699186991869918</v>
      </c>
    </row>
    <row r="1632" spans="1:14" x14ac:dyDescent="0.3">
      <c r="A1632" s="6">
        <v>45774</v>
      </c>
      <c r="B1632" s="1" t="s">
        <v>1816</v>
      </c>
      <c r="C1632" s="1" t="s">
        <v>27</v>
      </c>
      <c r="D1632" t="s">
        <v>30</v>
      </c>
      <c r="E1632" t="s">
        <v>65</v>
      </c>
      <c r="F1632" t="s">
        <v>23</v>
      </c>
      <c r="G1632" t="s">
        <v>25</v>
      </c>
      <c r="H1632" s="3">
        <v>5</v>
      </c>
      <c r="I1632" s="3">
        <v>4576</v>
      </c>
      <c r="J1632" s="3">
        <v>22880</v>
      </c>
      <c r="K1632" s="3">
        <v>3200</v>
      </c>
      <c r="L1632" s="3">
        <v>16000</v>
      </c>
      <c r="M1632" s="3">
        <v>6880</v>
      </c>
      <c r="N1632" s="4">
        <v>0.30069930069930068</v>
      </c>
    </row>
    <row r="1633" spans="1:14" x14ac:dyDescent="0.3">
      <c r="A1633" s="6">
        <v>45774</v>
      </c>
      <c r="B1633" s="1" t="s">
        <v>1817</v>
      </c>
      <c r="C1633" s="1" t="s">
        <v>27</v>
      </c>
      <c r="D1633" t="s">
        <v>34</v>
      </c>
      <c r="E1633" t="s">
        <v>110</v>
      </c>
      <c r="F1633" t="s">
        <v>22</v>
      </c>
      <c r="G1633" t="s">
        <v>18</v>
      </c>
      <c r="H1633" s="3">
        <v>2</v>
      </c>
      <c r="I1633" s="3">
        <v>8680</v>
      </c>
      <c r="J1633" s="3">
        <v>17360</v>
      </c>
      <c r="K1633" s="3">
        <v>7000</v>
      </c>
      <c r="L1633" s="3">
        <v>14000</v>
      </c>
      <c r="M1633" s="3">
        <v>3360</v>
      </c>
      <c r="N1633" s="4">
        <v>0.19354838709677419</v>
      </c>
    </row>
    <row r="1634" spans="1:14" x14ac:dyDescent="0.3">
      <c r="A1634" s="6">
        <v>45774</v>
      </c>
      <c r="B1634" s="1" t="s">
        <v>1818</v>
      </c>
      <c r="C1634" s="1" t="s">
        <v>27</v>
      </c>
      <c r="D1634" t="s">
        <v>31</v>
      </c>
      <c r="E1634" t="s">
        <v>189</v>
      </c>
      <c r="F1634" t="s">
        <v>17</v>
      </c>
      <c r="G1634" t="s">
        <v>18</v>
      </c>
      <c r="H1634" s="3">
        <v>5</v>
      </c>
      <c r="I1634" s="3">
        <v>11900</v>
      </c>
      <c r="J1634" s="3">
        <v>59500</v>
      </c>
      <c r="K1634" s="3">
        <v>8500</v>
      </c>
      <c r="L1634" s="3">
        <v>42500</v>
      </c>
      <c r="M1634" s="3">
        <v>17000</v>
      </c>
      <c r="N1634" s="4">
        <v>0.2857142857142857</v>
      </c>
    </row>
    <row r="1635" spans="1:14" x14ac:dyDescent="0.3">
      <c r="A1635" s="6">
        <v>45774</v>
      </c>
      <c r="B1635" s="1" t="s">
        <v>1819</v>
      </c>
      <c r="C1635" s="1" t="s">
        <v>29</v>
      </c>
      <c r="D1635" t="s">
        <v>32</v>
      </c>
      <c r="E1635" t="s">
        <v>43</v>
      </c>
      <c r="F1635" t="s">
        <v>19</v>
      </c>
      <c r="G1635" t="s">
        <v>20</v>
      </c>
      <c r="H1635" s="3">
        <v>7</v>
      </c>
      <c r="I1635" s="3">
        <v>1179</v>
      </c>
      <c r="J1635" s="3">
        <v>8253</v>
      </c>
      <c r="K1635" s="3">
        <v>900</v>
      </c>
      <c r="L1635" s="3">
        <v>6300</v>
      </c>
      <c r="M1635" s="3">
        <v>1953</v>
      </c>
      <c r="N1635" s="4">
        <v>0.23664122137404581</v>
      </c>
    </row>
    <row r="1636" spans="1:14" x14ac:dyDescent="0.3">
      <c r="A1636" s="6">
        <v>45774</v>
      </c>
      <c r="B1636" s="1" t="s">
        <v>1820</v>
      </c>
      <c r="C1636" s="1" t="s">
        <v>26</v>
      </c>
      <c r="D1636" t="s">
        <v>32</v>
      </c>
      <c r="E1636" t="s">
        <v>249</v>
      </c>
      <c r="F1636" t="s">
        <v>14</v>
      </c>
      <c r="G1636" t="s">
        <v>15</v>
      </c>
      <c r="H1636" s="3">
        <v>6</v>
      </c>
      <c r="I1636" s="3">
        <v>60300</v>
      </c>
      <c r="J1636" s="3">
        <v>361800</v>
      </c>
      <c r="K1636" s="3">
        <v>45000</v>
      </c>
      <c r="L1636" s="3">
        <v>270000</v>
      </c>
      <c r="M1636" s="3">
        <v>91800</v>
      </c>
      <c r="N1636" s="4">
        <v>0.2537313432835821</v>
      </c>
    </row>
    <row r="1637" spans="1:14" x14ac:dyDescent="0.3">
      <c r="A1637" s="6">
        <v>45774</v>
      </c>
      <c r="B1637" s="1" t="s">
        <v>1821</v>
      </c>
      <c r="C1637" s="1" t="s">
        <v>27</v>
      </c>
      <c r="D1637" t="s">
        <v>35</v>
      </c>
      <c r="E1637" t="s">
        <v>216</v>
      </c>
      <c r="F1637" t="s">
        <v>19</v>
      </c>
      <c r="G1637" t="s">
        <v>20</v>
      </c>
      <c r="H1637" s="3">
        <v>7</v>
      </c>
      <c r="I1637" s="3">
        <v>1116</v>
      </c>
      <c r="J1637" s="3">
        <v>7812</v>
      </c>
      <c r="K1637" s="3">
        <v>900</v>
      </c>
      <c r="L1637" s="3">
        <v>6300</v>
      </c>
      <c r="M1637" s="3">
        <v>1512</v>
      </c>
      <c r="N1637" s="4">
        <v>0.19354838709677419</v>
      </c>
    </row>
    <row r="1638" spans="1:14" x14ac:dyDescent="0.3">
      <c r="A1638" s="6">
        <v>45775</v>
      </c>
      <c r="B1638" s="1" t="s">
        <v>1822</v>
      </c>
      <c r="C1638" s="1" t="s">
        <v>26</v>
      </c>
      <c r="D1638" t="s">
        <v>34</v>
      </c>
      <c r="E1638" t="s">
        <v>166</v>
      </c>
      <c r="F1638" t="s">
        <v>22</v>
      </c>
      <c r="G1638" t="s">
        <v>18</v>
      </c>
      <c r="H1638" s="3">
        <v>4</v>
      </c>
      <c r="I1638" s="3">
        <v>9800</v>
      </c>
      <c r="J1638" s="3">
        <v>39200</v>
      </c>
      <c r="K1638" s="3">
        <v>7000</v>
      </c>
      <c r="L1638" s="3">
        <v>28000</v>
      </c>
      <c r="M1638" s="3">
        <v>11200</v>
      </c>
      <c r="N1638" s="4">
        <v>0.2857142857142857</v>
      </c>
    </row>
    <row r="1639" spans="1:14" x14ac:dyDescent="0.3">
      <c r="A1639" s="6">
        <v>45775</v>
      </c>
      <c r="B1639" s="1" t="s">
        <v>1823</v>
      </c>
      <c r="C1639" s="1" t="s">
        <v>27</v>
      </c>
      <c r="D1639" t="s">
        <v>35</v>
      </c>
      <c r="E1639" t="s">
        <v>120</v>
      </c>
      <c r="F1639" t="s">
        <v>19</v>
      </c>
      <c r="G1639" t="s">
        <v>20</v>
      </c>
      <c r="H1639" s="3">
        <v>8</v>
      </c>
      <c r="I1639" s="3">
        <v>1116</v>
      </c>
      <c r="J1639" s="3">
        <v>8928</v>
      </c>
      <c r="K1639" s="3">
        <v>900</v>
      </c>
      <c r="L1639" s="3">
        <v>7200</v>
      </c>
      <c r="M1639" s="3">
        <v>1728</v>
      </c>
      <c r="N1639" s="4">
        <v>0.19354838709677419</v>
      </c>
    </row>
    <row r="1640" spans="1:14" x14ac:dyDescent="0.3">
      <c r="A1640" s="6">
        <v>45775</v>
      </c>
      <c r="B1640" s="1" t="s">
        <v>1824</v>
      </c>
      <c r="C1640" s="1" t="s">
        <v>29</v>
      </c>
      <c r="D1640" t="s">
        <v>31</v>
      </c>
      <c r="E1640" t="s">
        <v>98</v>
      </c>
      <c r="F1640" t="s">
        <v>24</v>
      </c>
      <c r="G1640" t="s">
        <v>25</v>
      </c>
      <c r="H1640" s="3">
        <v>4</v>
      </c>
      <c r="I1640" s="3">
        <v>3425.0000000000005</v>
      </c>
      <c r="J1640" s="3">
        <v>13700.000000000002</v>
      </c>
      <c r="K1640" s="3">
        <v>2500</v>
      </c>
      <c r="L1640" s="3">
        <v>10000</v>
      </c>
      <c r="M1640" s="3">
        <v>3700.0000000000018</v>
      </c>
      <c r="N1640" s="4">
        <v>0.27007299270073004</v>
      </c>
    </row>
    <row r="1641" spans="1:14" x14ac:dyDescent="0.3">
      <c r="A1641" s="6">
        <v>45775</v>
      </c>
      <c r="B1641" s="1" t="s">
        <v>1825</v>
      </c>
      <c r="C1641" s="1" t="s">
        <v>27</v>
      </c>
      <c r="D1641" t="s">
        <v>31</v>
      </c>
      <c r="E1641" t="s">
        <v>214</v>
      </c>
      <c r="F1641" t="s">
        <v>21</v>
      </c>
      <c r="G1641" t="s">
        <v>20</v>
      </c>
      <c r="H1641" s="3">
        <v>1</v>
      </c>
      <c r="I1641" s="3">
        <v>792</v>
      </c>
      <c r="J1641" s="3">
        <v>792</v>
      </c>
      <c r="K1641" s="3">
        <v>600</v>
      </c>
      <c r="L1641" s="3">
        <v>600</v>
      </c>
      <c r="M1641" s="3">
        <v>192</v>
      </c>
      <c r="N1641" s="4">
        <v>0.24242424242424243</v>
      </c>
    </row>
    <row r="1642" spans="1:14" x14ac:dyDescent="0.3">
      <c r="A1642" s="6">
        <v>45775</v>
      </c>
      <c r="B1642" s="1" t="s">
        <v>1826</v>
      </c>
      <c r="C1642" s="1" t="s">
        <v>27</v>
      </c>
      <c r="D1642" t="s">
        <v>33</v>
      </c>
      <c r="E1642" t="s">
        <v>357</v>
      </c>
      <c r="F1642" t="s">
        <v>14</v>
      </c>
      <c r="G1642" t="s">
        <v>15</v>
      </c>
      <c r="H1642" s="3">
        <v>7</v>
      </c>
      <c r="I1642" s="3">
        <v>55350</v>
      </c>
      <c r="J1642" s="3">
        <v>387450</v>
      </c>
      <c r="K1642" s="3">
        <v>45000</v>
      </c>
      <c r="L1642" s="3">
        <v>315000</v>
      </c>
      <c r="M1642" s="3">
        <v>72450</v>
      </c>
      <c r="N1642" s="4">
        <v>0.18699186991869918</v>
      </c>
    </row>
    <row r="1643" spans="1:14" x14ac:dyDescent="0.3">
      <c r="A1643" s="6">
        <v>45775</v>
      </c>
      <c r="B1643" s="1" t="s">
        <v>1827</v>
      </c>
      <c r="C1643" s="1" t="s">
        <v>29</v>
      </c>
      <c r="D1643" t="s">
        <v>32</v>
      </c>
      <c r="E1643" t="s">
        <v>126</v>
      </c>
      <c r="F1643" t="s">
        <v>14</v>
      </c>
      <c r="G1643" t="s">
        <v>15</v>
      </c>
      <c r="H1643" s="3">
        <v>6</v>
      </c>
      <c r="I1643" s="3">
        <v>65250</v>
      </c>
      <c r="J1643" s="3">
        <v>391500</v>
      </c>
      <c r="K1643" s="3">
        <v>45000</v>
      </c>
      <c r="L1643" s="3">
        <v>270000</v>
      </c>
      <c r="M1643" s="3">
        <v>121500</v>
      </c>
      <c r="N1643" s="4">
        <v>0.31034482758620691</v>
      </c>
    </row>
    <row r="1644" spans="1:14" x14ac:dyDescent="0.3">
      <c r="A1644" s="6">
        <v>45775</v>
      </c>
      <c r="B1644" s="1" t="s">
        <v>1828</v>
      </c>
      <c r="C1644" s="1" t="s">
        <v>29</v>
      </c>
      <c r="D1644" t="s">
        <v>33</v>
      </c>
      <c r="E1644" t="s">
        <v>106</v>
      </c>
      <c r="F1644" t="s">
        <v>16</v>
      </c>
      <c r="G1644" t="s">
        <v>15</v>
      </c>
      <c r="H1644" s="3">
        <v>10</v>
      </c>
      <c r="I1644" s="3">
        <v>54720</v>
      </c>
      <c r="J1644" s="3">
        <v>547200</v>
      </c>
      <c r="K1644" s="3">
        <v>38000</v>
      </c>
      <c r="L1644" s="3">
        <v>380000</v>
      </c>
      <c r="M1644" s="3">
        <v>167200</v>
      </c>
      <c r="N1644" s="4">
        <v>0.30555555555555558</v>
      </c>
    </row>
    <row r="1645" spans="1:14" x14ac:dyDescent="0.3">
      <c r="A1645" s="6">
        <v>45775</v>
      </c>
      <c r="B1645" s="1" t="s">
        <v>1829</v>
      </c>
      <c r="C1645" s="1" t="s">
        <v>29</v>
      </c>
      <c r="D1645" t="s">
        <v>34</v>
      </c>
      <c r="E1645" t="s">
        <v>114</v>
      </c>
      <c r="F1645" t="s">
        <v>16</v>
      </c>
      <c r="G1645" t="s">
        <v>15</v>
      </c>
      <c r="H1645" s="3">
        <v>9</v>
      </c>
      <c r="I1645" s="3">
        <v>46360</v>
      </c>
      <c r="J1645" s="3">
        <v>417240</v>
      </c>
      <c r="K1645" s="3">
        <v>38000</v>
      </c>
      <c r="L1645" s="3">
        <v>342000</v>
      </c>
      <c r="M1645" s="3">
        <v>75240</v>
      </c>
      <c r="N1645" s="4">
        <v>0.18032786885245902</v>
      </c>
    </row>
    <row r="1646" spans="1:14" x14ac:dyDescent="0.3">
      <c r="A1646" s="6">
        <v>45775</v>
      </c>
      <c r="B1646" s="1" t="s">
        <v>1830</v>
      </c>
      <c r="C1646" s="1" t="s">
        <v>26</v>
      </c>
      <c r="D1646" t="s">
        <v>34</v>
      </c>
      <c r="E1646" t="s">
        <v>336</v>
      </c>
      <c r="F1646" t="s">
        <v>16</v>
      </c>
      <c r="G1646" t="s">
        <v>15</v>
      </c>
      <c r="H1646" s="3">
        <v>6</v>
      </c>
      <c r="I1646" s="3">
        <v>49780</v>
      </c>
      <c r="J1646" s="3">
        <v>298680</v>
      </c>
      <c r="K1646" s="3">
        <v>38000</v>
      </c>
      <c r="L1646" s="3">
        <v>228000</v>
      </c>
      <c r="M1646" s="3">
        <v>70680</v>
      </c>
      <c r="N1646" s="4">
        <v>0.23664122137404581</v>
      </c>
    </row>
    <row r="1647" spans="1:14" x14ac:dyDescent="0.3">
      <c r="A1647" s="6">
        <v>45775</v>
      </c>
      <c r="B1647" s="1" t="s">
        <v>1831</v>
      </c>
      <c r="C1647" s="1" t="s">
        <v>28</v>
      </c>
      <c r="D1647" t="s">
        <v>31</v>
      </c>
      <c r="E1647" t="s">
        <v>112</v>
      </c>
      <c r="F1647" t="s">
        <v>21</v>
      </c>
      <c r="G1647" t="s">
        <v>20</v>
      </c>
      <c r="H1647" s="3">
        <v>4</v>
      </c>
      <c r="I1647" s="3">
        <v>798</v>
      </c>
      <c r="J1647" s="3">
        <v>3192</v>
      </c>
      <c r="K1647" s="3">
        <v>600</v>
      </c>
      <c r="L1647" s="3">
        <v>2400</v>
      </c>
      <c r="M1647" s="3">
        <v>792</v>
      </c>
      <c r="N1647" s="4">
        <v>0.24812030075187969</v>
      </c>
    </row>
    <row r="1648" spans="1:14" x14ac:dyDescent="0.3">
      <c r="A1648" s="6">
        <v>45775</v>
      </c>
      <c r="B1648" s="1" t="s">
        <v>1832</v>
      </c>
      <c r="C1648" s="1" t="s">
        <v>27</v>
      </c>
      <c r="D1648" t="s">
        <v>34</v>
      </c>
      <c r="E1648" t="s">
        <v>359</v>
      </c>
      <c r="F1648" t="s">
        <v>21</v>
      </c>
      <c r="G1648" t="s">
        <v>20</v>
      </c>
      <c r="H1648" s="3">
        <v>6</v>
      </c>
      <c r="I1648" s="3">
        <v>858</v>
      </c>
      <c r="J1648" s="3">
        <v>5148</v>
      </c>
      <c r="K1648" s="3">
        <v>600</v>
      </c>
      <c r="L1648" s="3">
        <v>3600</v>
      </c>
      <c r="M1648" s="3">
        <v>1548</v>
      </c>
      <c r="N1648" s="4">
        <v>0.30069930069930068</v>
      </c>
    </row>
    <row r="1649" spans="1:14" x14ac:dyDescent="0.3">
      <c r="A1649" s="6">
        <v>45775</v>
      </c>
      <c r="B1649" s="1" t="s">
        <v>1833</v>
      </c>
      <c r="C1649" s="1" t="s">
        <v>29</v>
      </c>
      <c r="D1649" t="s">
        <v>30</v>
      </c>
      <c r="E1649" t="s">
        <v>108</v>
      </c>
      <c r="F1649" t="s">
        <v>16</v>
      </c>
      <c r="G1649" t="s">
        <v>15</v>
      </c>
      <c r="H1649" s="3">
        <v>7</v>
      </c>
      <c r="I1649" s="3">
        <v>47120</v>
      </c>
      <c r="J1649" s="3">
        <v>329840</v>
      </c>
      <c r="K1649" s="3">
        <v>38000</v>
      </c>
      <c r="L1649" s="3">
        <v>266000</v>
      </c>
      <c r="M1649" s="3">
        <v>63840</v>
      </c>
      <c r="N1649" s="4">
        <v>0.19354838709677419</v>
      </c>
    </row>
    <row r="1650" spans="1:14" x14ac:dyDescent="0.3">
      <c r="A1650" s="6">
        <v>45775</v>
      </c>
      <c r="B1650" s="1" t="s">
        <v>1834</v>
      </c>
      <c r="C1650" s="1" t="s">
        <v>28</v>
      </c>
      <c r="D1650" t="s">
        <v>33</v>
      </c>
      <c r="E1650" t="s">
        <v>166</v>
      </c>
      <c r="F1650" t="s">
        <v>16</v>
      </c>
      <c r="G1650" t="s">
        <v>15</v>
      </c>
      <c r="H1650" s="3">
        <v>6</v>
      </c>
      <c r="I1650" s="3">
        <v>48260</v>
      </c>
      <c r="J1650" s="3">
        <v>289560</v>
      </c>
      <c r="K1650" s="3">
        <v>38000</v>
      </c>
      <c r="L1650" s="3">
        <v>228000</v>
      </c>
      <c r="M1650" s="3">
        <v>61560</v>
      </c>
      <c r="N1650" s="4">
        <v>0.2125984251968504</v>
      </c>
    </row>
    <row r="1651" spans="1:14" x14ac:dyDescent="0.3">
      <c r="A1651" s="6">
        <v>45775</v>
      </c>
      <c r="B1651" s="1" t="s">
        <v>1835</v>
      </c>
      <c r="C1651" s="1" t="s">
        <v>27</v>
      </c>
      <c r="D1651" t="s">
        <v>30</v>
      </c>
      <c r="E1651" t="s">
        <v>67</v>
      </c>
      <c r="F1651" t="s">
        <v>14</v>
      </c>
      <c r="G1651" t="s">
        <v>15</v>
      </c>
      <c r="H1651" s="3">
        <v>3</v>
      </c>
      <c r="I1651" s="3">
        <v>56250</v>
      </c>
      <c r="J1651" s="3">
        <v>168750</v>
      </c>
      <c r="K1651" s="3">
        <v>45000</v>
      </c>
      <c r="L1651" s="3">
        <v>135000</v>
      </c>
      <c r="M1651" s="3">
        <v>33750</v>
      </c>
      <c r="N1651" s="4">
        <v>0.2</v>
      </c>
    </row>
    <row r="1652" spans="1:14" x14ac:dyDescent="0.3">
      <c r="A1652" s="6">
        <v>45776</v>
      </c>
      <c r="B1652" s="1" t="s">
        <v>1836</v>
      </c>
      <c r="C1652" s="1" t="s">
        <v>27</v>
      </c>
      <c r="D1652" t="s">
        <v>30</v>
      </c>
      <c r="E1652" t="s">
        <v>304</v>
      </c>
      <c r="F1652" t="s">
        <v>17</v>
      </c>
      <c r="G1652" t="s">
        <v>18</v>
      </c>
      <c r="H1652" s="3">
        <v>4</v>
      </c>
      <c r="I1652" s="3">
        <v>11050</v>
      </c>
      <c r="J1652" s="3">
        <v>44200</v>
      </c>
      <c r="K1652" s="3">
        <v>8500</v>
      </c>
      <c r="L1652" s="3">
        <v>34000</v>
      </c>
      <c r="M1652" s="3">
        <v>10200</v>
      </c>
      <c r="N1652" s="4">
        <v>0.23076923076923078</v>
      </c>
    </row>
    <row r="1653" spans="1:14" x14ac:dyDescent="0.3">
      <c r="A1653" s="6">
        <v>45776</v>
      </c>
      <c r="B1653" s="1" t="s">
        <v>1837</v>
      </c>
      <c r="C1653" s="1" t="s">
        <v>29</v>
      </c>
      <c r="D1653" t="s">
        <v>30</v>
      </c>
      <c r="E1653" t="s">
        <v>331</v>
      </c>
      <c r="F1653" t="s">
        <v>14</v>
      </c>
      <c r="G1653" t="s">
        <v>15</v>
      </c>
      <c r="H1653" s="3">
        <v>3</v>
      </c>
      <c r="I1653" s="3">
        <v>62099.999999999993</v>
      </c>
      <c r="J1653" s="3">
        <v>186299.99999999997</v>
      </c>
      <c r="K1653" s="3">
        <v>45000</v>
      </c>
      <c r="L1653" s="3">
        <v>135000</v>
      </c>
      <c r="M1653" s="3">
        <v>51299.999999999971</v>
      </c>
      <c r="N1653" s="4">
        <v>0.2753623188405796</v>
      </c>
    </row>
    <row r="1654" spans="1:14" x14ac:dyDescent="0.3">
      <c r="A1654" s="6">
        <v>45776</v>
      </c>
      <c r="B1654" s="1" t="s">
        <v>1838</v>
      </c>
      <c r="C1654" s="1" t="s">
        <v>29</v>
      </c>
      <c r="D1654" t="s">
        <v>30</v>
      </c>
      <c r="E1654" t="s">
        <v>228</v>
      </c>
      <c r="F1654" t="s">
        <v>16</v>
      </c>
      <c r="G1654" t="s">
        <v>15</v>
      </c>
      <c r="H1654" s="3">
        <v>4</v>
      </c>
      <c r="I1654" s="3">
        <v>48640</v>
      </c>
      <c r="J1654" s="3">
        <v>194560</v>
      </c>
      <c r="K1654" s="3">
        <v>38000</v>
      </c>
      <c r="L1654" s="3">
        <v>152000</v>
      </c>
      <c r="M1654" s="3">
        <v>42560</v>
      </c>
      <c r="N1654" s="4">
        <v>0.21875</v>
      </c>
    </row>
    <row r="1655" spans="1:14" x14ac:dyDescent="0.3">
      <c r="A1655" s="6">
        <v>45776</v>
      </c>
      <c r="B1655" s="1" t="s">
        <v>1839</v>
      </c>
      <c r="C1655" s="1" t="s">
        <v>27</v>
      </c>
      <c r="D1655" t="s">
        <v>35</v>
      </c>
      <c r="E1655" t="s">
        <v>327</v>
      </c>
      <c r="F1655" t="s">
        <v>24</v>
      </c>
      <c r="G1655" t="s">
        <v>25</v>
      </c>
      <c r="H1655" s="3">
        <v>4</v>
      </c>
      <c r="I1655" s="3">
        <v>3000</v>
      </c>
      <c r="J1655" s="3">
        <v>12000</v>
      </c>
      <c r="K1655" s="3">
        <v>2500</v>
      </c>
      <c r="L1655" s="3">
        <v>10000</v>
      </c>
      <c r="M1655" s="3">
        <v>2000</v>
      </c>
      <c r="N1655" s="4">
        <v>0.16666666666666666</v>
      </c>
    </row>
    <row r="1656" spans="1:14" x14ac:dyDescent="0.3">
      <c r="A1656" s="6">
        <v>45776</v>
      </c>
      <c r="B1656" s="1" t="s">
        <v>1840</v>
      </c>
      <c r="C1656" s="1" t="s">
        <v>26</v>
      </c>
      <c r="D1656" t="s">
        <v>31</v>
      </c>
      <c r="E1656" t="s">
        <v>120</v>
      </c>
      <c r="F1656" t="s">
        <v>17</v>
      </c>
      <c r="G1656" t="s">
        <v>18</v>
      </c>
      <c r="H1656" s="3">
        <v>8</v>
      </c>
      <c r="I1656" s="3">
        <v>11220</v>
      </c>
      <c r="J1656" s="3">
        <v>89760</v>
      </c>
      <c r="K1656" s="3">
        <v>8500</v>
      </c>
      <c r="L1656" s="3">
        <v>68000</v>
      </c>
      <c r="M1656" s="3">
        <v>21760</v>
      </c>
      <c r="N1656" s="4">
        <v>0.24242424242424243</v>
      </c>
    </row>
    <row r="1657" spans="1:14" x14ac:dyDescent="0.3">
      <c r="A1657" s="6">
        <v>45776</v>
      </c>
      <c r="B1657" s="1" t="s">
        <v>1841</v>
      </c>
      <c r="C1657" s="1" t="s">
        <v>29</v>
      </c>
      <c r="D1657" t="s">
        <v>32</v>
      </c>
      <c r="E1657" t="s">
        <v>81</v>
      </c>
      <c r="F1657" t="s">
        <v>22</v>
      </c>
      <c r="G1657" t="s">
        <v>18</v>
      </c>
      <c r="H1657" s="3">
        <v>1</v>
      </c>
      <c r="I1657" s="3">
        <v>10080</v>
      </c>
      <c r="J1657" s="3">
        <v>10080</v>
      </c>
      <c r="K1657" s="3">
        <v>7000</v>
      </c>
      <c r="L1657" s="3">
        <v>7000</v>
      </c>
      <c r="M1657" s="3">
        <v>3080</v>
      </c>
      <c r="N1657" s="4">
        <v>0.30555555555555558</v>
      </c>
    </row>
    <row r="1658" spans="1:14" x14ac:dyDescent="0.3">
      <c r="A1658" s="6">
        <v>45776</v>
      </c>
      <c r="B1658" s="1" t="s">
        <v>1842</v>
      </c>
      <c r="C1658" s="1" t="s">
        <v>26</v>
      </c>
      <c r="D1658" t="s">
        <v>34</v>
      </c>
      <c r="E1658" t="s">
        <v>304</v>
      </c>
      <c r="F1658" t="s">
        <v>24</v>
      </c>
      <c r="G1658" t="s">
        <v>25</v>
      </c>
      <c r="H1658" s="3">
        <v>3</v>
      </c>
      <c r="I1658" s="3">
        <v>3350</v>
      </c>
      <c r="J1658" s="3">
        <v>10050</v>
      </c>
      <c r="K1658" s="3">
        <v>2500</v>
      </c>
      <c r="L1658" s="3">
        <v>7500</v>
      </c>
      <c r="M1658" s="3">
        <v>2550</v>
      </c>
      <c r="N1658" s="4">
        <v>0.2537313432835821</v>
      </c>
    </row>
    <row r="1659" spans="1:14" x14ac:dyDescent="0.3">
      <c r="A1659" s="6">
        <v>45776</v>
      </c>
      <c r="B1659" s="1" t="s">
        <v>1843</v>
      </c>
      <c r="C1659" s="1" t="s">
        <v>27</v>
      </c>
      <c r="D1659" t="s">
        <v>30</v>
      </c>
      <c r="E1659" t="s">
        <v>108</v>
      </c>
      <c r="F1659" t="s">
        <v>14</v>
      </c>
      <c r="G1659" t="s">
        <v>15</v>
      </c>
      <c r="H1659" s="3">
        <v>9</v>
      </c>
      <c r="I1659" s="3">
        <v>61650.000000000007</v>
      </c>
      <c r="J1659" s="3">
        <v>554850.00000000012</v>
      </c>
      <c r="K1659" s="3">
        <v>45000</v>
      </c>
      <c r="L1659" s="3">
        <v>405000</v>
      </c>
      <c r="M1659" s="3">
        <v>149850.00000000012</v>
      </c>
      <c r="N1659" s="4">
        <v>0.2700729927007301</v>
      </c>
    </row>
    <row r="1660" spans="1:14" x14ac:dyDescent="0.3">
      <c r="A1660" s="6">
        <v>45776</v>
      </c>
      <c r="B1660" s="1" t="s">
        <v>1844</v>
      </c>
      <c r="C1660" s="1" t="s">
        <v>28</v>
      </c>
      <c r="D1660" t="s">
        <v>32</v>
      </c>
      <c r="E1660" t="s">
        <v>582</v>
      </c>
      <c r="F1660" t="s">
        <v>14</v>
      </c>
      <c r="G1660" t="s">
        <v>15</v>
      </c>
      <c r="H1660" s="3">
        <v>6</v>
      </c>
      <c r="I1660" s="3">
        <v>56700</v>
      </c>
      <c r="J1660" s="3">
        <v>340200</v>
      </c>
      <c r="K1660" s="3">
        <v>45000</v>
      </c>
      <c r="L1660" s="3">
        <v>270000</v>
      </c>
      <c r="M1660" s="3">
        <v>70200</v>
      </c>
      <c r="N1660" s="4">
        <v>0.20634920634920634</v>
      </c>
    </row>
    <row r="1661" spans="1:14" x14ac:dyDescent="0.3">
      <c r="A1661" s="6">
        <v>45776</v>
      </c>
      <c r="B1661" s="1" t="s">
        <v>1845</v>
      </c>
      <c r="C1661" s="1" t="s">
        <v>26</v>
      </c>
      <c r="D1661" t="s">
        <v>30</v>
      </c>
      <c r="E1661" t="s">
        <v>292</v>
      </c>
      <c r="F1661" t="s">
        <v>22</v>
      </c>
      <c r="G1661" t="s">
        <v>18</v>
      </c>
      <c r="H1661" s="3">
        <v>2</v>
      </c>
      <c r="I1661" s="3">
        <v>10080</v>
      </c>
      <c r="J1661" s="3">
        <v>20160</v>
      </c>
      <c r="K1661" s="3">
        <v>7000</v>
      </c>
      <c r="L1661" s="3">
        <v>14000</v>
      </c>
      <c r="M1661" s="3">
        <v>6160</v>
      </c>
      <c r="N1661" s="4">
        <v>0.30555555555555558</v>
      </c>
    </row>
    <row r="1662" spans="1:14" x14ac:dyDescent="0.3">
      <c r="A1662" s="6">
        <v>45776</v>
      </c>
      <c r="B1662" s="1" t="s">
        <v>1846</v>
      </c>
      <c r="C1662" s="1" t="s">
        <v>27</v>
      </c>
      <c r="D1662" t="s">
        <v>33</v>
      </c>
      <c r="E1662" t="s">
        <v>249</v>
      </c>
      <c r="F1662" t="s">
        <v>24</v>
      </c>
      <c r="G1662" t="s">
        <v>25</v>
      </c>
      <c r="H1662" s="3">
        <v>10</v>
      </c>
      <c r="I1662" s="3">
        <v>3300</v>
      </c>
      <c r="J1662" s="3">
        <v>33000</v>
      </c>
      <c r="K1662" s="3">
        <v>2500</v>
      </c>
      <c r="L1662" s="3">
        <v>25000</v>
      </c>
      <c r="M1662" s="3">
        <v>8000</v>
      </c>
      <c r="N1662" s="4">
        <v>0.24242424242424243</v>
      </c>
    </row>
    <row r="1663" spans="1:14" x14ac:dyDescent="0.3">
      <c r="A1663" s="6">
        <v>45776</v>
      </c>
      <c r="B1663" s="1" t="s">
        <v>1847</v>
      </c>
      <c r="C1663" s="1" t="s">
        <v>26</v>
      </c>
      <c r="D1663" t="s">
        <v>30</v>
      </c>
      <c r="E1663" t="s">
        <v>74</v>
      </c>
      <c r="F1663" t="s">
        <v>14</v>
      </c>
      <c r="G1663" t="s">
        <v>15</v>
      </c>
      <c r="H1663" s="3">
        <v>1</v>
      </c>
      <c r="I1663" s="3">
        <v>61199.999999999993</v>
      </c>
      <c r="J1663" s="3">
        <v>61199.999999999993</v>
      </c>
      <c r="K1663" s="3">
        <v>45000</v>
      </c>
      <c r="L1663" s="3">
        <v>45000</v>
      </c>
      <c r="M1663" s="3">
        <v>16199.999999999993</v>
      </c>
      <c r="N1663" s="4">
        <v>0.26470588235294107</v>
      </c>
    </row>
    <row r="1664" spans="1:14" x14ac:dyDescent="0.3">
      <c r="A1664" s="6">
        <v>45776</v>
      </c>
      <c r="B1664" s="1" t="s">
        <v>1848</v>
      </c>
      <c r="C1664" s="1" t="s">
        <v>27</v>
      </c>
      <c r="D1664" t="s">
        <v>33</v>
      </c>
      <c r="E1664" t="s">
        <v>228</v>
      </c>
      <c r="F1664" t="s">
        <v>21</v>
      </c>
      <c r="G1664" t="s">
        <v>20</v>
      </c>
      <c r="H1664" s="3">
        <v>3</v>
      </c>
      <c r="I1664" s="3">
        <v>774</v>
      </c>
      <c r="J1664" s="3">
        <v>2322</v>
      </c>
      <c r="K1664" s="3">
        <v>600</v>
      </c>
      <c r="L1664" s="3">
        <v>1800</v>
      </c>
      <c r="M1664" s="3">
        <v>522</v>
      </c>
      <c r="N1664" s="4">
        <v>0.22480620155038761</v>
      </c>
    </row>
    <row r="1665" spans="1:14" x14ac:dyDescent="0.3">
      <c r="A1665" s="6">
        <v>45776</v>
      </c>
      <c r="B1665" s="1" t="s">
        <v>1849</v>
      </c>
      <c r="C1665" s="1" t="s">
        <v>28</v>
      </c>
      <c r="D1665" t="s">
        <v>33</v>
      </c>
      <c r="E1665" t="s">
        <v>243</v>
      </c>
      <c r="F1665" t="s">
        <v>24</v>
      </c>
      <c r="G1665" t="s">
        <v>25</v>
      </c>
      <c r="H1665" s="3">
        <v>3</v>
      </c>
      <c r="I1665" s="3">
        <v>3550</v>
      </c>
      <c r="J1665" s="3">
        <v>10650</v>
      </c>
      <c r="K1665" s="3">
        <v>2500</v>
      </c>
      <c r="L1665" s="3">
        <v>7500</v>
      </c>
      <c r="M1665" s="3">
        <v>3150</v>
      </c>
      <c r="N1665" s="4">
        <v>0.29577464788732394</v>
      </c>
    </row>
    <row r="1666" spans="1:14" x14ac:dyDescent="0.3">
      <c r="A1666" s="6">
        <v>45777</v>
      </c>
      <c r="B1666" s="1" t="s">
        <v>1850</v>
      </c>
      <c r="C1666" s="1" t="s">
        <v>28</v>
      </c>
      <c r="D1666" t="s">
        <v>34</v>
      </c>
      <c r="E1666" t="s">
        <v>292</v>
      </c>
      <c r="F1666" t="s">
        <v>22</v>
      </c>
      <c r="G1666" t="s">
        <v>18</v>
      </c>
      <c r="H1666" s="3">
        <v>10</v>
      </c>
      <c r="I1666" s="3">
        <v>8470</v>
      </c>
      <c r="J1666" s="3">
        <v>84700</v>
      </c>
      <c r="K1666" s="3">
        <v>7000</v>
      </c>
      <c r="L1666" s="3">
        <v>70000</v>
      </c>
      <c r="M1666" s="3">
        <v>14700</v>
      </c>
      <c r="N1666" s="4">
        <v>0.17355371900826447</v>
      </c>
    </row>
    <row r="1667" spans="1:14" x14ac:dyDescent="0.3">
      <c r="A1667" s="6">
        <v>45777</v>
      </c>
      <c r="B1667" s="1" t="s">
        <v>1851</v>
      </c>
      <c r="C1667" s="1" t="s">
        <v>27</v>
      </c>
      <c r="D1667" t="s">
        <v>32</v>
      </c>
      <c r="E1667" t="s">
        <v>78</v>
      </c>
      <c r="F1667" t="s">
        <v>23</v>
      </c>
      <c r="G1667" t="s">
        <v>25</v>
      </c>
      <c r="H1667" s="3">
        <v>5</v>
      </c>
      <c r="I1667" s="3">
        <v>4448</v>
      </c>
      <c r="J1667" s="3">
        <v>22240</v>
      </c>
      <c r="K1667" s="3">
        <v>3200</v>
      </c>
      <c r="L1667" s="3">
        <v>16000</v>
      </c>
      <c r="M1667" s="3">
        <v>6240</v>
      </c>
      <c r="N1667" s="4">
        <v>0.2805755395683453</v>
      </c>
    </row>
    <row r="1668" spans="1:14" x14ac:dyDescent="0.3">
      <c r="A1668" s="6">
        <v>45777</v>
      </c>
      <c r="B1668" s="1" t="s">
        <v>1852</v>
      </c>
      <c r="C1668" s="1" t="s">
        <v>27</v>
      </c>
      <c r="D1668" t="s">
        <v>31</v>
      </c>
      <c r="E1668" t="s">
        <v>189</v>
      </c>
      <c r="F1668" t="s">
        <v>21</v>
      </c>
      <c r="G1668" t="s">
        <v>20</v>
      </c>
      <c r="H1668" s="3">
        <v>8</v>
      </c>
      <c r="I1668" s="3">
        <v>720</v>
      </c>
      <c r="J1668" s="3">
        <v>5760</v>
      </c>
      <c r="K1668" s="3">
        <v>600</v>
      </c>
      <c r="L1668" s="3">
        <v>4800</v>
      </c>
      <c r="M1668" s="3">
        <v>960</v>
      </c>
      <c r="N1668" s="4">
        <v>0.16666666666666666</v>
      </c>
    </row>
    <row r="1669" spans="1:14" x14ac:dyDescent="0.3">
      <c r="A1669" s="6">
        <v>45777</v>
      </c>
      <c r="B1669" s="1" t="s">
        <v>1853</v>
      </c>
      <c r="C1669" s="1" t="s">
        <v>27</v>
      </c>
      <c r="D1669" t="s">
        <v>31</v>
      </c>
      <c r="E1669" t="s">
        <v>751</v>
      </c>
      <c r="F1669" t="s">
        <v>24</v>
      </c>
      <c r="G1669" t="s">
        <v>25</v>
      </c>
      <c r="H1669" s="3">
        <v>7</v>
      </c>
      <c r="I1669" s="3">
        <v>3150</v>
      </c>
      <c r="J1669" s="3">
        <v>22050</v>
      </c>
      <c r="K1669" s="3">
        <v>2500</v>
      </c>
      <c r="L1669" s="3">
        <v>17500</v>
      </c>
      <c r="M1669" s="3">
        <v>4550</v>
      </c>
      <c r="N1669" s="4">
        <v>0.20634920634920634</v>
      </c>
    </row>
    <row r="1670" spans="1:14" x14ac:dyDescent="0.3">
      <c r="A1670" s="6">
        <v>45777</v>
      </c>
      <c r="B1670" s="1" t="s">
        <v>1854</v>
      </c>
      <c r="C1670" s="1" t="s">
        <v>27</v>
      </c>
      <c r="D1670" t="s">
        <v>32</v>
      </c>
      <c r="E1670" t="s">
        <v>59</v>
      </c>
      <c r="F1670" t="s">
        <v>17</v>
      </c>
      <c r="G1670" t="s">
        <v>18</v>
      </c>
      <c r="H1670" s="3">
        <v>9</v>
      </c>
      <c r="I1670" s="3">
        <v>10625</v>
      </c>
      <c r="J1670" s="3">
        <v>95625</v>
      </c>
      <c r="K1670" s="3">
        <v>8500</v>
      </c>
      <c r="L1670" s="3">
        <v>76500</v>
      </c>
      <c r="M1670" s="3">
        <v>19125</v>
      </c>
      <c r="N1670" s="4">
        <v>0.2</v>
      </c>
    </row>
    <row r="1671" spans="1:14" x14ac:dyDescent="0.3">
      <c r="A1671" s="6">
        <v>45777</v>
      </c>
      <c r="B1671" s="1" t="s">
        <v>1855</v>
      </c>
      <c r="C1671" s="1" t="s">
        <v>29</v>
      </c>
      <c r="D1671" t="s">
        <v>34</v>
      </c>
      <c r="E1671" t="s">
        <v>201</v>
      </c>
      <c r="F1671" t="s">
        <v>19</v>
      </c>
      <c r="G1671" t="s">
        <v>20</v>
      </c>
      <c r="H1671" s="3">
        <v>9</v>
      </c>
      <c r="I1671" s="3">
        <v>1125</v>
      </c>
      <c r="J1671" s="3">
        <v>10125</v>
      </c>
      <c r="K1671" s="3">
        <v>900</v>
      </c>
      <c r="L1671" s="3">
        <v>8100</v>
      </c>
      <c r="M1671" s="3">
        <v>2025</v>
      </c>
      <c r="N1671" s="4">
        <v>0.2</v>
      </c>
    </row>
    <row r="1672" spans="1:14" x14ac:dyDescent="0.3">
      <c r="A1672" s="6">
        <v>45777</v>
      </c>
      <c r="B1672" s="1" t="s">
        <v>1856</v>
      </c>
      <c r="C1672" s="1" t="s">
        <v>27</v>
      </c>
      <c r="D1672" t="s">
        <v>30</v>
      </c>
      <c r="E1672" t="s">
        <v>415</v>
      </c>
      <c r="F1672" t="s">
        <v>21</v>
      </c>
      <c r="G1672" t="s">
        <v>20</v>
      </c>
      <c r="H1672" s="3">
        <v>8</v>
      </c>
      <c r="I1672" s="3">
        <v>786</v>
      </c>
      <c r="J1672" s="3">
        <v>6288</v>
      </c>
      <c r="K1672" s="3">
        <v>600</v>
      </c>
      <c r="L1672" s="3">
        <v>4800</v>
      </c>
      <c r="M1672" s="3">
        <v>1488</v>
      </c>
      <c r="N1672" s="4">
        <v>0.23664122137404581</v>
      </c>
    </row>
    <row r="1673" spans="1:14" x14ac:dyDescent="0.3">
      <c r="A1673" s="6">
        <v>45777</v>
      </c>
      <c r="B1673" s="1" t="s">
        <v>1857</v>
      </c>
      <c r="C1673" s="1" t="s">
        <v>26</v>
      </c>
      <c r="D1673" t="s">
        <v>30</v>
      </c>
      <c r="E1673" t="s">
        <v>53</v>
      </c>
      <c r="F1673" t="s">
        <v>19</v>
      </c>
      <c r="G1673" t="s">
        <v>20</v>
      </c>
      <c r="H1673" s="3">
        <v>4</v>
      </c>
      <c r="I1673" s="3">
        <v>1134</v>
      </c>
      <c r="J1673" s="3">
        <v>4536</v>
      </c>
      <c r="K1673" s="3">
        <v>900</v>
      </c>
      <c r="L1673" s="3">
        <v>3600</v>
      </c>
      <c r="M1673" s="3">
        <v>936</v>
      </c>
      <c r="N1673" s="4">
        <v>0.20634920634920634</v>
      </c>
    </row>
    <row r="1674" spans="1:14" x14ac:dyDescent="0.3">
      <c r="A1674" s="6">
        <v>45777</v>
      </c>
      <c r="B1674" s="1" t="s">
        <v>1858</v>
      </c>
      <c r="C1674" s="1" t="s">
        <v>28</v>
      </c>
      <c r="D1674" t="s">
        <v>31</v>
      </c>
      <c r="E1674" t="s">
        <v>39</v>
      </c>
      <c r="F1674" t="s">
        <v>19</v>
      </c>
      <c r="G1674" t="s">
        <v>20</v>
      </c>
      <c r="H1674" s="3">
        <v>3</v>
      </c>
      <c r="I1674" s="3">
        <v>1269</v>
      </c>
      <c r="J1674" s="3">
        <v>3807</v>
      </c>
      <c r="K1674" s="3">
        <v>900</v>
      </c>
      <c r="L1674" s="3">
        <v>2700</v>
      </c>
      <c r="M1674" s="3">
        <v>1107</v>
      </c>
      <c r="N1674" s="4">
        <v>0.29078014184397161</v>
      </c>
    </row>
    <row r="1675" spans="1:14" x14ac:dyDescent="0.3">
      <c r="A1675" s="6">
        <v>45777</v>
      </c>
      <c r="B1675" s="1" t="s">
        <v>1859</v>
      </c>
      <c r="C1675" s="1" t="s">
        <v>26</v>
      </c>
      <c r="D1675" t="s">
        <v>35</v>
      </c>
      <c r="E1675" t="s">
        <v>81</v>
      </c>
      <c r="F1675" t="s">
        <v>23</v>
      </c>
      <c r="G1675" t="s">
        <v>25</v>
      </c>
      <c r="H1675" s="3">
        <v>1</v>
      </c>
      <c r="I1675" s="3">
        <v>4480</v>
      </c>
      <c r="J1675" s="3">
        <v>4480</v>
      </c>
      <c r="K1675" s="3">
        <v>3200</v>
      </c>
      <c r="L1675" s="3">
        <v>3200</v>
      </c>
      <c r="M1675" s="3">
        <v>1280</v>
      </c>
      <c r="N1675" s="4">
        <v>0.2857142857142857</v>
      </c>
    </row>
    <row r="1676" spans="1:14" x14ac:dyDescent="0.3">
      <c r="A1676" s="6">
        <v>45777</v>
      </c>
      <c r="B1676" s="1" t="s">
        <v>1860</v>
      </c>
      <c r="C1676" s="1" t="s">
        <v>29</v>
      </c>
      <c r="D1676" t="s">
        <v>34</v>
      </c>
      <c r="E1676" t="s">
        <v>166</v>
      </c>
      <c r="F1676" t="s">
        <v>19</v>
      </c>
      <c r="G1676" t="s">
        <v>20</v>
      </c>
      <c r="H1676" s="3">
        <v>3</v>
      </c>
      <c r="I1676" s="3">
        <v>1143</v>
      </c>
      <c r="J1676" s="3">
        <v>3429</v>
      </c>
      <c r="K1676" s="3">
        <v>900</v>
      </c>
      <c r="L1676" s="3">
        <v>2700</v>
      </c>
      <c r="M1676" s="3">
        <v>729</v>
      </c>
      <c r="N1676" s="4">
        <v>0.2125984251968504</v>
      </c>
    </row>
    <row r="1677" spans="1:14" x14ac:dyDescent="0.3">
      <c r="A1677" s="6">
        <v>45777</v>
      </c>
      <c r="B1677" s="1" t="s">
        <v>1861</v>
      </c>
      <c r="C1677" s="1" t="s">
        <v>29</v>
      </c>
      <c r="D1677" t="s">
        <v>30</v>
      </c>
      <c r="E1677" t="s">
        <v>88</v>
      </c>
      <c r="F1677" t="s">
        <v>23</v>
      </c>
      <c r="G1677" t="s">
        <v>25</v>
      </c>
      <c r="H1677" s="3">
        <v>1</v>
      </c>
      <c r="I1677" s="3">
        <v>4608</v>
      </c>
      <c r="J1677" s="3">
        <v>4608</v>
      </c>
      <c r="K1677" s="3">
        <v>3200</v>
      </c>
      <c r="L1677" s="3">
        <v>3200</v>
      </c>
      <c r="M1677" s="3">
        <v>1408</v>
      </c>
      <c r="N1677" s="4">
        <v>0.30555555555555558</v>
      </c>
    </row>
    <row r="1678" spans="1:14" x14ac:dyDescent="0.3">
      <c r="A1678" s="6">
        <v>45777</v>
      </c>
      <c r="B1678" s="1" t="s">
        <v>1862</v>
      </c>
      <c r="C1678" s="1" t="s">
        <v>29</v>
      </c>
      <c r="D1678" t="s">
        <v>35</v>
      </c>
      <c r="E1678" t="s">
        <v>239</v>
      </c>
      <c r="F1678" t="s">
        <v>21</v>
      </c>
      <c r="G1678" t="s">
        <v>20</v>
      </c>
      <c r="H1678" s="3">
        <v>8</v>
      </c>
      <c r="I1678" s="3">
        <v>726</v>
      </c>
      <c r="J1678" s="3">
        <v>5808</v>
      </c>
      <c r="K1678" s="3">
        <v>600</v>
      </c>
      <c r="L1678" s="3">
        <v>4800</v>
      </c>
      <c r="M1678" s="3">
        <v>1008</v>
      </c>
      <c r="N1678" s="4">
        <v>0.17355371900826447</v>
      </c>
    </row>
    <row r="1679" spans="1:14" x14ac:dyDescent="0.3">
      <c r="A1679" s="6">
        <v>45777</v>
      </c>
      <c r="B1679" s="1" t="s">
        <v>1863</v>
      </c>
      <c r="C1679" s="1" t="s">
        <v>27</v>
      </c>
      <c r="D1679" t="s">
        <v>31</v>
      </c>
      <c r="E1679" t="s">
        <v>548</v>
      </c>
      <c r="F1679" t="s">
        <v>24</v>
      </c>
      <c r="G1679" t="s">
        <v>25</v>
      </c>
      <c r="H1679" s="3">
        <v>4</v>
      </c>
      <c r="I1679" s="3">
        <v>3275</v>
      </c>
      <c r="J1679" s="3">
        <v>13100</v>
      </c>
      <c r="K1679" s="3">
        <v>2500</v>
      </c>
      <c r="L1679" s="3">
        <v>10000</v>
      </c>
      <c r="M1679" s="3">
        <v>3100</v>
      </c>
      <c r="N1679" s="4">
        <v>0.23664122137404581</v>
      </c>
    </row>
    <row r="1680" spans="1:14" x14ac:dyDescent="0.3">
      <c r="A1680" s="6">
        <v>45778</v>
      </c>
      <c r="B1680" s="1" t="s">
        <v>1864</v>
      </c>
      <c r="C1680" s="1" t="s">
        <v>28</v>
      </c>
      <c r="D1680" t="s">
        <v>33</v>
      </c>
      <c r="E1680" t="s">
        <v>548</v>
      </c>
      <c r="F1680" t="s">
        <v>14</v>
      </c>
      <c r="G1680" t="s">
        <v>15</v>
      </c>
      <c r="H1680" s="3">
        <v>4</v>
      </c>
      <c r="I1680" s="3">
        <v>58950</v>
      </c>
      <c r="J1680" s="3">
        <v>235800</v>
      </c>
      <c r="K1680" s="3">
        <v>45000</v>
      </c>
      <c r="L1680" s="3">
        <v>180000</v>
      </c>
      <c r="M1680" s="3">
        <v>55800</v>
      </c>
      <c r="N1680" s="4">
        <v>0.23664122137404581</v>
      </c>
    </row>
    <row r="1681" spans="1:14" x14ac:dyDescent="0.3">
      <c r="A1681" s="6">
        <v>45778</v>
      </c>
      <c r="B1681" s="1" t="s">
        <v>1865</v>
      </c>
      <c r="C1681" s="1" t="s">
        <v>28</v>
      </c>
      <c r="D1681" t="s">
        <v>32</v>
      </c>
      <c r="E1681" t="s">
        <v>129</v>
      </c>
      <c r="F1681" t="s">
        <v>14</v>
      </c>
      <c r="G1681" t="s">
        <v>15</v>
      </c>
      <c r="H1681" s="3">
        <v>9</v>
      </c>
      <c r="I1681" s="3">
        <v>54900</v>
      </c>
      <c r="J1681" s="3">
        <v>494100</v>
      </c>
      <c r="K1681" s="3">
        <v>45000</v>
      </c>
      <c r="L1681" s="3">
        <v>405000</v>
      </c>
      <c r="M1681" s="3">
        <v>89100</v>
      </c>
      <c r="N1681" s="4">
        <v>0.18032786885245902</v>
      </c>
    </row>
    <row r="1682" spans="1:14" x14ac:dyDescent="0.3">
      <c r="A1682" s="6">
        <v>45778</v>
      </c>
      <c r="B1682" s="1" t="s">
        <v>1866</v>
      </c>
      <c r="C1682" s="1" t="s">
        <v>27</v>
      </c>
      <c r="D1682" t="s">
        <v>35</v>
      </c>
      <c r="E1682" t="s">
        <v>361</v>
      </c>
      <c r="F1682" t="s">
        <v>22</v>
      </c>
      <c r="G1682" t="s">
        <v>18</v>
      </c>
      <c r="H1682" s="3">
        <v>6</v>
      </c>
      <c r="I1682" s="3">
        <v>9590</v>
      </c>
      <c r="J1682" s="3">
        <v>57540</v>
      </c>
      <c r="K1682" s="3">
        <v>7000</v>
      </c>
      <c r="L1682" s="3">
        <v>42000</v>
      </c>
      <c r="M1682" s="3">
        <v>15540</v>
      </c>
      <c r="N1682" s="4">
        <v>0.27007299270072993</v>
      </c>
    </row>
    <row r="1683" spans="1:14" x14ac:dyDescent="0.3">
      <c r="A1683" s="6">
        <v>45778</v>
      </c>
      <c r="B1683" s="1" t="s">
        <v>1867</v>
      </c>
      <c r="C1683" s="1" t="s">
        <v>27</v>
      </c>
      <c r="D1683" t="s">
        <v>31</v>
      </c>
      <c r="E1683" t="s">
        <v>369</v>
      </c>
      <c r="F1683" t="s">
        <v>21</v>
      </c>
      <c r="G1683" t="s">
        <v>20</v>
      </c>
      <c r="H1683" s="3">
        <v>8</v>
      </c>
      <c r="I1683" s="3">
        <v>720</v>
      </c>
      <c r="J1683" s="3">
        <v>5760</v>
      </c>
      <c r="K1683" s="3">
        <v>600</v>
      </c>
      <c r="L1683" s="3">
        <v>4800</v>
      </c>
      <c r="M1683" s="3">
        <v>960</v>
      </c>
      <c r="N1683" s="4">
        <v>0.16666666666666666</v>
      </c>
    </row>
    <row r="1684" spans="1:14" x14ac:dyDescent="0.3">
      <c r="A1684" s="6">
        <v>45778</v>
      </c>
      <c r="B1684" s="1" t="s">
        <v>1868</v>
      </c>
      <c r="C1684" s="1" t="s">
        <v>28</v>
      </c>
      <c r="D1684" t="s">
        <v>33</v>
      </c>
      <c r="E1684" t="s">
        <v>233</v>
      </c>
      <c r="F1684" t="s">
        <v>22</v>
      </c>
      <c r="G1684" t="s">
        <v>18</v>
      </c>
      <c r="H1684" s="3">
        <v>5</v>
      </c>
      <c r="I1684" s="3">
        <v>9310</v>
      </c>
      <c r="J1684" s="3">
        <v>46550</v>
      </c>
      <c r="K1684" s="3">
        <v>7000</v>
      </c>
      <c r="L1684" s="3">
        <v>35000</v>
      </c>
      <c r="M1684" s="3">
        <v>11550</v>
      </c>
      <c r="N1684" s="4">
        <v>0.24812030075187969</v>
      </c>
    </row>
    <row r="1685" spans="1:14" x14ac:dyDescent="0.3">
      <c r="A1685" s="6">
        <v>45778</v>
      </c>
      <c r="B1685" s="1" t="s">
        <v>1869</v>
      </c>
      <c r="C1685" s="1" t="s">
        <v>26</v>
      </c>
      <c r="D1685" t="s">
        <v>34</v>
      </c>
      <c r="E1685" t="s">
        <v>400</v>
      </c>
      <c r="F1685" t="s">
        <v>21</v>
      </c>
      <c r="G1685" t="s">
        <v>20</v>
      </c>
      <c r="H1685" s="3">
        <v>7</v>
      </c>
      <c r="I1685" s="3">
        <v>798</v>
      </c>
      <c r="J1685" s="3">
        <v>5586</v>
      </c>
      <c r="K1685" s="3">
        <v>600</v>
      </c>
      <c r="L1685" s="3">
        <v>4200</v>
      </c>
      <c r="M1685" s="3">
        <v>1386</v>
      </c>
      <c r="N1685" s="4">
        <v>0.24812030075187969</v>
      </c>
    </row>
    <row r="1686" spans="1:14" x14ac:dyDescent="0.3">
      <c r="A1686" s="6">
        <v>45778</v>
      </c>
      <c r="B1686" s="1" t="s">
        <v>1870</v>
      </c>
      <c r="C1686" s="1" t="s">
        <v>29</v>
      </c>
      <c r="D1686" t="s">
        <v>32</v>
      </c>
      <c r="E1686" t="s">
        <v>415</v>
      </c>
      <c r="F1686" t="s">
        <v>16</v>
      </c>
      <c r="G1686" t="s">
        <v>15</v>
      </c>
      <c r="H1686" s="3">
        <v>5</v>
      </c>
      <c r="I1686" s="3">
        <v>48260</v>
      </c>
      <c r="J1686" s="3">
        <v>241300</v>
      </c>
      <c r="K1686" s="3">
        <v>38000</v>
      </c>
      <c r="L1686" s="3">
        <v>190000</v>
      </c>
      <c r="M1686" s="3">
        <v>51300</v>
      </c>
      <c r="N1686" s="4">
        <v>0.2125984251968504</v>
      </c>
    </row>
    <row r="1687" spans="1:14" x14ac:dyDescent="0.3">
      <c r="A1687" s="6">
        <v>45778</v>
      </c>
      <c r="B1687" s="1" t="s">
        <v>1871</v>
      </c>
      <c r="C1687" s="1" t="s">
        <v>26</v>
      </c>
      <c r="D1687" t="s">
        <v>35</v>
      </c>
      <c r="E1687" t="s">
        <v>161</v>
      </c>
      <c r="F1687" t="s">
        <v>17</v>
      </c>
      <c r="G1687" t="s">
        <v>18</v>
      </c>
      <c r="H1687" s="3">
        <v>3</v>
      </c>
      <c r="I1687" s="3">
        <v>11390</v>
      </c>
      <c r="J1687" s="3">
        <v>34170</v>
      </c>
      <c r="K1687" s="3">
        <v>8500</v>
      </c>
      <c r="L1687" s="3">
        <v>25500</v>
      </c>
      <c r="M1687" s="3">
        <v>8670</v>
      </c>
      <c r="N1687" s="4">
        <v>0.2537313432835821</v>
      </c>
    </row>
    <row r="1688" spans="1:14" x14ac:dyDescent="0.3">
      <c r="A1688" s="6">
        <v>45778</v>
      </c>
      <c r="B1688" s="1" t="s">
        <v>1872</v>
      </c>
      <c r="C1688" s="1" t="s">
        <v>29</v>
      </c>
      <c r="D1688" t="s">
        <v>30</v>
      </c>
      <c r="E1688" t="s">
        <v>524</v>
      </c>
      <c r="F1688" t="s">
        <v>23</v>
      </c>
      <c r="G1688" t="s">
        <v>25</v>
      </c>
      <c r="H1688" s="3">
        <v>1</v>
      </c>
      <c r="I1688" s="3">
        <v>4096</v>
      </c>
      <c r="J1688" s="3">
        <v>4096</v>
      </c>
      <c r="K1688" s="3">
        <v>3200</v>
      </c>
      <c r="L1688" s="3">
        <v>3200</v>
      </c>
      <c r="M1688" s="3">
        <v>896</v>
      </c>
      <c r="N1688" s="4">
        <v>0.21875</v>
      </c>
    </row>
    <row r="1689" spans="1:14" x14ac:dyDescent="0.3">
      <c r="A1689" s="6">
        <v>45778</v>
      </c>
      <c r="B1689" s="1" t="s">
        <v>1873</v>
      </c>
      <c r="C1689" s="1" t="s">
        <v>29</v>
      </c>
      <c r="D1689" t="s">
        <v>33</v>
      </c>
      <c r="E1689" t="s">
        <v>92</v>
      </c>
      <c r="F1689" t="s">
        <v>17</v>
      </c>
      <c r="G1689" t="s">
        <v>18</v>
      </c>
      <c r="H1689" s="3">
        <v>5</v>
      </c>
      <c r="I1689" s="3">
        <v>10710</v>
      </c>
      <c r="J1689" s="3">
        <v>53550</v>
      </c>
      <c r="K1689" s="3">
        <v>8500</v>
      </c>
      <c r="L1689" s="3">
        <v>42500</v>
      </c>
      <c r="M1689" s="3">
        <v>11050</v>
      </c>
      <c r="N1689" s="4">
        <v>0.20634920634920634</v>
      </c>
    </row>
    <row r="1690" spans="1:14" x14ac:dyDescent="0.3">
      <c r="A1690" s="6">
        <v>45778</v>
      </c>
      <c r="B1690" s="1" t="s">
        <v>1874</v>
      </c>
      <c r="C1690" s="1" t="s">
        <v>26</v>
      </c>
      <c r="D1690" t="s">
        <v>31</v>
      </c>
      <c r="E1690" t="s">
        <v>236</v>
      </c>
      <c r="F1690" t="s">
        <v>23</v>
      </c>
      <c r="G1690" t="s">
        <v>25</v>
      </c>
      <c r="H1690" s="3">
        <v>4</v>
      </c>
      <c r="I1690" s="3">
        <v>4608</v>
      </c>
      <c r="J1690" s="3">
        <v>18432</v>
      </c>
      <c r="K1690" s="3">
        <v>3200</v>
      </c>
      <c r="L1690" s="3">
        <v>12800</v>
      </c>
      <c r="M1690" s="3">
        <v>5632</v>
      </c>
      <c r="N1690" s="4">
        <v>0.30555555555555558</v>
      </c>
    </row>
    <row r="1691" spans="1:14" x14ac:dyDescent="0.3">
      <c r="A1691" s="6">
        <v>45778</v>
      </c>
      <c r="B1691" s="1" t="s">
        <v>1875</v>
      </c>
      <c r="C1691" s="1" t="s">
        <v>26</v>
      </c>
      <c r="D1691" t="s">
        <v>34</v>
      </c>
      <c r="E1691" t="s">
        <v>321</v>
      </c>
      <c r="F1691" t="s">
        <v>16</v>
      </c>
      <c r="G1691" t="s">
        <v>15</v>
      </c>
      <c r="H1691" s="3">
        <v>7</v>
      </c>
      <c r="I1691" s="3">
        <v>48640</v>
      </c>
      <c r="J1691" s="3">
        <v>340480</v>
      </c>
      <c r="K1691" s="3">
        <v>38000</v>
      </c>
      <c r="L1691" s="3">
        <v>266000</v>
      </c>
      <c r="M1691" s="3">
        <v>74480</v>
      </c>
      <c r="N1691" s="4">
        <v>0.21875</v>
      </c>
    </row>
    <row r="1692" spans="1:14" x14ac:dyDescent="0.3">
      <c r="A1692" s="6">
        <v>45778</v>
      </c>
      <c r="B1692" s="1" t="s">
        <v>1876</v>
      </c>
      <c r="C1692" s="1" t="s">
        <v>28</v>
      </c>
      <c r="D1692" t="s">
        <v>34</v>
      </c>
      <c r="E1692" t="s">
        <v>548</v>
      </c>
      <c r="F1692" t="s">
        <v>14</v>
      </c>
      <c r="G1692" t="s">
        <v>15</v>
      </c>
      <c r="H1692" s="3">
        <v>9</v>
      </c>
      <c r="I1692" s="3">
        <v>62550.000000000007</v>
      </c>
      <c r="J1692" s="3">
        <v>562950.00000000012</v>
      </c>
      <c r="K1692" s="3">
        <v>45000</v>
      </c>
      <c r="L1692" s="3">
        <v>405000</v>
      </c>
      <c r="M1692" s="3">
        <v>157950.00000000012</v>
      </c>
      <c r="N1692" s="4">
        <v>0.28057553956834547</v>
      </c>
    </row>
    <row r="1693" spans="1:14" x14ac:dyDescent="0.3">
      <c r="A1693" s="6">
        <v>45778</v>
      </c>
      <c r="B1693" s="1" t="s">
        <v>1877</v>
      </c>
      <c r="C1693" s="1" t="s">
        <v>28</v>
      </c>
      <c r="D1693" t="s">
        <v>35</v>
      </c>
      <c r="E1693" t="s">
        <v>275</v>
      </c>
      <c r="F1693" t="s">
        <v>24</v>
      </c>
      <c r="G1693" t="s">
        <v>25</v>
      </c>
      <c r="H1693" s="3">
        <v>3</v>
      </c>
      <c r="I1693" s="3">
        <v>3275</v>
      </c>
      <c r="J1693" s="3">
        <v>9825</v>
      </c>
      <c r="K1693" s="3">
        <v>2500</v>
      </c>
      <c r="L1693" s="3">
        <v>7500</v>
      </c>
      <c r="M1693" s="3">
        <v>2325</v>
      </c>
      <c r="N1693" s="4">
        <v>0.23664122137404581</v>
      </c>
    </row>
    <row r="1694" spans="1:14" x14ac:dyDescent="0.3">
      <c r="A1694" s="6">
        <v>45779</v>
      </c>
      <c r="B1694" s="1" t="s">
        <v>1878</v>
      </c>
      <c r="C1694" s="1" t="s">
        <v>27</v>
      </c>
      <c r="D1694" t="s">
        <v>35</v>
      </c>
      <c r="E1694" t="s">
        <v>220</v>
      </c>
      <c r="F1694" t="s">
        <v>22</v>
      </c>
      <c r="G1694" t="s">
        <v>18</v>
      </c>
      <c r="H1694" s="3">
        <v>10</v>
      </c>
      <c r="I1694" s="3">
        <v>9100</v>
      </c>
      <c r="J1694" s="3">
        <v>91000</v>
      </c>
      <c r="K1694" s="3">
        <v>7000</v>
      </c>
      <c r="L1694" s="3">
        <v>70000</v>
      </c>
      <c r="M1694" s="3">
        <v>21000</v>
      </c>
      <c r="N1694" s="4">
        <v>0.23076923076923078</v>
      </c>
    </row>
    <row r="1695" spans="1:14" x14ac:dyDescent="0.3">
      <c r="A1695" s="6">
        <v>45779</v>
      </c>
      <c r="B1695" s="1" t="s">
        <v>1879</v>
      </c>
      <c r="C1695" s="1" t="s">
        <v>27</v>
      </c>
      <c r="D1695" t="s">
        <v>34</v>
      </c>
      <c r="E1695" t="s">
        <v>351</v>
      </c>
      <c r="F1695" t="s">
        <v>14</v>
      </c>
      <c r="G1695" t="s">
        <v>15</v>
      </c>
      <c r="H1695" s="3">
        <v>1</v>
      </c>
      <c r="I1695" s="3">
        <v>61650.000000000007</v>
      </c>
      <c r="J1695" s="3">
        <v>61650.000000000007</v>
      </c>
      <c r="K1695" s="3">
        <v>45000</v>
      </c>
      <c r="L1695" s="3">
        <v>45000</v>
      </c>
      <c r="M1695" s="3">
        <v>16650.000000000007</v>
      </c>
      <c r="N1695" s="4">
        <v>0.27007299270072999</v>
      </c>
    </row>
    <row r="1696" spans="1:14" x14ac:dyDescent="0.3">
      <c r="A1696" s="6">
        <v>45779</v>
      </c>
      <c r="B1696" s="1" t="s">
        <v>1880</v>
      </c>
      <c r="C1696" s="1" t="s">
        <v>28</v>
      </c>
      <c r="D1696" t="s">
        <v>31</v>
      </c>
      <c r="E1696" t="s">
        <v>548</v>
      </c>
      <c r="F1696" t="s">
        <v>21</v>
      </c>
      <c r="G1696" t="s">
        <v>20</v>
      </c>
      <c r="H1696" s="3">
        <v>1</v>
      </c>
      <c r="I1696" s="3">
        <v>792</v>
      </c>
      <c r="J1696" s="3">
        <v>792</v>
      </c>
      <c r="K1696" s="3">
        <v>600</v>
      </c>
      <c r="L1696" s="3">
        <v>600</v>
      </c>
      <c r="M1696" s="3">
        <v>192</v>
      </c>
      <c r="N1696" s="4">
        <v>0.24242424242424243</v>
      </c>
    </row>
    <row r="1697" spans="1:14" x14ac:dyDescent="0.3">
      <c r="A1697" s="6">
        <v>45779</v>
      </c>
      <c r="B1697" s="1" t="s">
        <v>1881</v>
      </c>
      <c r="C1697" s="1" t="s">
        <v>26</v>
      </c>
      <c r="D1697" t="s">
        <v>34</v>
      </c>
      <c r="E1697" t="s">
        <v>538</v>
      </c>
      <c r="F1697" t="s">
        <v>14</v>
      </c>
      <c r="G1697" t="s">
        <v>15</v>
      </c>
      <c r="H1697" s="3">
        <v>6</v>
      </c>
      <c r="I1697" s="3">
        <v>60300</v>
      </c>
      <c r="J1697" s="3">
        <v>361800</v>
      </c>
      <c r="K1697" s="3">
        <v>45000</v>
      </c>
      <c r="L1697" s="3">
        <v>270000</v>
      </c>
      <c r="M1697" s="3">
        <v>91800</v>
      </c>
      <c r="N1697" s="4">
        <v>0.2537313432835821</v>
      </c>
    </row>
    <row r="1698" spans="1:14" x14ac:dyDescent="0.3">
      <c r="A1698" s="6">
        <v>45779</v>
      </c>
      <c r="B1698" s="1" t="s">
        <v>1882</v>
      </c>
      <c r="C1698" s="1" t="s">
        <v>27</v>
      </c>
      <c r="D1698" t="s">
        <v>30</v>
      </c>
      <c r="E1698" t="s">
        <v>220</v>
      </c>
      <c r="F1698" t="s">
        <v>14</v>
      </c>
      <c r="G1698" t="s">
        <v>15</v>
      </c>
      <c r="H1698" s="3">
        <v>8</v>
      </c>
      <c r="I1698" s="3">
        <v>62550.000000000007</v>
      </c>
      <c r="J1698" s="3">
        <v>500400.00000000006</v>
      </c>
      <c r="K1698" s="3">
        <v>45000</v>
      </c>
      <c r="L1698" s="3">
        <v>360000</v>
      </c>
      <c r="M1698" s="3">
        <v>140400.00000000006</v>
      </c>
      <c r="N1698" s="4">
        <v>0.28057553956834541</v>
      </c>
    </row>
    <row r="1699" spans="1:14" x14ac:dyDescent="0.3">
      <c r="A1699" s="6">
        <v>45779</v>
      </c>
      <c r="B1699" s="1" t="s">
        <v>1883</v>
      </c>
      <c r="C1699" s="1" t="s">
        <v>28</v>
      </c>
      <c r="D1699" t="s">
        <v>30</v>
      </c>
      <c r="E1699" t="s">
        <v>283</v>
      </c>
      <c r="F1699" t="s">
        <v>23</v>
      </c>
      <c r="G1699" t="s">
        <v>25</v>
      </c>
      <c r="H1699" s="3">
        <v>1</v>
      </c>
      <c r="I1699" s="3">
        <v>4192</v>
      </c>
      <c r="J1699" s="3">
        <v>4192</v>
      </c>
      <c r="K1699" s="3">
        <v>3200</v>
      </c>
      <c r="L1699" s="3">
        <v>3200</v>
      </c>
      <c r="M1699" s="3">
        <v>992</v>
      </c>
      <c r="N1699" s="4">
        <v>0.23664122137404581</v>
      </c>
    </row>
    <row r="1700" spans="1:14" x14ac:dyDescent="0.3">
      <c r="A1700" s="6">
        <v>45779</v>
      </c>
      <c r="B1700" s="1" t="s">
        <v>1884</v>
      </c>
      <c r="C1700" s="1" t="s">
        <v>27</v>
      </c>
      <c r="D1700" t="s">
        <v>31</v>
      </c>
      <c r="E1700" t="s">
        <v>280</v>
      </c>
      <c r="F1700" t="s">
        <v>22</v>
      </c>
      <c r="G1700" t="s">
        <v>18</v>
      </c>
      <c r="H1700" s="3">
        <v>3</v>
      </c>
      <c r="I1700" s="3">
        <v>8820</v>
      </c>
      <c r="J1700" s="3">
        <v>26460</v>
      </c>
      <c r="K1700" s="3">
        <v>7000</v>
      </c>
      <c r="L1700" s="3">
        <v>21000</v>
      </c>
      <c r="M1700" s="3">
        <v>5460</v>
      </c>
      <c r="N1700" s="4">
        <v>0.20634920634920634</v>
      </c>
    </row>
    <row r="1701" spans="1:14" x14ac:dyDescent="0.3">
      <c r="A1701" s="6">
        <v>45779</v>
      </c>
      <c r="B1701" s="1" t="s">
        <v>1885</v>
      </c>
      <c r="C1701" s="1" t="s">
        <v>28</v>
      </c>
      <c r="D1701" t="s">
        <v>35</v>
      </c>
      <c r="E1701" t="s">
        <v>69</v>
      </c>
      <c r="F1701" t="s">
        <v>23</v>
      </c>
      <c r="G1701" t="s">
        <v>25</v>
      </c>
      <c r="H1701" s="3">
        <v>4</v>
      </c>
      <c r="I1701" s="3">
        <v>4160</v>
      </c>
      <c r="J1701" s="3">
        <v>16640</v>
      </c>
      <c r="K1701" s="3">
        <v>3200</v>
      </c>
      <c r="L1701" s="3">
        <v>12800</v>
      </c>
      <c r="M1701" s="3">
        <v>3840</v>
      </c>
      <c r="N1701" s="4">
        <v>0.23076923076923078</v>
      </c>
    </row>
    <row r="1702" spans="1:14" x14ac:dyDescent="0.3">
      <c r="A1702" s="6">
        <v>45779</v>
      </c>
      <c r="B1702" s="1" t="s">
        <v>1886</v>
      </c>
      <c r="C1702" s="1" t="s">
        <v>26</v>
      </c>
      <c r="D1702" t="s">
        <v>34</v>
      </c>
      <c r="E1702" t="s">
        <v>698</v>
      </c>
      <c r="F1702" t="s">
        <v>22</v>
      </c>
      <c r="G1702" t="s">
        <v>18</v>
      </c>
      <c r="H1702" s="3">
        <v>10</v>
      </c>
      <c r="I1702" s="3">
        <v>10080</v>
      </c>
      <c r="J1702" s="3">
        <v>100800</v>
      </c>
      <c r="K1702" s="3">
        <v>7000</v>
      </c>
      <c r="L1702" s="3">
        <v>70000</v>
      </c>
      <c r="M1702" s="3">
        <v>30800</v>
      </c>
      <c r="N1702" s="4">
        <v>0.30555555555555558</v>
      </c>
    </row>
    <row r="1703" spans="1:14" x14ac:dyDescent="0.3">
      <c r="A1703" s="6">
        <v>45779</v>
      </c>
      <c r="B1703" s="1" t="s">
        <v>1887</v>
      </c>
      <c r="C1703" s="1" t="s">
        <v>26</v>
      </c>
      <c r="D1703" t="s">
        <v>34</v>
      </c>
      <c r="E1703" t="s">
        <v>63</v>
      </c>
      <c r="F1703" t="s">
        <v>17</v>
      </c>
      <c r="G1703" t="s">
        <v>18</v>
      </c>
      <c r="H1703" s="3">
        <v>9</v>
      </c>
      <c r="I1703" s="3">
        <v>11050</v>
      </c>
      <c r="J1703" s="3">
        <v>99450</v>
      </c>
      <c r="K1703" s="3">
        <v>8500</v>
      </c>
      <c r="L1703" s="3">
        <v>76500</v>
      </c>
      <c r="M1703" s="3">
        <v>22950</v>
      </c>
      <c r="N1703" s="4">
        <v>0.23076923076923078</v>
      </c>
    </row>
    <row r="1704" spans="1:14" x14ac:dyDescent="0.3">
      <c r="A1704" s="6">
        <v>45779</v>
      </c>
      <c r="B1704" s="1" t="s">
        <v>1888</v>
      </c>
      <c r="C1704" s="1" t="s">
        <v>26</v>
      </c>
      <c r="D1704" t="s">
        <v>32</v>
      </c>
      <c r="E1704" t="s">
        <v>122</v>
      </c>
      <c r="F1704" t="s">
        <v>24</v>
      </c>
      <c r="G1704" t="s">
        <v>25</v>
      </c>
      <c r="H1704" s="3">
        <v>7</v>
      </c>
      <c r="I1704" s="3">
        <v>3525</v>
      </c>
      <c r="J1704" s="3">
        <v>24675</v>
      </c>
      <c r="K1704" s="3">
        <v>2500</v>
      </c>
      <c r="L1704" s="3">
        <v>17500</v>
      </c>
      <c r="M1704" s="3">
        <v>7175</v>
      </c>
      <c r="N1704" s="4">
        <v>0.29078014184397161</v>
      </c>
    </row>
    <row r="1705" spans="1:14" x14ac:dyDescent="0.3">
      <c r="A1705" s="6">
        <v>45779</v>
      </c>
      <c r="B1705" s="1" t="s">
        <v>1889</v>
      </c>
      <c r="C1705" s="1" t="s">
        <v>26</v>
      </c>
      <c r="D1705" t="s">
        <v>30</v>
      </c>
      <c r="E1705" t="s">
        <v>175</v>
      </c>
      <c r="F1705" t="s">
        <v>16</v>
      </c>
      <c r="G1705" t="s">
        <v>15</v>
      </c>
      <c r="H1705" s="3">
        <v>7</v>
      </c>
      <c r="I1705" s="3">
        <v>52820.000000000007</v>
      </c>
      <c r="J1705" s="3">
        <v>369740.00000000006</v>
      </c>
      <c r="K1705" s="3">
        <v>38000</v>
      </c>
      <c r="L1705" s="3">
        <v>266000</v>
      </c>
      <c r="M1705" s="3">
        <v>103740.00000000006</v>
      </c>
      <c r="N1705" s="4">
        <v>0.28057553956834541</v>
      </c>
    </row>
    <row r="1706" spans="1:14" x14ac:dyDescent="0.3">
      <c r="A1706" s="6">
        <v>45779</v>
      </c>
      <c r="B1706" s="1" t="s">
        <v>1890</v>
      </c>
      <c r="C1706" s="1" t="s">
        <v>28</v>
      </c>
      <c r="D1706" t="s">
        <v>33</v>
      </c>
      <c r="E1706" t="s">
        <v>214</v>
      </c>
      <c r="F1706" t="s">
        <v>22</v>
      </c>
      <c r="G1706" t="s">
        <v>18</v>
      </c>
      <c r="H1706" s="3">
        <v>8</v>
      </c>
      <c r="I1706" s="3">
        <v>9170</v>
      </c>
      <c r="J1706" s="3">
        <v>73360</v>
      </c>
      <c r="K1706" s="3">
        <v>7000</v>
      </c>
      <c r="L1706" s="3">
        <v>56000</v>
      </c>
      <c r="M1706" s="3">
        <v>17360</v>
      </c>
      <c r="N1706" s="4">
        <v>0.23664122137404581</v>
      </c>
    </row>
    <row r="1707" spans="1:14" x14ac:dyDescent="0.3">
      <c r="A1707" s="6">
        <v>45779</v>
      </c>
      <c r="B1707" s="1" t="s">
        <v>1891</v>
      </c>
      <c r="C1707" s="1" t="s">
        <v>26</v>
      </c>
      <c r="D1707" t="s">
        <v>34</v>
      </c>
      <c r="E1707" t="s">
        <v>201</v>
      </c>
      <c r="F1707" t="s">
        <v>14</v>
      </c>
      <c r="G1707" t="s">
        <v>15</v>
      </c>
      <c r="H1707" s="3">
        <v>4</v>
      </c>
      <c r="I1707" s="3">
        <v>57600</v>
      </c>
      <c r="J1707" s="3">
        <v>230400</v>
      </c>
      <c r="K1707" s="3">
        <v>45000</v>
      </c>
      <c r="L1707" s="3">
        <v>180000</v>
      </c>
      <c r="M1707" s="3">
        <v>50400</v>
      </c>
      <c r="N1707" s="4">
        <v>0.21875</v>
      </c>
    </row>
    <row r="1708" spans="1:14" x14ac:dyDescent="0.3">
      <c r="A1708" s="6">
        <v>45780</v>
      </c>
      <c r="B1708" s="1" t="s">
        <v>1892</v>
      </c>
      <c r="C1708" s="1" t="s">
        <v>28</v>
      </c>
      <c r="D1708" t="s">
        <v>35</v>
      </c>
      <c r="E1708" t="s">
        <v>88</v>
      </c>
      <c r="F1708" t="s">
        <v>17</v>
      </c>
      <c r="G1708" t="s">
        <v>18</v>
      </c>
      <c r="H1708" s="3">
        <v>2</v>
      </c>
      <c r="I1708" s="3">
        <v>10200</v>
      </c>
      <c r="J1708" s="3">
        <v>20400</v>
      </c>
      <c r="K1708" s="3">
        <v>8500</v>
      </c>
      <c r="L1708" s="3">
        <v>17000</v>
      </c>
      <c r="M1708" s="3">
        <v>3400</v>
      </c>
      <c r="N1708" s="4">
        <v>0.16666666666666666</v>
      </c>
    </row>
    <row r="1709" spans="1:14" x14ac:dyDescent="0.3">
      <c r="A1709" s="6">
        <v>45780</v>
      </c>
      <c r="B1709" s="1" t="s">
        <v>1893</v>
      </c>
      <c r="C1709" s="1" t="s">
        <v>27</v>
      </c>
      <c r="D1709" t="s">
        <v>33</v>
      </c>
      <c r="E1709" t="s">
        <v>55</v>
      </c>
      <c r="F1709" t="s">
        <v>17</v>
      </c>
      <c r="G1709" t="s">
        <v>18</v>
      </c>
      <c r="H1709" s="3">
        <v>3</v>
      </c>
      <c r="I1709" s="3">
        <v>11135</v>
      </c>
      <c r="J1709" s="3">
        <v>33405</v>
      </c>
      <c r="K1709" s="3">
        <v>8500</v>
      </c>
      <c r="L1709" s="3">
        <v>25500</v>
      </c>
      <c r="M1709" s="3">
        <v>7905</v>
      </c>
      <c r="N1709" s="4">
        <v>0.23664122137404581</v>
      </c>
    </row>
    <row r="1710" spans="1:14" x14ac:dyDescent="0.3">
      <c r="A1710" s="6">
        <v>45780</v>
      </c>
      <c r="B1710" s="1" t="s">
        <v>1894</v>
      </c>
      <c r="C1710" s="1" t="s">
        <v>26</v>
      </c>
      <c r="D1710" t="s">
        <v>33</v>
      </c>
      <c r="E1710" t="s">
        <v>57</v>
      </c>
      <c r="F1710" t="s">
        <v>17</v>
      </c>
      <c r="G1710" t="s">
        <v>18</v>
      </c>
      <c r="H1710" s="3">
        <v>3</v>
      </c>
      <c r="I1710" s="3">
        <v>11050</v>
      </c>
      <c r="J1710" s="3">
        <v>33150</v>
      </c>
      <c r="K1710" s="3">
        <v>8500</v>
      </c>
      <c r="L1710" s="3">
        <v>25500</v>
      </c>
      <c r="M1710" s="3">
        <v>7650</v>
      </c>
      <c r="N1710" s="4">
        <v>0.23076923076923078</v>
      </c>
    </row>
    <row r="1711" spans="1:14" x14ac:dyDescent="0.3">
      <c r="A1711" s="6">
        <v>45780</v>
      </c>
      <c r="B1711" s="1" t="s">
        <v>1895</v>
      </c>
      <c r="C1711" s="1" t="s">
        <v>29</v>
      </c>
      <c r="D1711" t="s">
        <v>31</v>
      </c>
      <c r="E1711" t="s">
        <v>51</v>
      </c>
      <c r="F1711" t="s">
        <v>19</v>
      </c>
      <c r="G1711" t="s">
        <v>20</v>
      </c>
      <c r="H1711" s="3">
        <v>4</v>
      </c>
      <c r="I1711" s="3">
        <v>1242</v>
      </c>
      <c r="J1711" s="3">
        <v>4968</v>
      </c>
      <c r="K1711" s="3">
        <v>900</v>
      </c>
      <c r="L1711" s="3">
        <v>3600</v>
      </c>
      <c r="M1711" s="3">
        <v>1368</v>
      </c>
      <c r="N1711" s="4">
        <v>0.27536231884057971</v>
      </c>
    </row>
    <row r="1712" spans="1:14" x14ac:dyDescent="0.3">
      <c r="A1712" s="6">
        <v>45780</v>
      </c>
      <c r="B1712" s="1" t="s">
        <v>1896</v>
      </c>
      <c r="C1712" s="1" t="s">
        <v>28</v>
      </c>
      <c r="D1712" t="s">
        <v>31</v>
      </c>
      <c r="E1712" t="s">
        <v>506</v>
      </c>
      <c r="F1712" t="s">
        <v>17</v>
      </c>
      <c r="G1712" t="s">
        <v>18</v>
      </c>
      <c r="H1712" s="3">
        <v>5</v>
      </c>
      <c r="I1712" s="3">
        <v>11559.999999999998</v>
      </c>
      <c r="J1712" s="3">
        <v>57799.999999999993</v>
      </c>
      <c r="K1712" s="3">
        <v>8500</v>
      </c>
      <c r="L1712" s="3">
        <v>42500</v>
      </c>
      <c r="M1712" s="3">
        <v>15299.999999999993</v>
      </c>
      <c r="N1712" s="4">
        <v>0.26470588235294107</v>
      </c>
    </row>
    <row r="1713" spans="1:14" x14ac:dyDescent="0.3">
      <c r="A1713" s="6">
        <v>45780</v>
      </c>
      <c r="B1713" s="1" t="s">
        <v>1897</v>
      </c>
      <c r="C1713" s="1" t="s">
        <v>29</v>
      </c>
      <c r="D1713" t="s">
        <v>35</v>
      </c>
      <c r="E1713" t="s">
        <v>94</v>
      </c>
      <c r="F1713" t="s">
        <v>14</v>
      </c>
      <c r="G1713" t="s">
        <v>15</v>
      </c>
      <c r="H1713" s="3">
        <v>3</v>
      </c>
      <c r="I1713" s="3">
        <v>54900</v>
      </c>
      <c r="J1713" s="3">
        <v>164700</v>
      </c>
      <c r="K1713" s="3">
        <v>45000</v>
      </c>
      <c r="L1713" s="3">
        <v>135000</v>
      </c>
      <c r="M1713" s="3">
        <v>29700</v>
      </c>
      <c r="N1713" s="4">
        <v>0.18032786885245902</v>
      </c>
    </row>
    <row r="1714" spans="1:14" x14ac:dyDescent="0.3">
      <c r="A1714" s="6">
        <v>45780</v>
      </c>
      <c r="B1714" s="1" t="s">
        <v>1898</v>
      </c>
      <c r="C1714" s="1" t="s">
        <v>29</v>
      </c>
      <c r="D1714" t="s">
        <v>31</v>
      </c>
      <c r="E1714" t="s">
        <v>61</v>
      </c>
      <c r="F1714" t="s">
        <v>16</v>
      </c>
      <c r="G1714" t="s">
        <v>15</v>
      </c>
      <c r="H1714" s="3">
        <v>2</v>
      </c>
      <c r="I1714" s="3">
        <v>52820.000000000007</v>
      </c>
      <c r="J1714" s="3">
        <v>105640.00000000001</v>
      </c>
      <c r="K1714" s="3">
        <v>38000</v>
      </c>
      <c r="L1714" s="3">
        <v>76000</v>
      </c>
      <c r="M1714" s="3">
        <v>29640.000000000015</v>
      </c>
      <c r="N1714" s="4">
        <v>0.28057553956834541</v>
      </c>
    </row>
    <row r="1715" spans="1:14" x14ac:dyDescent="0.3">
      <c r="A1715" s="6">
        <v>45780</v>
      </c>
      <c r="B1715" s="1" t="s">
        <v>1899</v>
      </c>
      <c r="C1715" s="1" t="s">
        <v>29</v>
      </c>
      <c r="D1715" t="s">
        <v>32</v>
      </c>
      <c r="E1715" t="s">
        <v>306</v>
      </c>
      <c r="F1715" t="s">
        <v>21</v>
      </c>
      <c r="G1715" t="s">
        <v>20</v>
      </c>
      <c r="H1715" s="3">
        <v>1</v>
      </c>
      <c r="I1715" s="3">
        <v>864</v>
      </c>
      <c r="J1715" s="3">
        <v>864</v>
      </c>
      <c r="K1715" s="3">
        <v>600</v>
      </c>
      <c r="L1715" s="3">
        <v>600</v>
      </c>
      <c r="M1715" s="3">
        <v>264</v>
      </c>
      <c r="N1715" s="4">
        <v>0.30555555555555558</v>
      </c>
    </row>
    <row r="1716" spans="1:14" x14ac:dyDescent="0.3">
      <c r="A1716" s="6">
        <v>45780</v>
      </c>
      <c r="B1716" s="1" t="s">
        <v>1900</v>
      </c>
      <c r="C1716" s="1" t="s">
        <v>28</v>
      </c>
      <c r="D1716" t="s">
        <v>33</v>
      </c>
      <c r="E1716" t="s">
        <v>442</v>
      </c>
      <c r="F1716" t="s">
        <v>14</v>
      </c>
      <c r="G1716" t="s">
        <v>15</v>
      </c>
      <c r="H1716" s="3">
        <v>1</v>
      </c>
      <c r="I1716" s="3">
        <v>58500</v>
      </c>
      <c r="J1716" s="3">
        <v>58500</v>
      </c>
      <c r="K1716" s="3">
        <v>45000</v>
      </c>
      <c r="L1716" s="3">
        <v>45000</v>
      </c>
      <c r="M1716" s="3">
        <v>13500</v>
      </c>
      <c r="N1716" s="4">
        <v>0.23076923076923078</v>
      </c>
    </row>
    <row r="1717" spans="1:14" x14ac:dyDescent="0.3">
      <c r="A1717" s="6">
        <v>45780</v>
      </c>
      <c r="B1717" s="1" t="s">
        <v>1901</v>
      </c>
      <c r="C1717" s="1" t="s">
        <v>26</v>
      </c>
      <c r="D1717" t="s">
        <v>33</v>
      </c>
      <c r="E1717" t="s">
        <v>159</v>
      </c>
      <c r="F1717" t="s">
        <v>21</v>
      </c>
      <c r="G1717" t="s">
        <v>20</v>
      </c>
      <c r="H1717" s="3">
        <v>10</v>
      </c>
      <c r="I1717" s="3">
        <v>744</v>
      </c>
      <c r="J1717" s="3">
        <v>7440</v>
      </c>
      <c r="K1717" s="3">
        <v>600</v>
      </c>
      <c r="L1717" s="3">
        <v>6000</v>
      </c>
      <c r="M1717" s="3">
        <v>1440</v>
      </c>
      <c r="N1717" s="4">
        <v>0.19354838709677419</v>
      </c>
    </row>
    <row r="1718" spans="1:14" x14ac:dyDescent="0.3">
      <c r="A1718" s="6">
        <v>45780</v>
      </c>
      <c r="B1718" s="1" t="s">
        <v>1902</v>
      </c>
      <c r="C1718" s="1" t="s">
        <v>26</v>
      </c>
      <c r="D1718" t="s">
        <v>33</v>
      </c>
      <c r="E1718" t="s">
        <v>342</v>
      </c>
      <c r="F1718" t="s">
        <v>16</v>
      </c>
      <c r="G1718" t="s">
        <v>15</v>
      </c>
      <c r="H1718" s="3">
        <v>7</v>
      </c>
      <c r="I1718" s="3">
        <v>52060.000000000007</v>
      </c>
      <c r="J1718" s="3">
        <v>364420.00000000006</v>
      </c>
      <c r="K1718" s="3">
        <v>38000</v>
      </c>
      <c r="L1718" s="3">
        <v>266000</v>
      </c>
      <c r="M1718" s="3">
        <v>98420.000000000058</v>
      </c>
      <c r="N1718" s="4">
        <v>0.27007299270073004</v>
      </c>
    </row>
    <row r="1719" spans="1:14" x14ac:dyDescent="0.3">
      <c r="A1719" s="6">
        <v>45780</v>
      </c>
      <c r="B1719" s="1" t="s">
        <v>1903</v>
      </c>
      <c r="C1719" s="1" t="s">
        <v>28</v>
      </c>
      <c r="D1719" t="s">
        <v>32</v>
      </c>
      <c r="E1719" t="s">
        <v>214</v>
      </c>
      <c r="F1719" t="s">
        <v>23</v>
      </c>
      <c r="G1719" t="s">
        <v>25</v>
      </c>
      <c r="H1719" s="3">
        <v>3</v>
      </c>
      <c r="I1719" s="3">
        <v>4160</v>
      </c>
      <c r="J1719" s="3">
        <v>12480</v>
      </c>
      <c r="K1719" s="3">
        <v>3200</v>
      </c>
      <c r="L1719" s="3">
        <v>9600</v>
      </c>
      <c r="M1719" s="3">
        <v>2880</v>
      </c>
      <c r="N1719" s="4">
        <v>0.23076923076923078</v>
      </c>
    </row>
    <row r="1720" spans="1:14" x14ac:dyDescent="0.3">
      <c r="A1720" s="6">
        <v>45780</v>
      </c>
      <c r="B1720" s="1" t="s">
        <v>1904</v>
      </c>
      <c r="C1720" s="1" t="s">
        <v>29</v>
      </c>
      <c r="D1720" t="s">
        <v>34</v>
      </c>
      <c r="E1720" t="s">
        <v>131</v>
      </c>
      <c r="F1720" t="s">
        <v>22</v>
      </c>
      <c r="G1720" t="s">
        <v>18</v>
      </c>
      <c r="H1720" s="3">
        <v>8</v>
      </c>
      <c r="I1720" s="3">
        <v>9380</v>
      </c>
      <c r="J1720" s="3">
        <v>75040</v>
      </c>
      <c r="K1720" s="3">
        <v>7000</v>
      </c>
      <c r="L1720" s="3">
        <v>56000</v>
      </c>
      <c r="M1720" s="3">
        <v>19040</v>
      </c>
      <c r="N1720" s="4">
        <v>0.2537313432835821</v>
      </c>
    </row>
    <row r="1721" spans="1:14" x14ac:dyDescent="0.3">
      <c r="A1721" s="6">
        <v>45780</v>
      </c>
      <c r="B1721" s="1" t="s">
        <v>1905</v>
      </c>
      <c r="C1721" s="1" t="s">
        <v>28</v>
      </c>
      <c r="D1721" t="s">
        <v>34</v>
      </c>
      <c r="E1721" t="s">
        <v>94</v>
      </c>
      <c r="F1721" t="s">
        <v>21</v>
      </c>
      <c r="G1721" t="s">
        <v>20</v>
      </c>
      <c r="H1721" s="3">
        <v>4</v>
      </c>
      <c r="I1721" s="3">
        <v>810</v>
      </c>
      <c r="J1721" s="3">
        <v>3240</v>
      </c>
      <c r="K1721" s="3">
        <v>600</v>
      </c>
      <c r="L1721" s="3">
        <v>2400</v>
      </c>
      <c r="M1721" s="3">
        <v>840</v>
      </c>
      <c r="N1721" s="4">
        <v>0.25925925925925924</v>
      </c>
    </row>
    <row r="1722" spans="1:14" x14ac:dyDescent="0.3">
      <c r="A1722" s="6">
        <v>45781</v>
      </c>
      <c r="B1722" s="1" t="s">
        <v>1906</v>
      </c>
      <c r="C1722" s="1" t="s">
        <v>29</v>
      </c>
      <c r="D1722" t="s">
        <v>32</v>
      </c>
      <c r="E1722" t="s">
        <v>317</v>
      </c>
      <c r="F1722" t="s">
        <v>17</v>
      </c>
      <c r="G1722" t="s">
        <v>18</v>
      </c>
      <c r="H1722" s="3">
        <v>5</v>
      </c>
      <c r="I1722" s="3">
        <v>12325</v>
      </c>
      <c r="J1722" s="3">
        <v>61625</v>
      </c>
      <c r="K1722" s="3">
        <v>8500</v>
      </c>
      <c r="L1722" s="3">
        <v>42500</v>
      </c>
      <c r="M1722" s="3">
        <v>19125</v>
      </c>
      <c r="N1722" s="4">
        <v>0.31034482758620691</v>
      </c>
    </row>
    <row r="1723" spans="1:14" x14ac:dyDescent="0.3">
      <c r="A1723" s="6">
        <v>45781</v>
      </c>
      <c r="B1723" s="1" t="s">
        <v>1907</v>
      </c>
      <c r="C1723" s="1" t="s">
        <v>27</v>
      </c>
      <c r="D1723" t="s">
        <v>32</v>
      </c>
      <c r="E1723" t="s">
        <v>41</v>
      </c>
      <c r="F1723" t="s">
        <v>16</v>
      </c>
      <c r="G1723" t="s">
        <v>15</v>
      </c>
      <c r="H1723" s="3">
        <v>5</v>
      </c>
      <c r="I1723" s="3">
        <v>48260</v>
      </c>
      <c r="J1723" s="3">
        <v>241300</v>
      </c>
      <c r="K1723" s="3">
        <v>38000</v>
      </c>
      <c r="L1723" s="3">
        <v>190000</v>
      </c>
      <c r="M1723" s="3">
        <v>51300</v>
      </c>
      <c r="N1723" s="4">
        <v>0.2125984251968504</v>
      </c>
    </row>
    <row r="1724" spans="1:14" x14ac:dyDescent="0.3">
      <c r="A1724" s="6">
        <v>45781</v>
      </c>
      <c r="B1724" s="1" t="s">
        <v>1908</v>
      </c>
      <c r="C1724" s="1" t="s">
        <v>26</v>
      </c>
      <c r="D1724" t="s">
        <v>35</v>
      </c>
      <c r="E1724" t="s">
        <v>226</v>
      </c>
      <c r="F1724" t="s">
        <v>14</v>
      </c>
      <c r="G1724" t="s">
        <v>15</v>
      </c>
      <c r="H1724" s="3">
        <v>7</v>
      </c>
      <c r="I1724" s="3">
        <v>62999.999999999993</v>
      </c>
      <c r="J1724" s="3">
        <v>440999.99999999994</v>
      </c>
      <c r="K1724" s="3">
        <v>45000</v>
      </c>
      <c r="L1724" s="3">
        <v>315000</v>
      </c>
      <c r="M1724" s="3">
        <v>125999.99999999994</v>
      </c>
      <c r="N1724" s="4">
        <v>0.28571428571428564</v>
      </c>
    </row>
    <row r="1725" spans="1:14" x14ac:dyDescent="0.3">
      <c r="A1725" s="6">
        <v>45781</v>
      </c>
      <c r="B1725" s="1" t="s">
        <v>1909</v>
      </c>
      <c r="C1725" s="1" t="s">
        <v>27</v>
      </c>
      <c r="D1725" t="s">
        <v>34</v>
      </c>
      <c r="E1725" t="s">
        <v>39</v>
      </c>
      <c r="F1725" t="s">
        <v>23</v>
      </c>
      <c r="G1725" t="s">
        <v>25</v>
      </c>
      <c r="H1725" s="3">
        <v>9</v>
      </c>
      <c r="I1725" s="3">
        <v>4000</v>
      </c>
      <c r="J1725" s="3">
        <v>36000</v>
      </c>
      <c r="K1725" s="3">
        <v>3200</v>
      </c>
      <c r="L1725" s="3">
        <v>28800</v>
      </c>
      <c r="M1725" s="3">
        <v>7200</v>
      </c>
      <c r="N1725" s="4">
        <v>0.2</v>
      </c>
    </row>
    <row r="1726" spans="1:14" x14ac:dyDescent="0.3">
      <c r="A1726" s="6">
        <v>45781</v>
      </c>
      <c r="B1726" s="1" t="s">
        <v>1910</v>
      </c>
      <c r="C1726" s="1" t="s">
        <v>28</v>
      </c>
      <c r="D1726" t="s">
        <v>30</v>
      </c>
      <c r="E1726" t="s">
        <v>226</v>
      </c>
      <c r="F1726" t="s">
        <v>14</v>
      </c>
      <c r="G1726" t="s">
        <v>15</v>
      </c>
      <c r="H1726" s="3">
        <v>1</v>
      </c>
      <c r="I1726" s="3">
        <v>62999.999999999993</v>
      </c>
      <c r="J1726" s="3">
        <v>62999.999999999993</v>
      </c>
      <c r="K1726" s="3">
        <v>45000</v>
      </c>
      <c r="L1726" s="3">
        <v>45000</v>
      </c>
      <c r="M1726" s="3">
        <v>17999.999999999993</v>
      </c>
      <c r="N1726" s="4">
        <v>0.28571428571428564</v>
      </c>
    </row>
    <row r="1727" spans="1:14" x14ac:dyDescent="0.3">
      <c r="A1727" s="6">
        <v>45781</v>
      </c>
      <c r="B1727" s="1" t="s">
        <v>1911</v>
      </c>
      <c r="C1727" s="1" t="s">
        <v>29</v>
      </c>
      <c r="D1727" t="s">
        <v>33</v>
      </c>
      <c r="E1727" t="s">
        <v>321</v>
      </c>
      <c r="F1727" t="s">
        <v>21</v>
      </c>
      <c r="G1727" t="s">
        <v>20</v>
      </c>
      <c r="H1727" s="3">
        <v>2</v>
      </c>
      <c r="I1727" s="3">
        <v>720</v>
      </c>
      <c r="J1727" s="3">
        <v>1440</v>
      </c>
      <c r="K1727" s="3">
        <v>600</v>
      </c>
      <c r="L1727" s="3">
        <v>1200</v>
      </c>
      <c r="M1727" s="3">
        <v>240</v>
      </c>
      <c r="N1727" s="4">
        <v>0.16666666666666666</v>
      </c>
    </row>
    <row r="1728" spans="1:14" x14ac:dyDescent="0.3">
      <c r="A1728" s="6">
        <v>45781</v>
      </c>
      <c r="B1728" s="1" t="s">
        <v>1912</v>
      </c>
      <c r="C1728" s="1" t="s">
        <v>26</v>
      </c>
      <c r="D1728" t="s">
        <v>32</v>
      </c>
      <c r="E1728" t="s">
        <v>72</v>
      </c>
      <c r="F1728" t="s">
        <v>21</v>
      </c>
      <c r="G1728" t="s">
        <v>20</v>
      </c>
      <c r="H1728" s="3">
        <v>5</v>
      </c>
      <c r="I1728" s="3">
        <v>858</v>
      </c>
      <c r="J1728" s="3">
        <v>4290</v>
      </c>
      <c r="K1728" s="3">
        <v>600</v>
      </c>
      <c r="L1728" s="3">
        <v>3000</v>
      </c>
      <c r="M1728" s="3">
        <v>1290</v>
      </c>
      <c r="N1728" s="4">
        <v>0.30069930069930068</v>
      </c>
    </row>
    <row r="1729" spans="1:14" x14ac:dyDescent="0.3">
      <c r="A1729" s="6">
        <v>45781</v>
      </c>
      <c r="B1729" s="1" t="s">
        <v>1913</v>
      </c>
      <c r="C1729" s="1" t="s">
        <v>29</v>
      </c>
      <c r="D1729" t="s">
        <v>30</v>
      </c>
      <c r="E1729" t="s">
        <v>166</v>
      </c>
      <c r="F1729" t="s">
        <v>14</v>
      </c>
      <c r="G1729" t="s">
        <v>15</v>
      </c>
      <c r="H1729" s="3">
        <v>6</v>
      </c>
      <c r="I1729" s="3">
        <v>59400</v>
      </c>
      <c r="J1729" s="3">
        <v>356400</v>
      </c>
      <c r="K1729" s="3">
        <v>45000</v>
      </c>
      <c r="L1729" s="3">
        <v>270000</v>
      </c>
      <c r="M1729" s="3">
        <v>86400</v>
      </c>
      <c r="N1729" s="4">
        <v>0.24242424242424243</v>
      </c>
    </row>
    <row r="1730" spans="1:14" x14ac:dyDescent="0.3">
      <c r="A1730" s="6">
        <v>45781</v>
      </c>
      <c r="B1730" s="1" t="s">
        <v>1914</v>
      </c>
      <c r="C1730" s="1" t="s">
        <v>29</v>
      </c>
      <c r="D1730" t="s">
        <v>31</v>
      </c>
      <c r="E1730" t="s">
        <v>381</v>
      </c>
      <c r="F1730" t="s">
        <v>22</v>
      </c>
      <c r="G1730" t="s">
        <v>18</v>
      </c>
      <c r="H1730" s="3">
        <v>1</v>
      </c>
      <c r="I1730" s="3">
        <v>9240</v>
      </c>
      <c r="J1730" s="3">
        <v>9240</v>
      </c>
      <c r="K1730" s="3">
        <v>7000</v>
      </c>
      <c r="L1730" s="3">
        <v>7000</v>
      </c>
      <c r="M1730" s="3">
        <v>2240</v>
      </c>
      <c r="N1730" s="4">
        <v>0.24242424242424243</v>
      </c>
    </row>
    <row r="1731" spans="1:14" x14ac:dyDescent="0.3">
      <c r="A1731" s="6">
        <v>45781</v>
      </c>
      <c r="B1731" s="1" t="s">
        <v>1915</v>
      </c>
      <c r="C1731" s="1" t="s">
        <v>26</v>
      </c>
      <c r="D1731" t="s">
        <v>35</v>
      </c>
      <c r="E1731" t="s">
        <v>317</v>
      </c>
      <c r="F1731" t="s">
        <v>17</v>
      </c>
      <c r="G1731" t="s">
        <v>18</v>
      </c>
      <c r="H1731" s="3">
        <v>6</v>
      </c>
      <c r="I1731" s="3">
        <v>10795</v>
      </c>
      <c r="J1731" s="3">
        <v>64770</v>
      </c>
      <c r="K1731" s="3">
        <v>8500</v>
      </c>
      <c r="L1731" s="3">
        <v>51000</v>
      </c>
      <c r="M1731" s="3">
        <v>13770</v>
      </c>
      <c r="N1731" s="4">
        <v>0.2125984251968504</v>
      </c>
    </row>
    <row r="1732" spans="1:14" x14ac:dyDescent="0.3">
      <c r="A1732" s="6">
        <v>45781</v>
      </c>
      <c r="B1732" s="1" t="s">
        <v>1916</v>
      </c>
      <c r="C1732" s="1" t="s">
        <v>27</v>
      </c>
      <c r="D1732" t="s">
        <v>31</v>
      </c>
      <c r="E1732" t="s">
        <v>357</v>
      </c>
      <c r="F1732" t="s">
        <v>16</v>
      </c>
      <c r="G1732" t="s">
        <v>15</v>
      </c>
      <c r="H1732" s="3">
        <v>2</v>
      </c>
      <c r="I1732" s="3">
        <v>53200</v>
      </c>
      <c r="J1732" s="3">
        <v>106400</v>
      </c>
      <c r="K1732" s="3">
        <v>38000</v>
      </c>
      <c r="L1732" s="3">
        <v>76000</v>
      </c>
      <c r="M1732" s="3">
        <v>30400</v>
      </c>
      <c r="N1732" s="4">
        <v>0.2857142857142857</v>
      </c>
    </row>
    <row r="1733" spans="1:14" x14ac:dyDescent="0.3">
      <c r="A1733" s="6">
        <v>45781</v>
      </c>
      <c r="B1733" s="1" t="s">
        <v>1917</v>
      </c>
      <c r="C1733" s="1" t="s">
        <v>28</v>
      </c>
      <c r="D1733" t="s">
        <v>34</v>
      </c>
      <c r="E1733" t="s">
        <v>521</v>
      </c>
      <c r="F1733" t="s">
        <v>14</v>
      </c>
      <c r="G1733" t="s">
        <v>15</v>
      </c>
      <c r="H1733" s="3">
        <v>7</v>
      </c>
      <c r="I1733" s="3">
        <v>54000</v>
      </c>
      <c r="J1733" s="3">
        <v>378000</v>
      </c>
      <c r="K1733" s="3">
        <v>45000</v>
      </c>
      <c r="L1733" s="3">
        <v>315000</v>
      </c>
      <c r="M1733" s="3">
        <v>63000</v>
      </c>
      <c r="N1733" s="4">
        <v>0.16666666666666666</v>
      </c>
    </row>
    <row r="1734" spans="1:14" x14ac:dyDescent="0.3">
      <c r="A1734" s="6">
        <v>45781</v>
      </c>
      <c r="B1734" s="1" t="s">
        <v>1918</v>
      </c>
      <c r="C1734" s="1" t="s">
        <v>26</v>
      </c>
      <c r="D1734" t="s">
        <v>31</v>
      </c>
      <c r="E1734" t="s">
        <v>63</v>
      </c>
      <c r="F1734" t="s">
        <v>17</v>
      </c>
      <c r="G1734" t="s">
        <v>18</v>
      </c>
      <c r="H1734" s="3">
        <v>3</v>
      </c>
      <c r="I1734" s="3">
        <v>10455</v>
      </c>
      <c r="J1734" s="3">
        <v>31365</v>
      </c>
      <c r="K1734" s="3">
        <v>8500</v>
      </c>
      <c r="L1734" s="3">
        <v>25500</v>
      </c>
      <c r="M1734" s="3">
        <v>5865</v>
      </c>
      <c r="N1734" s="4">
        <v>0.18699186991869918</v>
      </c>
    </row>
    <row r="1735" spans="1:14" x14ac:dyDescent="0.3">
      <c r="A1735" s="6">
        <v>45781</v>
      </c>
      <c r="B1735" s="1" t="s">
        <v>1919</v>
      </c>
      <c r="C1735" s="1" t="s">
        <v>28</v>
      </c>
      <c r="D1735" t="s">
        <v>33</v>
      </c>
      <c r="E1735" t="s">
        <v>81</v>
      </c>
      <c r="F1735" t="s">
        <v>16</v>
      </c>
      <c r="G1735" t="s">
        <v>15</v>
      </c>
      <c r="H1735" s="3">
        <v>2</v>
      </c>
      <c r="I1735" s="3">
        <v>47120</v>
      </c>
      <c r="J1735" s="3">
        <v>94240</v>
      </c>
      <c r="K1735" s="3">
        <v>38000</v>
      </c>
      <c r="L1735" s="3">
        <v>76000</v>
      </c>
      <c r="M1735" s="3">
        <v>18240</v>
      </c>
      <c r="N1735" s="4">
        <v>0.19354838709677419</v>
      </c>
    </row>
    <row r="1736" spans="1:14" x14ac:dyDescent="0.3">
      <c r="A1736" s="6">
        <v>45782</v>
      </c>
      <c r="B1736" s="1" t="s">
        <v>1920</v>
      </c>
      <c r="C1736" s="1" t="s">
        <v>26</v>
      </c>
      <c r="D1736" t="s">
        <v>34</v>
      </c>
      <c r="E1736" t="s">
        <v>331</v>
      </c>
      <c r="F1736" t="s">
        <v>24</v>
      </c>
      <c r="G1736" t="s">
        <v>25</v>
      </c>
      <c r="H1736" s="3">
        <v>8</v>
      </c>
      <c r="I1736" s="3">
        <v>3200</v>
      </c>
      <c r="J1736" s="3">
        <v>25600</v>
      </c>
      <c r="K1736" s="3">
        <v>2500</v>
      </c>
      <c r="L1736" s="3">
        <v>20000</v>
      </c>
      <c r="M1736" s="3">
        <v>5600</v>
      </c>
      <c r="N1736" s="4">
        <v>0.21875</v>
      </c>
    </row>
    <row r="1737" spans="1:14" x14ac:dyDescent="0.3">
      <c r="A1737" s="6">
        <v>45782</v>
      </c>
      <c r="B1737" s="1" t="s">
        <v>1921</v>
      </c>
      <c r="C1737" s="1" t="s">
        <v>28</v>
      </c>
      <c r="D1737" t="s">
        <v>30</v>
      </c>
      <c r="E1737" t="s">
        <v>409</v>
      </c>
      <c r="F1737" t="s">
        <v>19</v>
      </c>
      <c r="G1737" t="s">
        <v>20</v>
      </c>
      <c r="H1737" s="3">
        <v>1</v>
      </c>
      <c r="I1737" s="3">
        <v>1116</v>
      </c>
      <c r="J1737" s="3">
        <v>1116</v>
      </c>
      <c r="K1737" s="3">
        <v>900</v>
      </c>
      <c r="L1737" s="3">
        <v>900</v>
      </c>
      <c r="M1737" s="3">
        <v>216</v>
      </c>
      <c r="N1737" s="4">
        <v>0.19354838709677419</v>
      </c>
    </row>
    <row r="1738" spans="1:14" x14ac:dyDescent="0.3">
      <c r="A1738" s="6">
        <v>45782</v>
      </c>
      <c r="B1738" s="1" t="s">
        <v>1922</v>
      </c>
      <c r="C1738" s="1" t="s">
        <v>26</v>
      </c>
      <c r="D1738" t="s">
        <v>31</v>
      </c>
      <c r="E1738" t="s">
        <v>310</v>
      </c>
      <c r="F1738" t="s">
        <v>16</v>
      </c>
      <c r="G1738" t="s">
        <v>15</v>
      </c>
      <c r="H1738" s="3">
        <v>10</v>
      </c>
      <c r="I1738" s="3">
        <v>53960</v>
      </c>
      <c r="J1738" s="3">
        <v>539600</v>
      </c>
      <c r="K1738" s="3">
        <v>38000</v>
      </c>
      <c r="L1738" s="3">
        <v>380000</v>
      </c>
      <c r="M1738" s="3">
        <v>159600</v>
      </c>
      <c r="N1738" s="4">
        <v>0.29577464788732394</v>
      </c>
    </row>
    <row r="1739" spans="1:14" x14ac:dyDescent="0.3">
      <c r="A1739" s="6">
        <v>45782</v>
      </c>
      <c r="B1739" s="1" t="s">
        <v>1923</v>
      </c>
      <c r="C1739" s="1" t="s">
        <v>26</v>
      </c>
      <c r="D1739" t="s">
        <v>33</v>
      </c>
      <c r="E1739" t="s">
        <v>304</v>
      </c>
      <c r="F1739" t="s">
        <v>22</v>
      </c>
      <c r="G1739" t="s">
        <v>18</v>
      </c>
      <c r="H1739" s="3">
        <v>8</v>
      </c>
      <c r="I1739" s="3">
        <v>8470</v>
      </c>
      <c r="J1739" s="3">
        <v>67760</v>
      </c>
      <c r="K1739" s="3">
        <v>7000</v>
      </c>
      <c r="L1739" s="3">
        <v>56000</v>
      </c>
      <c r="M1739" s="3">
        <v>11760</v>
      </c>
      <c r="N1739" s="4">
        <v>0.17355371900826447</v>
      </c>
    </row>
    <row r="1740" spans="1:14" x14ac:dyDescent="0.3">
      <c r="A1740" s="6">
        <v>45782</v>
      </c>
      <c r="B1740" s="1" t="s">
        <v>1924</v>
      </c>
      <c r="C1740" s="1" t="s">
        <v>28</v>
      </c>
      <c r="D1740" t="s">
        <v>33</v>
      </c>
      <c r="E1740" t="s">
        <v>149</v>
      </c>
      <c r="F1740" t="s">
        <v>14</v>
      </c>
      <c r="G1740" t="s">
        <v>15</v>
      </c>
      <c r="H1740" s="3">
        <v>8</v>
      </c>
      <c r="I1740" s="3">
        <v>54900</v>
      </c>
      <c r="J1740" s="3">
        <v>439200</v>
      </c>
      <c r="K1740" s="3">
        <v>45000</v>
      </c>
      <c r="L1740" s="3">
        <v>360000</v>
      </c>
      <c r="M1740" s="3">
        <v>79200</v>
      </c>
      <c r="N1740" s="4">
        <v>0.18032786885245902</v>
      </c>
    </row>
    <row r="1741" spans="1:14" x14ac:dyDescent="0.3">
      <c r="A1741" s="6">
        <v>45782</v>
      </c>
      <c r="B1741" s="1" t="s">
        <v>1925</v>
      </c>
      <c r="C1741" s="1" t="s">
        <v>28</v>
      </c>
      <c r="D1741" t="s">
        <v>30</v>
      </c>
      <c r="E1741" t="s">
        <v>807</v>
      </c>
      <c r="F1741" t="s">
        <v>22</v>
      </c>
      <c r="G1741" t="s">
        <v>18</v>
      </c>
      <c r="H1741" s="3">
        <v>1</v>
      </c>
      <c r="I1741" s="3">
        <v>9240</v>
      </c>
      <c r="J1741" s="3">
        <v>9240</v>
      </c>
      <c r="K1741" s="3">
        <v>7000</v>
      </c>
      <c r="L1741" s="3">
        <v>7000</v>
      </c>
      <c r="M1741" s="3">
        <v>2240</v>
      </c>
      <c r="N1741" s="4">
        <v>0.24242424242424243</v>
      </c>
    </row>
    <row r="1742" spans="1:14" x14ac:dyDescent="0.3">
      <c r="A1742" s="6">
        <v>45782</v>
      </c>
      <c r="B1742" s="1" t="s">
        <v>1926</v>
      </c>
      <c r="C1742" s="1" t="s">
        <v>26</v>
      </c>
      <c r="D1742" t="s">
        <v>33</v>
      </c>
      <c r="E1742" t="s">
        <v>336</v>
      </c>
      <c r="F1742" t="s">
        <v>21</v>
      </c>
      <c r="G1742" t="s">
        <v>20</v>
      </c>
      <c r="H1742" s="3">
        <v>1</v>
      </c>
      <c r="I1742" s="3">
        <v>864</v>
      </c>
      <c r="J1742" s="3">
        <v>864</v>
      </c>
      <c r="K1742" s="3">
        <v>600</v>
      </c>
      <c r="L1742" s="3">
        <v>600</v>
      </c>
      <c r="M1742" s="3">
        <v>264</v>
      </c>
      <c r="N1742" s="4">
        <v>0.30555555555555558</v>
      </c>
    </row>
    <row r="1743" spans="1:14" x14ac:dyDescent="0.3">
      <c r="A1743" s="6">
        <v>45782</v>
      </c>
      <c r="B1743" s="1" t="s">
        <v>1927</v>
      </c>
      <c r="C1743" s="1" t="s">
        <v>28</v>
      </c>
      <c r="D1743" t="s">
        <v>34</v>
      </c>
      <c r="E1743" t="s">
        <v>161</v>
      </c>
      <c r="F1743" t="s">
        <v>24</v>
      </c>
      <c r="G1743" t="s">
        <v>25</v>
      </c>
      <c r="H1743" s="3">
        <v>2</v>
      </c>
      <c r="I1743" s="3">
        <v>3500</v>
      </c>
      <c r="J1743" s="3">
        <v>7000</v>
      </c>
      <c r="K1743" s="3">
        <v>2500</v>
      </c>
      <c r="L1743" s="3">
        <v>5000</v>
      </c>
      <c r="M1743" s="3">
        <v>2000</v>
      </c>
      <c r="N1743" s="4">
        <v>0.2857142857142857</v>
      </c>
    </row>
    <row r="1744" spans="1:14" x14ac:dyDescent="0.3">
      <c r="A1744" s="6">
        <v>45782</v>
      </c>
      <c r="B1744" s="1" t="s">
        <v>1928</v>
      </c>
      <c r="C1744" s="1" t="s">
        <v>26</v>
      </c>
      <c r="D1744" t="s">
        <v>32</v>
      </c>
      <c r="E1744" t="s">
        <v>124</v>
      </c>
      <c r="F1744" t="s">
        <v>17</v>
      </c>
      <c r="G1744" t="s">
        <v>18</v>
      </c>
      <c r="H1744" s="3">
        <v>4</v>
      </c>
      <c r="I1744" s="3">
        <v>10455</v>
      </c>
      <c r="J1744" s="3">
        <v>41820</v>
      </c>
      <c r="K1744" s="3">
        <v>8500</v>
      </c>
      <c r="L1744" s="3">
        <v>34000</v>
      </c>
      <c r="M1744" s="3">
        <v>7820</v>
      </c>
      <c r="N1744" s="4">
        <v>0.18699186991869918</v>
      </c>
    </row>
    <row r="1745" spans="1:14" x14ac:dyDescent="0.3">
      <c r="A1745" s="6">
        <v>45782</v>
      </c>
      <c r="B1745" s="1" t="s">
        <v>1929</v>
      </c>
      <c r="C1745" s="1" t="s">
        <v>27</v>
      </c>
      <c r="D1745" t="s">
        <v>30</v>
      </c>
      <c r="E1745" t="s">
        <v>108</v>
      </c>
      <c r="F1745" t="s">
        <v>23</v>
      </c>
      <c r="G1745" t="s">
        <v>25</v>
      </c>
      <c r="H1745" s="3">
        <v>5</v>
      </c>
      <c r="I1745" s="3">
        <v>4352</v>
      </c>
      <c r="J1745" s="3">
        <v>21760</v>
      </c>
      <c r="K1745" s="3">
        <v>3200</v>
      </c>
      <c r="L1745" s="3">
        <v>16000</v>
      </c>
      <c r="M1745" s="3">
        <v>5760</v>
      </c>
      <c r="N1745" s="4">
        <v>0.26470588235294118</v>
      </c>
    </row>
    <row r="1746" spans="1:14" x14ac:dyDescent="0.3">
      <c r="A1746" s="6">
        <v>45782</v>
      </c>
      <c r="B1746" s="1" t="s">
        <v>1930</v>
      </c>
      <c r="C1746" s="1" t="s">
        <v>27</v>
      </c>
      <c r="D1746" t="s">
        <v>35</v>
      </c>
      <c r="E1746" t="s">
        <v>134</v>
      </c>
      <c r="F1746" t="s">
        <v>23</v>
      </c>
      <c r="G1746" t="s">
        <v>25</v>
      </c>
      <c r="H1746" s="3">
        <v>9</v>
      </c>
      <c r="I1746" s="3">
        <v>4448</v>
      </c>
      <c r="J1746" s="3">
        <v>40032</v>
      </c>
      <c r="K1746" s="3">
        <v>3200</v>
      </c>
      <c r="L1746" s="3">
        <v>28800</v>
      </c>
      <c r="M1746" s="3">
        <v>11232</v>
      </c>
      <c r="N1746" s="4">
        <v>0.2805755395683453</v>
      </c>
    </row>
    <row r="1747" spans="1:14" x14ac:dyDescent="0.3">
      <c r="A1747" s="6">
        <v>45782</v>
      </c>
      <c r="B1747" s="1" t="s">
        <v>1931</v>
      </c>
      <c r="C1747" s="1" t="s">
        <v>28</v>
      </c>
      <c r="D1747" t="s">
        <v>33</v>
      </c>
      <c r="E1747" t="s">
        <v>342</v>
      </c>
      <c r="F1747" t="s">
        <v>16</v>
      </c>
      <c r="G1747" t="s">
        <v>15</v>
      </c>
      <c r="H1747" s="3">
        <v>6</v>
      </c>
      <c r="I1747" s="3">
        <v>50540</v>
      </c>
      <c r="J1747" s="3">
        <v>303240</v>
      </c>
      <c r="K1747" s="3">
        <v>38000</v>
      </c>
      <c r="L1747" s="3">
        <v>228000</v>
      </c>
      <c r="M1747" s="3">
        <v>75240</v>
      </c>
      <c r="N1747" s="4">
        <v>0.24812030075187969</v>
      </c>
    </row>
    <row r="1748" spans="1:14" x14ac:dyDescent="0.3">
      <c r="A1748" s="6">
        <v>45782</v>
      </c>
      <c r="B1748" s="1" t="s">
        <v>1932</v>
      </c>
      <c r="C1748" s="1" t="s">
        <v>27</v>
      </c>
      <c r="D1748" t="s">
        <v>30</v>
      </c>
      <c r="E1748" t="s">
        <v>329</v>
      </c>
      <c r="F1748" t="s">
        <v>14</v>
      </c>
      <c r="G1748" t="s">
        <v>15</v>
      </c>
      <c r="H1748" s="3">
        <v>10</v>
      </c>
      <c r="I1748" s="3">
        <v>61650.000000000007</v>
      </c>
      <c r="J1748" s="3">
        <v>616500.00000000012</v>
      </c>
      <c r="K1748" s="3">
        <v>45000</v>
      </c>
      <c r="L1748" s="3">
        <v>450000</v>
      </c>
      <c r="M1748" s="3">
        <v>166500.00000000012</v>
      </c>
      <c r="N1748" s="4">
        <v>0.27007299270073004</v>
      </c>
    </row>
    <row r="1749" spans="1:14" x14ac:dyDescent="0.3">
      <c r="A1749" s="6">
        <v>45782</v>
      </c>
      <c r="B1749" s="1" t="s">
        <v>1933</v>
      </c>
      <c r="C1749" s="1" t="s">
        <v>26</v>
      </c>
      <c r="D1749" t="s">
        <v>35</v>
      </c>
      <c r="E1749" t="s">
        <v>436</v>
      </c>
      <c r="F1749" t="s">
        <v>24</v>
      </c>
      <c r="G1749" t="s">
        <v>25</v>
      </c>
      <c r="H1749" s="3">
        <v>8</v>
      </c>
      <c r="I1749" s="3">
        <v>3200</v>
      </c>
      <c r="J1749" s="3">
        <v>25600</v>
      </c>
      <c r="K1749" s="3">
        <v>2500</v>
      </c>
      <c r="L1749" s="3">
        <v>20000</v>
      </c>
      <c r="M1749" s="3">
        <v>5600</v>
      </c>
      <c r="N1749" s="4">
        <v>0.21875</v>
      </c>
    </row>
    <row r="1750" spans="1:14" x14ac:dyDescent="0.3">
      <c r="A1750" s="6">
        <v>45783</v>
      </c>
      <c r="B1750" s="1" t="s">
        <v>1934</v>
      </c>
      <c r="C1750" s="1" t="s">
        <v>29</v>
      </c>
      <c r="D1750" t="s">
        <v>35</v>
      </c>
      <c r="E1750" t="s">
        <v>302</v>
      </c>
      <c r="F1750" t="s">
        <v>16</v>
      </c>
      <c r="G1750" t="s">
        <v>15</v>
      </c>
      <c r="H1750" s="3">
        <v>3</v>
      </c>
      <c r="I1750" s="3">
        <v>49780</v>
      </c>
      <c r="J1750" s="3">
        <v>149340</v>
      </c>
      <c r="K1750" s="3">
        <v>38000</v>
      </c>
      <c r="L1750" s="3">
        <v>114000</v>
      </c>
      <c r="M1750" s="3">
        <v>35340</v>
      </c>
      <c r="N1750" s="4">
        <v>0.23664122137404581</v>
      </c>
    </row>
    <row r="1751" spans="1:14" x14ac:dyDescent="0.3">
      <c r="A1751" s="6">
        <v>45783</v>
      </c>
      <c r="B1751" s="1" t="s">
        <v>1935</v>
      </c>
      <c r="C1751" s="1" t="s">
        <v>26</v>
      </c>
      <c r="D1751" t="s">
        <v>30</v>
      </c>
      <c r="E1751" t="s">
        <v>106</v>
      </c>
      <c r="F1751" t="s">
        <v>22</v>
      </c>
      <c r="G1751" t="s">
        <v>18</v>
      </c>
      <c r="H1751" s="3">
        <v>2</v>
      </c>
      <c r="I1751" s="3">
        <v>9940</v>
      </c>
      <c r="J1751" s="3">
        <v>19880</v>
      </c>
      <c r="K1751" s="3">
        <v>7000</v>
      </c>
      <c r="L1751" s="3">
        <v>14000</v>
      </c>
      <c r="M1751" s="3">
        <v>5880</v>
      </c>
      <c r="N1751" s="4">
        <v>0.29577464788732394</v>
      </c>
    </row>
    <row r="1752" spans="1:14" x14ac:dyDescent="0.3">
      <c r="A1752" s="6">
        <v>45783</v>
      </c>
      <c r="B1752" s="1" t="s">
        <v>1936</v>
      </c>
      <c r="C1752" s="1" t="s">
        <v>26</v>
      </c>
      <c r="D1752" t="s">
        <v>33</v>
      </c>
      <c r="E1752" t="s">
        <v>159</v>
      </c>
      <c r="F1752" t="s">
        <v>16</v>
      </c>
      <c r="G1752" t="s">
        <v>15</v>
      </c>
      <c r="H1752" s="3">
        <v>5</v>
      </c>
      <c r="I1752" s="3">
        <v>46740</v>
      </c>
      <c r="J1752" s="3">
        <v>233700</v>
      </c>
      <c r="K1752" s="3">
        <v>38000</v>
      </c>
      <c r="L1752" s="3">
        <v>190000</v>
      </c>
      <c r="M1752" s="3">
        <v>43700</v>
      </c>
      <c r="N1752" s="4">
        <v>0.18699186991869918</v>
      </c>
    </row>
    <row r="1753" spans="1:14" x14ac:dyDescent="0.3">
      <c r="A1753" s="6">
        <v>45783</v>
      </c>
      <c r="B1753" s="1" t="s">
        <v>1937</v>
      </c>
      <c r="C1753" s="1" t="s">
        <v>29</v>
      </c>
      <c r="D1753" t="s">
        <v>31</v>
      </c>
      <c r="E1753" t="s">
        <v>208</v>
      </c>
      <c r="F1753" t="s">
        <v>23</v>
      </c>
      <c r="G1753" t="s">
        <v>25</v>
      </c>
      <c r="H1753" s="3">
        <v>2</v>
      </c>
      <c r="I1753" s="3">
        <v>4416</v>
      </c>
      <c r="J1753" s="3">
        <v>8832</v>
      </c>
      <c r="K1753" s="3">
        <v>3200</v>
      </c>
      <c r="L1753" s="3">
        <v>6400</v>
      </c>
      <c r="M1753" s="3">
        <v>2432</v>
      </c>
      <c r="N1753" s="4">
        <v>0.27536231884057971</v>
      </c>
    </row>
    <row r="1754" spans="1:14" x14ac:dyDescent="0.3">
      <c r="A1754" s="6">
        <v>45783</v>
      </c>
      <c r="B1754" s="1" t="s">
        <v>1938</v>
      </c>
      <c r="C1754" s="1" t="s">
        <v>26</v>
      </c>
      <c r="D1754" t="s">
        <v>35</v>
      </c>
      <c r="E1754" t="s">
        <v>149</v>
      </c>
      <c r="F1754" t="s">
        <v>22</v>
      </c>
      <c r="G1754" t="s">
        <v>18</v>
      </c>
      <c r="H1754" s="3">
        <v>2</v>
      </c>
      <c r="I1754" s="3">
        <v>8680</v>
      </c>
      <c r="J1754" s="3">
        <v>17360</v>
      </c>
      <c r="K1754" s="3">
        <v>7000</v>
      </c>
      <c r="L1754" s="3">
        <v>14000</v>
      </c>
      <c r="M1754" s="3">
        <v>3360</v>
      </c>
      <c r="N1754" s="4">
        <v>0.19354838709677419</v>
      </c>
    </row>
    <row r="1755" spans="1:14" x14ac:dyDescent="0.3">
      <c r="A1755" s="6">
        <v>45783</v>
      </c>
      <c r="B1755" s="1" t="s">
        <v>1939</v>
      </c>
      <c r="C1755" s="1" t="s">
        <v>26</v>
      </c>
      <c r="D1755" t="s">
        <v>35</v>
      </c>
      <c r="E1755" t="s">
        <v>201</v>
      </c>
      <c r="F1755" t="s">
        <v>19</v>
      </c>
      <c r="G1755" t="s">
        <v>20</v>
      </c>
      <c r="H1755" s="3">
        <v>2</v>
      </c>
      <c r="I1755" s="3">
        <v>1242</v>
      </c>
      <c r="J1755" s="3">
        <v>2484</v>
      </c>
      <c r="K1755" s="3">
        <v>900</v>
      </c>
      <c r="L1755" s="3">
        <v>1800</v>
      </c>
      <c r="M1755" s="3">
        <v>684</v>
      </c>
      <c r="N1755" s="4">
        <v>0.27536231884057971</v>
      </c>
    </row>
    <row r="1756" spans="1:14" x14ac:dyDescent="0.3">
      <c r="A1756" s="6">
        <v>45783</v>
      </c>
      <c r="B1756" s="1" t="s">
        <v>1940</v>
      </c>
      <c r="C1756" s="1" t="s">
        <v>28</v>
      </c>
      <c r="D1756" t="s">
        <v>34</v>
      </c>
      <c r="E1756" t="s">
        <v>180</v>
      </c>
      <c r="F1756" t="s">
        <v>21</v>
      </c>
      <c r="G1756" t="s">
        <v>20</v>
      </c>
      <c r="H1756" s="3">
        <v>7</v>
      </c>
      <c r="I1756" s="3">
        <v>786</v>
      </c>
      <c r="J1756" s="3">
        <v>5502</v>
      </c>
      <c r="K1756" s="3">
        <v>600</v>
      </c>
      <c r="L1756" s="3">
        <v>4200</v>
      </c>
      <c r="M1756" s="3">
        <v>1302</v>
      </c>
      <c r="N1756" s="4">
        <v>0.23664122137404581</v>
      </c>
    </row>
    <row r="1757" spans="1:14" x14ac:dyDescent="0.3">
      <c r="A1757" s="6">
        <v>45783</v>
      </c>
      <c r="B1757" s="1" t="s">
        <v>1941</v>
      </c>
      <c r="C1757" s="1" t="s">
        <v>26</v>
      </c>
      <c r="D1757" t="s">
        <v>30</v>
      </c>
      <c r="E1757" t="s">
        <v>90</v>
      </c>
      <c r="F1757" t="s">
        <v>14</v>
      </c>
      <c r="G1757" t="s">
        <v>15</v>
      </c>
      <c r="H1757" s="3">
        <v>8</v>
      </c>
      <c r="I1757" s="3">
        <v>60300</v>
      </c>
      <c r="J1757" s="3">
        <v>482400</v>
      </c>
      <c r="K1757" s="3">
        <v>45000</v>
      </c>
      <c r="L1757" s="3">
        <v>360000</v>
      </c>
      <c r="M1757" s="3">
        <v>122400</v>
      </c>
      <c r="N1757" s="4">
        <v>0.2537313432835821</v>
      </c>
    </row>
    <row r="1758" spans="1:14" x14ac:dyDescent="0.3">
      <c r="A1758" s="6">
        <v>45783</v>
      </c>
      <c r="B1758" s="1" t="s">
        <v>1942</v>
      </c>
      <c r="C1758" s="1" t="s">
        <v>29</v>
      </c>
      <c r="D1758" t="s">
        <v>33</v>
      </c>
      <c r="E1758" t="s">
        <v>431</v>
      </c>
      <c r="F1758" t="s">
        <v>17</v>
      </c>
      <c r="G1758" t="s">
        <v>18</v>
      </c>
      <c r="H1758" s="3">
        <v>1</v>
      </c>
      <c r="I1758" s="3">
        <v>10285</v>
      </c>
      <c r="J1758" s="3">
        <v>10285</v>
      </c>
      <c r="K1758" s="3">
        <v>8500</v>
      </c>
      <c r="L1758" s="3">
        <v>8500</v>
      </c>
      <c r="M1758" s="3">
        <v>1785</v>
      </c>
      <c r="N1758" s="4">
        <v>0.17355371900826447</v>
      </c>
    </row>
    <row r="1759" spans="1:14" x14ac:dyDescent="0.3">
      <c r="A1759" s="6">
        <v>45783</v>
      </c>
      <c r="B1759" s="1" t="s">
        <v>1943</v>
      </c>
      <c r="C1759" s="1" t="s">
        <v>29</v>
      </c>
      <c r="D1759" t="s">
        <v>33</v>
      </c>
      <c r="E1759" t="s">
        <v>108</v>
      </c>
      <c r="F1759" t="s">
        <v>21</v>
      </c>
      <c r="G1759" t="s">
        <v>20</v>
      </c>
      <c r="H1759" s="3">
        <v>1</v>
      </c>
      <c r="I1759" s="3">
        <v>780</v>
      </c>
      <c r="J1759" s="3">
        <v>780</v>
      </c>
      <c r="K1759" s="3">
        <v>600</v>
      </c>
      <c r="L1759" s="3">
        <v>600</v>
      </c>
      <c r="M1759" s="3">
        <v>180</v>
      </c>
      <c r="N1759" s="4">
        <v>0.23076923076923078</v>
      </c>
    </row>
    <row r="1760" spans="1:14" x14ac:dyDescent="0.3">
      <c r="A1760" s="6">
        <v>45783</v>
      </c>
      <c r="B1760" s="1" t="s">
        <v>1944</v>
      </c>
      <c r="C1760" s="1" t="s">
        <v>28</v>
      </c>
      <c r="D1760" t="s">
        <v>33</v>
      </c>
      <c r="E1760" t="s">
        <v>538</v>
      </c>
      <c r="F1760" t="s">
        <v>24</v>
      </c>
      <c r="G1760" t="s">
        <v>25</v>
      </c>
      <c r="H1760" s="3">
        <v>9</v>
      </c>
      <c r="I1760" s="3">
        <v>3525</v>
      </c>
      <c r="J1760" s="3">
        <v>31725</v>
      </c>
      <c r="K1760" s="3">
        <v>2500</v>
      </c>
      <c r="L1760" s="3">
        <v>22500</v>
      </c>
      <c r="M1760" s="3">
        <v>9225</v>
      </c>
      <c r="N1760" s="4">
        <v>0.29078014184397161</v>
      </c>
    </row>
    <row r="1761" spans="1:14" x14ac:dyDescent="0.3">
      <c r="A1761" s="6">
        <v>45783</v>
      </c>
      <c r="B1761" s="1" t="s">
        <v>1945</v>
      </c>
      <c r="C1761" s="1" t="s">
        <v>28</v>
      </c>
      <c r="D1761" t="s">
        <v>30</v>
      </c>
      <c r="E1761" t="s">
        <v>131</v>
      </c>
      <c r="F1761" t="s">
        <v>14</v>
      </c>
      <c r="G1761" t="s">
        <v>15</v>
      </c>
      <c r="H1761" s="3">
        <v>9</v>
      </c>
      <c r="I1761" s="3">
        <v>61650.000000000007</v>
      </c>
      <c r="J1761" s="3">
        <v>554850.00000000012</v>
      </c>
      <c r="K1761" s="3">
        <v>45000</v>
      </c>
      <c r="L1761" s="3">
        <v>405000</v>
      </c>
      <c r="M1761" s="3">
        <v>149850.00000000012</v>
      </c>
      <c r="N1761" s="4">
        <v>0.2700729927007301</v>
      </c>
    </row>
    <row r="1762" spans="1:14" x14ac:dyDescent="0.3">
      <c r="A1762" s="6">
        <v>45783</v>
      </c>
      <c r="B1762" s="1" t="s">
        <v>1946</v>
      </c>
      <c r="C1762" s="1" t="s">
        <v>28</v>
      </c>
      <c r="D1762" t="s">
        <v>34</v>
      </c>
      <c r="E1762" t="s">
        <v>51</v>
      </c>
      <c r="F1762" t="s">
        <v>14</v>
      </c>
      <c r="G1762" t="s">
        <v>15</v>
      </c>
      <c r="H1762" s="3">
        <v>4</v>
      </c>
      <c r="I1762" s="3">
        <v>62999.999999999993</v>
      </c>
      <c r="J1762" s="3">
        <v>251999.99999999997</v>
      </c>
      <c r="K1762" s="3">
        <v>45000</v>
      </c>
      <c r="L1762" s="3">
        <v>180000</v>
      </c>
      <c r="M1762" s="3">
        <v>71999.999999999971</v>
      </c>
      <c r="N1762" s="4">
        <v>0.28571428571428564</v>
      </c>
    </row>
    <row r="1763" spans="1:14" x14ac:dyDescent="0.3">
      <c r="A1763" s="6">
        <v>45783</v>
      </c>
      <c r="B1763" s="1" t="s">
        <v>1947</v>
      </c>
      <c r="C1763" s="1" t="s">
        <v>27</v>
      </c>
      <c r="D1763" t="s">
        <v>33</v>
      </c>
      <c r="E1763" t="s">
        <v>308</v>
      </c>
      <c r="F1763" t="s">
        <v>22</v>
      </c>
      <c r="G1763" t="s">
        <v>18</v>
      </c>
      <c r="H1763" s="3">
        <v>7</v>
      </c>
      <c r="I1763" s="3">
        <v>8890</v>
      </c>
      <c r="J1763" s="3">
        <v>62230</v>
      </c>
      <c r="K1763" s="3">
        <v>7000</v>
      </c>
      <c r="L1763" s="3">
        <v>49000</v>
      </c>
      <c r="M1763" s="3">
        <v>13230</v>
      </c>
      <c r="N1763" s="4">
        <v>0.2125984251968504</v>
      </c>
    </row>
    <row r="1764" spans="1:14" x14ac:dyDescent="0.3">
      <c r="A1764" s="6">
        <v>45784</v>
      </c>
      <c r="B1764" s="1" t="s">
        <v>1948</v>
      </c>
      <c r="C1764" s="1" t="s">
        <v>26</v>
      </c>
      <c r="D1764" t="s">
        <v>35</v>
      </c>
      <c r="E1764" t="s">
        <v>129</v>
      </c>
      <c r="F1764" t="s">
        <v>24</v>
      </c>
      <c r="G1764" t="s">
        <v>25</v>
      </c>
      <c r="H1764" s="3">
        <v>6</v>
      </c>
      <c r="I1764" s="3">
        <v>3225</v>
      </c>
      <c r="J1764" s="3">
        <v>19350</v>
      </c>
      <c r="K1764" s="3">
        <v>2500</v>
      </c>
      <c r="L1764" s="3">
        <v>15000</v>
      </c>
      <c r="M1764" s="3">
        <v>4350</v>
      </c>
      <c r="N1764" s="4">
        <v>0.22480620155038761</v>
      </c>
    </row>
    <row r="1765" spans="1:14" x14ac:dyDescent="0.3">
      <c r="A1765" s="6">
        <v>45784</v>
      </c>
      <c r="B1765" s="1" t="s">
        <v>1949</v>
      </c>
      <c r="C1765" s="1" t="s">
        <v>27</v>
      </c>
      <c r="D1765" t="s">
        <v>30</v>
      </c>
      <c r="E1765" t="s">
        <v>411</v>
      </c>
      <c r="F1765" t="s">
        <v>14</v>
      </c>
      <c r="G1765" t="s">
        <v>15</v>
      </c>
      <c r="H1765" s="3">
        <v>10</v>
      </c>
      <c r="I1765" s="3">
        <v>59850</v>
      </c>
      <c r="J1765" s="3">
        <v>598500</v>
      </c>
      <c r="K1765" s="3">
        <v>45000</v>
      </c>
      <c r="L1765" s="3">
        <v>450000</v>
      </c>
      <c r="M1765" s="3">
        <v>148500</v>
      </c>
      <c r="N1765" s="4">
        <v>0.24812030075187969</v>
      </c>
    </row>
    <row r="1766" spans="1:14" x14ac:dyDescent="0.3">
      <c r="A1766" s="6">
        <v>45784</v>
      </c>
      <c r="B1766" s="1" t="s">
        <v>1950</v>
      </c>
      <c r="C1766" s="1" t="s">
        <v>29</v>
      </c>
      <c r="D1766" t="s">
        <v>31</v>
      </c>
      <c r="E1766" t="s">
        <v>807</v>
      </c>
      <c r="F1766" t="s">
        <v>21</v>
      </c>
      <c r="G1766" t="s">
        <v>20</v>
      </c>
      <c r="H1766" s="3">
        <v>3</v>
      </c>
      <c r="I1766" s="3">
        <v>744</v>
      </c>
      <c r="J1766" s="3">
        <v>2232</v>
      </c>
      <c r="K1766" s="3">
        <v>600</v>
      </c>
      <c r="L1766" s="3">
        <v>1800</v>
      </c>
      <c r="M1766" s="3">
        <v>432</v>
      </c>
      <c r="N1766" s="4">
        <v>0.19354838709677419</v>
      </c>
    </row>
    <row r="1767" spans="1:14" x14ac:dyDescent="0.3">
      <c r="A1767" s="6">
        <v>45784</v>
      </c>
      <c r="B1767" s="1" t="s">
        <v>1951</v>
      </c>
      <c r="C1767" s="1" t="s">
        <v>26</v>
      </c>
      <c r="D1767" t="s">
        <v>31</v>
      </c>
      <c r="E1767" t="s">
        <v>342</v>
      </c>
      <c r="F1767" t="s">
        <v>14</v>
      </c>
      <c r="G1767" t="s">
        <v>15</v>
      </c>
      <c r="H1767" s="3">
        <v>2</v>
      </c>
      <c r="I1767" s="3">
        <v>54000</v>
      </c>
      <c r="J1767" s="3">
        <v>108000</v>
      </c>
      <c r="K1767" s="3">
        <v>45000</v>
      </c>
      <c r="L1767" s="3">
        <v>90000</v>
      </c>
      <c r="M1767" s="3">
        <v>18000</v>
      </c>
      <c r="N1767" s="4">
        <v>0.16666666666666666</v>
      </c>
    </row>
    <row r="1768" spans="1:14" x14ac:dyDescent="0.3">
      <c r="A1768" s="6">
        <v>45784</v>
      </c>
      <c r="B1768" s="1" t="s">
        <v>1952</v>
      </c>
      <c r="C1768" s="1" t="s">
        <v>28</v>
      </c>
      <c r="D1768" t="s">
        <v>34</v>
      </c>
      <c r="E1768" t="s">
        <v>189</v>
      </c>
      <c r="F1768" t="s">
        <v>19</v>
      </c>
      <c r="G1768" t="s">
        <v>20</v>
      </c>
      <c r="H1768" s="3">
        <v>2</v>
      </c>
      <c r="I1768" s="3">
        <v>1179</v>
      </c>
      <c r="J1768" s="3">
        <v>2358</v>
      </c>
      <c r="K1768" s="3">
        <v>900</v>
      </c>
      <c r="L1768" s="3">
        <v>1800</v>
      </c>
      <c r="M1768" s="3">
        <v>558</v>
      </c>
      <c r="N1768" s="4">
        <v>0.23664122137404581</v>
      </c>
    </row>
    <row r="1769" spans="1:14" x14ac:dyDescent="0.3">
      <c r="A1769" s="6">
        <v>45784</v>
      </c>
      <c r="B1769" s="1" t="s">
        <v>1953</v>
      </c>
      <c r="C1769" s="1" t="s">
        <v>29</v>
      </c>
      <c r="D1769" t="s">
        <v>34</v>
      </c>
      <c r="E1769" t="s">
        <v>365</v>
      </c>
      <c r="F1769" t="s">
        <v>23</v>
      </c>
      <c r="G1769" t="s">
        <v>25</v>
      </c>
      <c r="H1769" s="3">
        <v>5</v>
      </c>
      <c r="I1769" s="3">
        <v>4128</v>
      </c>
      <c r="J1769" s="3">
        <v>20640</v>
      </c>
      <c r="K1769" s="3">
        <v>3200</v>
      </c>
      <c r="L1769" s="3">
        <v>16000</v>
      </c>
      <c r="M1769" s="3">
        <v>4640</v>
      </c>
      <c r="N1769" s="4">
        <v>0.22480620155038761</v>
      </c>
    </row>
    <row r="1770" spans="1:14" x14ac:dyDescent="0.3">
      <c r="A1770" s="6">
        <v>45784</v>
      </c>
      <c r="B1770" s="1" t="s">
        <v>1954</v>
      </c>
      <c r="C1770" s="1" t="s">
        <v>29</v>
      </c>
      <c r="D1770" t="s">
        <v>30</v>
      </c>
      <c r="E1770" t="s">
        <v>327</v>
      </c>
      <c r="F1770" t="s">
        <v>14</v>
      </c>
      <c r="G1770" t="s">
        <v>15</v>
      </c>
      <c r="H1770" s="3">
        <v>4</v>
      </c>
      <c r="I1770" s="3">
        <v>55800</v>
      </c>
      <c r="J1770" s="3">
        <v>223200</v>
      </c>
      <c r="K1770" s="3">
        <v>45000</v>
      </c>
      <c r="L1770" s="3">
        <v>180000</v>
      </c>
      <c r="M1770" s="3">
        <v>43200</v>
      </c>
      <c r="N1770" s="4">
        <v>0.19354838709677419</v>
      </c>
    </row>
    <row r="1771" spans="1:14" x14ac:dyDescent="0.3">
      <c r="A1771" s="6">
        <v>45784</v>
      </c>
      <c r="B1771" s="1" t="s">
        <v>1955</v>
      </c>
      <c r="C1771" s="1" t="s">
        <v>26</v>
      </c>
      <c r="D1771" t="s">
        <v>32</v>
      </c>
      <c r="E1771" t="s">
        <v>508</v>
      </c>
      <c r="F1771" t="s">
        <v>22</v>
      </c>
      <c r="G1771" t="s">
        <v>18</v>
      </c>
      <c r="H1771" s="3">
        <v>2</v>
      </c>
      <c r="I1771" s="3">
        <v>9940</v>
      </c>
      <c r="J1771" s="3">
        <v>19880</v>
      </c>
      <c r="K1771" s="3">
        <v>7000</v>
      </c>
      <c r="L1771" s="3">
        <v>14000</v>
      </c>
      <c r="M1771" s="3">
        <v>5880</v>
      </c>
      <c r="N1771" s="4">
        <v>0.29577464788732394</v>
      </c>
    </row>
    <row r="1772" spans="1:14" x14ac:dyDescent="0.3">
      <c r="A1772" s="6">
        <v>45784</v>
      </c>
      <c r="B1772" s="1" t="s">
        <v>1956</v>
      </c>
      <c r="C1772" s="1" t="s">
        <v>27</v>
      </c>
      <c r="D1772" t="s">
        <v>33</v>
      </c>
      <c r="E1772" t="s">
        <v>88</v>
      </c>
      <c r="F1772" t="s">
        <v>21</v>
      </c>
      <c r="G1772" t="s">
        <v>20</v>
      </c>
      <c r="H1772" s="3">
        <v>4</v>
      </c>
      <c r="I1772" s="3">
        <v>744</v>
      </c>
      <c r="J1772" s="3">
        <v>2976</v>
      </c>
      <c r="K1772" s="3">
        <v>600</v>
      </c>
      <c r="L1772" s="3">
        <v>2400</v>
      </c>
      <c r="M1772" s="3">
        <v>576</v>
      </c>
      <c r="N1772" s="4">
        <v>0.19354838709677419</v>
      </c>
    </row>
    <row r="1773" spans="1:14" x14ac:dyDescent="0.3">
      <c r="A1773" s="6">
        <v>45784</v>
      </c>
      <c r="B1773" s="1" t="s">
        <v>1957</v>
      </c>
      <c r="C1773" s="1" t="s">
        <v>26</v>
      </c>
      <c r="D1773" t="s">
        <v>33</v>
      </c>
      <c r="E1773" t="s">
        <v>61</v>
      </c>
      <c r="F1773" t="s">
        <v>19</v>
      </c>
      <c r="G1773" t="s">
        <v>20</v>
      </c>
      <c r="H1773" s="3">
        <v>10</v>
      </c>
      <c r="I1773" s="3">
        <v>1116</v>
      </c>
      <c r="J1773" s="3">
        <v>11160</v>
      </c>
      <c r="K1773" s="3">
        <v>900</v>
      </c>
      <c r="L1773" s="3">
        <v>9000</v>
      </c>
      <c r="M1773" s="3">
        <v>2160</v>
      </c>
      <c r="N1773" s="4">
        <v>0.19354838709677419</v>
      </c>
    </row>
    <row r="1774" spans="1:14" x14ac:dyDescent="0.3">
      <c r="A1774" s="6">
        <v>45784</v>
      </c>
      <c r="B1774" s="1" t="s">
        <v>1958</v>
      </c>
      <c r="C1774" s="1" t="s">
        <v>29</v>
      </c>
      <c r="D1774" t="s">
        <v>35</v>
      </c>
      <c r="E1774" t="s">
        <v>308</v>
      </c>
      <c r="F1774" t="s">
        <v>22</v>
      </c>
      <c r="G1774" t="s">
        <v>18</v>
      </c>
      <c r="H1774" s="3">
        <v>5</v>
      </c>
      <c r="I1774" s="3">
        <v>8610</v>
      </c>
      <c r="J1774" s="3">
        <v>43050</v>
      </c>
      <c r="K1774" s="3">
        <v>7000</v>
      </c>
      <c r="L1774" s="3">
        <v>35000</v>
      </c>
      <c r="M1774" s="3">
        <v>8050</v>
      </c>
      <c r="N1774" s="4">
        <v>0.18699186991869918</v>
      </c>
    </row>
    <row r="1775" spans="1:14" x14ac:dyDescent="0.3">
      <c r="A1775" s="6">
        <v>45784</v>
      </c>
      <c r="B1775" s="1" t="s">
        <v>1959</v>
      </c>
      <c r="C1775" s="1" t="s">
        <v>26</v>
      </c>
      <c r="D1775" t="s">
        <v>31</v>
      </c>
      <c r="E1775" t="s">
        <v>145</v>
      </c>
      <c r="F1775" t="s">
        <v>23</v>
      </c>
      <c r="G1775" t="s">
        <v>25</v>
      </c>
      <c r="H1775" s="3">
        <v>9</v>
      </c>
      <c r="I1775" s="3">
        <v>4288</v>
      </c>
      <c r="J1775" s="3">
        <v>38592</v>
      </c>
      <c r="K1775" s="3">
        <v>3200</v>
      </c>
      <c r="L1775" s="3">
        <v>28800</v>
      </c>
      <c r="M1775" s="3">
        <v>9792</v>
      </c>
      <c r="N1775" s="4">
        <v>0.2537313432835821</v>
      </c>
    </row>
    <row r="1776" spans="1:14" x14ac:dyDescent="0.3">
      <c r="A1776" s="6">
        <v>45784</v>
      </c>
      <c r="B1776" s="1" t="s">
        <v>1960</v>
      </c>
      <c r="C1776" s="1" t="s">
        <v>28</v>
      </c>
      <c r="D1776" t="s">
        <v>34</v>
      </c>
      <c r="E1776" t="s">
        <v>216</v>
      </c>
      <c r="F1776" t="s">
        <v>19</v>
      </c>
      <c r="G1776" t="s">
        <v>20</v>
      </c>
      <c r="H1776" s="3">
        <v>10</v>
      </c>
      <c r="I1776" s="3">
        <v>1269</v>
      </c>
      <c r="J1776" s="3">
        <v>12690</v>
      </c>
      <c r="K1776" s="3">
        <v>900</v>
      </c>
      <c r="L1776" s="3">
        <v>9000</v>
      </c>
      <c r="M1776" s="3">
        <v>3690</v>
      </c>
      <c r="N1776" s="4">
        <v>0.29078014184397161</v>
      </c>
    </row>
    <row r="1777" spans="1:14" x14ac:dyDescent="0.3">
      <c r="A1777" s="6">
        <v>45784</v>
      </c>
      <c r="B1777" s="1" t="s">
        <v>1961</v>
      </c>
      <c r="C1777" s="1" t="s">
        <v>29</v>
      </c>
      <c r="D1777" t="s">
        <v>30</v>
      </c>
      <c r="E1777" t="s">
        <v>424</v>
      </c>
      <c r="F1777" t="s">
        <v>22</v>
      </c>
      <c r="G1777" t="s">
        <v>18</v>
      </c>
      <c r="H1777" s="3">
        <v>1</v>
      </c>
      <c r="I1777" s="3">
        <v>8750</v>
      </c>
      <c r="J1777" s="3">
        <v>8750</v>
      </c>
      <c r="K1777" s="3">
        <v>7000</v>
      </c>
      <c r="L1777" s="3">
        <v>7000</v>
      </c>
      <c r="M1777" s="3">
        <v>1750</v>
      </c>
      <c r="N1777" s="4">
        <v>0.2</v>
      </c>
    </row>
    <row r="1778" spans="1:14" x14ac:dyDescent="0.3">
      <c r="A1778" s="6">
        <v>45785</v>
      </c>
      <c r="B1778" s="1" t="s">
        <v>1962</v>
      </c>
      <c r="C1778" s="1" t="s">
        <v>27</v>
      </c>
      <c r="D1778" t="s">
        <v>30</v>
      </c>
      <c r="E1778" t="s">
        <v>131</v>
      </c>
      <c r="F1778" t="s">
        <v>24</v>
      </c>
      <c r="G1778" t="s">
        <v>25</v>
      </c>
      <c r="H1778" s="3">
        <v>6</v>
      </c>
      <c r="I1778" s="3">
        <v>3200</v>
      </c>
      <c r="J1778" s="3">
        <v>19200</v>
      </c>
      <c r="K1778" s="3">
        <v>2500</v>
      </c>
      <c r="L1778" s="3">
        <v>15000</v>
      </c>
      <c r="M1778" s="3">
        <v>4200</v>
      </c>
      <c r="N1778" s="4">
        <v>0.21875</v>
      </c>
    </row>
    <row r="1779" spans="1:14" x14ac:dyDescent="0.3">
      <c r="A1779" s="6">
        <v>45785</v>
      </c>
      <c r="B1779" s="1" t="s">
        <v>1963</v>
      </c>
      <c r="C1779" s="1" t="s">
        <v>27</v>
      </c>
      <c r="D1779" t="s">
        <v>30</v>
      </c>
      <c r="E1779" t="s">
        <v>151</v>
      </c>
      <c r="F1779" t="s">
        <v>22</v>
      </c>
      <c r="G1779" t="s">
        <v>18</v>
      </c>
      <c r="H1779" s="3">
        <v>7</v>
      </c>
      <c r="I1779" s="3">
        <v>8540</v>
      </c>
      <c r="J1779" s="3">
        <v>59780</v>
      </c>
      <c r="K1779" s="3">
        <v>7000</v>
      </c>
      <c r="L1779" s="3">
        <v>49000</v>
      </c>
      <c r="M1779" s="3">
        <v>10780</v>
      </c>
      <c r="N1779" s="4">
        <v>0.18032786885245902</v>
      </c>
    </row>
    <row r="1780" spans="1:14" x14ac:dyDescent="0.3">
      <c r="A1780" s="6">
        <v>45785</v>
      </c>
      <c r="B1780" s="1" t="s">
        <v>1964</v>
      </c>
      <c r="C1780" s="1" t="s">
        <v>29</v>
      </c>
      <c r="D1780" t="s">
        <v>34</v>
      </c>
      <c r="E1780" t="s">
        <v>361</v>
      </c>
      <c r="F1780" t="s">
        <v>23</v>
      </c>
      <c r="G1780" t="s">
        <v>25</v>
      </c>
      <c r="H1780" s="3">
        <v>8</v>
      </c>
      <c r="I1780" s="3">
        <v>4000</v>
      </c>
      <c r="J1780" s="3">
        <v>32000</v>
      </c>
      <c r="K1780" s="3">
        <v>3200</v>
      </c>
      <c r="L1780" s="3">
        <v>25600</v>
      </c>
      <c r="M1780" s="3">
        <v>6400</v>
      </c>
      <c r="N1780" s="4">
        <v>0.2</v>
      </c>
    </row>
    <row r="1781" spans="1:14" x14ac:dyDescent="0.3">
      <c r="A1781" s="6">
        <v>45785</v>
      </c>
      <c r="B1781" s="1" t="s">
        <v>1965</v>
      </c>
      <c r="C1781" s="1" t="s">
        <v>27</v>
      </c>
      <c r="D1781" t="s">
        <v>35</v>
      </c>
      <c r="E1781" t="s">
        <v>78</v>
      </c>
      <c r="F1781" t="s">
        <v>21</v>
      </c>
      <c r="G1781" t="s">
        <v>20</v>
      </c>
      <c r="H1781" s="3">
        <v>9</v>
      </c>
      <c r="I1781" s="3">
        <v>804</v>
      </c>
      <c r="J1781" s="3">
        <v>7236</v>
      </c>
      <c r="K1781" s="3">
        <v>600</v>
      </c>
      <c r="L1781" s="3">
        <v>5400</v>
      </c>
      <c r="M1781" s="3">
        <v>1836</v>
      </c>
      <c r="N1781" s="4">
        <v>0.2537313432835821</v>
      </c>
    </row>
    <row r="1782" spans="1:14" x14ac:dyDescent="0.3">
      <c r="A1782" s="6">
        <v>45785</v>
      </c>
      <c r="B1782" s="1" t="s">
        <v>1966</v>
      </c>
      <c r="C1782" s="1" t="s">
        <v>27</v>
      </c>
      <c r="D1782" t="s">
        <v>31</v>
      </c>
      <c r="E1782" t="s">
        <v>108</v>
      </c>
      <c r="F1782" t="s">
        <v>14</v>
      </c>
      <c r="G1782" t="s">
        <v>15</v>
      </c>
      <c r="H1782" s="3">
        <v>3</v>
      </c>
      <c r="I1782" s="3">
        <v>59400</v>
      </c>
      <c r="J1782" s="3">
        <v>178200</v>
      </c>
      <c r="K1782" s="3">
        <v>45000</v>
      </c>
      <c r="L1782" s="3">
        <v>135000</v>
      </c>
      <c r="M1782" s="3">
        <v>43200</v>
      </c>
      <c r="N1782" s="4">
        <v>0.24242424242424243</v>
      </c>
    </row>
    <row r="1783" spans="1:14" x14ac:dyDescent="0.3">
      <c r="A1783" s="6">
        <v>45785</v>
      </c>
      <c r="B1783" s="1" t="s">
        <v>1967</v>
      </c>
      <c r="C1783" s="1" t="s">
        <v>27</v>
      </c>
      <c r="D1783" t="s">
        <v>31</v>
      </c>
      <c r="E1783" t="s">
        <v>100</v>
      </c>
      <c r="F1783" t="s">
        <v>23</v>
      </c>
      <c r="G1783" t="s">
        <v>25</v>
      </c>
      <c r="H1783" s="3">
        <v>9</v>
      </c>
      <c r="I1783" s="3">
        <v>4128</v>
      </c>
      <c r="J1783" s="3">
        <v>37152</v>
      </c>
      <c r="K1783" s="3">
        <v>3200</v>
      </c>
      <c r="L1783" s="3">
        <v>28800</v>
      </c>
      <c r="M1783" s="3">
        <v>8352</v>
      </c>
      <c r="N1783" s="4">
        <v>0.22480620155038761</v>
      </c>
    </row>
    <row r="1784" spans="1:14" x14ac:dyDescent="0.3">
      <c r="A1784" s="6">
        <v>45785</v>
      </c>
      <c r="B1784" s="1" t="s">
        <v>1968</v>
      </c>
      <c r="C1784" s="1" t="s">
        <v>27</v>
      </c>
      <c r="D1784" t="s">
        <v>34</v>
      </c>
      <c r="E1784" t="s">
        <v>92</v>
      </c>
      <c r="F1784" t="s">
        <v>19</v>
      </c>
      <c r="G1784" t="s">
        <v>20</v>
      </c>
      <c r="H1784" s="3">
        <v>6</v>
      </c>
      <c r="I1784" s="3">
        <v>1179</v>
      </c>
      <c r="J1784" s="3">
        <v>7074</v>
      </c>
      <c r="K1784" s="3">
        <v>900</v>
      </c>
      <c r="L1784" s="3">
        <v>5400</v>
      </c>
      <c r="M1784" s="3">
        <v>1674</v>
      </c>
      <c r="N1784" s="4">
        <v>0.23664122137404581</v>
      </c>
    </row>
    <row r="1785" spans="1:14" x14ac:dyDescent="0.3">
      <c r="A1785" s="6">
        <v>45785</v>
      </c>
      <c r="B1785" s="1" t="s">
        <v>1969</v>
      </c>
      <c r="C1785" s="1" t="s">
        <v>26</v>
      </c>
      <c r="D1785" t="s">
        <v>30</v>
      </c>
      <c r="E1785" t="s">
        <v>108</v>
      </c>
      <c r="F1785" t="s">
        <v>21</v>
      </c>
      <c r="G1785" t="s">
        <v>20</v>
      </c>
      <c r="H1785" s="3">
        <v>7</v>
      </c>
      <c r="I1785" s="3">
        <v>720</v>
      </c>
      <c r="J1785" s="3">
        <v>5040</v>
      </c>
      <c r="K1785" s="3">
        <v>600</v>
      </c>
      <c r="L1785" s="3">
        <v>4200</v>
      </c>
      <c r="M1785" s="3">
        <v>840</v>
      </c>
      <c r="N1785" s="4">
        <v>0.16666666666666666</v>
      </c>
    </row>
    <row r="1786" spans="1:14" x14ac:dyDescent="0.3">
      <c r="A1786" s="6">
        <v>45785</v>
      </c>
      <c r="B1786" s="1" t="s">
        <v>1970</v>
      </c>
      <c r="C1786" s="1" t="s">
        <v>28</v>
      </c>
      <c r="D1786" t="s">
        <v>30</v>
      </c>
      <c r="E1786" t="s">
        <v>124</v>
      </c>
      <c r="F1786" t="s">
        <v>22</v>
      </c>
      <c r="G1786" t="s">
        <v>18</v>
      </c>
      <c r="H1786" s="3">
        <v>2</v>
      </c>
      <c r="I1786" s="3">
        <v>9170</v>
      </c>
      <c r="J1786" s="3">
        <v>18340</v>
      </c>
      <c r="K1786" s="3">
        <v>7000</v>
      </c>
      <c r="L1786" s="3">
        <v>14000</v>
      </c>
      <c r="M1786" s="3">
        <v>4340</v>
      </c>
      <c r="N1786" s="4">
        <v>0.23664122137404581</v>
      </c>
    </row>
    <row r="1787" spans="1:14" x14ac:dyDescent="0.3">
      <c r="A1787" s="6">
        <v>45785</v>
      </c>
      <c r="B1787" s="1" t="s">
        <v>1971</v>
      </c>
      <c r="C1787" s="1" t="s">
        <v>26</v>
      </c>
      <c r="D1787" t="s">
        <v>33</v>
      </c>
      <c r="E1787" t="s">
        <v>157</v>
      </c>
      <c r="F1787" t="s">
        <v>24</v>
      </c>
      <c r="G1787" t="s">
        <v>25</v>
      </c>
      <c r="H1787" s="3">
        <v>2</v>
      </c>
      <c r="I1787" s="3">
        <v>3175</v>
      </c>
      <c r="J1787" s="3">
        <v>6350</v>
      </c>
      <c r="K1787" s="3">
        <v>2500</v>
      </c>
      <c r="L1787" s="3">
        <v>5000</v>
      </c>
      <c r="M1787" s="3">
        <v>1350</v>
      </c>
      <c r="N1787" s="4">
        <v>0.2125984251968504</v>
      </c>
    </row>
    <row r="1788" spans="1:14" x14ac:dyDescent="0.3">
      <c r="A1788" s="6">
        <v>45785</v>
      </c>
      <c r="B1788" s="1" t="s">
        <v>1972</v>
      </c>
      <c r="C1788" s="1" t="s">
        <v>27</v>
      </c>
      <c r="D1788" t="s">
        <v>30</v>
      </c>
      <c r="E1788" t="s">
        <v>184</v>
      </c>
      <c r="F1788" t="s">
        <v>24</v>
      </c>
      <c r="G1788" t="s">
        <v>25</v>
      </c>
      <c r="H1788" s="3">
        <v>6</v>
      </c>
      <c r="I1788" s="3">
        <v>3125</v>
      </c>
      <c r="J1788" s="3">
        <v>18750</v>
      </c>
      <c r="K1788" s="3">
        <v>2500</v>
      </c>
      <c r="L1788" s="3">
        <v>15000</v>
      </c>
      <c r="M1788" s="3">
        <v>3750</v>
      </c>
      <c r="N1788" s="4">
        <v>0.2</v>
      </c>
    </row>
    <row r="1789" spans="1:14" x14ac:dyDescent="0.3">
      <c r="A1789" s="6">
        <v>45785</v>
      </c>
      <c r="B1789" s="1" t="s">
        <v>1973</v>
      </c>
      <c r="C1789" s="1" t="s">
        <v>28</v>
      </c>
      <c r="D1789" t="s">
        <v>35</v>
      </c>
      <c r="E1789" t="s">
        <v>139</v>
      </c>
      <c r="F1789" t="s">
        <v>21</v>
      </c>
      <c r="G1789" t="s">
        <v>20</v>
      </c>
      <c r="H1789" s="3">
        <v>4</v>
      </c>
      <c r="I1789" s="3">
        <v>768</v>
      </c>
      <c r="J1789" s="3">
        <v>3072</v>
      </c>
      <c r="K1789" s="3">
        <v>600</v>
      </c>
      <c r="L1789" s="3">
        <v>2400</v>
      </c>
      <c r="M1789" s="3">
        <v>672</v>
      </c>
      <c r="N1789" s="4">
        <v>0.21875</v>
      </c>
    </row>
    <row r="1790" spans="1:14" x14ac:dyDescent="0.3">
      <c r="A1790" s="6">
        <v>45785</v>
      </c>
      <c r="B1790" s="1" t="s">
        <v>1974</v>
      </c>
      <c r="C1790" s="1" t="s">
        <v>27</v>
      </c>
      <c r="D1790" t="s">
        <v>33</v>
      </c>
      <c r="E1790" t="s">
        <v>427</v>
      </c>
      <c r="F1790" t="s">
        <v>22</v>
      </c>
      <c r="G1790" t="s">
        <v>18</v>
      </c>
      <c r="H1790" s="3">
        <v>2</v>
      </c>
      <c r="I1790" s="3">
        <v>8470</v>
      </c>
      <c r="J1790" s="3">
        <v>16940</v>
      </c>
      <c r="K1790" s="3">
        <v>7000</v>
      </c>
      <c r="L1790" s="3">
        <v>14000</v>
      </c>
      <c r="M1790" s="3">
        <v>2940</v>
      </c>
      <c r="N1790" s="4">
        <v>0.17355371900826447</v>
      </c>
    </row>
    <row r="1791" spans="1:14" x14ac:dyDescent="0.3">
      <c r="A1791" s="6">
        <v>45785</v>
      </c>
      <c r="B1791" s="1" t="s">
        <v>1975</v>
      </c>
      <c r="C1791" s="1" t="s">
        <v>28</v>
      </c>
      <c r="D1791" t="s">
        <v>32</v>
      </c>
      <c r="E1791" t="s">
        <v>180</v>
      </c>
      <c r="F1791" t="s">
        <v>16</v>
      </c>
      <c r="G1791" t="s">
        <v>15</v>
      </c>
      <c r="H1791" s="3">
        <v>9</v>
      </c>
      <c r="I1791" s="3">
        <v>53960</v>
      </c>
      <c r="J1791" s="3">
        <v>485640</v>
      </c>
      <c r="K1791" s="3">
        <v>38000</v>
      </c>
      <c r="L1791" s="3">
        <v>342000</v>
      </c>
      <c r="M1791" s="3">
        <v>143640</v>
      </c>
      <c r="N1791" s="4">
        <v>0.29577464788732394</v>
      </c>
    </row>
    <row r="1792" spans="1:14" x14ac:dyDescent="0.3">
      <c r="A1792" s="6">
        <v>45786</v>
      </c>
      <c r="B1792" s="1" t="s">
        <v>1976</v>
      </c>
      <c r="C1792" s="1" t="s">
        <v>28</v>
      </c>
      <c r="D1792" t="s">
        <v>32</v>
      </c>
      <c r="E1792" t="s">
        <v>108</v>
      </c>
      <c r="F1792" t="s">
        <v>16</v>
      </c>
      <c r="G1792" t="s">
        <v>15</v>
      </c>
      <c r="H1792" s="3">
        <v>10</v>
      </c>
      <c r="I1792" s="3">
        <v>50920</v>
      </c>
      <c r="J1792" s="3">
        <v>509200</v>
      </c>
      <c r="K1792" s="3">
        <v>38000</v>
      </c>
      <c r="L1792" s="3">
        <v>380000</v>
      </c>
      <c r="M1792" s="3">
        <v>129200</v>
      </c>
      <c r="N1792" s="4">
        <v>0.2537313432835821</v>
      </c>
    </row>
    <row r="1793" spans="1:14" x14ac:dyDescent="0.3">
      <c r="A1793" s="6">
        <v>45786</v>
      </c>
      <c r="B1793" s="1" t="s">
        <v>1977</v>
      </c>
      <c r="C1793" s="1" t="s">
        <v>28</v>
      </c>
      <c r="D1793" t="s">
        <v>32</v>
      </c>
      <c r="E1793" t="s">
        <v>204</v>
      </c>
      <c r="F1793" t="s">
        <v>19</v>
      </c>
      <c r="G1793" t="s">
        <v>20</v>
      </c>
      <c r="H1793" s="3">
        <v>2</v>
      </c>
      <c r="I1793" s="3">
        <v>1080</v>
      </c>
      <c r="J1793" s="3">
        <v>2160</v>
      </c>
      <c r="K1793" s="3">
        <v>900</v>
      </c>
      <c r="L1793" s="3">
        <v>1800</v>
      </c>
      <c r="M1793" s="3">
        <v>360</v>
      </c>
      <c r="N1793" s="4">
        <v>0.16666666666666666</v>
      </c>
    </row>
    <row r="1794" spans="1:14" x14ac:dyDescent="0.3">
      <c r="A1794" s="6">
        <v>45786</v>
      </c>
      <c r="B1794" s="1" t="s">
        <v>1978</v>
      </c>
      <c r="C1794" s="1" t="s">
        <v>29</v>
      </c>
      <c r="D1794" t="s">
        <v>30</v>
      </c>
      <c r="E1794" t="s">
        <v>126</v>
      </c>
      <c r="F1794" t="s">
        <v>16</v>
      </c>
      <c r="G1794" t="s">
        <v>15</v>
      </c>
      <c r="H1794" s="3">
        <v>4</v>
      </c>
      <c r="I1794" s="3">
        <v>52439.999999999993</v>
      </c>
      <c r="J1794" s="3">
        <v>209759.99999999997</v>
      </c>
      <c r="K1794" s="3">
        <v>38000</v>
      </c>
      <c r="L1794" s="3">
        <v>152000</v>
      </c>
      <c r="M1794" s="3">
        <v>57759.999999999971</v>
      </c>
      <c r="N1794" s="4">
        <v>0.2753623188405796</v>
      </c>
    </row>
    <row r="1795" spans="1:14" x14ac:dyDescent="0.3">
      <c r="A1795" s="6">
        <v>45786</v>
      </c>
      <c r="B1795" s="1" t="s">
        <v>1979</v>
      </c>
      <c r="C1795" s="1" t="s">
        <v>26</v>
      </c>
      <c r="D1795" t="s">
        <v>33</v>
      </c>
      <c r="E1795" t="s">
        <v>39</v>
      </c>
      <c r="F1795" t="s">
        <v>22</v>
      </c>
      <c r="G1795" t="s">
        <v>18</v>
      </c>
      <c r="H1795" s="3">
        <v>10</v>
      </c>
      <c r="I1795" s="3">
        <v>8680</v>
      </c>
      <c r="J1795" s="3">
        <v>86800</v>
      </c>
      <c r="K1795" s="3">
        <v>7000</v>
      </c>
      <c r="L1795" s="3">
        <v>70000</v>
      </c>
      <c r="M1795" s="3">
        <v>16800</v>
      </c>
      <c r="N1795" s="4">
        <v>0.19354838709677419</v>
      </c>
    </row>
    <row r="1796" spans="1:14" x14ac:dyDescent="0.3">
      <c r="A1796" s="6">
        <v>45786</v>
      </c>
      <c r="B1796" s="1" t="s">
        <v>1980</v>
      </c>
      <c r="C1796" s="1" t="s">
        <v>29</v>
      </c>
      <c r="D1796" t="s">
        <v>33</v>
      </c>
      <c r="E1796" t="s">
        <v>159</v>
      </c>
      <c r="F1796" t="s">
        <v>19</v>
      </c>
      <c r="G1796" t="s">
        <v>20</v>
      </c>
      <c r="H1796" s="3">
        <v>10</v>
      </c>
      <c r="I1796" s="3">
        <v>1242</v>
      </c>
      <c r="J1796" s="3">
        <v>12420</v>
      </c>
      <c r="K1796" s="3">
        <v>900</v>
      </c>
      <c r="L1796" s="3">
        <v>9000</v>
      </c>
      <c r="M1796" s="3">
        <v>3420</v>
      </c>
      <c r="N1796" s="4">
        <v>0.27536231884057971</v>
      </c>
    </row>
    <row r="1797" spans="1:14" x14ac:dyDescent="0.3">
      <c r="A1797" s="6">
        <v>45786</v>
      </c>
      <c r="B1797" s="1" t="s">
        <v>1981</v>
      </c>
      <c r="C1797" s="1" t="s">
        <v>28</v>
      </c>
      <c r="D1797" t="s">
        <v>35</v>
      </c>
      <c r="E1797" t="s">
        <v>310</v>
      </c>
      <c r="F1797" t="s">
        <v>16</v>
      </c>
      <c r="G1797" t="s">
        <v>15</v>
      </c>
      <c r="H1797" s="3">
        <v>9</v>
      </c>
      <c r="I1797" s="3">
        <v>50920</v>
      </c>
      <c r="J1797" s="3">
        <v>458280</v>
      </c>
      <c r="K1797" s="3">
        <v>38000</v>
      </c>
      <c r="L1797" s="3">
        <v>342000</v>
      </c>
      <c r="M1797" s="3">
        <v>116280</v>
      </c>
      <c r="N1797" s="4">
        <v>0.2537313432835821</v>
      </c>
    </row>
    <row r="1798" spans="1:14" x14ac:dyDescent="0.3">
      <c r="A1798" s="6">
        <v>45786</v>
      </c>
      <c r="B1798" s="1" t="s">
        <v>1982</v>
      </c>
      <c r="C1798" s="1" t="s">
        <v>27</v>
      </c>
      <c r="D1798" t="s">
        <v>35</v>
      </c>
      <c r="E1798" t="s">
        <v>124</v>
      </c>
      <c r="F1798" t="s">
        <v>14</v>
      </c>
      <c r="G1798" t="s">
        <v>15</v>
      </c>
      <c r="H1798" s="3">
        <v>6</v>
      </c>
      <c r="I1798" s="3">
        <v>65250</v>
      </c>
      <c r="J1798" s="3">
        <v>391500</v>
      </c>
      <c r="K1798" s="3">
        <v>45000</v>
      </c>
      <c r="L1798" s="3">
        <v>270000</v>
      </c>
      <c r="M1798" s="3">
        <v>121500</v>
      </c>
      <c r="N1798" s="4">
        <v>0.31034482758620691</v>
      </c>
    </row>
    <row r="1799" spans="1:14" x14ac:dyDescent="0.3">
      <c r="A1799" s="6">
        <v>45786</v>
      </c>
      <c r="B1799" s="1" t="s">
        <v>1983</v>
      </c>
      <c r="C1799" s="1" t="s">
        <v>28</v>
      </c>
      <c r="D1799" t="s">
        <v>30</v>
      </c>
      <c r="E1799" t="s">
        <v>442</v>
      </c>
      <c r="F1799" t="s">
        <v>22</v>
      </c>
      <c r="G1799" t="s">
        <v>18</v>
      </c>
      <c r="H1799" s="3">
        <v>2</v>
      </c>
      <c r="I1799" s="3">
        <v>8680</v>
      </c>
      <c r="J1799" s="3">
        <v>17360</v>
      </c>
      <c r="K1799" s="3">
        <v>7000</v>
      </c>
      <c r="L1799" s="3">
        <v>14000</v>
      </c>
      <c r="M1799" s="3">
        <v>3360</v>
      </c>
      <c r="N1799" s="4">
        <v>0.19354838709677419</v>
      </c>
    </row>
    <row r="1800" spans="1:14" x14ac:dyDescent="0.3">
      <c r="A1800" s="6">
        <v>45786</v>
      </c>
      <c r="B1800" s="1" t="s">
        <v>1984</v>
      </c>
      <c r="C1800" s="1" t="s">
        <v>29</v>
      </c>
      <c r="D1800" t="s">
        <v>35</v>
      </c>
      <c r="E1800" t="s">
        <v>67</v>
      </c>
      <c r="F1800" t="s">
        <v>17</v>
      </c>
      <c r="G1800" t="s">
        <v>18</v>
      </c>
      <c r="H1800" s="3">
        <v>2</v>
      </c>
      <c r="I1800" s="3">
        <v>11559.999999999998</v>
      </c>
      <c r="J1800" s="3">
        <v>23119.999999999996</v>
      </c>
      <c r="K1800" s="3">
        <v>8500</v>
      </c>
      <c r="L1800" s="3">
        <v>17000</v>
      </c>
      <c r="M1800" s="3">
        <v>6119.9999999999964</v>
      </c>
      <c r="N1800" s="4">
        <v>0.26470588235294107</v>
      </c>
    </row>
    <row r="1801" spans="1:14" x14ac:dyDescent="0.3">
      <c r="A1801" s="6">
        <v>45786</v>
      </c>
      <c r="B1801" s="1" t="s">
        <v>1985</v>
      </c>
      <c r="C1801" s="1" t="s">
        <v>29</v>
      </c>
      <c r="D1801" t="s">
        <v>33</v>
      </c>
      <c r="E1801" t="s">
        <v>39</v>
      </c>
      <c r="F1801" t="s">
        <v>14</v>
      </c>
      <c r="G1801" t="s">
        <v>15</v>
      </c>
      <c r="H1801" s="3">
        <v>3</v>
      </c>
      <c r="I1801" s="3">
        <v>63900</v>
      </c>
      <c r="J1801" s="3">
        <v>191700</v>
      </c>
      <c r="K1801" s="3">
        <v>45000</v>
      </c>
      <c r="L1801" s="3">
        <v>135000</v>
      </c>
      <c r="M1801" s="3">
        <v>56700</v>
      </c>
      <c r="N1801" s="4">
        <v>0.29577464788732394</v>
      </c>
    </row>
    <row r="1802" spans="1:14" x14ac:dyDescent="0.3">
      <c r="A1802" s="6">
        <v>45786</v>
      </c>
      <c r="B1802" s="1" t="s">
        <v>1986</v>
      </c>
      <c r="C1802" s="1" t="s">
        <v>27</v>
      </c>
      <c r="D1802" t="s">
        <v>30</v>
      </c>
      <c r="E1802" t="s">
        <v>236</v>
      </c>
      <c r="F1802" t="s">
        <v>19</v>
      </c>
      <c r="G1802" t="s">
        <v>20</v>
      </c>
      <c r="H1802" s="3">
        <v>4</v>
      </c>
      <c r="I1802" s="3">
        <v>1134</v>
      </c>
      <c r="J1802" s="3">
        <v>4536</v>
      </c>
      <c r="K1802" s="3">
        <v>900</v>
      </c>
      <c r="L1802" s="3">
        <v>3600</v>
      </c>
      <c r="M1802" s="3">
        <v>936</v>
      </c>
      <c r="N1802" s="4">
        <v>0.20634920634920634</v>
      </c>
    </row>
    <row r="1803" spans="1:14" x14ac:dyDescent="0.3">
      <c r="A1803" s="6">
        <v>45786</v>
      </c>
      <c r="B1803" s="1" t="s">
        <v>1987</v>
      </c>
      <c r="C1803" s="1" t="s">
        <v>29</v>
      </c>
      <c r="D1803" t="s">
        <v>34</v>
      </c>
      <c r="E1803" t="s">
        <v>371</v>
      </c>
      <c r="F1803" t="s">
        <v>16</v>
      </c>
      <c r="G1803" t="s">
        <v>15</v>
      </c>
      <c r="H1803" s="3">
        <v>8</v>
      </c>
      <c r="I1803" s="3">
        <v>54720</v>
      </c>
      <c r="J1803" s="3">
        <v>437760</v>
      </c>
      <c r="K1803" s="3">
        <v>38000</v>
      </c>
      <c r="L1803" s="3">
        <v>304000</v>
      </c>
      <c r="M1803" s="3">
        <v>133760</v>
      </c>
      <c r="N1803" s="4">
        <v>0.30555555555555558</v>
      </c>
    </row>
    <row r="1804" spans="1:14" x14ac:dyDescent="0.3">
      <c r="A1804" s="6">
        <v>45786</v>
      </c>
      <c r="B1804" s="1" t="s">
        <v>1988</v>
      </c>
      <c r="C1804" s="1" t="s">
        <v>27</v>
      </c>
      <c r="D1804" t="s">
        <v>31</v>
      </c>
      <c r="E1804" t="s">
        <v>411</v>
      </c>
      <c r="F1804" t="s">
        <v>22</v>
      </c>
      <c r="G1804" t="s">
        <v>18</v>
      </c>
      <c r="H1804" s="3">
        <v>4</v>
      </c>
      <c r="I1804" s="3">
        <v>9170</v>
      </c>
      <c r="J1804" s="3">
        <v>36680</v>
      </c>
      <c r="K1804" s="3">
        <v>7000</v>
      </c>
      <c r="L1804" s="3">
        <v>28000</v>
      </c>
      <c r="M1804" s="3">
        <v>8680</v>
      </c>
      <c r="N1804" s="4">
        <v>0.23664122137404581</v>
      </c>
    </row>
    <row r="1805" spans="1:14" x14ac:dyDescent="0.3">
      <c r="A1805" s="6">
        <v>45786</v>
      </c>
      <c r="B1805" s="1" t="s">
        <v>1989</v>
      </c>
      <c r="C1805" s="1" t="s">
        <v>28</v>
      </c>
      <c r="D1805" t="s">
        <v>30</v>
      </c>
      <c r="E1805" t="s">
        <v>442</v>
      </c>
      <c r="F1805" t="s">
        <v>14</v>
      </c>
      <c r="G1805" t="s">
        <v>15</v>
      </c>
      <c r="H1805" s="3">
        <v>6</v>
      </c>
      <c r="I1805" s="3">
        <v>61199.999999999993</v>
      </c>
      <c r="J1805" s="3">
        <v>367199.99999999994</v>
      </c>
      <c r="K1805" s="3">
        <v>45000</v>
      </c>
      <c r="L1805" s="3">
        <v>270000</v>
      </c>
      <c r="M1805" s="3">
        <v>97199.999999999942</v>
      </c>
      <c r="N1805" s="4">
        <v>0.26470588235294107</v>
      </c>
    </row>
    <row r="1806" spans="1:14" x14ac:dyDescent="0.3">
      <c r="A1806" s="6">
        <v>45787</v>
      </c>
      <c r="B1806" s="1" t="s">
        <v>1990</v>
      </c>
      <c r="C1806" s="1" t="s">
        <v>26</v>
      </c>
      <c r="D1806" t="s">
        <v>32</v>
      </c>
      <c r="E1806" t="s">
        <v>78</v>
      </c>
      <c r="F1806" t="s">
        <v>24</v>
      </c>
      <c r="G1806" t="s">
        <v>25</v>
      </c>
      <c r="H1806" s="3">
        <v>5</v>
      </c>
      <c r="I1806" s="3">
        <v>3200</v>
      </c>
      <c r="J1806" s="3">
        <v>16000</v>
      </c>
      <c r="K1806" s="3">
        <v>2500</v>
      </c>
      <c r="L1806" s="3">
        <v>12500</v>
      </c>
      <c r="M1806" s="3">
        <v>3500</v>
      </c>
      <c r="N1806" s="4">
        <v>0.21875</v>
      </c>
    </row>
    <row r="1807" spans="1:14" x14ac:dyDescent="0.3">
      <c r="A1807" s="6">
        <v>45787</v>
      </c>
      <c r="B1807" s="1" t="s">
        <v>1991</v>
      </c>
      <c r="C1807" s="1" t="s">
        <v>27</v>
      </c>
      <c r="D1807" t="s">
        <v>35</v>
      </c>
      <c r="E1807" t="s">
        <v>286</v>
      </c>
      <c r="F1807" t="s">
        <v>16</v>
      </c>
      <c r="G1807" t="s">
        <v>15</v>
      </c>
      <c r="H1807" s="3">
        <v>8</v>
      </c>
      <c r="I1807" s="3">
        <v>50540</v>
      </c>
      <c r="J1807" s="3">
        <v>404320</v>
      </c>
      <c r="K1807" s="3">
        <v>38000</v>
      </c>
      <c r="L1807" s="3">
        <v>304000</v>
      </c>
      <c r="M1807" s="3">
        <v>100320</v>
      </c>
      <c r="N1807" s="4">
        <v>0.24812030075187969</v>
      </c>
    </row>
    <row r="1808" spans="1:14" x14ac:dyDescent="0.3">
      <c r="A1808" s="6">
        <v>45787</v>
      </c>
      <c r="B1808" s="1" t="s">
        <v>1992</v>
      </c>
      <c r="C1808" s="1" t="s">
        <v>27</v>
      </c>
      <c r="D1808" t="s">
        <v>35</v>
      </c>
      <c r="E1808" t="s">
        <v>175</v>
      </c>
      <c r="F1808" t="s">
        <v>14</v>
      </c>
      <c r="G1808" t="s">
        <v>15</v>
      </c>
      <c r="H1808" s="3">
        <v>4</v>
      </c>
      <c r="I1808" s="3">
        <v>54450</v>
      </c>
      <c r="J1808" s="3">
        <v>217800</v>
      </c>
      <c r="K1808" s="3">
        <v>45000</v>
      </c>
      <c r="L1808" s="3">
        <v>180000</v>
      </c>
      <c r="M1808" s="3">
        <v>37800</v>
      </c>
      <c r="N1808" s="4">
        <v>0.17355371900826447</v>
      </c>
    </row>
    <row r="1809" spans="1:14" x14ac:dyDescent="0.3">
      <c r="A1809" s="6">
        <v>45787</v>
      </c>
      <c r="B1809" s="1" t="s">
        <v>1993</v>
      </c>
      <c r="C1809" s="1" t="s">
        <v>28</v>
      </c>
      <c r="D1809" t="s">
        <v>35</v>
      </c>
      <c r="E1809" t="s">
        <v>369</v>
      </c>
      <c r="F1809" t="s">
        <v>23</v>
      </c>
      <c r="G1809" t="s">
        <v>25</v>
      </c>
      <c r="H1809" s="3">
        <v>1</v>
      </c>
      <c r="I1809" s="3">
        <v>4096</v>
      </c>
      <c r="J1809" s="3">
        <v>4096</v>
      </c>
      <c r="K1809" s="3">
        <v>3200</v>
      </c>
      <c r="L1809" s="3">
        <v>3200</v>
      </c>
      <c r="M1809" s="3">
        <v>896</v>
      </c>
      <c r="N1809" s="4">
        <v>0.21875</v>
      </c>
    </row>
    <row r="1810" spans="1:14" x14ac:dyDescent="0.3">
      <c r="A1810" s="6">
        <v>45787</v>
      </c>
      <c r="B1810" s="1" t="s">
        <v>1994</v>
      </c>
      <c r="C1810" s="1" t="s">
        <v>29</v>
      </c>
      <c r="D1810" t="s">
        <v>33</v>
      </c>
      <c r="E1810" t="s">
        <v>94</v>
      </c>
      <c r="F1810" t="s">
        <v>21</v>
      </c>
      <c r="G1810" t="s">
        <v>20</v>
      </c>
      <c r="H1810" s="3">
        <v>6</v>
      </c>
      <c r="I1810" s="3">
        <v>870</v>
      </c>
      <c r="J1810" s="3">
        <v>5220</v>
      </c>
      <c r="K1810" s="3">
        <v>600</v>
      </c>
      <c r="L1810" s="3">
        <v>3600</v>
      </c>
      <c r="M1810" s="3">
        <v>1620</v>
      </c>
      <c r="N1810" s="4">
        <v>0.31034482758620691</v>
      </c>
    </row>
    <row r="1811" spans="1:14" x14ac:dyDescent="0.3">
      <c r="A1811" s="6">
        <v>45787</v>
      </c>
      <c r="B1811" s="1" t="s">
        <v>1995</v>
      </c>
      <c r="C1811" s="1" t="s">
        <v>27</v>
      </c>
      <c r="D1811" t="s">
        <v>35</v>
      </c>
      <c r="E1811" t="s">
        <v>65</v>
      </c>
      <c r="F1811" t="s">
        <v>17</v>
      </c>
      <c r="G1811" t="s">
        <v>18</v>
      </c>
      <c r="H1811" s="3">
        <v>2</v>
      </c>
      <c r="I1811" s="3">
        <v>11645</v>
      </c>
      <c r="J1811" s="3">
        <v>23290</v>
      </c>
      <c r="K1811" s="3">
        <v>8500</v>
      </c>
      <c r="L1811" s="3">
        <v>17000</v>
      </c>
      <c r="M1811" s="3">
        <v>6290</v>
      </c>
      <c r="N1811" s="4">
        <v>0.27007299270072993</v>
      </c>
    </row>
    <row r="1812" spans="1:14" x14ac:dyDescent="0.3">
      <c r="A1812" s="6">
        <v>45787</v>
      </c>
      <c r="B1812" s="1" t="s">
        <v>1996</v>
      </c>
      <c r="C1812" s="1" t="s">
        <v>26</v>
      </c>
      <c r="D1812" t="s">
        <v>32</v>
      </c>
      <c r="E1812" t="s">
        <v>226</v>
      </c>
      <c r="F1812" t="s">
        <v>17</v>
      </c>
      <c r="G1812" t="s">
        <v>18</v>
      </c>
      <c r="H1812" s="3">
        <v>5</v>
      </c>
      <c r="I1812" s="3">
        <v>12240</v>
      </c>
      <c r="J1812" s="3">
        <v>61200</v>
      </c>
      <c r="K1812" s="3">
        <v>8500</v>
      </c>
      <c r="L1812" s="3">
        <v>42500</v>
      </c>
      <c r="M1812" s="3">
        <v>18700</v>
      </c>
      <c r="N1812" s="4">
        <v>0.30555555555555558</v>
      </c>
    </row>
    <row r="1813" spans="1:14" x14ac:dyDescent="0.3">
      <c r="A1813" s="6">
        <v>45787</v>
      </c>
      <c r="B1813" s="1" t="s">
        <v>1997</v>
      </c>
      <c r="C1813" s="1" t="s">
        <v>28</v>
      </c>
      <c r="D1813" t="s">
        <v>31</v>
      </c>
      <c r="E1813" t="s">
        <v>308</v>
      </c>
      <c r="F1813" t="s">
        <v>19</v>
      </c>
      <c r="G1813" t="s">
        <v>20</v>
      </c>
      <c r="H1813" s="3">
        <v>10</v>
      </c>
      <c r="I1813" s="3">
        <v>1305</v>
      </c>
      <c r="J1813" s="3">
        <v>13050</v>
      </c>
      <c r="K1813" s="3">
        <v>900</v>
      </c>
      <c r="L1813" s="3">
        <v>9000</v>
      </c>
      <c r="M1813" s="3">
        <v>4050</v>
      </c>
      <c r="N1813" s="4">
        <v>0.31034482758620691</v>
      </c>
    </row>
    <row r="1814" spans="1:14" x14ac:dyDescent="0.3">
      <c r="A1814" s="6">
        <v>45787</v>
      </c>
      <c r="B1814" s="1" t="s">
        <v>1998</v>
      </c>
      <c r="C1814" s="1" t="s">
        <v>28</v>
      </c>
      <c r="D1814" t="s">
        <v>32</v>
      </c>
      <c r="E1814" t="s">
        <v>153</v>
      </c>
      <c r="F1814" t="s">
        <v>19</v>
      </c>
      <c r="G1814" t="s">
        <v>20</v>
      </c>
      <c r="H1814" s="3">
        <v>5</v>
      </c>
      <c r="I1814" s="3">
        <v>1305</v>
      </c>
      <c r="J1814" s="3">
        <v>6525</v>
      </c>
      <c r="K1814" s="3">
        <v>900</v>
      </c>
      <c r="L1814" s="3">
        <v>4500</v>
      </c>
      <c r="M1814" s="3">
        <v>2025</v>
      </c>
      <c r="N1814" s="4">
        <v>0.31034482758620691</v>
      </c>
    </row>
    <row r="1815" spans="1:14" x14ac:dyDescent="0.3">
      <c r="A1815" s="6">
        <v>45787</v>
      </c>
      <c r="B1815" s="1" t="s">
        <v>1999</v>
      </c>
      <c r="C1815" s="1" t="s">
        <v>27</v>
      </c>
      <c r="D1815" t="s">
        <v>33</v>
      </c>
      <c r="E1815" t="s">
        <v>124</v>
      </c>
      <c r="F1815" t="s">
        <v>21</v>
      </c>
      <c r="G1815" t="s">
        <v>20</v>
      </c>
      <c r="H1815" s="3">
        <v>1</v>
      </c>
      <c r="I1815" s="3">
        <v>738</v>
      </c>
      <c r="J1815" s="3">
        <v>738</v>
      </c>
      <c r="K1815" s="3">
        <v>600</v>
      </c>
      <c r="L1815" s="3">
        <v>600</v>
      </c>
      <c r="M1815" s="3">
        <v>138</v>
      </c>
      <c r="N1815" s="4">
        <v>0.18699186991869918</v>
      </c>
    </row>
    <row r="1816" spans="1:14" x14ac:dyDescent="0.3">
      <c r="A1816" s="6">
        <v>45787</v>
      </c>
      <c r="B1816" s="1" t="s">
        <v>2000</v>
      </c>
      <c r="C1816" s="1" t="s">
        <v>27</v>
      </c>
      <c r="D1816" t="s">
        <v>35</v>
      </c>
      <c r="E1816" t="s">
        <v>357</v>
      </c>
      <c r="F1816" t="s">
        <v>17</v>
      </c>
      <c r="G1816" t="s">
        <v>18</v>
      </c>
      <c r="H1816" s="3">
        <v>9</v>
      </c>
      <c r="I1816" s="3">
        <v>10455</v>
      </c>
      <c r="J1816" s="3">
        <v>94095</v>
      </c>
      <c r="K1816" s="3">
        <v>8500</v>
      </c>
      <c r="L1816" s="3">
        <v>76500</v>
      </c>
      <c r="M1816" s="3">
        <v>17595</v>
      </c>
      <c r="N1816" s="4">
        <v>0.18699186991869918</v>
      </c>
    </row>
    <row r="1817" spans="1:14" x14ac:dyDescent="0.3">
      <c r="A1817" s="6">
        <v>45787</v>
      </c>
      <c r="B1817" s="1" t="s">
        <v>2001</v>
      </c>
      <c r="C1817" s="1" t="s">
        <v>26</v>
      </c>
      <c r="D1817" t="s">
        <v>35</v>
      </c>
      <c r="E1817" t="s">
        <v>189</v>
      </c>
      <c r="F1817" t="s">
        <v>17</v>
      </c>
      <c r="G1817" t="s">
        <v>18</v>
      </c>
      <c r="H1817" s="3">
        <v>8</v>
      </c>
      <c r="I1817" s="3">
        <v>12070</v>
      </c>
      <c r="J1817" s="3">
        <v>96560</v>
      </c>
      <c r="K1817" s="3">
        <v>8500</v>
      </c>
      <c r="L1817" s="3">
        <v>68000</v>
      </c>
      <c r="M1817" s="3">
        <v>28560</v>
      </c>
      <c r="N1817" s="4">
        <v>0.29577464788732394</v>
      </c>
    </row>
    <row r="1818" spans="1:14" x14ac:dyDescent="0.3">
      <c r="A1818" s="6">
        <v>45787</v>
      </c>
      <c r="B1818" s="1" t="s">
        <v>2002</v>
      </c>
      <c r="C1818" s="1" t="s">
        <v>29</v>
      </c>
      <c r="D1818" t="s">
        <v>34</v>
      </c>
      <c r="E1818" t="s">
        <v>321</v>
      </c>
      <c r="F1818" t="s">
        <v>24</v>
      </c>
      <c r="G1818" t="s">
        <v>25</v>
      </c>
      <c r="H1818" s="3">
        <v>3</v>
      </c>
      <c r="I1818" s="3">
        <v>3325</v>
      </c>
      <c r="J1818" s="3">
        <v>9975</v>
      </c>
      <c r="K1818" s="3">
        <v>2500</v>
      </c>
      <c r="L1818" s="3">
        <v>7500</v>
      </c>
      <c r="M1818" s="3">
        <v>2475</v>
      </c>
      <c r="N1818" s="4">
        <v>0.24812030075187969</v>
      </c>
    </row>
    <row r="1819" spans="1:14" x14ac:dyDescent="0.3">
      <c r="A1819" s="6">
        <v>45787</v>
      </c>
      <c r="B1819" s="1" t="s">
        <v>2003</v>
      </c>
      <c r="C1819" s="1" t="s">
        <v>27</v>
      </c>
      <c r="D1819" t="s">
        <v>30</v>
      </c>
      <c r="E1819" t="s">
        <v>935</v>
      </c>
      <c r="F1819" t="s">
        <v>19</v>
      </c>
      <c r="G1819" t="s">
        <v>20</v>
      </c>
      <c r="H1819" s="3">
        <v>7</v>
      </c>
      <c r="I1819" s="3">
        <v>1089</v>
      </c>
      <c r="J1819" s="3">
        <v>7623</v>
      </c>
      <c r="K1819" s="3">
        <v>900</v>
      </c>
      <c r="L1819" s="3">
        <v>6300</v>
      </c>
      <c r="M1819" s="3">
        <v>1323</v>
      </c>
      <c r="N1819" s="4">
        <v>0.17355371900826447</v>
      </c>
    </row>
    <row r="1820" spans="1:14" x14ac:dyDescent="0.3">
      <c r="A1820" s="6">
        <v>45788</v>
      </c>
      <c r="B1820" s="1" t="s">
        <v>2004</v>
      </c>
      <c r="C1820" s="1" t="s">
        <v>29</v>
      </c>
      <c r="D1820" t="s">
        <v>30</v>
      </c>
      <c r="E1820" t="s">
        <v>204</v>
      </c>
      <c r="F1820" t="s">
        <v>14</v>
      </c>
      <c r="G1820" t="s">
        <v>15</v>
      </c>
      <c r="H1820" s="3">
        <v>5</v>
      </c>
      <c r="I1820" s="3">
        <v>60300</v>
      </c>
      <c r="J1820" s="3">
        <v>301500</v>
      </c>
      <c r="K1820" s="3">
        <v>45000</v>
      </c>
      <c r="L1820" s="3">
        <v>225000</v>
      </c>
      <c r="M1820" s="3">
        <v>76500</v>
      </c>
      <c r="N1820" s="4">
        <v>0.2537313432835821</v>
      </c>
    </row>
    <row r="1821" spans="1:14" x14ac:dyDescent="0.3">
      <c r="A1821" s="6">
        <v>45788</v>
      </c>
      <c r="B1821" s="1" t="s">
        <v>2005</v>
      </c>
      <c r="C1821" s="1" t="s">
        <v>29</v>
      </c>
      <c r="D1821" t="s">
        <v>34</v>
      </c>
      <c r="E1821" t="s">
        <v>147</v>
      </c>
      <c r="F1821" t="s">
        <v>19</v>
      </c>
      <c r="G1821" t="s">
        <v>20</v>
      </c>
      <c r="H1821" s="3">
        <v>7</v>
      </c>
      <c r="I1821" s="3">
        <v>1206</v>
      </c>
      <c r="J1821" s="3">
        <v>8442</v>
      </c>
      <c r="K1821" s="3">
        <v>900</v>
      </c>
      <c r="L1821" s="3">
        <v>6300</v>
      </c>
      <c r="M1821" s="3">
        <v>2142</v>
      </c>
      <c r="N1821" s="4">
        <v>0.2537313432835821</v>
      </c>
    </row>
    <row r="1822" spans="1:14" x14ac:dyDescent="0.3">
      <c r="A1822" s="6">
        <v>45788</v>
      </c>
      <c r="B1822" s="1" t="s">
        <v>2006</v>
      </c>
      <c r="C1822" s="1" t="s">
        <v>27</v>
      </c>
      <c r="D1822" t="s">
        <v>34</v>
      </c>
      <c r="E1822" t="s">
        <v>180</v>
      </c>
      <c r="F1822" t="s">
        <v>22</v>
      </c>
      <c r="G1822" t="s">
        <v>18</v>
      </c>
      <c r="H1822" s="3">
        <v>4</v>
      </c>
      <c r="I1822" s="3">
        <v>10010</v>
      </c>
      <c r="J1822" s="3">
        <v>40040</v>
      </c>
      <c r="K1822" s="3">
        <v>7000</v>
      </c>
      <c r="L1822" s="3">
        <v>28000</v>
      </c>
      <c r="M1822" s="3">
        <v>12040</v>
      </c>
      <c r="N1822" s="4">
        <v>0.30069930069930068</v>
      </c>
    </row>
    <row r="1823" spans="1:14" x14ac:dyDescent="0.3">
      <c r="A1823" s="6">
        <v>45788</v>
      </c>
      <c r="B1823" s="1" t="s">
        <v>2007</v>
      </c>
      <c r="C1823" s="1" t="s">
        <v>26</v>
      </c>
      <c r="D1823" t="s">
        <v>35</v>
      </c>
      <c r="E1823" t="s">
        <v>198</v>
      </c>
      <c r="F1823" t="s">
        <v>23</v>
      </c>
      <c r="G1823" t="s">
        <v>25</v>
      </c>
      <c r="H1823" s="3">
        <v>6</v>
      </c>
      <c r="I1823" s="3">
        <v>3872</v>
      </c>
      <c r="J1823" s="3">
        <v>23232</v>
      </c>
      <c r="K1823" s="3">
        <v>3200</v>
      </c>
      <c r="L1823" s="3">
        <v>19200</v>
      </c>
      <c r="M1823" s="3">
        <v>4032</v>
      </c>
      <c r="N1823" s="4">
        <v>0.17355371900826447</v>
      </c>
    </row>
    <row r="1824" spans="1:14" x14ac:dyDescent="0.3">
      <c r="A1824" s="6">
        <v>45788</v>
      </c>
      <c r="B1824" s="1" t="s">
        <v>2008</v>
      </c>
      <c r="C1824" s="1" t="s">
        <v>26</v>
      </c>
      <c r="D1824" t="s">
        <v>35</v>
      </c>
      <c r="E1824" t="s">
        <v>263</v>
      </c>
      <c r="F1824" t="s">
        <v>19</v>
      </c>
      <c r="G1824" t="s">
        <v>20</v>
      </c>
      <c r="H1824" s="3">
        <v>1</v>
      </c>
      <c r="I1824" s="3">
        <v>1125</v>
      </c>
      <c r="J1824" s="3">
        <v>1125</v>
      </c>
      <c r="K1824" s="3">
        <v>900</v>
      </c>
      <c r="L1824" s="3">
        <v>900</v>
      </c>
      <c r="M1824" s="3">
        <v>225</v>
      </c>
      <c r="N1824" s="4">
        <v>0.2</v>
      </c>
    </row>
    <row r="1825" spans="1:14" x14ac:dyDescent="0.3">
      <c r="A1825" s="6">
        <v>45788</v>
      </c>
      <c r="B1825" s="1" t="s">
        <v>2009</v>
      </c>
      <c r="C1825" s="1" t="s">
        <v>28</v>
      </c>
      <c r="D1825" t="s">
        <v>31</v>
      </c>
      <c r="E1825" t="s">
        <v>41</v>
      </c>
      <c r="F1825" t="s">
        <v>23</v>
      </c>
      <c r="G1825" t="s">
        <v>25</v>
      </c>
      <c r="H1825" s="3">
        <v>2</v>
      </c>
      <c r="I1825" s="3">
        <v>4192</v>
      </c>
      <c r="J1825" s="3">
        <v>8384</v>
      </c>
      <c r="K1825" s="3">
        <v>3200</v>
      </c>
      <c r="L1825" s="3">
        <v>6400</v>
      </c>
      <c r="M1825" s="3">
        <v>1984</v>
      </c>
      <c r="N1825" s="4">
        <v>0.23664122137404581</v>
      </c>
    </row>
    <row r="1826" spans="1:14" x14ac:dyDescent="0.3">
      <c r="A1826" s="6">
        <v>45788</v>
      </c>
      <c r="B1826" s="1" t="s">
        <v>2010</v>
      </c>
      <c r="C1826" s="1" t="s">
        <v>28</v>
      </c>
      <c r="D1826" t="s">
        <v>35</v>
      </c>
      <c r="E1826" t="s">
        <v>228</v>
      </c>
      <c r="F1826" t="s">
        <v>16</v>
      </c>
      <c r="G1826" t="s">
        <v>15</v>
      </c>
      <c r="H1826" s="3">
        <v>2</v>
      </c>
      <c r="I1826" s="3">
        <v>46360</v>
      </c>
      <c r="J1826" s="3">
        <v>92720</v>
      </c>
      <c r="K1826" s="3">
        <v>38000</v>
      </c>
      <c r="L1826" s="3">
        <v>76000</v>
      </c>
      <c r="M1826" s="3">
        <v>16720</v>
      </c>
      <c r="N1826" s="4">
        <v>0.18032786885245902</v>
      </c>
    </row>
    <row r="1827" spans="1:14" x14ac:dyDescent="0.3">
      <c r="A1827" s="6">
        <v>45788</v>
      </c>
      <c r="B1827" s="1" t="s">
        <v>2011</v>
      </c>
      <c r="C1827" s="1" t="s">
        <v>28</v>
      </c>
      <c r="D1827" t="s">
        <v>30</v>
      </c>
      <c r="E1827" t="s">
        <v>204</v>
      </c>
      <c r="F1827" t="s">
        <v>16</v>
      </c>
      <c r="G1827" t="s">
        <v>15</v>
      </c>
      <c r="H1827" s="3">
        <v>5</v>
      </c>
      <c r="I1827" s="3">
        <v>49020</v>
      </c>
      <c r="J1827" s="3">
        <v>245100</v>
      </c>
      <c r="K1827" s="3">
        <v>38000</v>
      </c>
      <c r="L1827" s="3">
        <v>190000</v>
      </c>
      <c r="M1827" s="3">
        <v>55100</v>
      </c>
      <c r="N1827" s="4">
        <v>0.22480620155038761</v>
      </c>
    </row>
    <row r="1828" spans="1:14" x14ac:dyDescent="0.3">
      <c r="A1828" s="6">
        <v>45788</v>
      </c>
      <c r="B1828" s="1" t="s">
        <v>2012</v>
      </c>
      <c r="C1828" s="1" t="s">
        <v>28</v>
      </c>
      <c r="D1828" t="s">
        <v>32</v>
      </c>
      <c r="E1828" t="s">
        <v>548</v>
      </c>
      <c r="F1828" t="s">
        <v>16</v>
      </c>
      <c r="G1828" t="s">
        <v>15</v>
      </c>
      <c r="H1828" s="3">
        <v>6</v>
      </c>
      <c r="I1828" s="3">
        <v>52439.999999999993</v>
      </c>
      <c r="J1828" s="3">
        <v>314639.99999999994</v>
      </c>
      <c r="K1828" s="3">
        <v>38000</v>
      </c>
      <c r="L1828" s="3">
        <v>228000</v>
      </c>
      <c r="M1828" s="3">
        <v>86639.999999999942</v>
      </c>
      <c r="N1828" s="4">
        <v>0.2753623188405796</v>
      </c>
    </row>
    <row r="1829" spans="1:14" x14ac:dyDescent="0.3">
      <c r="A1829" s="6">
        <v>45788</v>
      </c>
      <c r="B1829" s="1" t="s">
        <v>2013</v>
      </c>
      <c r="C1829" s="1" t="s">
        <v>26</v>
      </c>
      <c r="D1829" t="s">
        <v>32</v>
      </c>
      <c r="E1829" t="s">
        <v>67</v>
      </c>
      <c r="F1829" t="s">
        <v>16</v>
      </c>
      <c r="G1829" t="s">
        <v>15</v>
      </c>
      <c r="H1829" s="3">
        <v>1</v>
      </c>
      <c r="I1829" s="3">
        <v>45600</v>
      </c>
      <c r="J1829" s="3">
        <v>45600</v>
      </c>
      <c r="K1829" s="3">
        <v>38000</v>
      </c>
      <c r="L1829" s="3">
        <v>38000</v>
      </c>
      <c r="M1829" s="3">
        <v>7600</v>
      </c>
      <c r="N1829" s="4">
        <v>0.16666666666666666</v>
      </c>
    </row>
    <row r="1830" spans="1:14" x14ac:dyDescent="0.3">
      <c r="A1830" s="6">
        <v>45788</v>
      </c>
      <c r="B1830" s="1" t="s">
        <v>2014</v>
      </c>
      <c r="C1830" s="1" t="s">
        <v>26</v>
      </c>
      <c r="D1830" t="s">
        <v>34</v>
      </c>
      <c r="E1830" t="s">
        <v>90</v>
      </c>
      <c r="F1830" t="s">
        <v>19</v>
      </c>
      <c r="G1830" t="s">
        <v>20</v>
      </c>
      <c r="H1830" s="3">
        <v>6</v>
      </c>
      <c r="I1830" s="3">
        <v>1305</v>
      </c>
      <c r="J1830" s="3">
        <v>7830</v>
      </c>
      <c r="K1830" s="3">
        <v>900</v>
      </c>
      <c r="L1830" s="3">
        <v>5400</v>
      </c>
      <c r="M1830" s="3">
        <v>2430</v>
      </c>
      <c r="N1830" s="4">
        <v>0.31034482758620691</v>
      </c>
    </row>
    <row r="1831" spans="1:14" x14ac:dyDescent="0.3">
      <c r="A1831" s="6">
        <v>45788</v>
      </c>
      <c r="B1831" s="1" t="s">
        <v>2015</v>
      </c>
      <c r="C1831" s="1" t="s">
        <v>28</v>
      </c>
      <c r="D1831" t="s">
        <v>35</v>
      </c>
      <c r="E1831" t="s">
        <v>275</v>
      </c>
      <c r="F1831" t="s">
        <v>24</v>
      </c>
      <c r="G1831" t="s">
        <v>25</v>
      </c>
      <c r="H1831" s="3">
        <v>10</v>
      </c>
      <c r="I1831" s="3">
        <v>3625</v>
      </c>
      <c r="J1831" s="3">
        <v>36250</v>
      </c>
      <c r="K1831" s="3">
        <v>2500</v>
      </c>
      <c r="L1831" s="3">
        <v>25000</v>
      </c>
      <c r="M1831" s="3">
        <v>11250</v>
      </c>
      <c r="N1831" s="4">
        <v>0.31034482758620691</v>
      </c>
    </row>
    <row r="1832" spans="1:14" x14ac:dyDescent="0.3">
      <c r="A1832" s="6">
        <v>45788</v>
      </c>
      <c r="B1832" s="1" t="s">
        <v>2016</v>
      </c>
      <c r="C1832" s="1" t="s">
        <v>26</v>
      </c>
      <c r="D1832" t="s">
        <v>35</v>
      </c>
      <c r="E1832" t="s">
        <v>116</v>
      </c>
      <c r="F1832" t="s">
        <v>17</v>
      </c>
      <c r="G1832" t="s">
        <v>18</v>
      </c>
      <c r="H1832" s="3">
        <v>9</v>
      </c>
      <c r="I1832" s="3">
        <v>11645</v>
      </c>
      <c r="J1832" s="3">
        <v>104805</v>
      </c>
      <c r="K1832" s="3">
        <v>8500</v>
      </c>
      <c r="L1832" s="3">
        <v>76500</v>
      </c>
      <c r="M1832" s="3">
        <v>28305</v>
      </c>
      <c r="N1832" s="4">
        <v>0.27007299270072993</v>
      </c>
    </row>
    <row r="1833" spans="1:14" x14ac:dyDescent="0.3">
      <c r="A1833" s="6">
        <v>45788</v>
      </c>
      <c r="B1833" s="1" t="s">
        <v>2017</v>
      </c>
      <c r="C1833" s="1" t="s">
        <v>28</v>
      </c>
      <c r="D1833" t="s">
        <v>33</v>
      </c>
      <c r="E1833" t="s">
        <v>263</v>
      </c>
      <c r="F1833" t="s">
        <v>16</v>
      </c>
      <c r="G1833" t="s">
        <v>15</v>
      </c>
      <c r="H1833" s="3">
        <v>2</v>
      </c>
      <c r="I1833" s="3">
        <v>50160</v>
      </c>
      <c r="J1833" s="3">
        <v>100320</v>
      </c>
      <c r="K1833" s="3">
        <v>38000</v>
      </c>
      <c r="L1833" s="3">
        <v>76000</v>
      </c>
      <c r="M1833" s="3">
        <v>24320</v>
      </c>
      <c r="N1833" s="4">
        <v>0.24242424242424243</v>
      </c>
    </row>
    <row r="1834" spans="1:14" x14ac:dyDescent="0.3">
      <c r="A1834" s="6">
        <v>45789</v>
      </c>
      <c r="B1834" s="1" t="s">
        <v>2018</v>
      </c>
      <c r="C1834" s="1" t="s">
        <v>27</v>
      </c>
      <c r="D1834" t="s">
        <v>32</v>
      </c>
      <c r="E1834" t="s">
        <v>49</v>
      </c>
      <c r="F1834" t="s">
        <v>21</v>
      </c>
      <c r="G1834" t="s">
        <v>20</v>
      </c>
      <c r="H1834" s="3">
        <v>5</v>
      </c>
      <c r="I1834" s="3">
        <v>726</v>
      </c>
      <c r="J1834" s="3">
        <v>3630</v>
      </c>
      <c r="K1834" s="3">
        <v>600</v>
      </c>
      <c r="L1834" s="3">
        <v>3000</v>
      </c>
      <c r="M1834" s="3">
        <v>630</v>
      </c>
      <c r="N1834" s="4">
        <v>0.17355371900826447</v>
      </c>
    </row>
    <row r="1835" spans="1:14" x14ac:dyDescent="0.3">
      <c r="A1835" s="6">
        <v>45789</v>
      </c>
      <c r="B1835" s="1" t="s">
        <v>2019</v>
      </c>
      <c r="C1835" s="1" t="s">
        <v>26</v>
      </c>
      <c r="D1835" t="s">
        <v>35</v>
      </c>
      <c r="E1835" t="s">
        <v>157</v>
      </c>
      <c r="F1835" t="s">
        <v>22</v>
      </c>
      <c r="G1835" t="s">
        <v>18</v>
      </c>
      <c r="H1835" s="3">
        <v>3</v>
      </c>
      <c r="I1835" s="3">
        <v>9940</v>
      </c>
      <c r="J1835" s="3">
        <v>29820</v>
      </c>
      <c r="K1835" s="3">
        <v>7000</v>
      </c>
      <c r="L1835" s="3">
        <v>21000</v>
      </c>
      <c r="M1835" s="3">
        <v>8820</v>
      </c>
      <c r="N1835" s="4">
        <v>0.29577464788732394</v>
      </c>
    </row>
    <row r="1836" spans="1:14" x14ac:dyDescent="0.3">
      <c r="A1836" s="6">
        <v>45789</v>
      </c>
      <c r="B1836" s="1" t="s">
        <v>2020</v>
      </c>
      <c r="C1836" s="1" t="s">
        <v>28</v>
      </c>
      <c r="D1836" t="s">
        <v>32</v>
      </c>
      <c r="E1836" t="s">
        <v>45</v>
      </c>
      <c r="F1836" t="s">
        <v>19</v>
      </c>
      <c r="G1836" t="s">
        <v>20</v>
      </c>
      <c r="H1836" s="3">
        <v>7</v>
      </c>
      <c r="I1836" s="3">
        <v>1098</v>
      </c>
      <c r="J1836" s="3">
        <v>7686</v>
      </c>
      <c r="K1836" s="3">
        <v>900</v>
      </c>
      <c r="L1836" s="3">
        <v>6300</v>
      </c>
      <c r="M1836" s="3">
        <v>1386</v>
      </c>
      <c r="N1836" s="4">
        <v>0.18032786885245902</v>
      </c>
    </row>
    <row r="1837" spans="1:14" x14ac:dyDescent="0.3">
      <c r="A1837" s="6">
        <v>45789</v>
      </c>
      <c r="B1837" s="1" t="s">
        <v>2021</v>
      </c>
      <c r="C1837" s="1" t="s">
        <v>28</v>
      </c>
      <c r="D1837" t="s">
        <v>35</v>
      </c>
      <c r="E1837" t="s">
        <v>582</v>
      </c>
      <c r="F1837" t="s">
        <v>21</v>
      </c>
      <c r="G1837" t="s">
        <v>20</v>
      </c>
      <c r="H1837" s="3">
        <v>1</v>
      </c>
      <c r="I1837" s="3">
        <v>798</v>
      </c>
      <c r="J1837" s="3">
        <v>798</v>
      </c>
      <c r="K1837" s="3">
        <v>600</v>
      </c>
      <c r="L1837" s="3">
        <v>600</v>
      </c>
      <c r="M1837" s="3">
        <v>198</v>
      </c>
      <c r="N1837" s="4">
        <v>0.24812030075187969</v>
      </c>
    </row>
    <row r="1838" spans="1:14" x14ac:dyDescent="0.3">
      <c r="A1838" s="6">
        <v>45789</v>
      </c>
      <c r="B1838" s="1" t="s">
        <v>2022</v>
      </c>
      <c r="C1838" s="1" t="s">
        <v>26</v>
      </c>
      <c r="D1838" t="s">
        <v>33</v>
      </c>
      <c r="E1838" t="s">
        <v>321</v>
      </c>
      <c r="F1838" t="s">
        <v>24</v>
      </c>
      <c r="G1838" t="s">
        <v>25</v>
      </c>
      <c r="H1838" s="3">
        <v>4</v>
      </c>
      <c r="I1838" s="3">
        <v>3600</v>
      </c>
      <c r="J1838" s="3">
        <v>14400</v>
      </c>
      <c r="K1838" s="3">
        <v>2500</v>
      </c>
      <c r="L1838" s="3">
        <v>10000</v>
      </c>
      <c r="M1838" s="3">
        <v>4400</v>
      </c>
      <c r="N1838" s="4">
        <v>0.30555555555555558</v>
      </c>
    </row>
    <row r="1839" spans="1:14" x14ac:dyDescent="0.3">
      <c r="A1839" s="6">
        <v>45789</v>
      </c>
      <c r="B1839" s="1" t="s">
        <v>2023</v>
      </c>
      <c r="C1839" s="1" t="s">
        <v>26</v>
      </c>
      <c r="D1839" t="s">
        <v>35</v>
      </c>
      <c r="E1839" t="s">
        <v>108</v>
      </c>
      <c r="F1839" t="s">
        <v>16</v>
      </c>
      <c r="G1839" t="s">
        <v>15</v>
      </c>
      <c r="H1839" s="3">
        <v>7</v>
      </c>
      <c r="I1839" s="3">
        <v>54720</v>
      </c>
      <c r="J1839" s="3">
        <v>383040</v>
      </c>
      <c r="K1839" s="3">
        <v>38000</v>
      </c>
      <c r="L1839" s="3">
        <v>266000</v>
      </c>
      <c r="M1839" s="3">
        <v>117040</v>
      </c>
      <c r="N1839" s="4">
        <v>0.30555555555555558</v>
      </c>
    </row>
    <row r="1840" spans="1:14" x14ac:dyDescent="0.3">
      <c r="A1840" s="6">
        <v>45789</v>
      </c>
      <c r="B1840" s="1" t="s">
        <v>2024</v>
      </c>
      <c r="C1840" s="1" t="s">
        <v>29</v>
      </c>
      <c r="D1840" t="s">
        <v>30</v>
      </c>
      <c r="E1840" t="s">
        <v>55</v>
      </c>
      <c r="F1840" t="s">
        <v>16</v>
      </c>
      <c r="G1840" t="s">
        <v>15</v>
      </c>
      <c r="H1840" s="3">
        <v>3</v>
      </c>
      <c r="I1840" s="3">
        <v>45600</v>
      </c>
      <c r="J1840" s="3">
        <v>136800</v>
      </c>
      <c r="K1840" s="3">
        <v>38000</v>
      </c>
      <c r="L1840" s="3">
        <v>114000</v>
      </c>
      <c r="M1840" s="3">
        <v>22800</v>
      </c>
      <c r="N1840" s="4">
        <v>0.16666666666666666</v>
      </c>
    </row>
    <row r="1841" spans="1:14" x14ac:dyDescent="0.3">
      <c r="A1841" s="6">
        <v>45789</v>
      </c>
      <c r="B1841" s="1" t="s">
        <v>2025</v>
      </c>
      <c r="C1841" s="1" t="s">
        <v>29</v>
      </c>
      <c r="D1841" t="s">
        <v>35</v>
      </c>
      <c r="E1841" t="s">
        <v>415</v>
      </c>
      <c r="F1841" t="s">
        <v>19</v>
      </c>
      <c r="G1841" t="s">
        <v>20</v>
      </c>
      <c r="H1841" s="3">
        <v>2</v>
      </c>
      <c r="I1841" s="3">
        <v>1170</v>
      </c>
      <c r="J1841" s="3">
        <v>2340</v>
      </c>
      <c r="K1841" s="3">
        <v>900</v>
      </c>
      <c r="L1841" s="3">
        <v>1800</v>
      </c>
      <c r="M1841" s="3">
        <v>540</v>
      </c>
      <c r="N1841" s="4">
        <v>0.23076923076923078</v>
      </c>
    </row>
    <row r="1842" spans="1:14" x14ac:dyDescent="0.3">
      <c r="A1842" s="6">
        <v>45789</v>
      </c>
      <c r="B1842" s="1" t="s">
        <v>2026</v>
      </c>
      <c r="C1842" s="1" t="s">
        <v>29</v>
      </c>
      <c r="D1842" t="s">
        <v>30</v>
      </c>
      <c r="E1842" t="s">
        <v>124</v>
      </c>
      <c r="F1842" t="s">
        <v>22</v>
      </c>
      <c r="G1842" t="s">
        <v>18</v>
      </c>
      <c r="H1842" s="3">
        <v>3</v>
      </c>
      <c r="I1842" s="3">
        <v>8680</v>
      </c>
      <c r="J1842" s="3">
        <v>26040</v>
      </c>
      <c r="K1842" s="3">
        <v>7000</v>
      </c>
      <c r="L1842" s="3">
        <v>21000</v>
      </c>
      <c r="M1842" s="3">
        <v>5040</v>
      </c>
      <c r="N1842" s="4">
        <v>0.19354838709677419</v>
      </c>
    </row>
    <row r="1843" spans="1:14" x14ac:dyDescent="0.3">
      <c r="A1843" s="6">
        <v>45789</v>
      </c>
      <c r="B1843" s="1" t="s">
        <v>2027</v>
      </c>
      <c r="C1843" s="1" t="s">
        <v>27</v>
      </c>
      <c r="D1843" t="s">
        <v>30</v>
      </c>
      <c r="E1843" t="s">
        <v>157</v>
      </c>
      <c r="F1843" t="s">
        <v>17</v>
      </c>
      <c r="G1843" t="s">
        <v>18</v>
      </c>
      <c r="H1843" s="3">
        <v>8</v>
      </c>
      <c r="I1843" s="3">
        <v>11135</v>
      </c>
      <c r="J1843" s="3">
        <v>89080</v>
      </c>
      <c r="K1843" s="3">
        <v>8500</v>
      </c>
      <c r="L1843" s="3">
        <v>68000</v>
      </c>
      <c r="M1843" s="3">
        <v>21080</v>
      </c>
      <c r="N1843" s="4">
        <v>0.23664122137404581</v>
      </c>
    </row>
    <row r="1844" spans="1:14" x14ac:dyDescent="0.3">
      <c r="A1844" s="6">
        <v>45789</v>
      </c>
      <c r="B1844" s="1" t="s">
        <v>2028</v>
      </c>
      <c r="C1844" s="1" t="s">
        <v>26</v>
      </c>
      <c r="D1844" t="s">
        <v>33</v>
      </c>
      <c r="E1844" t="s">
        <v>265</v>
      </c>
      <c r="F1844" t="s">
        <v>16</v>
      </c>
      <c r="G1844" t="s">
        <v>15</v>
      </c>
      <c r="H1844" s="3">
        <v>9</v>
      </c>
      <c r="I1844" s="3">
        <v>49400</v>
      </c>
      <c r="J1844" s="3">
        <v>444600</v>
      </c>
      <c r="K1844" s="3">
        <v>38000</v>
      </c>
      <c r="L1844" s="3">
        <v>342000</v>
      </c>
      <c r="M1844" s="3">
        <v>102600</v>
      </c>
      <c r="N1844" s="4">
        <v>0.23076923076923078</v>
      </c>
    </row>
    <row r="1845" spans="1:14" x14ac:dyDescent="0.3">
      <c r="A1845" s="6">
        <v>45789</v>
      </c>
      <c r="B1845" s="1" t="s">
        <v>2029</v>
      </c>
      <c r="C1845" s="1" t="s">
        <v>29</v>
      </c>
      <c r="D1845" t="s">
        <v>34</v>
      </c>
      <c r="E1845" t="s">
        <v>327</v>
      </c>
      <c r="F1845" t="s">
        <v>21</v>
      </c>
      <c r="G1845" t="s">
        <v>20</v>
      </c>
      <c r="H1845" s="3">
        <v>3</v>
      </c>
      <c r="I1845" s="3">
        <v>810</v>
      </c>
      <c r="J1845" s="3">
        <v>2430</v>
      </c>
      <c r="K1845" s="3">
        <v>600</v>
      </c>
      <c r="L1845" s="3">
        <v>1800</v>
      </c>
      <c r="M1845" s="3">
        <v>630</v>
      </c>
      <c r="N1845" s="4">
        <v>0.25925925925925924</v>
      </c>
    </row>
    <row r="1846" spans="1:14" x14ac:dyDescent="0.3">
      <c r="A1846" s="6">
        <v>45789</v>
      </c>
      <c r="B1846" s="1" t="s">
        <v>2030</v>
      </c>
      <c r="C1846" s="1" t="s">
        <v>26</v>
      </c>
      <c r="D1846" t="s">
        <v>35</v>
      </c>
      <c r="E1846" t="s">
        <v>302</v>
      </c>
      <c r="F1846" t="s">
        <v>23</v>
      </c>
      <c r="G1846" t="s">
        <v>25</v>
      </c>
      <c r="H1846" s="3">
        <v>4</v>
      </c>
      <c r="I1846" s="3">
        <v>4480</v>
      </c>
      <c r="J1846" s="3">
        <v>17920</v>
      </c>
      <c r="K1846" s="3">
        <v>3200</v>
      </c>
      <c r="L1846" s="3">
        <v>12800</v>
      </c>
      <c r="M1846" s="3">
        <v>5120</v>
      </c>
      <c r="N1846" s="4">
        <v>0.2857142857142857</v>
      </c>
    </row>
    <row r="1847" spans="1:14" x14ac:dyDescent="0.3">
      <c r="A1847" s="6">
        <v>45789</v>
      </c>
      <c r="B1847" s="1" t="s">
        <v>2031</v>
      </c>
      <c r="C1847" s="1" t="s">
        <v>29</v>
      </c>
      <c r="D1847" t="s">
        <v>31</v>
      </c>
      <c r="E1847" t="s">
        <v>538</v>
      </c>
      <c r="F1847" t="s">
        <v>16</v>
      </c>
      <c r="G1847" t="s">
        <v>15</v>
      </c>
      <c r="H1847" s="3">
        <v>8</v>
      </c>
      <c r="I1847" s="3">
        <v>46360</v>
      </c>
      <c r="J1847" s="3">
        <v>370880</v>
      </c>
      <c r="K1847" s="3">
        <v>38000</v>
      </c>
      <c r="L1847" s="3">
        <v>304000</v>
      </c>
      <c r="M1847" s="3">
        <v>66880</v>
      </c>
      <c r="N1847" s="4">
        <v>0.18032786885245902</v>
      </c>
    </row>
    <row r="1848" spans="1:14" x14ac:dyDescent="0.3">
      <c r="A1848" s="6">
        <v>45790</v>
      </c>
      <c r="B1848" s="1" t="s">
        <v>2032</v>
      </c>
      <c r="C1848" s="1" t="s">
        <v>28</v>
      </c>
      <c r="D1848" t="s">
        <v>32</v>
      </c>
      <c r="E1848" t="s">
        <v>306</v>
      </c>
      <c r="F1848" t="s">
        <v>19</v>
      </c>
      <c r="G1848" t="s">
        <v>20</v>
      </c>
      <c r="H1848" s="3">
        <v>9</v>
      </c>
      <c r="I1848" s="3">
        <v>1260</v>
      </c>
      <c r="J1848" s="3">
        <v>11340</v>
      </c>
      <c r="K1848" s="3">
        <v>900</v>
      </c>
      <c r="L1848" s="3">
        <v>8100</v>
      </c>
      <c r="M1848" s="3">
        <v>3240</v>
      </c>
      <c r="N1848" s="4">
        <v>0.2857142857142857</v>
      </c>
    </row>
    <row r="1849" spans="1:14" x14ac:dyDescent="0.3">
      <c r="A1849" s="6">
        <v>45790</v>
      </c>
      <c r="B1849" s="1" t="s">
        <v>2033</v>
      </c>
      <c r="C1849" s="1" t="s">
        <v>28</v>
      </c>
      <c r="D1849" t="s">
        <v>30</v>
      </c>
      <c r="E1849" t="s">
        <v>94</v>
      </c>
      <c r="F1849" t="s">
        <v>14</v>
      </c>
      <c r="G1849" t="s">
        <v>15</v>
      </c>
      <c r="H1849" s="3">
        <v>10</v>
      </c>
      <c r="I1849" s="3">
        <v>60300</v>
      </c>
      <c r="J1849" s="3">
        <v>603000</v>
      </c>
      <c r="K1849" s="3">
        <v>45000</v>
      </c>
      <c r="L1849" s="3">
        <v>450000</v>
      </c>
      <c r="M1849" s="3">
        <v>153000</v>
      </c>
      <c r="N1849" s="4">
        <v>0.2537313432835821</v>
      </c>
    </row>
    <row r="1850" spans="1:14" x14ac:dyDescent="0.3">
      <c r="A1850" s="6">
        <v>45790</v>
      </c>
      <c r="B1850" s="1" t="s">
        <v>2034</v>
      </c>
      <c r="C1850" s="1" t="s">
        <v>27</v>
      </c>
      <c r="D1850" t="s">
        <v>33</v>
      </c>
      <c r="E1850" t="s">
        <v>85</v>
      </c>
      <c r="F1850" t="s">
        <v>23</v>
      </c>
      <c r="G1850" t="s">
        <v>25</v>
      </c>
      <c r="H1850" s="3">
        <v>4</v>
      </c>
      <c r="I1850" s="3">
        <v>4000</v>
      </c>
      <c r="J1850" s="3">
        <v>16000</v>
      </c>
      <c r="K1850" s="3">
        <v>3200</v>
      </c>
      <c r="L1850" s="3">
        <v>12800</v>
      </c>
      <c r="M1850" s="3">
        <v>3200</v>
      </c>
      <c r="N1850" s="4">
        <v>0.2</v>
      </c>
    </row>
    <row r="1851" spans="1:14" x14ac:dyDescent="0.3">
      <c r="A1851" s="6">
        <v>45790</v>
      </c>
      <c r="B1851" s="1" t="s">
        <v>2035</v>
      </c>
      <c r="C1851" s="1" t="s">
        <v>27</v>
      </c>
      <c r="D1851" t="s">
        <v>33</v>
      </c>
      <c r="E1851" t="s">
        <v>249</v>
      </c>
      <c r="F1851" t="s">
        <v>23</v>
      </c>
      <c r="G1851" t="s">
        <v>25</v>
      </c>
      <c r="H1851" s="3">
        <v>1</v>
      </c>
      <c r="I1851" s="3">
        <v>4192</v>
      </c>
      <c r="J1851" s="3">
        <v>4192</v>
      </c>
      <c r="K1851" s="3">
        <v>3200</v>
      </c>
      <c r="L1851" s="3">
        <v>3200</v>
      </c>
      <c r="M1851" s="3">
        <v>992</v>
      </c>
      <c r="N1851" s="4">
        <v>0.23664122137404581</v>
      </c>
    </row>
    <row r="1852" spans="1:14" x14ac:dyDescent="0.3">
      <c r="A1852" s="6">
        <v>45790</v>
      </c>
      <c r="B1852" s="1" t="s">
        <v>2036</v>
      </c>
      <c r="C1852" s="1" t="s">
        <v>27</v>
      </c>
      <c r="D1852" t="s">
        <v>35</v>
      </c>
      <c r="E1852" t="s">
        <v>198</v>
      </c>
      <c r="F1852" t="s">
        <v>24</v>
      </c>
      <c r="G1852" t="s">
        <v>25</v>
      </c>
      <c r="H1852" s="3">
        <v>2</v>
      </c>
      <c r="I1852" s="3">
        <v>3125</v>
      </c>
      <c r="J1852" s="3">
        <v>6250</v>
      </c>
      <c r="K1852" s="3">
        <v>2500</v>
      </c>
      <c r="L1852" s="3">
        <v>5000</v>
      </c>
      <c r="M1852" s="3">
        <v>1250</v>
      </c>
      <c r="N1852" s="4">
        <v>0.2</v>
      </c>
    </row>
    <row r="1853" spans="1:14" x14ac:dyDescent="0.3">
      <c r="A1853" s="6">
        <v>45790</v>
      </c>
      <c r="B1853" s="1" t="s">
        <v>2037</v>
      </c>
      <c r="C1853" s="1" t="s">
        <v>29</v>
      </c>
      <c r="D1853" t="s">
        <v>35</v>
      </c>
      <c r="E1853" t="s">
        <v>400</v>
      </c>
      <c r="F1853" t="s">
        <v>14</v>
      </c>
      <c r="G1853" t="s">
        <v>15</v>
      </c>
      <c r="H1853" s="3">
        <v>2</v>
      </c>
      <c r="I1853" s="3">
        <v>64350</v>
      </c>
      <c r="J1853" s="3">
        <v>128700</v>
      </c>
      <c r="K1853" s="3">
        <v>45000</v>
      </c>
      <c r="L1853" s="3">
        <v>90000</v>
      </c>
      <c r="M1853" s="3">
        <v>38700</v>
      </c>
      <c r="N1853" s="4">
        <v>0.30069930069930068</v>
      </c>
    </row>
    <row r="1854" spans="1:14" x14ac:dyDescent="0.3">
      <c r="A1854" s="6">
        <v>45790</v>
      </c>
      <c r="B1854" s="1" t="s">
        <v>2038</v>
      </c>
      <c r="C1854" s="1" t="s">
        <v>27</v>
      </c>
      <c r="D1854" t="s">
        <v>32</v>
      </c>
      <c r="E1854" t="s">
        <v>409</v>
      </c>
      <c r="F1854" t="s">
        <v>24</v>
      </c>
      <c r="G1854" t="s">
        <v>25</v>
      </c>
      <c r="H1854" s="3">
        <v>3</v>
      </c>
      <c r="I1854" s="3">
        <v>3300</v>
      </c>
      <c r="J1854" s="3">
        <v>9900</v>
      </c>
      <c r="K1854" s="3">
        <v>2500</v>
      </c>
      <c r="L1854" s="3">
        <v>7500</v>
      </c>
      <c r="M1854" s="3">
        <v>2400</v>
      </c>
      <c r="N1854" s="4">
        <v>0.24242424242424243</v>
      </c>
    </row>
    <row r="1855" spans="1:14" x14ac:dyDescent="0.3">
      <c r="A1855" s="6">
        <v>45790</v>
      </c>
      <c r="B1855" s="1" t="s">
        <v>2039</v>
      </c>
      <c r="C1855" s="1" t="s">
        <v>26</v>
      </c>
      <c r="D1855" t="s">
        <v>30</v>
      </c>
      <c r="E1855" t="s">
        <v>220</v>
      </c>
      <c r="F1855" t="s">
        <v>16</v>
      </c>
      <c r="G1855" t="s">
        <v>15</v>
      </c>
      <c r="H1855" s="3">
        <v>4</v>
      </c>
      <c r="I1855" s="3">
        <v>47120</v>
      </c>
      <c r="J1855" s="3">
        <v>188480</v>
      </c>
      <c r="K1855" s="3">
        <v>38000</v>
      </c>
      <c r="L1855" s="3">
        <v>152000</v>
      </c>
      <c r="M1855" s="3">
        <v>36480</v>
      </c>
      <c r="N1855" s="4">
        <v>0.19354838709677419</v>
      </c>
    </row>
    <row r="1856" spans="1:14" x14ac:dyDescent="0.3">
      <c r="A1856" s="6">
        <v>45790</v>
      </c>
      <c r="B1856" s="1" t="s">
        <v>2040</v>
      </c>
      <c r="C1856" s="1" t="s">
        <v>27</v>
      </c>
      <c r="D1856" t="s">
        <v>34</v>
      </c>
      <c r="E1856" t="s">
        <v>43</v>
      </c>
      <c r="F1856" t="s">
        <v>16</v>
      </c>
      <c r="G1856" t="s">
        <v>15</v>
      </c>
      <c r="H1856" s="3">
        <v>8</v>
      </c>
      <c r="I1856" s="3">
        <v>47880</v>
      </c>
      <c r="J1856" s="3">
        <v>383040</v>
      </c>
      <c r="K1856" s="3">
        <v>38000</v>
      </c>
      <c r="L1856" s="3">
        <v>304000</v>
      </c>
      <c r="M1856" s="3">
        <v>79040</v>
      </c>
      <c r="N1856" s="4">
        <v>0.20634920634920634</v>
      </c>
    </row>
    <row r="1857" spans="1:14" x14ac:dyDescent="0.3">
      <c r="A1857" s="6">
        <v>45790</v>
      </c>
      <c r="B1857" s="1" t="s">
        <v>2041</v>
      </c>
      <c r="C1857" s="1" t="s">
        <v>28</v>
      </c>
      <c r="D1857" t="s">
        <v>34</v>
      </c>
      <c r="E1857" t="s">
        <v>807</v>
      </c>
      <c r="F1857" t="s">
        <v>19</v>
      </c>
      <c r="G1857" t="s">
        <v>20</v>
      </c>
      <c r="H1857" s="3">
        <v>10</v>
      </c>
      <c r="I1857" s="3">
        <v>1206</v>
      </c>
      <c r="J1857" s="3">
        <v>12060</v>
      </c>
      <c r="K1857" s="3">
        <v>900</v>
      </c>
      <c r="L1857" s="3">
        <v>9000</v>
      </c>
      <c r="M1857" s="3">
        <v>3060</v>
      </c>
      <c r="N1857" s="4">
        <v>0.2537313432835821</v>
      </c>
    </row>
    <row r="1858" spans="1:14" x14ac:dyDescent="0.3">
      <c r="A1858" s="6">
        <v>45790</v>
      </c>
      <c r="B1858" s="1" t="s">
        <v>2042</v>
      </c>
      <c r="C1858" s="1" t="s">
        <v>26</v>
      </c>
      <c r="D1858" t="s">
        <v>34</v>
      </c>
      <c r="E1858" t="s">
        <v>51</v>
      </c>
      <c r="F1858" t="s">
        <v>24</v>
      </c>
      <c r="G1858" t="s">
        <v>25</v>
      </c>
      <c r="H1858" s="3">
        <v>10</v>
      </c>
      <c r="I1858" s="3">
        <v>3350</v>
      </c>
      <c r="J1858" s="3">
        <v>33500</v>
      </c>
      <c r="K1858" s="3">
        <v>2500</v>
      </c>
      <c r="L1858" s="3">
        <v>25000</v>
      </c>
      <c r="M1858" s="3">
        <v>8500</v>
      </c>
      <c r="N1858" s="4">
        <v>0.2537313432835821</v>
      </c>
    </row>
    <row r="1859" spans="1:14" x14ac:dyDescent="0.3">
      <c r="A1859" s="6">
        <v>45790</v>
      </c>
      <c r="B1859" s="1" t="s">
        <v>2043</v>
      </c>
      <c r="C1859" s="1" t="s">
        <v>26</v>
      </c>
      <c r="D1859" t="s">
        <v>31</v>
      </c>
      <c r="E1859" t="s">
        <v>807</v>
      </c>
      <c r="F1859" t="s">
        <v>22</v>
      </c>
      <c r="G1859" t="s">
        <v>18</v>
      </c>
      <c r="H1859" s="3">
        <v>7</v>
      </c>
      <c r="I1859" s="3">
        <v>8820</v>
      </c>
      <c r="J1859" s="3">
        <v>61740</v>
      </c>
      <c r="K1859" s="3">
        <v>7000</v>
      </c>
      <c r="L1859" s="3">
        <v>49000</v>
      </c>
      <c r="M1859" s="3">
        <v>12740</v>
      </c>
      <c r="N1859" s="4">
        <v>0.20634920634920634</v>
      </c>
    </row>
    <row r="1860" spans="1:14" x14ac:dyDescent="0.3">
      <c r="A1860" s="6">
        <v>45790</v>
      </c>
      <c r="B1860" s="1" t="s">
        <v>2044</v>
      </c>
      <c r="C1860" s="1" t="s">
        <v>29</v>
      </c>
      <c r="D1860" t="s">
        <v>32</v>
      </c>
      <c r="E1860" t="s">
        <v>381</v>
      </c>
      <c r="F1860" t="s">
        <v>23</v>
      </c>
      <c r="G1860" t="s">
        <v>25</v>
      </c>
      <c r="H1860" s="3">
        <v>3</v>
      </c>
      <c r="I1860" s="3">
        <v>4544</v>
      </c>
      <c r="J1860" s="3">
        <v>13632</v>
      </c>
      <c r="K1860" s="3">
        <v>3200</v>
      </c>
      <c r="L1860" s="3">
        <v>9600</v>
      </c>
      <c r="M1860" s="3">
        <v>4032</v>
      </c>
      <c r="N1860" s="4">
        <v>0.29577464788732394</v>
      </c>
    </row>
    <row r="1861" spans="1:14" x14ac:dyDescent="0.3">
      <c r="A1861" s="6">
        <v>45790</v>
      </c>
      <c r="B1861" s="1" t="s">
        <v>2045</v>
      </c>
      <c r="C1861" s="1" t="s">
        <v>28</v>
      </c>
      <c r="D1861" t="s">
        <v>30</v>
      </c>
      <c r="E1861" t="s">
        <v>157</v>
      </c>
      <c r="F1861" t="s">
        <v>14</v>
      </c>
      <c r="G1861" t="s">
        <v>15</v>
      </c>
      <c r="H1861" s="3">
        <v>10</v>
      </c>
      <c r="I1861" s="3">
        <v>54900</v>
      </c>
      <c r="J1861" s="3">
        <v>549000</v>
      </c>
      <c r="K1861" s="3">
        <v>45000</v>
      </c>
      <c r="L1861" s="3">
        <v>450000</v>
      </c>
      <c r="M1861" s="3">
        <v>99000</v>
      </c>
      <c r="N1861" s="4">
        <v>0.18032786885245902</v>
      </c>
    </row>
    <row r="1862" spans="1:14" x14ac:dyDescent="0.3">
      <c r="A1862" s="6">
        <v>45791</v>
      </c>
      <c r="B1862" s="1" t="s">
        <v>2046</v>
      </c>
      <c r="C1862" s="1" t="s">
        <v>29</v>
      </c>
      <c r="D1862" t="s">
        <v>32</v>
      </c>
      <c r="E1862" t="s">
        <v>108</v>
      </c>
      <c r="F1862" t="s">
        <v>14</v>
      </c>
      <c r="G1862" t="s">
        <v>15</v>
      </c>
      <c r="H1862" s="3">
        <v>10</v>
      </c>
      <c r="I1862" s="3">
        <v>54450</v>
      </c>
      <c r="J1862" s="3">
        <v>544500</v>
      </c>
      <c r="K1862" s="3">
        <v>45000</v>
      </c>
      <c r="L1862" s="3">
        <v>450000</v>
      </c>
      <c r="M1862" s="3">
        <v>94500</v>
      </c>
      <c r="N1862" s="4">
        <v>0.17355371900826447</v>
      </c>
    </row>
    <row r="1863" spans="1:14" x14ac:dyDescent="0.3">
      <c r="A1863" s="6">
        <v>45791</v>
      </c>
      <c r="B1863" s="1" t="s">
        <v>2047</v>
      </c>
      <c r="C1863" s="1" t="s">
        <v>29</v>
      </c>
      <c r="D1863" t="s">
        <v>31</v>
      </c>
      <c r="E1863" t="s">
        <v>275</v>
      </c>
      <c r="F1863" t="s">
        <v>17</v>
      </c>
      <c r="G1863" t="s">
        <v>18</v>
      </c>
      <c r="H1863" s="3">
        <v>1</v>
      </c>
      <c r="I1863" s="3">
        <v>10625</v>
      </c>
      <c r="J1863" s="3">
        <v>10625</v>
      </c>
      <c r="K1863" s="3">
        <v>8500</v>
      </c>
      <c r="L1863" s="3">
        <v>8500</v>
      </c>
      <c r="M1863" s="3">
        <v>2125</v>
      </c>
      <c r="N1863" s="4">
        <v>0.2</v>
      </c>
    </row>
    <row r="1864" spans="1:14" x14ac:dyDescent="0.3">
      <c r="A1864" s="6">
        <v>45791</v>
      </c>
      <c r="B1864" s="1" t="s">
        <v>2048</v>
      </c>
      <c r="C1864" s="1" t="s">
        <v>28</v>
      </c>
      <c r="D1864" t="s">
        <v>35</v>
      </c>
      <c r="E1864" t="s">
        <v>388</v>
      </c>
      <c r="F1864" t="s">
        <v>24</v>
      </c>
      <c r="G1864" t="s">
        <v>25</v>
      </c>
      <c r="H1864" s="3">
        <v>3</v>
      </c>
      <c r="I1864" s="3">
        <v>3050</v>
      </c>
      <c r="J1864" s="3">
        <v>9150</v>
      </c>
      <c r="K1864" s="3">
        <v>2500</v>
      </c>
      <c r="L1864" s="3">
        <v>7500</v>
      </c>
      <c r="M1864" s="3">
        <v>1650</v>
      </c>
      <c r="N1864" s="4">
        <v>0.18032786885245902</v>
      </c>
    </row>
    <row r="1865" spans="1:14" x14ac:dyDescent="0.3">
      <c r="A1865" s="6">
        <v>45791</v>
      </c>
      <c r="B1865" s="1" t="s">
        <v>2049</v>
      </c>
      <c r="C1865" s="1" t="s">
        <v>28</v>
      </c>
      <c r="D1865" t="s">
        <v>30</v>
      </c>
      <c r="E1865" t="s">
        <v>236</v>
      </c>
      <c r="F1865" t="s">
        <v>16</v>
      </c>
      <c r="G1865" t="s">
        <v>15</v>
      </c>
      <c r="H1865" s="3">
        <v>6</v>
      </c>
      <c r="I1865" s="3">
        <v>52060.000000000007</v>
      </c>
      <c r="J1865" s="3">
        <v>312360.00000000006</v>
      </c>
      <c r="K1865" s="3">
        <v>38000</v>
      </c>
      <c r="L1865" s="3">
        <v>228000</v>
      </c>
      <c r="M1865" s="3">
        <v>84360.000000000058</v>
      </c>
      <c r="N1865" s="4">
        <v>0.27007299270073004</v>
      </c>
    </row>
    <row r="1866" spans="1:14" x14ac:dyDescent="0.3">
      <c r="A1866" s="6">
        <v>45791</v>
      </c>
      <c r="B1866" s="1" t="s">
        <v>2050</v>
      </c>
      <c r="C1866" s="1" t="s">
        <v>29</v>
      </c>
      <c r="D1866" t="s">
        <v>32</v>
      </c>
      <c r="E1866" t="s">
        <v>574</v>
      </c>
      <c r="F1866" t="s">
        <v>23</v>
      </c>
      <c r="G1866" t="s">
        <v>25</v>
      </c>
      <c r="H1866" s="3">
        <v>4</v>
      </c>
      <c r="I1866" s="3">
        <v>4448</v>
      </c>
      <c r="J1866" s="3">
        <v>17792</v>
      </c>
      <c r="K1866" s="3">
        <v>3200</v>
      </c>
      <c r="L1866" s="3">
        <v>12800</v>
      </c>
      <c r="M1866" s="3">
        <v>4992</v>
      </c>
      <c r="N1866" s="4">
        <v>0.2805755395683453</v>
      </c>
    </row>
    <row r="1867" spans="1:14" x14ac:dyDescent="0.3">
      <c r="A1867" s="6">
        <v>45791</v>
      </c>
      <c r="B1867" s="1" t="s">
        <v>2051</v>
      </c>
      <c r="C1867" s="1" t="s">
        <v>27</v>
      </c>
      <c r="D1867" t="s">
        <v>32</v>
      </c>
      <c r="E1867" t="s">
        <v>180</v>
      </c>
      <c r="F1867" t="s">
        <v>21</v>
      </c>
      <c r="G1867" t="s">
        <v>20</v>
      </c>
      <c r="H1867" s="3">
        <v>3</v>
      </c>
      <c r="I1867" s="3">
        <v>846</v>
      </c>
      <c r="J1867" s="3">
        <v>2538</v>
      </c>
      <c r="K1867" s="3">
        <v>600</v>
      </c>
      <c r="L1867" s="3">
        <v>1800</v>
      </c>
      <c r="M1867" s="3">
        <v>738</v>
      </c>
      <c r="N1867" s="4">
        <v>0.29078014184397161</v>
      </c>
    </row>
    <row r="1868" spans="1:14" x14ac:dyDescent="0.3">
      <c r="A1868" s="6">
        <v>45791</v>
      </c>
      <c r="B1868" s="1" t="s">
        <v>2052</v>
      </c>
      <c r="C1868" s="1" t="s">
        <v>28</v>
      </c>
      <c r="D1868" t="s">
        <v>32</v>
      </c>
      <c r="E1868" t="s">
        <v>149</v>
      </c>
      <c r="F1868" t="s">
        <v>21</v>
      </c>
      <c r="G1868" t="s">
        <v>20</v>
      </c>
      <c r="H1868" s="3">
        <v>9</v>
      </c>
      <c r="I1868" s="3">
        <v>774</v>
      </c>
      <c r="J1868" s="3">
        <v>6966</v>
      </c>
      <c r="K1868" s="3">
        <v>600</v>
      </c>
      <c r="L1868" s="3">
        <v>5400</v>
      </c>
      <c r="M1868" s="3">
        <v>1566</v>
      </c>
      <c r="N1868" s="4">
        <v>0.22480620155038761</v>
      </c>
    </row>
    <row r="1869" spans="1:14" x14ac:dyDescent="0.3">
      <c r="A1869" s="6">
        <v>45791</v>
      </c>
      <c r="B1869" s="1" t="s">
        <v>2053</v>
      </c>
      <c r="C1869" s="1" t="s">
        <v>26</v>
      </c>
      <c r="D1869" t="s">
        <v>35</v>
      </c>
      <c r="E1869" t="s">
        <v>67</v>
      </c>
      <c r="F1869" t="s">
        <v>24</v>
      </c>
      <c r="G1869" t="s">
        <v>25</v>
      </c>
      <c r="H1869" s="3">
        <v>10</v>
      </c>
      <c r="I1869" s="3">
        <v>3125</v>
      </c>
      <c r="J1869" s="3">
        <v>31250</v>
      </c>
      <c r="K1869" s="3">
        <v>2500</v>
      </c>
      <c r="L1869" s="3">
        <v>25000</v>
      </c>
      <c r="M1869" s="3">
        <v>6250</v>
      </c>
      <c r="N1869" s="4">
        <v>0.2</v>
      </c>
    </row>
    <row r="1870" spans="1:14" x14ac:dyDescent="0.3">
      <c r="A1870" s="6">
        <v>45791</v>
      </c>
      <c r="B1870" s="1" t="s">
        <v>2054</v>
      </c>
      <c r="C1870" s="1" t="s">
        <v>29</v>
      </c>
      <c r="D1870" t="s">
        <v>32</v>
      </c>
      <c r="E1870" t="s">
        <v>263</v>
      </c>
      <c r="F1870" t="s">
        <v>14</v>
      </c>
      <c r="G1870" t="s">
        <v>15</v>
      </c>
      <c r="H1870" s="3">
        <v>9</v>
      </c>
      <c r="I1870" s="3">
        <v>59850</v>
      </c>
      <c r="J1870" s="3">
        <v>538650</v>
      </c>
      <c r="K1870" s="3">
        <v>45000</v>
      </c>
      <c r="L1870" s="3">
        <v>405000</v>
      </c>
      <c r="M1870" s="3">
        <v>133650</v>
      </c>
      <c r="N1870" s="4">
        <v>0.24812030075187969</v>
      </c>
    </row>
    <row r="1871" spans="1:14" x14ac:dyDescent="0.3">
      <c r="A1871" s="6">
        <v>45791</v>
      </c>
      <c r="B1871" s="1" t="s">
        <v>2055</v>
      </c>
      <c r="C1871" s="1" t="s">
        <v>28</v>
      </c>
      <c r="D1871" t="s">
        <v>30</v>
      </c>
      <c r="E1871" t="s">
        <v>361</v>
      </c>
      <c r="F1871" t="s">
        <v>19</v>
      </c>
      <c r="G1871" t="s">
        <v>20</v>
      </c>
      <c r="H1871" s="3">
        <v>5</v>
      </c>
      <c r="I1871" s="3">
        <v>1278</v>
      </c>
      <c r="J1871" s="3">
        <v>6390</v>
      </c>
      <c r="K1871" s="3">
        <v>900</v>
      </c>
      <c r="L1871" s="3">
        <v>4500</v>
      </c>
      <c r="M1871" s="3">
        <v>1890</v>
      </c>
      <c r="N1871" s="4">
        <v>0.29577464788732394</v>
      </c>
    </row>
    <row r="1872" spans="1:14" x14ac:dyDescent="0.3">
      <c r="A1872" s="6">
        <v>45791</v>
      </c>
      <c r="B1872" s="1" t="s">
        <v>2056</v>
      </c>
      <c r="C1872" s="1" t="s">
        <v>28</v>
      </c>
      <c r="D1872" t="s">
        <v>31</v>
      </c>
      <c r="E1872" t="s">
        <v>189</v>
      </c>
      <c r="F1872" t="s">
        <v>14</v>
      </c>
      <c r="G1872" t="s">
        <v>15</v>
      </c>
      <c r="H1872" s="3">
        <v>1</v>
      </c>
      <c r="I1872" s="3">
        <v>59850</v>
      </c>
      <c r="J1872" s="3">
        <v>59850</v>
      </c>
      <c r="K1872" s="3">
        <v>45000</v>
      </c>
      <c r="L1872" s="3">
        <v>45000</v>
      </c>
      <c r="M1872" s="3">
        <v>14850</v>
      </c>
      <c r="N1872" s="4">
        <v>0.24812030075187969</v>
      </c>
    </row>
    <row r="1873" spans="1:14" x14ac:dyDescent="0.3">
      <c r="A1873" s="6">
        <v>45791</v>
      </c>
      <c r="B1873" s="1" t="s">
        <v>2057</v>
      </c>
      <c r="C1873" s="1" t="s">
        <v>27</v>
      </c>
      <c r="D1873" t="s">
        <v>30</v>
      </c>
      <c r="E1873" t="s">
        <v>236</v>
      </c>
      <c r="F1873" t="s">
        <v>21</v>
      </c>
      <c r="G1873" t="s">
        <v>20</v>
      </c>
      <c r="H1873" s="3">
        <v>9</v>
      </c>
      <c r="I1873" s="3">
        <v>738</v>
      </c>
      <c r="J1873" s="3">
        <v>6642</v>
      </c>
      <c r="K1873" s="3">
        <v>600</v>
      </c>
      <c r="L1873" s="3">
        <v>5400</v>
      </c>
      <c r="M1873" s="3">
        <v>1242</v>
      </c>
      <c r="N1873" s="4">
        <v>0.18699186991869918</v>
      </c>
    </row>
    <row r="1874" spans="1:14" x14ac:dyDescent="0.3">
      <c r="A1874" s="6">
        <v>45791</v>
      </c>
      <c r="B1874" s="1" t="s">
        <v>2058</v>
      </c>
      <c r="C1874" s="1" t="s">
        <v>26</v>
      </c>
      <c r="D1874" t="s">
        <v>32</v>
      </c>
      <c r="E1874" t="s">
        <v>363</v>
      </c>
      <c r="F1874" t="s">
        <v>16</v>
      </c>
      <c r="G1874" t="s">
        <v>15</v>
      </c>
      <c r="H1874" s="3">
        <v>7</v>
      </c>
      <c r="I1874" s="3">
        <v>52439.999999999993</v>
      </c>
      <c r="J1874" s="3">
        <v>367079.99999999994</v>
      </c>
      <c r="K1874" s="3">
        <v>38000</v>
      </c>
      <c r="L1874" s="3">
        <v>266000</v>
      </c>
      <c r="M1874" s="3">
        <v>101079.99999999994</v>
      </c>
      <c r="N1874" s="4">
        <v>0.2753623188405796</v>
      </c>
    </row>
    <row r="1875" spans="1:14" x14ac:dyDescent="0.3">
      <c r="A1875" s="6">
        <v>45791</v>
      </c>
      <c r="B1875" s="1" t="s">
        <v>2059</v>
      </c>
      <c r="C1875" s="1" t="s">
        <v>26</v>
      </c>
      <c r="D1875" t="s">
        <v>33</v>
      </c>
      <c r="E1875" t="s">
        <v>698</v>
      </c>
      <c r="F1875" t="s">
        <v>14</v>
      </c>
      <c r="G1875" t="s">
        <v>15</v>
      </c>
      <c r="H1875" s="3">
        <v>9</v>
      </c>
      <c r="I1875" s="3">
        <v>58950</v>
      </c>
      <c r="J1875" s="3">
        <v>530550</v>
      </c>
      <c r="K1875" s="3">
        <v>45000</v>
      </c>
      <c r="L1875" s="3">
        <v>405000</v>
      </c>
      <c r="M1875" s="3">
        <v>125550</v>
      </c>
      <c r="N1875" s="4">
        <v>0.23664122137404581</v>
      </c>
    </row>
    <row r="1876" spans="1:14" x14ac:dyDescent="0.3">
      <c r="A1876" s="6">
        <v>45792</v>
      </c>
      <c r="B1876" s="1" t="s">
        <v>2060</v>
      </c>
      <c r="C1876" s="1" t="s">
        <v>29</v>
      </c>
      <c r="D1876" t="s">
        <v>32</v>
      </c>
      <c r="E1876" t="s">
        <v>222</v>
      </c>
      <c r="F1876" t="s">
        <v>17</v>
      </c>
      <c r="G1876" t="s">
        <v>18</v>
      </c>
      <c r="H1876" s="3">
        <v>4</v>
      </c>
      <c r="I1876" s="3">
        <v>11050</v>
      </c>
      <c r="J1876" s="3">
        <v>44200</v>
      </c>
      <c r="K1876" s="3">
        <v>8500</v>
      </c>
      <c r="L1876" s="3">
        <v>34000</v>
      </c>
      <c r="M1876" s="3">
        <v>10200</v>
      </c>
      <c r="N1876" s="4">
        <v>0.23076923076923078</v>
      </c>
    </row>
    <row r="1877" spans="1:14" x14ac:dyDescent="0.3">
      <c r="A1877" s="6">
        <v>45792</v>
      </c>
      <c r="B1877" s="1" t="s">
        <v>2061</v>
      </c>
      <c r="C1877" s="1" t="s">
        <v>28</v>
      </c>
      <c r="D1877" t="s">
        <v>32</v>
      </c>
      <c r="E1877" t="s">
        <v>120</v>
      </c>
      <c r="F1877" t="s">
        <v>24</v>
      </c>
      <c r="G1877" t="s">
        <v>25</v>
      </c>
      <c r="H1877" s="3">
        <v>2</v>
      </c>
      <c r="I1877" s="3">
        <v>3100</v>
      </c>
      <c r="J1877" s="3">
        <v>6200</v>
      </c>
      <c r="K1877" s="3">
        <v>2500</v>
      </c>
      <c r="L1877" s="3">
        <v>5000</v>
      </c>
      <c r="M1877" s="3">
        <v>1200</v>
      </c>
      <c r="N1877" s="4">
        <v>0.19354838709677419</v>
      </c>
    </row>
    <row r="1878" spans="1:14" x14ac:dyDescent="0.3">
      <c r="A1878" s="6">
        <v>45792</v>
      </c>
      <c r="B1878" s="1" t="s">
        <v>2062</v>
      </c>
      <c r="C1878" s="1" t="s">
        <v>28</v>
      </c>
      <c r="D1878" t="s">
        <v>34</v>
      </c>
      <c r="E1878" t="s">
        <v>308</v>
      </c>
      <c r="F1878" t="s">
        <v>17</v>
      </c>
      <c r="G1878" t="s">
        <v>18</v>
      </c>
      <c r="H1878" s="3">
        <v>8</v>
      </c>
      <c r="I1878" s="3">
        <v>10370</v>
      </c>
      <c r="J1878" s="3">
        <v>82960</v>
      </c>
      <c r="K1878" s="3">
        <v>8500</v>
      </c>
      <c r="L1878" s="3">
        <v>68000</v>
      </c>
      <c r="M1878" s="3">
        <v>14960</v>
      </c>
      <c r="N1878" s="4">
        <v>0.18032786885245902</v>
      </c>
    </row>
    <row r="1879" spans="1:14" x14ac:dyDescent="0.3">
      <c r="A1879" s="6">
        <v>45792</v>
      </c>
      <c r="B1879" s="1" t="s">
        <v>2063</v>
      </c>
      <c r="C1879" s="1" t="s">
        <v>29</v>
      </c>
      <c r="D1879" t="s">
        <v>33</v>
      </c>
      <c r="E1879" t="s">
        <v>147</v>
      </c>
      <c r="F1879" t="s">
        <v>16</v>
      </c>
      <c r="G1879" t="s">
        <v>15</v>
      </c>
      <c r="H1879" s="3">
        <v>1</v>
      </c>
      <c r="I1879" s="3">
        <v>49400</v>
      </c>
      <c r="J1879" s="3">
        <v>49400</v>
      </c>
      <c r="K1879" s="3">
        <v>38000</v>
      </c>
      <c r="L1879" s="3">
        <v>38000</v>
      </c>
      <c r="M1879" s="3">
        <v>11400</v>
      </c>
      <c r="N1879" s="4">
        <v>0.23076923076923078</v>
      </c>
    </row>
    <row r="1880" spans="1:14" x14ac:dyDescent="0.3">
      <c r="A1880" s="6">
        <v>45792</v>
      </c>
      <c r="B1880" s="1" t="s">
        <v>2064</v>
      </c>
      <c r="C1880" s="1" t="s">
        <v>29</v>
      </c>
      <c r="D1880" t="s">
        <v>33</v>
      </c>
      <c r="E1880" t="s">
        <v>137</v>
      </c>
      <c r="F1880" t="s">
        <v>21</v>
      </c>
      <c r="G1880" t="s">
        <v>20</v>
      </c>
      <c r="H1880" s="3">
        <v>4</v>
      </c>
      <c r="I1880" s="3">
        <v>780</v>
      </c>
      <c r="J1880" s="3">
        <v>3120</v>
      </c>
      <c r="K1880" s="3">
        <v>600</v>
      </c>
      <c r="L1880" s="3">
        <v>2400</v>
      </c>
      <c r="M1880" s="3">
        <v>720</v>
      </c>
      <c r="N1880" s="4">
        <v>0.23076923076923078</v>
      </c>
    </row>
    <row r="1881" spans="1:14" x14ac:dyDescent="0.3">
      <c r="A1881" s="6">
        <v>45792</v>
      </c>
      <c r="B1881" s="1" t="s">
        <v>2065</v>
      </c>
      <c r="C1881" s="1" t="s">
        <v>26</v>
      </c>
      <c r="D1881" t="s">
        <v>35</v>
      </c>
      <c r="E1881" t="s">
        <v>74</v>
      </c>
      <c r="F1881" t="s">
        <v>23</v>
      </c>
      <c r="G1881" t="s">
        <v>25</v>
      </c>
      <c r="H1881" s="3">
        <v>5</v>
      </c>
      <c r="I1881" s="3">
        <v>4224</v>
      </c>
      <c r="J1881" s="3">
        <v>21120</v>
      </c>
      <c r="K1881" s="3">
        <v>3200</v>
      </c>
      <c r="L1881" s="3">
        <v>16000</v>
      </c>
      <c r="M1881" s="3">
        <v>5120</v>
      </c>
      <c r="N1881" s="4">
        <v>0.24242424242424243</v>
      </c>
    </row>
    <row r="1882" spans="1:14" x14ac:dyDescent="0.3">
      <c r="A1882" s="6">
        <v>45792</v>
      </c>
      <c r="B1882" s="1" t="s">
        <v>2066</v>
      </c>
      <c r="C1882" s="1" t="s">
        <v>29</v>
      </c>
      <c r="D1882" t="s">
        <v>33</v>
      </c>
      <c r="E1882" t="s">
        <v>51</v>
      </c>
      <c r="F1882" t="s">
        <v>24</v>
      </c>
      <c r="G1882" t="s">
        <v>25</v>
      </c>
      <c r="H1882" s="3">
        <v>5</v>
      </c>
      <c r="I1882" s="3">
        <v>3275</v>
      </c>
      <c r="J1882" s="3">
        <v>16375</v>
      </c>
      <c r="K1882" s="3">
        <v>2500</v>
      </c>
      <c r="L1882" s="3">
        <v>12500</v>
      </c>
      <c r="M1882" s="3">
        <v>3875</v>
      </c>
      <c r="N1882" s="4">
        <v>0.23664122137404581</v>
      </c>
    </row>
    <row r="1883" spans="1:14" x14ac:dyDescent="0.3">
      <c r="A1883" s="6">
        <v>45792</v>
      </c>
      <c r="B1883" s="1" t="s">
        <v>2067</v>
      </c>
      <c r="C1883" s="1" t="s">
        <v>29</v>
      </c>
      <c r="D1883" t="s">
        <v>34</v>
      </c>
      <c r="E1883" t="s">
        <v>409</v>
      </c>
      <c r="F1883" t="s">
        <v>16</v>
      </c>
      <c r="G1883" t="s">
        <v>15</v>
      </c>
      <c r="H1883" s="3">
        <v>6</v>
      </c>
      <c r="I1883" s="3">
        <v>52439.999999999993</v>
      </c>
      <c r="J1883" s="3">
        <v>314639.99999999994</v>
      </c>
      <c r="K1883" s="3">
        <v>38000</v>
      </c>
      <c r="L1883" s="3">
        <v>228000</v>
      </c>
      <c r="M1883" s="3">
        <v>86639.999999999942</v>
      </c>
      <c r="N1883" s="4">
        <v>0.2753623188405796</v>
      </c>
    </row>
    <row r="1884" spans="1:14" x14ac:dyDescent="0.3">
      <c r="A1884" s="6">
        <v>45792</v>
      </c>
      <c r="B1884" s="1" t="s">
        <v>2068</v>
      </c>
      <c r="C1884" s="1" t="s">
        <v>26</v>
      </c>
      <c r="D1884" t="s">
        <v>32</v>
      </c>
      <c r="E1884" t="s">
        <v>110</v>
      </c>
      <c r="F1884" t="s">
        <v>22</v>
      </c>
      <c r="G1884" t="s">
        <v>18</v>
      </c>
      <c r="H1884" s="3">
        <v>3</v>
      </c>
      <c r="I1884" s="3">
        <v>9310</v>
      </c>
      <c r="J1884" s="3">
        <v>27930</v>
      </c>
      <c r="K1884" s="3">
        <v>7000</v>
      </c>
      <c r="L1884" s="3">
        <v>21000</v>
      </c>
      <c r="M1884" s="3">
        <v>6930</v>
      </c>
      <c r="N1884" s="4">
        <v>0.24812030075187969</v>
      </c>
    </row>
    <row r="1885" spans="1:14" x14ac:dyDescent="0.3">
      <c r="A1885" s="6">
        <v>45792</v>
      </c>
      <c r="B1885" s="1" t="s">
        <v>2069</v>
      </c>
      <c r="C1885" s="1" t="s">
        <v>29</v>
      </c>
      <c r="D1885" t="s">
        <v>33</v>
      </c>
      <c r="E1885" t="s">
        <v>161</v>
      </c>
      <c r="F1885" t="s">
        <v>22</v>
      </c>
      <c r="G1885" t="s">
        <v>18</v>
      </c>
      <c r="H1885" s="3">
        <v>6</v>
      </c>
      <c r="I1885" s="3">
        <v>9450</v>
      </c>
      <c r="J1885" s="3">
        <v>56700</v>
      </c>
      <c r="K1885" s="3">
        <v>7000</v>
      </c>
      <c r="L1885" s="3">
        <v>42000</v>
      </c>
      <c r="M1885" s="3">
        <v>14700</v>
      </c>
      <c r="N1885" s="4">
        <v>0.25925925925925924</v>
      </c>
    </row>
    <row r="1886" spans="1:14" x14ac:dyDescent="0.3">
      <c r="A1886" s="6">
        <v>45792</v>
      </c>
      <c r="B1886" s="1" t="s">
        <v>2070</v>
      </c>
      <c r="C1886" s="1" t="s">
        <v>28</v>
      </c>
      <c r="D1886" t="s">
        <v>34</v>
      </c>
      <c r="E1886" t="s">
        <v>349</v>
      </c>
      <c r="F1886" t="s">
        <v>19</v>
      </c>
      <c r="G1886" t="s">
        <v>20</v>
      </c>
      <c r="H1886" s="3">
        <v>7</v>
      </c>
      <c r="I1886" s="3">
        <v>1125</v>
      </c>
      <c r="J1886" s="3">
        <v>7875</v>
      </c>
      <c r="K1886" s="3">
        <v>900</v>
      </c>
      <c r="L1886" s="3">
        <v>6300</v>
      </c>
      <c r="M1886" s="3">
        <v>1575</v>
      </c>
      <c r="N1886" s="4">
        <v>0.2</v>
      </c>
    </row>
    <row r="1887" spans="1:14" x14ac:dyDescent="0.3">
      <c r="A1887" s="6">
        <v>45792</v>
      </c>
      <c r="B1887" s="1" t="s">
        <v>2071</v>
      </c>
      <c r="C1887" s="1" t="s">
        <v>28</v>
      </c>
      <c r="D1887" t="s">
        <v>35</v>
      </c>
      <c r="E1887" t="s">
        <v>96</v>
      </c>
      <c r="F1887" t="s">
        <v>17</v>
      </c>
      <c r="G1887" t="s">
        <v>18</v>
      </c>
      <c r="H1887" s="3">
        <v>10</v>
      </c>
      <c r="I1887" s="3">
        <v>10285</v>
      </c>
      <c r="J1887" s="3">
        <v>102850</v>
      </c>
      <c r="K1887" s="3">
        <v>8500</v>
      </c>
      <c r="L1887" s="3">
        <v>85000</v>
      </c>
      <c r="M1887" s="3">
        <v>17850</v>
      </c>
      <c r="N1887" s="4">
        <v>0.17355371900826447</v>
      </c>
    </row>
    <row r="1888" spans="1:14" x14ac:dyDescent="0.3">
      <c r="A1888" s="6">
        <v>45792</v>
      </c>
      <c r="B1888" s="1" t="s">
        <v>2072</v>
      </c>
      <c r="C1888" s="1" t="s">
        <v>27</v>
      </c>
      <c r="D1888" t="s">
        <v>34</v>
      </c>
      <c r="E1888" t="s">
        <v>102</v>
      </c>
      <c r="F1888" t="s">
        <v>23</v>
      </c>
      <c r="G1888" t="s">
        <v>25</v>
      </c>
      <c r="H1888" s="3">
        <v>3</v>
      </c>
      <c r="I1888" s="3">
        <v>4480</v>
      </c>
      <c r="J1888" s="3">
        <v>13440</v>
      </c>
      <c r="K1888" s="3">
        <v>3200</v>
      </c>
      <c r="L1888" s="3">
        <v>9600</v>
      </c>
      <c r="M1888" s="3">
        <v>3840</v>
      </c>
      <c r="N1888" s="4">
        <v>0.2857142857142857</v>
      </c>
    </row>
    <row r="1889" spans="1:14" x14ac:dyDescent="0.3">
      <c r="A1889" s="6">
        <v>45792</v>
      </c>
      <c r="B1889" s="1" t="s">
        <v>2073</v>
      </c>
      <c r="C1889" s="1" t="s">
        <v>27</v>
      </c>
      <c r="D1889" t="s">
        <v>30</v>
      </c>
      <c r="E1889" t="s">
        <v>390</v>
      </c>
      <c r="F1889" t="s">
        <v>17</v>
      </c>
      <c r="G1889" t="s">
        <v>18</v>
      </c>
      <c r="H1889" s="3">
        <v>9</v>
      </c>
      <c r="I1889" s="3">
        <v>10455</v>
      </c>
      <c r="J1889" s="3">
        <v>94095</v>
      </c>
      <c r="K1889" s="3">
        <v>8500</v>
      </c>
      <c r="L1889" s="3">
        <v>76500</v>
      </c>
      <c r="M1889" s="3">
        <v>17595</v>
      </c>
      <c r="N1889" s="4">
        <v>0.18699186991869918</v>
      </c>
    </row>
    <row r="1890" spans="1:14" x14ac:dyDescent="0.3">
      <c r="A1890" s="6">
        <v>45793</v>
      </c>
      <c r="B1890" s="1" t="s">
        <v>2074</v>
      </c>
      <c r="C1890" s="1" t="s">
        <v>26</v>
      </c>
      <c r="D1890" t="s">
        <v>34</v>
      </c>
      <c r="E1890" t="s">
        <v>153</v>
      </c>
      <c r="F1890" t="s">
        <v>22</v>
      </c>
      <c r="G1890" t="s">
        <v>18</v>
      </c>
      <c r="H1890" s="3">
        <v>7</v>
      </c>
      <c r="I1890" s="3">
        <v>9730</v>
      </c>
      <c r="J1890" s="3">
        <v>68110</v>
      </c>
      <c r="K1890" s="3">
        <v>7000</v>
      </c>
      <c r="L1890" s="3">
        <v>49000</v>
      </c>
      <c r="M1890" s="3">
        <v>19110</v>
      </c>
      <c r="N1890" s="4">
        <v>0.2805755395683453</v>
      </c>
    </row>
    <row r="1891" spans="1:14" x14ac:dyDescent="0.3">
      <c r="A1891" s="6">
        <v>45793</v>
      </c>
      <c r="B1891" s="1" t="s">
        <v>2075</v>
      </c>
      <c r="C1891" s="1" t="s">
        <v>27</v>
      </c>
      <c r="D1891" t="s">
        <v>31</v>
      </c>
      <c r="E1891" t="s">
        <v>76</v>
      </c>
      <c r="F1891" t="s">
        <v>24</v>
      </c>
      <c r="G1891" t="s">
        <v>25</v>
      </c>
      <c r="H1891" s="3">
        <v>8</v>
      </c>
      <c r="I1891" s="3">
        <v>3525</v>
      </c>
      <c r="J1891" s="3">
        <v>28200</v>
      </c>
      <c r="K1891" s="3">
        <v>2500</v>
      </c>
      <c r="L1891" s="3">
        <v>20000</v>
      </c>
      <c r="M1891" s="3">
        <v>8200</v>
      </c>
      <c r="N1891" s="4">
        <v>0.29078014184397161</v>
      </c>
    </row>
    <row r="1892" spans="1:14" x14ac:dyDescent="0.3">
      <c r="A1892" s="6">
        <v>45793</v>
      </c>
      <c r="B1892" s="1" t="s">
        <v>2076</v>
      </c>
      <c r="C1892" s="1" t="s">
        <v>29</v>
      </c>
      <c r="D1892" t="s">
        <v>30</v>
      </c>
      <c r="E1892" t="s">
        <v>302</v>
      </c>
      <c r="F1892" t="s">
        <v>22</v>
      </c>
      <c r="G1892" t="s">
        <v>18</v>
      </c>
      <c r="H1892" s="3">
        <v>9</v>
      </c>
      <c r="I1892" s="3">
        <v>8610</v>
      </c>
      <c r="J1892" s="3">
        <v>77490</v>
      </c>
      <c r="K1892" s="3">
        <v>7000</v>
      </c>
      <c r="L1892" s="3">
        <v>63000</v>
      </c>
      <c r="M1892" s="3">
        <v>14490</v>
      </c>
      <c r="N1892" s="4">
        <v>0.18699186991869918</v>
      </c>
    </row>
    <row r="1893" spans="1:14" x14ac:dyDescent="0.3">
      <c r="A1893" s="6">
        <v>45793</v>
      </c>
      <c r="B1893" s="1" t="s">
        <v>2077</v>
      </c>
      <c r="C1893" s="1" t="s">
        <v>26</v>
      </c>
      <c r="D1893" t="s">
        <v>35</v>
      </c>
      <c r="E1893" t="s">
        <v>37</v>
      </c>
      <c r="F1893" t="s">
        <v>23</v>
      </c>
      <c r="G1893" t="s">
        <v>25</v>
      </c>
      <c r="H1893" s="3">
        <v>2</v>
      </c>
      <c r="I1893" s="3">
        <v>4512</v>
      </c>
      <c r="J1893" s="3">
        <v>9024</v>
      </c>
      <c r="K1893" s="3">
        <v>3200</v>
      </c>
      <c r="L1893" s="3">
        <v>6400</v>
      </c>
      <c r="M1893" s="3">
        <v>2624</v>
      </c>
      <c r="N1893" s="4">
        <v>0.29078014184397161</v>
      </c>
    </row>
    <row r="1894" spans="1:14" x14ac:dyDescent="0.3">
      <c r="A1894" s="6">
        <v>45793</v>
      </c>
      <c r="B1894" s="1" t="s">
        <v>2078</v>
      </c>
      <c r="C1894" s="1" t="s">
        <v>27</v>
      </c>
      <c r="D1894" t="s">
        <v>34</v>
      </c>
      <c r="E1894" t="s">
        <v>61</v>
      </c>
      <c r="F1894" t="s">
        <v>19</v>
      </c>
      <c r="G1894" t="s">
        <v>20</v>
      </c>
      <c r="H1894" s="3">
        <v>2</v>
      </c>
      <c r="I1894" s="3">
        <v>1098</v>
      </c>
      <c r="J1894" s="3">
        <v>2196</v>
      </c>
      <c r="K1894" s="3">
        <v>900</v>
      </c>
      <c r="L1894" s="3">
        <v>1800</v>
      </c>
      <c r="M1894" s="3">
        <v>396</v>
      </c>
      <c r="N1894" s="4">
        <v>0.18032786885245902</v>
      </c>
    </row>
    <row r="1895" spans="1:14" x14ac:dyDescent="0.3">
      <c r="A1895" s="6">
        <v>45793</v>
      </c>
      <c r="B1895" s="1" t="s">
        <v>2079</v>
      </c>
      <c r="C1895" s="1" t="s">
        <v>26</v>
      </c>
      <c r="D1895" t="s">
        <v>33</v>
      </c>
      <c r="E1895" t="s">
        <v>306</v>
      </c>
      <c r="F1895" t="s">
        <v>23</v>
      </c>
      <c r="G1895" t="s">
        <v>25</v>
      </c>
      <c r="H1895" s="3">
        <v>6</v>
      </c>
      <c r="I1895" s="3">
        <v>3968</v>
      </c>
      <c r="J1895" s="3">
        <v>23808</v>
      </c>
      <c r="K1895" s="3">
        <v>3200</v>
      </c>
      <c r="L1895" s="3">
        <v>19200</v>
      </c>
      <c r="M1895" s="3">
        <v>4608</v>
      </c>
      <c r="N1895" s="4">
        <v>0.19354838709677419</v>
      </c>
    </row>
    <row r="1896" spans="1:14" x14ac:dyDescent="0.3">
      <c r="A1896" s="6">
        <v>45793</v>
      </c>
      <c r="B1896" s="1" t="s">
        <v>2080</v>
      </c>
      <c r="C1896" s="1" t="s">
        <v>29</v>
      </c>
      <c r="D1896" t="s">
        <v>32</v>
      </c>
      <c r="E1896" t="s">
        <v>427</v>
      </c>
      <c r="F1896" t="s">
        <v>16</v>
      </c>
      <c r="G1896" t="s">
        <v>15</v>
      </c>
      <c r="H1896" s="3">
        <v>10</v>
      </c>
      <c r="I1896" s="3">
        <v>50160</v>
      </c>
      <c r="J1896" s="3">
        <v>501600</v>
      </c>
      <c r="K1896" s="3">
        <v>38000</v>
      </c>
      <c r="L1896" s="3">
        <v>380000</v>
      </c>
      <c r="M1896" s="3">
        <v>121600</v>
      </c>
      <c r="N1896" s="4">
        <v>0.24242424242424243</v>
      </c>
    </row>
    <row r="1897" spans="1:14" x14ac:dyDescent="0.3">
      <c r="A1897" s="6">
        <v>45793</v>
      </c>
      <c r="B1897" s="1" t="s">
        <v>2081</v>
      </c>
      <c r="C1897" s="1" t="s">
        <v>26</v>
      </c>
      <c r="D1897" t="s">
        <v>30</v>
      </c>
      <c r="E1897" t="s">
        <v>565</v>
      </c>
      <c r="F1897" t="s">
        <v>19</v>
      </c>
      <c r="G1897" t="s">
        <v>20</v>
      </c>
      <c r="H1897" s="3">
        <v>2</v>
      </c>
      <c r="I1897" s="3">
        <v>1296</v>
      </c>
      <c r="J1897" s="3">
        <v>2592</v>
      </c>
      <c r="K1897" s="3">
        <v>900</v>
      </c>
      <c r="L1897" s="3">
        <v>1800</v>
      </c>
      <c r="M1897" s="3">
        <v>792</v>
      </c>
      <c r="N1897" s="4">
        <v>0.30555555555555558</v>
      </c>
    </row>
    <row r="1898" spans="1:14" x14ac:dyDescent="0.3">
      <c r="A1898" s="6">
        <v>45793</v>
      </c>
      <c r="B1898" s="1" t="s">
        <v>2082</v>
      </c>
      <c r="C1898" s="1" t="s">
        <v>26</v>
      </c>
      <c r="D1898" t="s">
        <v>33</v>
      </c>
      <c r="E1898" t="s">
        <v>698</v>
      </c>
      <c r="F1898" t="s">
        <v>16</v>
      </c>
      <c r="G1898" t="s">
        <v>15</v>
      </c>
      <c r="H1898" s="3">
        <v>8</v>
      </c>
      <c r="I1898" s="3">
        <v>49020</v>
      </c>
      <c r="J1898" s="3">
        <v>392160</v>
      </c>
      <c r="K1898" s="3">
        <v>38000</v>
      </c>
      <c r="L1898" s="3">
        <v>304000</v>
      </c>
      <c r="M1898" s="3">
        <v>88160</v>
      </c>
      <c r="N1898" s="4">
        <v>0.22480620155038761</v>
      </c>
    </row>
    <row r="1899" spans="1:14" x14ac:dyDescent="0.3">
      <c r="A1899" s="6">
        <v>45793</v>
      </c>
      <c r="B1899" s="1" t="s">
        <v>2083</v>
      </c>
      <c r="C1899" s="1" t="s">
        <v>28</v>
      </c>
      <c r="D1899" t="s">
        <v>34</v>
      </c>
      <c r="E1899" t="s">
        <v>88</v>
      </c>
      <c r="F1899" t="s">
        <v>22</v>
      </c>
      <c r="G1899" t="s">
        <v>18</v>
      </c>
      <c r="H1899" s="3">
        <v>8</v>
      </c>
      <c r="I1899" s="3">
        <v>9800</v>
      </c>
      <c r="J1899" s="3">
        <v>78400</v>
      </c>
      <c r="K1899" s="3">
        <v>7000</v>
      </c>
      <c r="L1899" s="3">
        <v>56000</v>
      </c>
      <c r="M1899" s="3">
        <v>22400</v>
      </c>
      <c r="N1899" s="4">
        <v>0.2857142857142857</v>
      </c>
    </row>
    <row r="1900" spans="1:14" x14ac:dyDescent="0.3">
      <c r="A1900" s="6">
        <v>45793</v>
      </c>
      <c r="B1900" s="1" t="s">
        <v>2084</v>
      </c>
      <c r="C1900" s="1" t="s">
        <v>26</v>
      </c>
      <c r="D1900" t="s">
        <v>34</v>
      </c>
      <c r="E1900" t="s">
        <v>74</v>
      </c>
      <c r="F1900" t="s">
        <v>22</v>
      </c>
      <c r="G1900" t="s">
        <v>18</v>
      </c>
      <c r="H1900" s="3">
        <v>4</v>
      </c>
      <c r="I1900" s="3">
        <v>9520</v>
      </c>
      <c r="J1900" s="3">
        <v>38080</v>
      </c>
      <c r="K1900" s="3">
        <v>7000</v>
      </c>
      <c r="L1900" s="3">
        <v>28000</v>
      </c>
      <c r="M1900" s="3">
        <v>10080</v>
      </c>
      <c r="N1900" s="4">
        <v>0.26470588235294118</v>
      </c>
    </row>
    <row r="1901" spans="1:14" x14ac:dyDescent="0.3">
      <c r="A1901" s="6">
        <v>45793</v>
      </c>
      <c r="B1901" s="1" t="s">
        <v>2085</v>
      </c>
      <c r="C1901" s="1" t="s">
        <v>26</v>
      </c>
      <c r="D1901" t="s">
        <v>31</v>
      </c>
      <c r="E1901" t="s">
        <v>255</v>
      </c>
      <c r="F1901" t="s">
        <v>23</v>
      </c>
      <c r="G1901" t="s">
        <v>25</v>
      </c>
      <c r="H1901" s="3">
        <v>7</v>
      </c>
      <c r="I1901" s="3">
        <v>3936</v>
      </c>
      <c r="J1901" s="3">
        <v>27552</v>
      </c>
      <c r="K1901" s="3">
        <v>3200</v>
      </c>
      <c r="L1901" s="3">
        <v>22400</v>
      </c>
      <c r="M1901" s="3">
        <v>5152</v>
      </c>
      <c r="N1901" s="4">
        <v>0.18699186991869918</v>
      </c>
    </row>
    <row r="1902" spans="1:14" x14ac:dyDescent="0.3">
      <c r="A1902" s="6">
        <v>45793</v>
      </c>
      <c r="B1902" s="1" t="s">
        <v>2086</v>
      </c>
      <c r="C1902" s="1" t="s">
        <v>28</v>
      </c>
      <c r="D1902" t="s">
        <v>30</v>
      </c>
      <c r="E1902" t="s">
        <v>751</v>
      </c>
      <c r="F1902" t="s">
        <v>22</v>
      </c>
      <c r="G1902" t="s">
        <v>18</v>
      </c>
      <c r="H1902" s="3">
        <v>5</v>
      </c>
      <c r="I1902" s="3">
        <v>8470</v>
      </c>
      <c r="J1902" s="3">
        <v>42350</v>
      </c>
      <c r="K1902" s="3">
        <v>7000</v>
      </c>
      <c r="L1902" s="3">
        <v>35000</v>
      </c>
      <c r="M1902" s="3">
        <v>7350</v>
      </c>
      <c r="N1902" s="4">
        <v>0.17355371900826447</v>
      </c>
    </row>
    <row r="1903" spans="1:14" x14ac:dyDescent="0.3">
      <c r="A1903" s="6">
        <v>45793</v>
      </c>
      <c r="B1903" s="1" t="s">
        <v>2087</v>
      </c>
      <c r="C1903" s="1" t="s">
        <v>28</v>
      </c>
      <c r="D1903" t="s">
        <v>35</v>
      </c>
      <c r="E1903" t="s">
        <v>447</v>
      </c>
      <c r="F1903" t="s">
        <v>16</v>
      </c>
      <c r="G1903" t="s">
        <v>15</v>
      </c>
      <c r="H1903" s="3">
        <v>1</v>
      </c>
      <c r="I1903" s="3">
        <v>47500</v>
      </c>
      <c r="J1903" s="3">
        <v>47500</v>
      </c>
      <c r="K1903" s="3">
        <v>38000</v>
      </c>
      <c r="L1903" s="3">
        <v>38000</v>
      </c>
      <c r="M1903" s="3">
        <v>9500</v>
      </c>
      <c r="N1903" s="4">
        <v>0.2</v>
      </c>
    </row>
    <row r="1904" spans="1:14" x14ac:dyDescent="0.3">
      <c r="A1904" s="6">
        <v>45794</v>
      </c>
      <c r="B1904" s="1" t="s">
        <v>2088</v>
      </c>
      <c r="C1904" s="1" t="s">
        <v>29</v>
      </c>
      <c r="D1904" t="s">
        <v>31</v>
      </c>
      <c r="E1904" t="s">
        <v>317</v>
      </c>
      <c r="F1904" t="s">
        <v>17</v>
      </c>
      <c r="G1904" t="s">
        <v>18</v>
      </c>
      <c r="H1904" s="3">
        <v>3</v>
      </c>
      <c r="I1904" s="3">
        <v>10285</v>
      </c>
      <c r="J1904" s="3">
        <v>30855</v>
      </c>
      <c r="K1904" s="3">
        <v>8500</v>
      </c>
      <c r="L1904" s="3">
        <v>25500</v>
      </c>
      <c r="M1904" s="3">
        <v>5355</v>
      </c>
      <c r="N1904" s="4">
        <v>0.17355371900826447</v>
      </c>
    </row>
    <row r="1905" spans="1:14" x14ac:dyDescent="0.3">
      <c r="A1905" s="6">
        <v>45794</v>
      </c>
      <c r="B1905" s="1" t="s">
        <v>2089</v>
      </c>
      <c r="C1905" s="1" t="s">
        <v>28</v>
      </c>
      <c r="D1905" t="s">
        <v>34</v>
      </c>
      <c r="E1905" t="s">
        <v>218</v>
      </c>
      <c r="F1905" t="s">
        <v>19</v>
      </c>
      <c r="G1905" t="s">
        <v>20</v>
      </c>
      <c r="H1905" s="3">
        <v>9</v>
      </c>
      <c r="I1905" s="3">
        <v>1116</v>
      </c>
      <c r="J1905" s="3">
        <v>10044</v>
      </c>
      <c r="K1905" s="3">
        <v>900</v>
      </c>
      <c r="L1905" s="3">
        <v>8100</v>
      </c>
      <c r="M1905" s="3">
        <v>1944</v>
      </c>
      <c r="N1905" s="4">
        <v>0.19354838709677419</v>
      </c>
    </row>
    <row r="1906" spans="1:14" x14ac:dyDescent="0.3">
      <c r="A1906" s="6">
        <v>45794</v>
      </c>
      <c r="B1906" s="1" t="s">
        <v>2090</v>
      </c>
      <c r="C1906" s="1" t="s">
        <v>27</v>
      </c>
      <c r="D1906" t="s">
        <v>32</v>
      </c>
      <c r="E1906" t="s">
        <v>104</v>
      </c>
      <c r="F1906" t="s">
        <v>21</v>
      </c>
      <c r="G1906" t="s">
        <v>20</v>
      </c>
      <c r="H1906" s="3">
        <v>5</v>
      </c>
      <c r="I1906" s="3">
        <v>810</v>
      </c>
      <c r="J1906" s="3">
        <v>4050</v>
      </c>
      <c r="K1906" s="3">
        <v>600</v>
      </c>
      <c r="L1906" s="3">
        <v>3000</v>
      </c>
      <c r="M1906" s="3">
        <v>1050</v>
      </c>
      <c r="N1906" s="4">
        <v>0.25925925925925924</v>
      </c>
    </row>
    <row r="1907" spans="1:14" x14ac:dyDescent="0.3">
      <c r="A1907" s="6">
        <v>45794</v>
      </c>
      <c r="B1907" s="1" t="s">
        <v>2091</v>
      </c>
      <c r="C1907" s="1" t="s">
        <v>27</v>
      </c>
      <c r="D1907" t="s">
        <v>34</v>
      </c>
      <c r="E1907" t="s">
        <v>220</v>
      </c>
      <c r="F1907" t="s">
        <v>16</v>
      </c>
      <c r="G1907" t="s">
        <v>15</v>
      </c>
      <c r="H1907" s="3">
        <v>4</v>
      </c>
      <c r="I1907" s="3">
        <v>47120</v>
      </c>
      <c r="J1907" s="3">
        <v>188480</v>
      </c>
      <c r="K1907" s="3">
        <v>38000</v>
      </c>
      <c r="L1907" s="3">
        <v>152000</v>
      </c>
      <c r="M1907" s="3">
        <v>36480</v>
      </c>
      <c r="N1907" s="4">
        <v>0.19354838709677419</v>
      </c>
    </row>
    <row r="1908" spans="1:14" x14ac:dyDescent="0.3">
      <c r="A1908" s="6">
        <v>45794</v>
      </c>
      <c r="B1908" s="1" t="s">
        <v>2092</v>
      </c>
      <c r="C1908" s="1" t="s">
        <v>28</v>
      </c>
      <c r="D1908" t="s">
        <v>32</v>
      </c>
      <c r="E1908" t="s">
        <v>243</v>
      </c>
      <c r="F1908" t="s">
        <v>22</v>
      </c>
      <c r="G1908" t="s">
        <v>18</v>
      </c>
      <c r="H1908" s="3">
        <v>7</v>
      </c>
      <c r="I1908" s="3">
        <v>8540</v>
      </c>
      <c r="J1908" s="3">
        <v>59780</v>
      </c>
      <c r="K1908" s="3">
        <v>7000</v>
      </c>
      <c r="L1908" s="3">
        <v>49000</v>
      </c>
      <c r="M1908" s="3">
        <v>10780</v>
      </c>
      <c r="N1908" s="4">
        <v>0.18032786885245902</v>
      </c>
    </row>
    <row r="1909" spans="1:14" x14ac:dyDescent="0.3">
      <c r="A1909" s="6">
        <v>45794</v>
      </c>
      <c r="B1909" s="1" t="s">
        <v>2093</v>
      </c>
      <c r="C1909" s="1" t="s">
        <v>29</v>
      </c>
      <c r="D1909" t="s">
        <v>31</v>
      </c>
      <c r="E1909" t="s">
        <v>151</v>
      </c>
      <c r="F1909" t="s">
        <v>14</v>
      </c>
      <c r="G1909" t="s">
        <v>15</v>
      </c>
      <c r="H1909" s="3">
        <v>7</v>
      </c>
      <c r="I1909" s="3">
        <v>56700</v>
      </c>
      <c r="J1909" s="3">
        <v>396900</v>
      </c>
      <c r="K1909" s="3">
        <v>45000</v>
      </c>
      <c r="L1909" s="3">
        <v>315000</v>
      </c>
      <c r="M1909" s="3">
        <v>81900</v>
      </c>
      <c r="N1909" s="4">
        <v>0.20634920634920634</v>
      </c>
    </row>
    <row r="1910" spans="1:14" x14ac:dyDescent="0.3">
      <c r="A1910" s="6">
        <v>45794</v>
      </c>
      <c r="B1910" s="1" t="s">
        <v>2094</v>
      </c>
      <c r="C1910" s="1" t="s">
        <v>27</v>
      </c>
      <c r="D1910" t="s">
        <v>33</v>
      </c>
      <c r="E1910" t="s">
        <v>226</v>
      </c>
      <c r="F1910" t="s">
        <v>16</v>
      </c>
      <c r="G1910" t="s">
        <v>15</v>
      </c>
      <c r="H1910" s="3">
        <v>2</v>
      </c>
      <c r="I1910" s="3">
        <v>51300</v>
      </c>
      <c r="J1910" s="3">
        <v>102600</v>
      </c>
      <c r="K1910" s="3">
        <v>38000</v>
      </c>
      <c r="L1910" s="3">
        <v>76000</v>
      </c>
      <c r="M1910" s="3">
        <v>26600</v>
      </c>
      <c r="N1910" s="4">
        <v>0.25925925925925924</v>
      </c>
    </row>
    <row r="1911" spans="1:14" x14ac:dyDescent="0.3">
      <c r="A1911" s="6">
        <v>45794</v>
      </c>
      <c r="B1911" s="1" t="s">
        <v>2095</v>
      </c>
      <c r="C1911" s="1" t="s">
        <v>29</v>
      </c>
      <c r="D1911" t="s">
        <v>34</v>
      </c>
      <c r="E1911" t="s">
        <v>149</v>
      </c>
      <c r="F1911" t="s">
        <v>14</v>
      </c>
      <c r="G1911" t="s">
        <v>15</v>
      </c>
      <c r="H1911" s="3">
        <v>7</v>
      </c>
      <c r="I1911" s="3">
        <v>56250</v>
      </c>
      <c r="J1911" s="3">
        <v>393750</v>
      </c>
      <c r="K1911" s="3">
        <v>45000</v>
      </c>
      <c r="L1911" s="3">
        <v>315000</v>
      </c>
      <c r="M1911" s="3">
        <v>78750</v>
      </c>
      <c r="N1911" s="4">
        <v>0.2</v>
      </c>
    </row>
    <row r="1912" spans="1:14" x14ac:dyDescent="0.3">
      <c r="A1912" s="6">
        <v>45794</v>
      </c>
      <c r="B1912" s="1" t="s">
        <v>2096</v>
      </c>
      <c r="C1912" s="1" t="s">
        <v>27</v>
      </c>
      <c r="D1912" t="s">
        <v>31</v>
      </c>
      <c r="E1912" t="s">
        <v>807</v>
      </c>
      <c r="F1912" t="s">
        <v>21</v>
      </c>
      <c r="G1912" t="s">
        <v>20</v>
      </c>
      <c r="H1912" s="3">
        <v>3</v>
      </c>
      <c r="I1912" s="3">
        <v>852</v>
      </c>
      <c r="J1912" s="3">
        <v>2556</v>
      </c>
      <c r="K1912" s="3">
        <v>600</v>
      </c>
      <c r="L1912" s="3">
        <v>1800</v>
      </c>
      <c r="M1912" s="3">
        <v>756</v>
      </c>
      <c r="N1912" s="4">
        <v>0.29577464788732394</v>
      </c>
    </row>
    <row r="1913" spans="1:14" x14ac:dyDescent="0.3">
      <c r="A1913" s="6">
        <v>45794</v>
      </c>
      <c r="B1913" s="1" t="s">
        <v>2097</v>
      </c>
      <c r="C1913" s="1" t="s">
        <v>27</v>
      </c>
      <c r="D1913" t="s">
        <v>34</v>
      </c>
      <c r="E1913" t="s">
        <v>379</v>
      </c>
      <c r="F1913" t="s">
        <v>19</v>
      </c>
      <c r="G1913" t="s">
        <v>20</v>
      </c>
      <c r="H1913" s="3">
        <v>5</v>
      </c>
      <c r="I1913" s="3">
        <v>1179</v>
      </c>
      <c r="J1913" s="3">
        <v>5895</v>
      </c>
      <c r="K1913" s="3">
        <v>900</v>
      </c>
      <c r="L1913" s="3">
        <v>4500</v>
      </c>
      <c r="M1913" s="3">
        <v>1395</v>
      </c>
      <c r="N1913" s="4">
        <v>0.23664122137404581</v>
      </c>
    </row>
    <row r="1914" spans="1:14" x14ac:dyDescent="0.3">
      <c r="A1914" s="6">
        <v>45794</v>
      </c>
      <c r="B1914" s="1" t="s">
        <v>2098</v>
      </c>
      <c r="C1914" s="1" t="s">
        <v>28</v>
      </c>
      <c r="D1914" t="s">
        <v>34</v>
      </c>
      <c r="E1914" t="s">
        <v>110</v>
      </c>
      <c r="F1914" t="s">
        <v>17</v>
      </c>
      <c r="G1914" t="s">
        <v>18</v>
      </c>
      <c r="H1914" s="3">
        <v>6</v>
      </c>
      <c r="I1914" s="3">
        <v>10795</v>
      </c>
      <c r="J1914" s="3">
        <v>64770</v>
      </c>
      <c r="K1914" s="3">
        <v>8500</v>
      </c>
      <c r="L1914" s="3">
        <v>51000</v>
      </c>
      <c r="M1914" s="3">
        <v>13770</v>
      </c>
      <c r="N1914" s="4">
        <v>0.2125984251968504</v>
      </c>
    </row>
    <row r="1915" spans="1:14" x14ac:dyDescent="0.3">
      <c r="A1915" s="6">
        <v>45794</v>
      </c>
      <c r="B1915" s="1" t="s">
        <v>2099</v>
      </c>
      <c r="C1915" s="1" t="s">
        <v>28</v>
      </c>
      <c r="D1915" t="s">
        <v>34</v>
      </c>
      <c r="E1915" t="s">
        <v>137</v>
      </c>
      <c r="F1915" t="s">
        <v>24</v>
      </c>
      <c r="G1915" t="s">
        <v>25</v>
      </c>
      <c r="H1915" s="3">
        <v>3</v>
      </c>
      <c r="I1915" s="3">
        <v>3225</v>
      </c>
      <c r="J1915" s="3">
        <v>9675</v>
      </c>
      <c r="K1915" s="3">
        <v>2500</v>
      </c>
      <c r="L1915" s="3">
        <v>7500</v>
      </c>
      <c r="M1915" s="3">
        <v>2175</v>
      </c>
      <c r="N1915" s="4">
        <v>0.22480620155038761</v>
      </c>
    </row>
    <row r="1916" spans="1:14" x14ac:dyDescent="0.3">
      <c r="A1916" s="6">
        <v>45794</v>
      </c>
      <c r="B1916" s="1" t="s">
        <v>2100</v>
      </c>
      <c r="C1916" s="1" t="s">
        <v>27</v>
      </c>
      <c r="D1916" t="s">
        <v>34</v>
      </c>
      <c r="E1916" t="s">
        <v>81</v>
      </c>
      <c r="F1916" t="s">
        <v>24</v>
      </c>
      <c r="G1916" t="s">
        <v>25</v>
      </c>
      <c r="H1916" s="3">
        <v>9</v>
      </c>
      <c r="I1916" s="3">
        <v>3449.9999999999995</v>
      </c>
      <c r="J1916" s="3">
        <v>31049.999999999996</v>
      </c>
      <c r="K1916" s="3">
        <v>2500</v>
      </c>
      <c r="L1916" s="3">
        <v>22500</v>
      </c>
      <c r="M1916" s="3">
        <v>8549.9999999999964</v>
      </c>
      <c r="N1916" s="4">
        <v>0.2753623188405796</v>
      </c>
    </row>
    <row r="1917" spans="1:14" x14ac:dyDescent="0.3">
      <c r="A1917" s="6">
        <v>45794</v>
      </c>
      <c r="B1917" s="1" t="s">
        <v>2101</v>
      </c>
      <c r="C1917" s="1" t="s">
        <v>27</v>
      </c>
      <c r="D1917" t="s">
        <v>33</v>
      </c>
      <c r="E1917" t="s">
        <v>576</v>
      </c>
      <c r="F1917" t="s">
        <v>23</v>
      </c>
      <c r="G1917" t="s">
        <v>25</v>
      </c>
      <c r="H1917" s="3">
        <v>1</v>
      </c>
      <c r="I1917" s="3">
        <v>4384</v>
      </c>
      <c r="J1917" s="3">
        <v>4384</v>
      </c>
      <c r="K1917" s="3">
        <v>3200</v>
      </c>
      <c r="L1917" s="3">
        <v>3200</v>
      </c>
      <c r="M1917" s="3">
        <v>1184</v>
      </c>
      <c r="N1917" s="4">
        <v>0.27007299270072993</v>
      </c>
    </row>
    <row r="1918" spans="1:14" x14ac:dyDescent="0.3">
      <c r="A1918" s="6">
        <v>45795</v>
      </c>
      <c r="B1918" s="1" t="s">
        <v>2102</v>
      </c>
      <c r="C1918" s="1" t="s">
        <v>29</v>
      </c>
      <c r="D1918" t="s">
        <v>31</v>
      </c>
      <c r="E1918" t="s">
        <v>153</v>
      </c>
      <c r="F1918" t="s">
        <v>22</v>
      </c>
      <c r="G1918" t="s">
        <v>18</v>
      </c>
      <c r="H1918" s="3">
        <v>10</v>
      </c>
      <c r="I1918" s="3">
        <v>9100</v>
      </c>
      <c r="J1918" s="3">
        <v>91000</v>
      </c>
      <c r="K1918" s="3">
        <v>7000</v>
      </c>
      <c r="L1918" s="3">
        <v>70000</v>
      </c>
      <c r="M1918" s="3">
        <v>21000</v>
      </c>
      <c r="N1918" s="4">
        <v>0.23076923076923078</v>
      </c>
    </row>
    <row r="1919" spans="1:14" x14ac:dyDescent="0.3">
      <c r="A1919" s="6">
        <v>45795</v>
      </c>
      <c r="B1919" s="1" t="s">
        <v>2103</v>
      </c>
      <c r="C1919" s="1" t="s">
        <v>26</v>
      </c>
      <c r="D1919" t="s">
        <v>33</v>
      </c>
      <c r="E1919" t="s">
        <v>78</v>
      </c>
      <c r="F1919" t="s">
        <v>17</v>
      </c>
      <c r="G1919" t="s">
        <v>18</v>
      </c>
      <c r="H1919" s="3">
        <v>10</v>
      </c>
      <c r="I1919" s="3">
        <v>10455</v>
      </c>
      <c r="J1919" s="3">
        <v>104550</v>
      </c>
      <c r="K1919" s="3">
        <v>8500</v>
      </c>
      <c r="L1919" s="3">
        <v>85000</v>
      </c>
      <c r="M1919" s="3">
        <v>19550</v>
      </c>
      <c r="N1919" s="4">
        <v>0.18699186991869918</v>
      </c>
    </row>
    <row r="1920" spans="1:14" x14ac:dyDescent="0.3">
      <c r="A1920" s="6">
        <v>45795</v>
      </c>
      <c r="B1920" s="1" t="s">
        <v>2104</v>
      </c>
      <c r="C1920" s="1" t="s">
        <v>27</v>
      </c>
      <c r="D1920" t="s">
        <v>35</v>
      </c>
      <c r="E1920" t="s">
        <v>59</v>
      </c>
      <c r="F1920" t="s">
        <v>23</v>
      </c>
      <c r="G1920" t="s">
        <v>25</v>
      </c>
      <c r="H1920" s="3">
        <v>1</v>
      </c>
      <c r="I1920" s="3">
        <v>4160</v>
      </c>
      <c r="J1920" s="3">
        <v>4160</v>
      </c>
      <c r="K1920" s="3">
        <v>3200</v>
      </c>
      <c r="L1920" s="3">
        <v>3200</v>
      </c>
      <c r="M1920" s="3">
        <v>960</v>
      </c>
      <c r="N1920" s="4">
        <v>0.23076923076923078</v>
      </c>
    </row>
    <row r="1921" spans="1:14" x14ac:dyDescent="0.3">
      <c r="A1921" s="6">
        <v>45795</v>
      </c>
      <c r="B1921" s="1" t="s">
        <v>2105</v>
      </c>
      <c r="C1921" s="1" t="s">
        <v>28</v>
      </c>
      <c r="D1921" t="s">
        <v>31</v>
      </c>
      <c r="E1921" t="s">
        <v>81</v>
      </c>
      <c r="F1921" t="s">
        <v>23</v>
      </c>
      <c r="G1921" t="s">
        <v>25</v>
      </c>
      <c r="H1921" s="3">
        <v>5</v>
      </c>
      <c r="I1921" s="3">
        <v>3872</v>
      </c>
      <c r="J1921" s="3">
        <v>19360</v>
      </c>
      <c r="K1921" s="3">
        <v>3200</v>
      </c>
      <c r="L1921" s="3">
        <v>16000</v>
      </c>
      <c r="M1921" s="3">
        <v>3360</v>
      </c>
      <c r="N1921" s="4">
        <v>0.17355371900826447</v>
      </c>
    </row>
    <row r="1922" spans="1:14" x14ac:dyDescent="0.3">
      <c r="A1922" s="6">
        <v>45795</v>
      </c>
      <c r="B1922" s="1" t="s">
        <v>2106</v>
      </c>
      <c r="C1922" s="1" t="s">
        <v>27</v>
      </c>
      <c r="D1922" t="s">
        <v>32</v>
      </c>
      <c r="E1922" t="s">
        <v>427</v>
      </c>
      <c r="F1922" t="s">
        <v>23</v>
      </c>
      <c r="G1922" t="s">
        <v>25</v>
      </c>
      <c r="H1922" s="3">
        <v>7</v>
      </c>
      <c r="I1922" s="3">
        <v>3872</v>
      </c>
      <c r="J1922" s="3">
        <v>27104</v>
      </c>
      <c r="K1922" s="3">
        <v>3200</v>
      </c>
      <c r="L1922" s="3">
        <v>22400</v>
      </c>
      <c r="M1922" s="3">
        <v>4704</v>
      </c>
      <c r="N1922" s="4">
        <v>0.17355371900826447</v>
      </c>
    </row>
    <row r="1923" spans="1:14" x14ac:dyDescent="0.3">
      <c r="A1923" s="6">
        <v>45795</v>
      </c>
      <c r="B1923" s="1" t="s">
        <v>2107</v>
      </c>
      <c r="C1923" s="1" t="s">
        <v>26</v>
      </c>
      <c r="D1923" t="s">
        <v>33</v>
      </c>
      <c r="E1923" t="s">
        <v>359</v>
      </c>
      <c r="F1923" t="s">
        <v>23</v>
      </c>
      <c r="G1923" t="s">
        <v>25</v>
      </c>
      <c r="H1923" s="3">
        <v>8</v>
      </c>
      <c r="I1923" s="3">
        <v>4032</v>
      </c>
      <c r="J1923" s="3">
        <v>32256</v>
      </c>
      <c r="K1923" s="3">
        <v>3200</v>
      </c>
      <c r="L1923" s="3">
        <v>25600</v>
      </c>
      <c r="M1923" s="3">
        <v>6656</v>
      </c>
      <c r="N1923" s="4">
        <v>0.20634920634920634</v>
      </c>
    </row>
    <row r="1924" spans="1:14" x14ac:dyDescent="0.3">
      <c r="A1924" s="6">
        <v>45795</v>
      </c>
      <c r="B1924" s="1" t="s">
        <v>2108</v>
      </c>
      <c r="C1924" s="1" t="s">
        <v>28</v>
      </c>
      <c r="D1924" t="s">
        <v>35</v>
      </c>
      <c r="E1924" t="s">
        <v>122</v>
      </c>
      <c r="F1924" t="s">
        <v>24</v>
      </c>
      <c r="G1924" t="s">
        <v>25</v>
      </c>
      <c r="H1924" s="3">
        <v>4</v>
      </c>
      <c r="I1924" s="3">
        <v>3075</v>
      </c>
      <c r="J1924" s="3">
        <v>12300</v>
      </c>
      <c r="K1924" s="3">
        <v>2500</v>
      </c>
      <c r="L1924" s="3">
        <v>10000</v>
      </c>
      <c r="M1924" s="3">
        <v>2300</v>
      </c>
      <c r="N1924" s="4">
        <v>0.18699186991869918</v>
      </c>
    </row>
    <row r="1925" spans="1:14" x14ac:dyDescent="0.3">
      <c r="A1925" s="6">
        <v>45795</v>
      </c>
      <c r="B1925" s="1" t="s">
        <v>2109</v>
      </c>
      <c r="C1925" s="1" t="s">
        <v>29</v>
      </c>
      <c r="D1925" t="s">
        <v>32</v>
      </c>
      <c r="E1925" t="s">
        <v>351</v>
      </c>
      <c r="F1925" t="s">
        <v>21</v>
      </c>
      <c r="G1925" t="s">
        <v>20</v>
      </c>
      <c r="H1925" s="3">
        <v>4</v>
      </c>
      <c r="I1925" s="3">
        <v>870</v>
      </c>
      <c r="J1925" s="3">
        <v>3480</v>
      </c>
      <c r="K1925" s="3">
        <v>600</v>
      </c>
      <c r="L1925" s="3">
        <v>2400</v>
      </c>
      <c r="M1925" s="3">
        <v>1080</v>
      </c>
      <c r="N1925" s="4">
        <v>0.31034482758620691</v>
      </c>
    </row>
    <row r="1926" spans="1:14" x14ac:dyDescent="0.3">
      <c r="A1926" s="6">
        <v>45795</v>
      </c>
      <c r="B1926" s="1" t="s">
        <v>2110</v>
      </c>
      <c r="C1926" s="1" t="s">
        <v>28</v>
      </c>
      <c r="D1926" t="s">
        <v>32</v>
      </c>
      <c r="E1926" t="s">
        <v>807</v>
      </c>
      <c r="F1926" t="s">
        <v>24</v>
      </c>
      <c r="G1926" t="s">
        <v>25</v>
      </c>
      <c r="H1926" s="3">
        <v>9</v>
      </c>
      <c r="I1926" s="3">
        <v>3150</v>
      </c>
      <c r="J1926" s="3">
        <v>28350</v>
      </c>
      <c r="K1926" s="3">
        <v>2500</v>
      </c>
      <c r="L1926" s="3">
        <v>22500</v>
      </c>
      <c r="M1926" s="3">
        <v>5850</v>
      </c>
      <c r="N1926" s="4">
        <v>0.20634920634920634</v>
      </c>
    </row>
    <row r="1927" spans="1:14" x14ac:dyDescent="0.3">
      <c r="A1927" s="6">
        <v>45795</v>
      </c>
      <c r="B1927" s="1" t="s">
        <v>2111</v>
      </c>
      <c r="C1927" s="1" t="s">
        <v>27</v>
      </c>
      <c r="D1927" t="s">
        <v>32</v>
      </c>
      <c r="E1927" t="s">
        <v>249</v>
      </c>
      <c r="F1927" t="s">
        <v>23</v>
      </c>
      <c r="G1927" t="s">
        <v>25</v>
      </c>
      <c r="H1927" s="3">
        <v>1</v>
      </c>
      <c r="I1927" s="3">
        <v>4384</v>
      </c>
      <c r="J1927" s="3">
        <v>4384</v>
      </c>
      <c r="K1927" s="3">
        <v>3200</v>
      </c>
      <c r="L1927" s="3">
        <v>3200</v>
      </c>
      <c r="M1927" s="3">
        <v>1184</v>
      </c>
      <c r="N1927" s="4">
        <v>0.27007299270072993</v>
      </c>
    </row>
    <row r="1928" spans="1:14" x14ac:dyDescent="0.3">
      <c r="A1928" s="6">
        <v>45795</v>
      </c>
      <c r="B1928" s="1" t="s">
        <v>2112</v>
      </c>
      <c r="C1928" s="1" t="s">
        <v>29</v>
      </c>
      <c r="D1928" t="s">
        <v>35</v>
      </c>
      <c r="E1928" t="s">
        <v>74</v>
      </c>
      <c r="F1928" t="s">
        <v>21</v>
      </c>
      <c r="G1928" t="s">
        <v>20</v>
      </c>
      <c r="H1928" s="3">
        <v>4</v>
      </c>
      <c r="I1928" s="3">
        <v>810</v>
      </c>
      <c r="J1928" s="3">
        <v>3240</v>
      </c>
      <c r="K1928" s="3">
        <v>600</v>
      </c>
      <c r="L1928" s="3">
        <v>2400</v>
      </c>
      <c r="M1928" s="3">
        <v>840</v>
      </c>
      <c r="N1928" s="4">
        <v>0.25925925925925924</v>
      </c>
    </row>
    <row r="1929" spans="1:14" x14ac:dyDescent="0.3">
      <c r="A1929" s="6">
        <v>45795</v>
      </c>
      <c r="B1929" s="1" t="s">
        <v>2113</v>
      </c>
      <c r="C1929" s="1" t="s">
        <v>26</v>
      </c>
      <c r="D1929" t="s">
        <v>30</v>
      </c>
      <c r="E1929" t="s">
        <v>265</v>
      </c>
      <c r="F1929" t="s">
        <v>19</v>
      </c>
      <c r="G1929" t="s">
        <v>20</v>
      </c>
      <c r="H1929" s="3">
        <v>9</v>
      </c>
      <c r="I1929" s="3">
        <v>1179</v>
      </c>
      <c r="J1929" s="3">
        <v>10611</v>
      </c>
      <c r="K1929" s="3">
        <v>900</v>
      </c>
      <c r="L1929" s="3">
        <v>8100</v>
      </c>
      <c r="M1929" s="3">
        <v>2511</v>
      </c>
      <c r="N1929" s="4">
        <v>0.23664122137404581</v>
      </c>
    </row>
    <row r="1930" spans="1:14" x14ac:dyDescent="0.3">
      <c r="A1930" s="6">
        <v>45795</v>
      </c>
      <c r="B1930" s="1" t="s">
        <v>2114</v>
      </c>
      <c r="C1930" s="1" t="s">
        <v>29</v>
      </c>
      <c r="D1930" t="s">
        <v>31</v>
      </c>
      <c r="E1930" t="s">
        <v>94</v>
      </c>
      <c r="F1930" t="s">
        <v>22</v>
      </c>
      <c r="G1930" t="s">
        <v>18</v>
      </c>
      <c r="H1930" s="3">
        <v>6</v>
      </c>
      <c r="I1930" s="3">
        <v>8890</v>
      </c>
      <c r="J1930" s="3">
        <v>53340</v>
      </c>
      <c r="K1930" s="3">
        <v>7000</v>
      </c>
      <c r="L1930" s="3">
        <v>42000</v>
      </c>
      <c r="M1930" s="3">
        <v>11340</v>
      </c>
      <c r="N1930" s="4">
        <v>0.2125984251968504</v>
      </c>
    </row>
    <row r="1931" spans="1:14" x14ac:dyDescent="0.3">
      <c r="A1931" s="6">
        <v>45795</v>
      </c>
      <c r="B1931" s="1" t="s">
        <v>2115</v>
      </c>
      <c r="C1931" s="1" t="s">
        <v>29</v>
      </c>
      <c r="D1931" t="s">
        <v>32</v>
      </c>
      <c r="E1931" t="s">
        <v>74</v>
      </c>
      <c r="F1931" t="s">
        <v>16</v>
      </c>
      <c r="G1931" t="s">
        <v>15</v>
      </c>
      <c r="H1931" s="3">
        <v>2</v>
      </c>
      <c r="I1931" s="3">
        <v>55100</v>
      </c>
      <c r="J1931" s="3">
        <v>110200</v>
      </c>
      <c r="K1931" s="3">
        <v>38000</v>
      </c>
      <c r="L1931" s="3">
        <v>76000</v>
      </c>
      <c r="M1931" s="3">
        <v>34200</v>
      </c>
      <c r="N1931" s="4">
        <v>0.31034482758620691</v>
      </c>
    </row>
    <row r="1932" spans="1:14" x14ac:dyDescent="0.3">
      <c r="A1932" s="6">
        <v>45796</v>
      </c>
      <c r="B1932" s="1" t="s">
        <v>2116</v>
      </c>
      <c r="C1932" s="1" t="s">
        <v>27</v>
      </c>
      <c r="D1932" t="s">
        <v>32</v>
      </c>
      <c r="E1932" t="s">
        <v>39</v>
      </c>
      <c r="F1932" t="s">
        <v>23</v>
      </c>
      <c r="G1932" t="s">
        <v>25</v>
      </c>
      <c r="H1932" s="3">
        <v>2</v>
      </c>
      <c r="I1932" s="3">
        <v>4512</v>
      </c>
      <c r="J1932" s="3">
        <v>9024</v>
      </c>
      <c r="K1932" s="3">
        <v>3200</v>
      </c>
      <c r="L1932" s="3">
        <v>6400</v>
      </c>
      <c r="M1932" s="3">
        <v>2624</v>
      </c>
      <c r="N1932" s="4">
        <v>0.29078014184397161</v>
      </c>
    </row>
    <row r="1933" spans="1:14" x14ac:dyDescent="0.3">
      <c r="A1933" s="6">
        <v>45796</v>
      </c>
      <c r="B1933" s="1" t="s">
        <v>2117</v>
      </c>
      <c r="C1933" s="1" t="s">
        <v>29</v>
      </c>
      <c r="D1933" t="s">
        <v>34</v>
      </c>
      <c r="E1933" t="s">
        <v>88</v>
      </c>
      <c r="F1933" t="s">
        <v>16</v>
      </c>
      <c r="G1933" t="s">
        <v>15</v>
      </c>
      <c r="H1933" s="3">
        <v>9</v>
      </c>
      <c r="I1933" s="3">
        <v>47500</v>
      </c>
      <c r="J1933" s="3">
        <v>427500</v>
      </c>
      <c r="K1933" s="3">
        <v>38000</v>
      </c>
      <c r="L1933" s="3">
        <v>342000</v>
      </c>
      <c r="M1933" s="3">
        <v>85500</v>
      </c>
      <c r="N1933" s="4">
        <v>0.2</v>
      </c>
    </row>
    <row r="1934" spans="1:14" x14ac:dyDescent="0.3">
      <c r="A1934" s="6">
        <v>45796</v>
      </c>
      <c r="B1934" s="1" t="s">
        <v>2118</v>
      </c>
      <c r="C1934" s="1" t="s">
        <v>28</v>
      </c>
      <c r="D1934" t="s">
        <v>32</v>
      </c>
      <c r="E1934" t="s">
        <v>331</v>
      </c>
      <c r="F1934" t="s">
        <v>21</v>
      </c>
      <c r="G1934" t="s">
        <v>20</v>
      </c>
      <c r="H1934" s="3">
        <v>4</v>
      </c>
      <c r="I1934" s="3">
        <v>786</v>
      </c>
      <c r="J1934" s="3">
        <v>3144</v>
      </c>
      <c r="K1934" s="3">
        <v>600</v>
      </c>
      <c r="L1934" s="3">
        <v>2400</v>
      </c>
      <c r="M1934" s="3">
        <v>744</v>
      </c>
      <c r="N1934" s="4">
        <v>0.23664122137404581</v>
      </c>
    </row>
    <row r="1935" spans="1:14" x14ac:dyDescent="0.3">
      <c r="A1935" s="6">
        <v>45796</v>
      </c>
      <c r="B1935" s="1" t="s">
        <v>2119</v>
      </c>
      <c r="C1935" s="1" t="s">
        <v>26</v>
      </c>
      <c r="D1935" t="s">
        <v>31</v>
      </c>
      <c r="E1935" t="s">
        <v>76</v>
      </c>
      <c r="F1935" t="s">
        <v>16</v>
      </c>
      <c r="G1935" t="s">
        <v>15</v>
      </c>
      <c r="H1935" s="3">
        <v>3</v>
      </c>
      <c r="I1935" s="3">
        <v>50160</v>
      </c>
      <c r="J1935" s="3">
        <v>150480</v>
      </c>
      <c r="K1935" s="3">
        <v>38000</v>
      </c>
      <c r="L1935" s="3">
        <v>114000</v>
      </c>
      <c r="M1935" s="3">
        <v>36480</v>
      </c>
      <c r="N1935" s="4">
        <v>0.24242424242424243</v>
      </c>
    </row>
    <row r="1936" spans="1:14" x14ac:dyDescent="0.3">
      <c r="A1936" s="6">
        <v>45796</v>
      </c>
      <c r="B1936" s="1" t="s">
        <v>2120</v>
      </c>
      <c r="C1936" s="1" t="s">
        <v>26</v>
      </c>
      <c r="D1936" t="s">
        <v>33</v>
      </c>
      <c r="E1936" t="s">
        <v>45</v>
      </c>
      <c r="F1936" t="s">
        <v>14</v>
      </c>
      <c r="G1936" t="s">
        <v>15</v>
      </c>
      <c r="H1936" s="3">
        <v>10</v>
      </c>
      <c r="I1936" s="3">
        <v>58950</v>
      </c>
      <c r="J1936" s="3">
        <v>589500</v>
      </c>
      <c r="K1936" s="3">
        <v>45000</v>
      </c>
      <c r="L1936" s="3">
        <v>450000</v>
      </c>
      <c r="M1936" s="3">
        <v>139500</v>
      </c>
      <c r="N1936" s="4">
        <v>0.23664122137404581</v>
      </c>
    </row>
    <row r="1937" spans="1:14" x14ac:dyDescent="0.3">
      <c r="A1937" s="6">
        <v>45796</v>
      </c>
      <c r="B1937" s="1" t="s">
        <v>2121</v>
      </c>
      <c r="C1937" s="1" t="s">
        <v>27</v>
      </c>
      <c r="D1937" t="s">
        <v>34</v>
      </c>
      <c r="E1937" t="s">
        <v>55</v>
      </c>
      <c r="F1937" t="s">
        <v>17</v>
      </c>
      <c r="G1937" t="s">
        <v>18</v>
      </c>
      <c r="H1937" s="3">
        <v>5</v>
      </c>
      <c r="I1937" s="3">
        <v>10795</v>
      </c>
      <c r="J1937" s="3">
        <v>53975</v>
      </c>
      <c r="K1937" s="3">
        <v>8500</v>
      </c>
      <c r="L1937" s="3">
        <v>42500</v>
      </c>
      <c r="M1937" s="3">
        <v>11475</v>
      </c>
      <c r="N1937" s="4">
        <v>0.2125984251968504</v>
      </c>
    </row>
    <row r="1938" spans="1:14" x14ac:dyDescent="0.3">
      <c r="A1938" s="6">
        <v>45796</v>
      </c>
      <c r="B1938" s="1" t="s">
        <v>2122</v>
      </c>
      <c r="C1938" s="1" t="s">
        <v>28</v>
      </c>
      <c r="D1938" t="s">
        <v>30</v>
      </c>
      <c r="E1938" t="s">
        <v>698</v>
      </c>
      <c r="F1938" t="s">
        <v>21</v>
      </c>
      <c r="G1938" t="s">
        <v>20</v>
      </c>
      <c r="H1938" s="3">
        <v>6</v>
      </c>
      <c r="I1938" s="3">
        <v>804</v>
      </c>
      <c r="J1938" s="3">
        <v>4824</v>
      </c>
      <c r="K1938" s="3">
        <v>600</v>
      </c>
      <c r="L1938" s="3">
        <v>3600</v>
      </c>
      <c r="M1938" s="3">
        <v>1224</v>
      </c>
      <c r="N1938" s="4">
        <v>0.2537313432835821</v>
      </c>
    </row>
    <row r="1939" spans="1:14" x14ac:dyDescent="0.3">
      <c r="A1939" s="6">
        <v>45796</v>
      </c>
      <c r="B1939" s="1" t="s">
        <v>2123</v>
      </c>
      <c r="C1939" s="1" t="s">
        <v>29</v>
      </c>
      <c r="D1939" t="s">
        <v>33</v>
      </c>
      <c r="E1939" t="s">
        <v>184</v>
      </c>
      <c r="F1939" t="s">
        <v>14</v>
      </c>
      <c r="G1939" t="s">
        <v>15</v>
      </c>
      <c r="H1939" s="3">
        <v>7</v>
      </c>
      <c r="I1939" s="3">
        <v>62550.000000000007</v>
      </c>
      <c r="J1939" s="3">
        <v>437850.00000000006</v>
      </c>
      <c r="K1939" s="3">
        <v>45000</v>
      </c>
      <c r="L1939" s="3">
        <v>315000</v>
      </c>
      <c r="M1939" s="3">
        <v>122850.00000000006</v>
      </c>
      <c r="N1939" s="4">
        <v>0.28057553956834541</v>
      </c>
    </row>
    <row r="1940" spans="1:14" x14ac:dyDescent="0.3">
      <c r="A1940" s="6">
        <v>45796</v>
      </c>
      <c r="B1940" s="1" t="s">
        <v>2124</v>
      </c>
      <c r="C1940" s="1" t="s">
        <v>28</v>
      </c>
      <c r="D1940" t="s">
        <v>35</v>
      </c>
      <c r="E1940" t="s">
        <v>935</v>
      </c>
      <c r="F1940" t="s">
        <v>24</v>
      </c>
      <c r="G1940" t="s">
        <v>25</v>
      </c>
      <c r="H1940" s="3">
        <v>7</v>
      </c>
      <c r="I1940" s="3">
        <v>3150</v>
      </c>
      <c r="J1940" s="3">
        <v>22050</v>
      </c>
      <c r="K1940" s="3">
        <v>2500</v>
      </c>
      <c r="L1940" s="3">
        <v>17500</v>
      </c>
      <c r="M1940" s="3">
        <v>4550</v>
      </c>
      <c r="N1940" s="4">
        <v>0.20634920634920634</v>
      </c>
    </row>
    <row r="1941" spans="1:14" x14ac:dyDescent="0.3">
      <c r="A1941" s="6">
        <v>45796</v>
      </c>
      <c r="B1941" s="1" t="s">
        <v>2125</v>
      </c>
      <c r="C1941" s="1" t="s">
        <v>26</v>
      </c>
      <c r="D1941" t="s">
        <v>34</v>
      </c>
      <c r="E1941" t="s">
        <v>100</v>
      </c>
      <c r="F1941" t="s">
        <v>14</v>
      </c>
      <c r="G1941" t="s">
        <v>15</v>
      </c>
      <c r="H1941" s="3">
        <v>8</v>
      </c>
      <c r="I1941" s="3">
        <v>54450</v>
      </c>
      <c r="J1941" s="3">
        <v>435600</v>
      </c>
      <c r="K1941" s="3">
        <v>45000</v>
      </c>
      <c r="L1941" s="3">
        <v>360000</v>
      </c>
      <c r="M1941" s="3">
        <v>75600</v>
      </c>
      <c r="N1941" s="4">
        <v>0.17355371900826447</v>
      </c>
    </row>
    <row r="1942" spans="1:14" x14ac:dyDescent="0.3">
      <c r="A1942" s="6">
        <v>45796</v>
      </c>
      <c r="B1942" s="1" t="s">
        <v>2126</v>
      </c>
      <c r="C1942" s="1" t="s">
        <v>28</v>
      </c>
      <c r="D1942" t="s">
        <v>33</v>
      </c>
      <c r="E1942" t="s">
        <v>521</v>
      </c>
      <c r="F1942" t="s">
        <v>17</v>
      </c>
      <c r="G1942" t="s">
        <v>18</v>
      </c>
      <c r="H1942" s="3">
        <v>9</v>
      </c>
      <c r="I1942" s="3">
        <v>10285</v>
      </c>
      <c r="J1942" s="3">
        <v>92565</v>
      </c>
      <c r="K1942" s="3">
        <v>8500</v>
      </c>
      <c r="L1942" s="3">
        <v>76500</v>
      </c>
      <c r="M1942" s="3">
        <v>16065</v>
      </c>
      <c r="N1942" s="4">
        <v>0.17355371900826447</v>
      </c>
    </row>
    <row r="1943" spans="1:14" x14ac:dyDescent="0.3">
      <c r="A1943" s="6">
        <v>45796</v>
      </c>
      <c r="B1943" s="1" t="s">
        <v>2127</v>
      </c>
      <c r="C1943" s="1" t="s">
        <v>29</v>
      </c>
      <c r="D1943" t="s">
        <v>30</v>
      </c>
      <c r="E1943" t="s">
        <v>145</v>
      </c>
      <c r="F1943" t="s">
        <v>19</v>
      </c>
      <c r="G1943" t="s">
        <v>20</v>
      </c>
      <c r="H1943" s="3">
        <v>1</v>
      </c>
      <c r="I1943" s="3">
        <v>1089</v>
      </c>
      <c r="J1943" s="3">
        <v>1089</v>
      </c>
      <c r="K1943" s="3">
        <v>900</v>
      </c>
      <c r="L1943" s="3">
        <v>900</v>
      </c>
      <c r="M1943" s="3">
        <v>189</v>
      </c>
      <c r="N1943" s="4">
        <v>0.17355371900826447</v>
      </c>
    </row>
    <row r="1944" spans="1:14" x14ac:dyDescent="0.3">
      <c r="A1944" s="6">
        <v>45796</v>
      </c>
      <c r="B1944" s="1" t="s">
        <v>2128</v>
      </c>
      <c r="C1944" s="1" t="s">
        <v>29</v>
      </c>
      <c r="D1944" t="s">
        <v>33</v>
      </c>
      <c r="E1944" t="s">
        <v>39</v>
      </c>
      <c r="F1944" t="s">
        <v>24</v>
      </c>
      <c r="G1944" t="s">
        <v>25</v>
      </c>
      <c r="H1944" s="3">
        <v>6</v>
      </c>
      <c r="I1944" s="3">
        <v>3449.9999999999995</v>
      </c>
      <c r="J1944" s="3">
        <v>20699.999999999996</v>
      </c>
      <c r="K1944" s="3">
        <v>2500</v>
      </c>
      <c r="L1944" s="3">
        <v>15000</v>
      </c>
      <c r="M1944" s="3">
        <v>5699.9999999999964</v>
      </c>
      <c r="N1944" s="4">
        <v>0.2753623188405796</v>
      </c>
    </row>
    <row r="1945" spans="1:14" x14ac:dyDescent="0.3">
      <c r="A1945" s="6">
        <v>45796</v>
      </c>
      <c r="B1945" s="1" t="s">
        <v>2129</v>
      </c>
      <c r="C1945" s="1" t="s">
        <v>28</v>
      </c>
      <c r="D1945" t="s">
        <v>33</v>
      </c>
      <c r="E1945" t="s">
        <v>351</v>
      </c>
      <c r="F1945" t="s">
        <v>22</v>
      </c>
      <c r="G1945" t="s">
        <v>18</v>
      </c>
      <c r="H1945" s="3">
        <v>8</v>
      </c>
      <c r="I1945" s="3">
        <v>8540</v>
      </c>
      <c r="J1945" s="3">
        <v>68320</v>
      </c>
      <c r="K1945" s="3">
        <v>7000</v>
      </c>
      <c r="L1945" s="3">
        <v>56000</v>
      </c>
      <c r="M1945" s="3">
        <v>12320</v>
      </c>
      <c r="N1945" s="4">
        <v>0.18032786885245902</v>
      </c>
    </row>
    <row r="1946" spans="1:14" x14ac:dyDescent="0.3">
      <c r="A1946" s="6">
        <v>45797</v>
      </c>
      <c r="B1946" s="1" t="s">
        <v>2130</v>
      </c>
      <c r="C1946" s="1" t="s">
        <v>26</v>
      </c>
      <c r="D1946" t="s">
        <v>34</v>
      </c>
      <c r="E1946" t="s">
        <v>548</v>
      </c>
      <c r="F1946" t="s">
        <v>22</v>
      </c>
      <c r="G1946" t="s">
        <v>18</v>
      </c>
      <c r="H1946" s="3">
        <v>6</v>
      </c>
      <c r="I1946" s="3">
        <v>9590</v>
      </c>
      <c r="J1946" s="3">
        <v>57540</v>
      </c>
      <c r="K1946" s="3">
        <v>7000</v>
      </c>
      <c r="L1946" s="3">
        <v>42000</v>
      </c>
      <c r="M1946" s="3">
        <v>15540</v>
      </c>
      <c r="N1946" s="4">
        <v>0.27007299270072993</v>
      </c>
    </row>
    <row r="1947" spans="1:14" x14ac:dyDescent="0.3">
      <c r="A1947" s="6">
        <v>45797</v>
      </c>
      <c r="B1947" s="1" t="s">
        <v>2131</v>
      </c>
      <c r="C1947" s="1" t="s">
        <v>27</v>
      </c>
      <c r="D1947" t="s">
        <v>34</v>
      </c>
      <c r="E1947" t="s">
        <v>126</v>
      </c>
      <c r="F1947" t="s">
        <v>17</v>
      </c>
      <c r="G1947" t="s">
        <v>18</v>
      </c>
      <c r="H1947" s="3">
        <v>1</v>
      </c>
      <c r="I1947" s="3">
        <v>12325</v>
      </c>
      <c r="J1947" s="3">
        <v>12325</v>
      </c>
      <c r="K1947" s="3">
        <v>8500</v>
      </c>
      <c r="L1947" s="3">
        <v>8500</v>
      </c>
      <c r="M1947" s="3">
        <v>3825</v>
      </c>
      <c r="N1947" s="4">
        <v>0.31034482758620691</v>
      </c>
    </row>
    <row r="1948" spans="1:14" x14ac:dyDescent="0.3">
      <c r="A1948" s="6">
        <v>45797</v>
      </c>
      <c r="B1948" s="1" t="s">
        <v>2132</v>
      </c>
      <c r="C1948" s="1" t="s">
        <v>29</v>
      </c>
      <c r="D1948" t="s">
        <v>33</v>
      </c>
      <c r="E1948" t="s">
        <v>548</v>
      </c>
      <c r="F1948" t="s">
        <v>19</v>
      </c>
      <c r="G1948" t="s">
        <v>20</v>
      </c>
      <c r="H1948" s="3">
        <v>3</v>
      </c>
      <c r="I1948" s="3">
        <v>1080</v>
      </c>
      <c r="J1948" s="3">
        <v>3240</v>
      </c>
      <c r="K1948" s="3">
        <v>900</v>
      </c>
      <c r="L1948" s="3">
        <v>2700</v>
      </c>
      <c r="M1948" s="3">
        <v>540</v>
      </c>
      <c r="N1948" s="4">
        <v>0.16666666666666666</v>
      </c>
    </row>
    <row r="1949" spans="1:14" x14ac:dyDescent="0.3">
      <c r="A1949" s="6">
        <v>45797</v>
      </c>
      <c r="B1949" s="1" t="s">
        <v>2133</v>
      </c>
      <c r="C1949" s="1" t="s">
        <v>28</v>
      </c>
      <c r="D1949" t="s">
        <v>30</v>
      </c>
      <c r="E1949" t="s">
        <v>268</v>
      </c>
      <c r="F1949" t="s">
        <v>23</v>
      </c>
      <c r="G1949" t="s">
        <v>25</v>
      </c>
      <c r="H1949" s="3">
        <v>5</v>
      </c>
      <c r="I1949" s="3">
        <v>4576</v>
      </c>
      <c r="J1949" s="3">
        <v>22880</v>
      </c>
      <c r="K1949" s="3">
        <v>3200</v>
      </c>
      <c r="L1949" s="3">
        <v>16000</v>
      </c>
      <c r="M1949" s="3">
        <v>6880</v>
      </c>
      <c r="N1949" s="4">
        <v>0.30069930069930068</v>
      </c>
    </row>
    <row r="1950" spans="1:14" x14ac:dyDescent="0.3">
      <c r="A1950" s="6">
        <v>45797</v>
      </c>
      <c r="B1950" s="1" t="s">
        <v>2134</v>
      </c>
      <c r="C1950" s="1" t="s">
        <v>26</v>
      </c>
      <c r="D1950" t="s">
        <v>34</v>
      </c>
      <c r="E1950" t="s">
        <v>306</v>
      </c>
      <c r="F1950" t="s">
        <v>22</v>
      </c>
      <c r="G1950" t="s">
        <v>18</v>
      </c>
      <c r="H1950" s="3">
        <v>1</v>
      </c>
      <c r="I1950" s="3">
        <v>9170</v>
      </c>
      <c r="J1950" s="3">
        <v>9170</v>
      </c>
      <c r="K1950" s="3">
        <v>7000</v>
      </c>
      <c r="L1950" s="3">
        <v>7000</v>
      </c>
      <c r="M1950" s="3">
        <v>2170</v>
      </c>
      <c r="N1950" s="4">
        <v>0.23664122137404581</v>
      </c>
    </row>
    <row r="1951" spans="1:14" x14ac:dyDescent="0.3">
      <c r="A1951" s="6">
        <v>45797</v>
      </c>
      <c r="B1951" s="1" t="s">
        <v>2135</v>
      </c>
      <c r="C1951" s="1" t="s">
        <v>28</v>
      </c>
      <c r="D1951" t="s">
        <v>31</v>
      </c>
      <c r="E1951" t="s">
        <v>436</v>
      </c>
      <c r="F1951" t="s">
        <v>23</v>
      </c>
      <c r="G1951" t="s">
        <v>25</v>
      </c>
      <c r="H1951" s="3">
        <v>9</v>
      </c>
      <c r="I1951" s="3">
        <v>4608</v>
      </c>
      <c r="J1951" s="3">
        <v>41472</v>
      </c>
      <c r="K1951" s="3">
        <v>3200</v>
      </c>
      <c r="L1951" s="3">
        <v>28800</v>
      </c>
      <c r="M1951" s="3">
        <v>12672</v>
      </c>
      <c r="N1951" s="4">
        <v>0.30555555555555558</v>
      </c>
    </row>
    <row r="1952" spans="1:14" x14ac:dyDescent="0.3">
      <c r="A1952" s="6">
        <v>45797</v>
      </c>
      <c r="B1952" s="1" t="s">
        <v>2136</v>
      </c>
      <c r="C1952" s="1" t="s">
        <v>29</v>
      </c>
      <c r="D1952" t="s">
        <v>31</v>
      </c>
      <c r="E1952" t="s">
        <v>78</v>
      </c>
      <c r="F1952" t="s">
        <v>22</v>
      </c>
      <c r="G1952" t="s">
        <v>18</v>
      </c>
      <c r="H1952" s="3">
        <v>4</v>
      </c>
      <c r="I1952" s="3">
        <v>10150</v>
      </c>
      <c r="J1952" s="3">
        <v>40600</v>
      </c>
      <c r="K1952" s="3">
        <v>7000</v>
      </c>
      <c r="L1952" s="3">
        <v>28000</v>
      </c>
      <c r="M1952" s="3">
        <v>12600</v>
      </c>
      <c r="N1952" s="4">
        <v>0.31034482758620691</v>
      </c>
    </row>
    <row r="1953" spans="1:14" x14ac:dyDescent="0.3">
      <c r="A1953" s="6">
        <v>45797</v>
      </c>
      <c r="B1953" s="1" t="s">
        <v>2137</v>
      </c>
      <c r="C1953" s="1" t="s">
        <v>29</v>
      </c>
      <c r="D1953" t="s">
        <v>35</v>
      </c>
      <c r="E1953" t="s">
        <v>400</v>
      </c>
      <c r="F1953" t="s">
        <v>19</v>
      </c>
      <c r="G1953" t="s">
        <v>20</v>
      </c>
      <c r="H1953" s="3">
        <v>10</v>
      </c>
      <c r="I1953" s="3">
        <v>1305</v>
      </c>
      <c r="J1953" s="3">
        <v>13050</v>
      </c>
      <c r="K1953" s="3">
        <v>900</v>
      </c>
      <c r="L1953" s="3">
        <v>9000</v>
      </c>
      <c r="M1953" s="3">
        <v>4050</v>
      </c>
      <c r="N1953" s="4">
        <v>0.31034482758620691</v>
      </c>
    </row>
    <row r="1954" spans="1:14" x14ac:dyDescent="0.3">
      <c r="A1954" s="6">
        <v>45797</v>
      </c>
      <c r="B1954" s="1" t="s">
        <v>2138</v>
      </c>
      <c r="C1954" s="1" t="s">
        <v>26</v>
      </c>
      <c r="D1954" t="s">
        <v>35</v>
      </c>
      <c r="E1954" t="s">
        <v>411</v>
      </c>
      <c r="F1954" t="s">
        <v>21</v>
      </c>
      <c r="G1954" t="s">
        <v>20</v>
      </c>
      <c r="H1954" s="3">
        <v>8</v>
      </c>
      <c r="I1954" s="3">
        <v>792</v>
      </c>
      <c r="J1954" s="3">
        <v>6336</v>
      </c>
      <c r="K1954" s="3">
        <v>600</v>
      </c>
      <c r="L1954" s="3">
        <v>4800</v>
      </c>
      <c r="M1954" s="3">
        <v>1536</v>
      </c>
      <c r="N1954" s="4">
        <v>0.24242424242424243</v>
      </c>
    </row>
    <row r="1955" spans="1:14" x14ac:dyDescent="0.3">
      <c r="A1955" s="6">
        <v>45797</v>
      </c>
      <c r="B1955" s="1" t="s">
        <v>2139</v>
      </c>
      <c r="C1955" s="1" t="s">
        <v>26</v>
      </c>
      <c r="D1955" t="s">
        <v>33</v>
      </c>
      <c r="E1955" t="s">
        <v>226</v>
      </c>
      <c r="F1955" t="s">
        <v>16</v>
      </c>
      <c r="G1955" t="s">
        <v>15</v>
      </c>
      <c r="H1955" s="3">
        <v>7</v>
      </c>
      <c r="I1955" s="3">
        <v>49020</v>
      </c>
      <c r="J1955" s="3">
        <v>343140</v>
      </c>
      <c r="K1955" s="3">
        <v>38000</v>
      </c>
      <c r="L1955" s="3">
        <v>266000</v>
      </c>
      <c r="M1955" s="3">
        <v>77140</v>
      </c>
      <c r="N1955" s="4">
        <v>0.22480620155038761</v>
      </c>
    </row>
    <row r="1956" spans="1:14" x14ac:dyDescent="0.3">
      <c r="A1956" s="6">
        <v>45797</v>
      </c>
      <c r="B1956" s="1" t="s">
        <v>2140</v>
      </c>
      <c r="C1956" s="1" t="s">
        <v>29</v>
      </c>
      <c r="D1956" t="s">
        <v>34</v>
      </c>
      <c r="E1956" t="s">
        <v>208</v>
      </c>
      <c r="F1956" t="s">
        <v>19</v>
      </c>
      <c r="G1956" t="s">
        <v>20</v>
      </c>
      <c r="H1956" s="3">
        <v>6</v>
      </c>
      <c r="I1956" s="3">
        <v>1125</v>
      </c>
      <c r="J1956" s="3">
        <v>6750</v>
      </c>
      <c r="K1956" s="3">
        <v>900</v>
      </c>
      <c r="L1956" s="3">
        <v>5400</v>
      </c>
      <c r="M1956" s="3">
        <v>1350</v>
      </c>
      <c r="N1956" s="4">
        <v>0.2</v>
      </c>
    </row>
    <row r="1957" spans="1:14" x14ac:dyDescent="0.3">
      <c r="A1957" s="6">
        <v>45797</v>
      </c>
      <c r="B1957" s="1" t="s">
        <v>2141</v>
      </c>
      <c r="C1957" s="1" t="s">
        <v>27</v>
      </c>
      <c r="D1957" t="s">
        <v>31</v>
      </c>
      <c r="E1957" t="s">
        <v>317</v>
      </c>
      <c r="F1957" t="s">
        <v>23</v>
      </c>
      <c r="G1957" t="s">
        <v>25</v>
      </c>
      <c r="H1957" s="3">
        <v>7</v>
      </c>
      <c r="I1957" s="3">
        <v>4512</v>
      </c>
      <c r="J1957" s="3">
        <v>31584</v>
      </c>
      <c r="K1957" s="3">
        <v>3200</v>
      </c>
      <c r="L1957" s="3">
        <v>22400</v>
      </c>
      <c r="M1957" s="3">
        <v>9184</v>
      </c>
      <c r="N1957" s="4">
        <v>0.29078014184397161</v>
      </c>
    </row>
    <row r="1958" spans="1:14" x14ac:dyDescent="0.3">
      <c r="A1958" s="6">
        <v>45797</v>
      </c>
      <c r="B1958" s="1" t="s">
        <v>2142</v>
      </c>
      <c r="C1958" s="1" t="s">
        <v>27</v>
      </c>
      <c r="D1958" t="s">
        <v>35</v>
      </c>
      <c r="E1958" t="s">
        <v>74</v>
      </c>
      <c r="F1958" t="s">
        <v>17</v>
      </c>
      <c r="G1958" t="s">
        <v>18</v>
      </c>
      <c r="H1958" s="3">
        <v>7</v>
      </c>
      <c r="I1958" s="3">
        <v>10965</v>
      </c>
      <c r="J1958" s="3">
        <v>76755</v>
      </c>
      <c r="K1958" s="3">
        <v>8500</v>
      </c>
      <c r="L1958" s="3">
        <v>59500</v>
      </c>
      <c r="M1958" s="3">
        <v>17255</v>
      </c>
      <c r="N1958" s="4">
        <v>0.22480620155038761</v>
      </c>
    </row>
    <row r="1959" spans="1:14" x14ac:dyDescent="0.3">
      <c r="A1959" s="6">
        <v>45797</v>
      </c>
      <c r="B1959" s="1" t="s">
        <v>2143</v>
      </c>
      <c r="C1959" s="1" t="s">
        <v>26</v>
      </c>
      <c r="D1959" t="s">
        <v>33</v>
      </c>
      <c r="E1959" t="s">
        <v>102</v>
      </c>
      <c r="F1959" t="s">
        <v>19</v>
      </c>
      <c r="G1959" t="s">
        <v>20</v>
      </c>
      <c r="H1959" s="3">
        <v>4</v>
      </c>
      <c r="I1959" s="3">
        <v>1143</v>
      </c>
      <c r="J1959" s="3">
        <v>4572</v>
      </c>
      <c r="K1959" s="3">
        <v>900</v>
      </c>
      <c r="L1959" s="3">
        <v>3600</v>
      </c>
      <c r="M1959" s="3">
        <v>972</v>
      </c>
      <c r="N1959" s="4">
        <v>0.2125984251968504</v>
      </c>
    </row>
    <row r="1960" spans="1:14" x14ac:dyDescent="0.3">
      <c r="A1960" s="6">
        <v>45798</v>
      </c>
      <c r="B1960" s="1" t="s">
        <v>2144</v>
      </c>
      <c r="C1960" s="1" t="s">
        <v>28</v>
      </c>
      <c r="D1960" t="s">
        <v>33</v>
      </c>
      <c r="E1960" t="s">
        <v>565</v>
      </c>
      <c r="F1960" t="s">
        <v>21</v>
      </c>
      <c r="G1960" t="s">
        <v>20</v>
      </c>
      <c r="H1960" s="3">
        <v>5</v>
      </c>
      <c r="I1960" s="3">
        <v>834.00000000000011</v>
      </c>
      <c r="J1960" s="3">
        <v>4170.0000000000009</v>
      </c>
      <c r="K1960" s="3">
        <v>600</v>
      </c>
      <c r="L1960" s="3">
        <v>3000</v>
      </c>
      <c r="M1960" s="3">
        <v>1170.0000000000009</v>
      </c>
      <c r="N1960" s="4">
        <v>0.28057553956834547</v>
      </c>
    </row>
    <row r="1961" spans="1:14" x14ac:dyDescent="0.3">
      <c r="A1961" s="6">
        <v>45798</v>
      </c>
      <c r="B1961" s="1" t="s">
        <v>2145</v>
      </c>
      <c r="C1961" s="1" t="s">
        <v>28</v>
      </c>
      <c r="D1961" t="s">
        <v>35</v>
      </c>
      <c r="E1961" t="s">
        <v>409</v>
      </c>
      <c r="F1961" t="s">
        <v>22</v>
      </c>
      <c r="G1961" t="s">
        <v>18</v>
      </c>
      <c r="H1961" s="3">
        <v>1</v>
      </c>
      <c r="I1961" s="3">
        <v>9940</v>
      </c>
      <c r="J1961" s="3">
        <v>9940</v>
      </c>
      <c r="K1961" s="3">
        <v>7000</v>
      </c>
      <c r="L1961" s="3">
        <v>7000</v>
      </c>
      <c r="M1961" s="3">
        <v>2940</v>
      </c>
      <c r="N1961" s="4">
        <v>0.29577464788732394</v>
      </c>
    </row>
    <row r="1962" spans="1:14" x14ac:dyDescent="0.3">
      <c r="A1962" s="6">
        <v>45798</v>
      </c>
      <c r="B1962" s="1" t="s">
        <v>2146</v>
      </c>
      <c r="C1962" s="1" t="s">
        <v>27</v>
      </c>
      <c r="D1962" t="s">
        <v>32</v>
      </c>
      <c r="E1962" t="s">
        <v>268</v>
      </c>
      <c r="F1962" t="s">
        <v>23</v>
      </c>
      <c r="G1962" t="s">
        <v>25</v>
      </c>
      <c r="H1962" s="3">
        <v>6</v>
      </c>
      <c r="I1962" s="3">
        <v>4416</v>
      </c>
      <c r="J1962" s="3">
        <v>26496</v>
      </c>
      <c r="K1962" s="3">
        <v>3200</v>
      </c>
      <c r="L1962" s="3">
        <v>19200</v>
      </c>
      <c r="M1962" s="3">
        <v>7296</v>
      </c>
      <c r="N1962" s="4">
        <v>0.27536231884057971</v>
      </c>
    </row>
    <row r="1963" spans="1:14" x14ac:dyDescent="0.3">
      <c r="A1963" s="6">
        <v>45798</v>
      </c>
      <c r="B1963" s="1" t="s">
        <v>2147</v>
      </c>
      <c r="C1963" s="1" t="s">
        <v>28</v>
      </c>
      <c r="D1963" t="s">
        <v>31</v>
      </c>
      <c r="E1963" t="s">
        <v>255</v>
      </c>
      <c r="F1963" t="s">
        <v>19</v>
      </c>
      <c r="G1963" t="s">
        <v>20</v>
      </c>
      <c r="H1963" s="3">
        <v>8</v>
      </c>
      <c r="I1963" s="3">
        <v>1188</v>
      </c>
      <c r="J1963" s="3">
        <v>9504</v>
      </c>
      <c r="K1963" s="3">
        <v>900</v>
      </c>
      <c r="L1963" s="3">
        <v>7200</v>
      </c>
      <c r="M1963" s="3">
        <v>2304</v>
      </c>
      <c r="N1963" s="4">
        <v>0.24242424242424243</v>
      </c>
    </row>
    <row r="1964" spans="1:14" x14ac:dyDescent="0.3">
      <c r="A1964" s="6">
        <v>45798</v>
      </c>
      <c r="B1964" s="1" t="s">
        <v>2148</v>
      </c>
      <c r="C1964" s="1" t="s">
        <v>28</v>
      </c>
      <c r="D1964" t="s">
        <v>31</v>
      </c>
      <c r="E1964" t="s">
        <v>124</v>
      </c>
      <c r="F1964" t="s">
        <v>23</v>
      </c>
      <c r="G1964" t="s">
        <v>25</v>
      </c>
      <c r="H1964" s="3">
        <v>8</v>
      </c>
      <c r="I1964" s="3">
        <v>4160</v>
      </c>
      <c r="J1964" s="3">
        <v>33280</v>
      </c>
      <c r="K1964" s="3">
        <v>3200</v>
      </c>
      <c r="L1964" s="3">
        <v>25600</v>
      </c>
      <c r="M1964" s="3">
        <v>7680</v>
      </c>
      <c r="N1964" s="4">
        <v>0.23076923076923078</v>
      </c>
    </row>
    <row r="1965" spans="1:14" x14ac:dyDescent="0.3">
      <c r="A1965" s="6">
        <v>45798</v>
      </c>
      <c r="B1965" s="1" t="s">
        <v>2149</v>
      </c>
      <c r="C1965" s="1" t="s">
        <v>29</v>
      </c>
      <c r="D1965" t="s">
        <v>32</v>
      </c>
      <c r="E1965" t="s">
        <v>349</v>
      </c>
      <c r="F1965" t="s">
        <v>19</v>
      </c>
      <c r="G1965" t="s">
        <v>20</v>
      </c>
      <c r="H1965" s="3">
        <v>1</v>
      </c>
      <c r="I1965" s="3">
        <v>1170</v>
      </c>
      <c r="J1965" s="3">
        <v>1170</v>
      </c>
      <c r="K1965" s="3">
        <v>900</v>
      </c>
      <c r="L1965" s="3">
        <v>900</v>
      </c>
      <c r="M1965" s="3">
        <v>270</v>
      </c>
      <c r="N1965" s="4">
        <v>0.23076923076923078</v>
      </c>
    </row>
    <row r="1966" spans="1:14" x14ac:dyDescent="0.3">
      <c r="A1966" s="6">
        <v>45798</v>
      </c>
      <c r="B1966" s="1" t="s">
        <v>2150</v>
      </c>
      <c r="C1966" s="1" t="s">
        <v>29</v>
      </c>
      <c r="D1966" t="s">
        <v>30</v>
      </c>
      <c r="E1966" t="s">
        <v>400</v>
      </c>
      <c r="F1966" t="s">
        <v>16</v>
      </c>
      <c r="G1966" t="s">
        <v>15</v>
      </c>
      <c r="H1966" s="3">
        <v>10</v>
      </c>
      <c r="I1966" s="3">
        <v>52820.000000000007</v>
      </c>
      <c r="J1966" s="3">
        <v>528200.00000000012</v>
      </c>
      <c r="K1966" s="3">
        <v>38000</v>
      </c>
      <c r="L1966" s="3">
        <v>380000</v>
      </c>
      <c r="M1966" s="3">
        <v>148200.00000000012</v>
      </c>
      <c r="N1966" s="4">
        <v>0.28057553956834547</v>
      </c>
    </row>
    <row r="1967" spans="1:14" x14ac:dyDescent="0.3">
      <c r="A1967" s="6">
        <v>45798</v>
      </c>
      <c r="B1967" s="1" t="s">
        <v>2151</v>
      </c>
      <c r="C1967" s="1" t="s">
        <v>26</v>
      </c>
      <c r="D1967" t="s">
        <v>35</v>
      </c>
      <c r="E1967" t="s">
        <v>249</v>
      </c>
      <c r="F1967" t="s">
        <v>14</v>
      </c>
      <c r="G1967" t="s">
        <v>15</v>
      </c>
      <c r="H1967" s="3">
        <v>3</v>
      </c>
      <c r="I1967" s="3">
        <v>54900</v>
      </c>
      <c r="J1967" s="3">
        <v>164700</v>
      </c>
      <c r="K1967" s="3">
        <v>45000</v>
      </c>
      <c r="L1967" s="3">
        <v>135000</v>
      </c>
      <c r="M1967" s="3">
        <v>29700</v>
      </c>
      <c r="N1967" s="4">
        <v>0.18032786885245902</v>
      </c>
    </row>
    <row r="1968" spans="1:14" x14ac:dyDescent="0.3">
      <c r="A1968" s="6">
        <v>45798</v>
      </c>
      <c r="B1968" s="1" t="s">
        <v>2152</v>
      </c>
      <c r="C1968" s="1" t="s">
        <v>28</v>
      </c>
      <c r="D1968" t="s">
        <v>32</v>
      </c>
      <c r="E1968" t="s">
        <v>524</v>
      </c>
      <c r="F1968" t="s">
        <v>17</v>
      </c>
      <c r="G1968" t="s">
        <v>18</v>
      </c>
      <c r="H1968" s="3">
        <v>2</v>
      </c>
      <c r="I1968" s="3">
        <v>11900</v>
      </c>
      <c r="J1968" s="3">
        <v>23800</v>
      </c>
      <c r="K1968" s="3">
        <v>8500</v>
      </c>
      <c r="L1968" s="3">
        <v>17000</v>
      </c>
      <c r="M1968" s="3">
        <v>6800</v>
      </c>
      <c r="N1968" s="4">
        <v>0.2857142857142857</v>
      </c>
    </row>
    <row r="1969" spans="1:14" x14ac:dyDescent="0.3">
      <c r="A1969" s="6">
        <v>45798</v>
      </c>
      <c r="B1969" s="1" t="s">
        <v>2153</v>
      </c>
      <c r="C1969" s="1" t="s">
        <v>27</v>
      </c>
      <c r="D1969" t="s">
        <v>32</v>
      </c>
      <c r="E1969" t="s">
        <v>249</v>
      </c>
      <c r="F1969" t="s">
        <v>24</v>
      </c>
      <c r="G1969" t="s">
        <v>25</v>
      </c>
      <c r="H1969" s="3">
        <v>6</v>
      </c>
      <c r="I1969" s="3">
        <v>3175</v>
      </c>
      <c r="J1969" s="3">
        <v>19050</v>
      </c>
      <c r="K1969" s="3">
        <v>2500</v>
      </c>
      <c r="L1969" s="3">
        <v>15000</v>
      </c>
      <c r="M1969" s="3">
        <v>4050</v>
      </c>
      <c r="N1969" s="4">
        <v>0.2125984251968504</v>
      </c>
    </row>
    <row r="1970" spans="1:14" x14ac:dyDescent="0.3">
      <c r="A1970" s="6">
        <v>45798</v>
      </c>
      <c r="B1970" s="1" t="s">
        <v>2154</v>
      </c>
      <c r="C1970" s="1" t="s">
        <v>28</v>
      </c>
      <c r="D1970" t="s">
        <v>31</v>
      </c>
      <c r="E1970" t="s">
        <v>142</v>
      </c>
      <c r="F1970" t="s">
        <v>21</v>
      </c>
      <c r="G1970" t="s">
        <v>20</v>
      </c>
      <c r="H1970" s="3">
        <v>2</v>
      </c>
      <c r="I1970" s="3">
        <v>827.99999999999989</v>
      </c>
      <c r="J1970" s="3">
        <v>1655.9999999999998</v>
      </c>
      <c r="K1970" s="3">
        <v>600</v>
      </c>
      <c r="L1970" s="3">
        <v>1200</v>
      </c>
      <c r="M1970" s="3">
        <v>455.99999999999977</v>
      </c>
      <c r="N1970" s="4">
        <v>0.2753623188405796</v>
      </c>
    </row>
    <row r="1971" spans="1:14" x14ac:dyDescent="0.3">
      <c r="A1971" s="6">
        <v>45798</v>
      </c>
      <c r="B1971" s="1" t="s">
        <v>2155</v>
      </c>
      <c r="C1971" s="1" t="s">
        <v>26</v>
      </c>
      <c r="D1971" t="s">
        <v>34</v>
      </c>
      <c r="E1971" t="s">
        <v>361</v>
      </c>
      <c r="F1971" t="s">
        <v>24</v>
      </c>
      <c r="G1971" t="s">
        <v>25</v>
      </c>
      <c r="H1971" s="3">
        <v>5</v>
      </c>
      <c r="I1971" s="3">
        <v>3350</v>
      </c>
      <c r="J1971" s="3">
        <v>16750</v>
      </c>
      <c r="K1971" s="3">
        <v>2500</v>
      </c>
      <c r="L1971" s="3">
        <v>12500</v>
      </c>
      <c r="M1971" s="3">
        <v>4250</v>
      </c>
      <c r="N1971" s="4">
        <v>0.2537313432835821</v>
      </c>
    </row>
    <row r="1972" spans="1:14" x14ac:dyDescent="0.3">
      <c r="A1972" s="6">
        <v>45798</v>
      </c>
      <c r="B1972" s="1" t="s">
        <v>2156</v>
      </c>
      <c r="C1972" s="1" t="s">
        <v>26</v>
      </c>
      <c r="D1972" t="s">
        <v>31</v>
      </c>
      <c r="E1972" t="s">
        <v>409</v>
      </c>
      <c r="F1972" t="s">
        <v>23</v>
      </c>
      <c r="G1972" t="s">
        <v>25</v>
      </c>
      <c r="H1972" s="3">
        <v>9</v>
      </c>
      <c r="I1972" s="3">
        <v>4480</v>
      </c>
      <c r="J1972" s="3">
        <v>40320</v>
      </c>
      <c r="K1972" s="3">
        <v>3200</v>
      </c>
      <c r="L1972" s="3">
        <v>28800</v>
      </c>
      <c r="M1972" s="3">
        <v>11520</v>
      </c>
      <c r="N1972" s="4">
        <v>0.2857142857142857</v>
      </c>
    </row>
    <row r="1973" spans="1:14" x14ac:dyDescent="0.3">
      <c r="A1973" s="6">
        <v>45798</v>
      </c>
      <c r="B1973" s="1" t="s">
        <v>2157</v>
      </c>
      <c r="C1973" s="1" t="s">
        <v>26</v>
      </c>
      <c r="D1973" t="s">
        <v>31</v>
      </c>
      <c r="E1973" t="s">
        <v>331</v>
      </c>
      <c r="F1973" t="s">
        <v>23</v>
      </c>
      <c r="G1973" t="s">
        <v>25</v>
      </c>
      <c r="H1973" s="3">
        <v>3</v>
      </c>
      <c r="I1973" s="3">
        <v>3904</v>
      </c>
      <c r="J1973" s="3">
        <v>11712</v>
      </c>
      <c r="K1973" s="3">
        <v>3200</v>
      </c>
      <c r="L1973" s="3">
        <v>9600</v>
      </c>
      <c r="M1973" s="3">
        <v>2112</v>
      </c>
      <c r="N1973" s="4">
        <v>0.18032786885245902</v>
      </c>
    </row>
    <row r="1974" spans="1:14" x14ac:dyDescent="0.3">
      <c r="A1974" s="6">
        <v>45799</v>
      </c>
      <c r="B1974" s="1" t="s">
        <v>2158</v>
      </c>
      <c r="C1974" s="1" t="s">
        <v>26</v>
      </c>
      <c r="D1974" t="s">
        <v>33</v>
      </c>
      <c r="E1974" t="s">
        <v>142</v>
      </c>
      <c r="F1974" t="s">
        <v>24</v>
      </c>
      <c r="G1974" t="s">
        <v>25</v>
      </c>
      <c r="H1974" s="3">
        <v>6</v>
      </c>
      <c r="I1974" s="3">
        <v>3625</v>
      </c>
      <c r="J1974" s="3">
        <v>21750</v>
      </c>
      <c r="K1974" s="3">
        <v>2500</v>
      </c>
      <c r="L1974" s="3">
        <v>15000</v>
      </c>
      <c r="M1974" s="3">
        <v>6750</v>
      </c>
      <c r="N1974" s="4">
        <v>0.31034482758620691</v>
      </c>
    </row>
    <row r="1975" spans="1:14" x14ac:dyDescent="0.3">
      <c r="A1975" s="6">
        <v>45799</v>
      </c>
      <c r="B1975" s="1" t="s">
        <v>2159</v>
      </c>
      <c r="C1975" s="1" t="s">
        <v>28</v>
      </c>
      <c r="D1975" t="s">
        <v>35</v>
      </c>
      <c r="E1975" t="s">
        <v>157</v>
      </c>
      <c r="F1975" t="s">
        <v>22</v>
      </c>
      <c r="G1975" t="s">
        <v>18</v>
      </c>
      <c r="H1975" s="3">
        <v>1</v>
      </c>
      <c r="I1975" s="3">
        <v>9800</v>
      </c>
      <c r="J1975" s="3">
        <v>9800</v>
      </c>
      <c r="K1975" s="3">
        <v>7000</v>
      </c>
      <c r="L1975" s="3">
        <v>7000</v>
      </c>
      <c r="M1975" s="3">
        <v>2800</v>
      </c>
      <c r="N1975" s="4">
        <v>0.2857142857142857</v>
      </c>
    </row>
    <row r="1976" spans="1:14" x14ac:dyDescent="0.3">
      <c r="A1976" s="6">
        <v>45799</v>
      </c>
      <c r="B1976" s="1" t="s">
        <v>2160</v>
      </c>
      <c r="C1976" s="1" t="s">
        <v>27</v>
      </c>
      <c r="D1976" t="s">
        <v>32</v>
      </c>
      <c r="E1976" t="s">
        <v>321</v>
      </c>
      <c r="F1976" t="s">
        <v>17</v>
      </c>
      <c r="G1976" t="s">
        <v>18</v>
      </c>
      <c r="H1976" s="3">
        <v>3</v>
      </c>
      <c r="I1976" s="3">
        <v>12070</v>
      </c>
      <c r="J1976" s="3">
        <v>36210</v>
      </c>
      <c r="K1976" s="3">
        <v>8500</v>
      </c>
      <c r="L1976" s="3">
        <v>25500</v>
      </c>
      <c r="M1976" s="3">
        <v>10710</v>
      </c>
      <c r="N1976" s="4">
        <v>0.29577464788732394</v>
      </c>
    </row>
    <row r="1977" spans="1:14" x14ac:dyDescent="0.3">
      <c r="A1977" s="6">
        <v>45799</v>
      </c>
      <c r="B1977" s="1" t="s">
        <v>2161</v>
      </c>
      <c r="C1977" s="1" t="s">
        <v>27</v>
      </c>
      <c r="D1977" t="s">
        <v>33</v>
      </c>
      <c r="E1977" t="s">
        <v>161</v>
      </c>
      <c r="F1977" t="s">
        <v>16</v>
      </c>
      <c r="G1977" t="s">
        <v>15</v>
      </c>
      <c r="H1977" s="3">
        <v>5</v>
      </c>
      <c r="I1977" s="3">
        <v>48640</v>
      </c>
      <c r="J1977" s="3">
        <v>243200</v>
      </c>
      <c r="K1977" s="3">
        <v>38000</v>
      </c>
      <c r="L1977" s="3">
        <v>190000</v>
      </c>
      <c r="M1977" s="3">
        <v>53200</v>
      </c>
      <c r="N1977" s="4">
        <v>0.21875</v>
      </c>
    </row>
    <row r="1978" spans="1:14" x14ac:dyDescent="0.3">
      <c r="A1978" s="6">
        <v>45799</v>
      </c>
      <c r="B1978" s="1" t="s">
        <v>2162</v>
      </c>
      <c r="C1978" s="1" t="s">
        <v>29</v>
      </c>
      <c r="D1978" t="s">
        <v>32</v>
      </c>
      <c r="E1978" t="s">
        <v>538</v>
      </c>
      <c r="F1978" t="s">
        <v>21</v>
      </c>
      <c r="G1978" t="s">
        <v>20</v>
      </c>
      <c r="H1978" s="3">
        <v>8</v>
      </c>
      <c r="I1978" s="3">
        <v>744</v>
      </c>
      <c r="J1978" s="3">
        <v>5952</v>
      </c>
      <c r="K1978" s="3">
        <v>600</v>
      </c>
      <c r="L1978" s="3">
        <v>4800</v>
      </c>
      <c r="M1978" s="3">
        <v>1152</v>
      </c>
      <c r="N1978" s="4">
        <v>0.19354838709677419</v>
      </c>
    </row>
    <row r="1979" spans="1:14" x14ac:dyDescent="0.3">
      <c r="A1979" s="6">
        <v>45799</v>
      </c>
      <c r="B1979" s="1" t="s">
        <v>2163</v>
      </c>
      <c r="C1979" s="1" t="s">
        <v>27</v>
      </c>
      <c r="D1979" t="s">
        <v>33</v>
      </c>
      <c r="E1979" t="s">
        <v>255</v>
      </c>
      <c r="F1979" t="s">
        <v>23</v>
      </c>
      <c r="G1979" t="s">
        <v>25</v>
      </c>
      <c r="H1979" s="3">
        <v>2</v>
      </c>
      <c r="I1979" s="3">
        <v>3936</v>
      </c>
      <c r="J1979" s="3">
        <v>7872</v>
      </c>
      <c r="K1979" s="3">
        <v>3200</v>
      </c>
      <c r="L1979" s="3">
        <v>6400</v>
      </c>
      <c r="M1979" s="3">
        <v>1472</v>
      </c>
      <c r="N1979" s="4">
        <v>0.18699186991869918</v>
      </c>
    </row>
    <row r="1980" spans="1:14" x14ac:dyDescent="0.3">
      <c r="A1980" s="6">
        <v>45799</v>
      </c>
      <c r="B1980" s="1" t="s">
        <v>2164</v>
      </c>
      <c r="C1980" s="1" t="s">
        <v>26</v>
      </c>
      <c r="D1980" t="s">
        <v>35</v>
      </c>
      <c r="E1980" t="s">
        <v>94</v>
      </c>
      <c r="F1980" t="s">
        <v>17</v>
      </c>
      <c r="G1980" t="s">
        <v>18</v>
      </c>
      <c r="H1980" s="3">
        <v>9</v>
      </c>
      <c r="I1980" s="3">
        <v>12240</v>
      </c>
      <c r="J1980" s="3">
        <v>110160</v>
      </c>
      <c r="K1980" s="3">
        <v>8500</v>
      </c>
      <c r="L1980" s="3">
        <v>76500</v>
      </c>
      <c r="M1980" s="3">
        <v>33660</v>
      </c>
      <c r="N1980" s="4">
        <v>0.30555555555555558</v>
      </c>
    </row>
    <row r="1981" spans="1:14" x14ac:dyDescent="0.3">
      <c r="A1981" s="6">
        <v>45799</v>
      </c>
      <c r="B1981" s="1" t="s">
        <v>2165</v>
      </c>
      <c r="C1981" s="1" t="s">
        <v>29</v>
      </c>
      <c r="D1981" t="s">
        <v>33</v>
      </c>
      <c r="E1981" t="s">
        <v>147</v>
      </c>
      <c r="F1981" t="s">
        <v>16</v>
      </c>
      <c r="G1981" t="s">
        <v>15</v>
      </c>
      <c r="H1981" s="3">
        <v>10</v>
      </c>
      <c r="I1981" s="3">
        <v>54720</v>
      </c>
      <c r="J1981" s="3">
        <v>547200</v>
      </c>
      <c r="K1981" s="3">
        <v>38000</v>
      </c>
      <c r="L1981" s="3">
        <v>380000</v>
      </c>
      <c r="M1981" s="3">
        <v>167200</v>
      </c>
      <c r="N1981" s="4">
        <v>0.30555555555555558</v>
      </c>
    </row>
    <row r="1982" spans="1:14" x14ac:dyDescent="0.3">
      <c r="A1982" s="6">
        <v>45799</v>
      </c>
      <c r="B1982" s="1" t="s">
        <v>2166</v>
      </c>
      <c r="C1982" s="1" t="s">
        <v>26</v>
      </c>
      <c r="D1982" t="s">
        <v>30</v>
      </c>
      <c r="E1982" t="s">
        <v>436</v>
      </c>
      <c r="F1982" t="s">
        <v>14</v>
      </c>
      <c r="G1982" t="s">
        <v>15</v>
      </c>
      <c r="H1982" s="3">
        <v>6</v>
      </c>
      <c r="I1982" s="3">
        <v>58050</v>
      </c>
      <c r="J1982" s="3">
        <v>348300</v>
      </c>
      <c r="K1982" s="3">
        <v>45000</v>
      </c>
      <c r="L1982" s="3">
        <v>270000</v>
      </c>
      <c r="M1982" s="3">
        <v>78300</v>
      </c>
      <c r="N1982" s="4">
        <v>0.22480620155038761</v>
      </c>
    </row>
    <row r="1983" spans="1:14" x14ac:dyDescent="0.3">
      <c r="A1983" s="6">
        <v>45799</v>
      </c>
      <c r="B1983" s="1" t="s">
        <v>2167</v>
      </c>
      <c r="C1983" s="1" t="s">
        <v>29</v>
      </c>
      <c r="D1983" t="s">
        <v>32</v>
      </c>
      <c r="E1983" t="s">
        <v>131</v>
      </c>
      <c r="F1983" t="s">
        <v>23</v>
      </c>
      <c r="G1983" t="s">
        <v>25</v>
      </c>
      <c r="H1983" s="3">
        <v>1</v>
      </c>
      <c r="I1983" s="3">
        <v>4224</v>
      </c>
      <c r="J1983" s="3">
        <v>4224</v>
      </c>
      <c r="K1983" s="3">
        <v>3200</v>
      </c>
      <c r="L1983" s="3">
        <v>3200</v>
      </c>
      <c r="M1983" s="3">
        <v>1024</v>
      </c>
      <c r="N1983" s="4">
        <v>0.24242424242424243</v>
      </c>
    </row>
    <row r="1984" spans="1:14" x14ac:dyDescent="0.3">
      <c r="A1984" s="6">
        <v>45799</v>
      </c>
      <c r="B1984" s="1" t="s">
        <v>2168</v>
      </c>
      <c r="C1984" s="1" t="s">
        <v>27</v>
      </c>
      <c r="D1984" t="s">
        <v>35</v>
      </c>
      <c r="E1984" t="s">
        <v>186</v>
      </c>
      <c r="F1984" t="s">
        <v>24</v>
      </c>
      <c r="G1984" t="s">
        <v>25</v>
      </c>
      <c r="H1984" s="3">
        <v>10</v>
      </c>
      <c r="I1984" s="3">
        <v>3625</v>
      </c>
      <c r="J1984" s="3">
        <v>36250</v>
      </c>
      <c r="K1984" s="3">
        <v>2500</v>
      </c>
      <c r="L1984" s="3">
        <v>25000</v>
      </c>
      <c r="M1984" s="3">
        <v>11250</v>
      </c>
      <c r="N1984" s="4">
        <v>0.31034482758620691</v>
      </c>
    </row>
    <row r="1985" spans="1:14" x14ac:dyDescent="0.3">
      <c r="A1985" s="6">
        <v>45799</v>
      </c>
      <c r="B1985" s="1" t="s">
        <v>2169</v>
      </c>
      <c r="C1985" s="1" t="s">
        <v>29</v>
      </c>
      <c r="D1985" t="s">
        <v>30</v>
      </c>
      <c r="E1985" t="s">
        <v>53</v>
      </c>
      <c r="F1985" t="s">
        <v>21</v>
      </c>
      <c r="G1985" t="s">
        <v>20</v>
      </c>
      <c r="H1985" s="3">
        <v>7</v>
      </c>
      <c r="I1985" s="3">
        <v>750</v>
      </c>
      <c r="J1985" s="3">
        <v>5250</v>
      </c>
      <c r="K1985" s="3">
        <v>600</v>
      </c>
      <c r="L1985" s="3">
        <v>4200</v>
      </c>
      <c r="M1985" s="3">
        <v>1050</v>
      </c>
      <c r="N1985" s="4">
        <v>0.2</v>
      </c>
    </row>
    <row r="1986" spans="1:14" x14ac:dyDescent="0.3">
      <c r="A1986" s="6">
        <v>45799</v>
      </c>
      <c r="B1986" s="1" t="s">
        <v>2170</v>
      </c>
      <c r="C1986" s="1" t="s">
        <v>27</v>
      </c>
      <c r="D1986" t="s">
        <v>32</v>
      </c>
      <c r="E1986" t="s">
        <v>935</v>
      </c>
      <c r="F1986" t="s">
        <v>22</v>
      </c>
      <c r="G1986" t="s">
        <v>18</v>
      </c>
      <c r="H1986" s="3">
        <v>1</v>
      </c>
      <c r="I1986" s="3">
        <v>9030</v>
      </c>
      <c r="J1986" s="3">
        <v>9030</v>
      </c>
      <c r="K1986" s="3">
        <v>7000</v>
      </c>
      <c r="L1986" s="3">
        <v>7000</v>
      </c>
      <c r="M1986" s="3">
        <v>2030</v>
      </c>
      <c r="N1986" s="4">
        <v>0.22480620155038761</v>
      </c>
    </row>
    <row r="1987" spans="1:14" x14ac:dyDescent="0.3">
      <c r="A1987" s="6">
        <v>45799</v>
      </c>
      <c r="B1987" s="1" t="s">
        <v>2171</v>
      </c>
      <c r="C1987" s="1" t="s">
        <v>29</v>
      </c>
      <c r="D1987" t="s">
        <v>33</v>
      </c>
      <c r="E1987" t="s">
        <v>283</v>
      </c>
      <c r="F1987" t="s">
        <v>24</v>
      </c>
      <c r="G1987" t="s">
        <v>25</v>
      </c>
      <c r="H1987" s="3">
        <v>8</v>
      </c>
      <c r="I1987" s="3">
        <v>3625</v>
      </c>
      <c r="J1987" s="3">
        <v>29000</v>
      </c>
      <c r="K1987" s="3">
        <v>2500</v>
      </c>
      <c r="L1987" s="3">
        <v>20000</v>
      </c>
      <c r="M1987" s="3">
        <v>9000</v>
      </c>
      <c r="N1987" s="4">
        <v>0.31034482758620691</v>
      </c>
    </row>
    <row r="1988" spans="1:14" x14ac:dyDescent="0.3">
      <c r="A1988" s="6">
        <v>45800</v>
      </c>
      <c r="B1988" s="1" t="s">
        <v>2172</v>
      </c>
      <c r="C1988" s="1" t="s">
        <v>28</v>
      </c>
      <c r="D1988" t="s">
        <v>32</v>
      </c>
      <c r="E1988" t="s">
        <v>49</v>
      </c>
      <c r="F1988" t="s">
        <v>23</v>
      </c>
      <c r="G1988" t="s">
        <v>25</v>
      </c>
      <c r="H1988" s="3">
        <v>4</v>
      </c>
      <c r="I1988" s="3">
        <v>4288</v>
      </c>
      <c r="J1988" s="3">
        <v>17152</v>
      </c>
      <c r="K1988" s="3">
        <v>3200</v>
      </c>
      <c r="L1988" s="3">
        <v>12800</v>
      </c>
      <c r="M1988" s="3">
        <v>4352</v>
      </c>
      <c r="N1988" s="4">
        <v>0.2537313432835821</v>
      </c>
    </row>
    <row r="1989" spans="1:14" x14ac:dyDescent="0.3">
      <c r="A1989" s="6">
        <v>45800</v>
      </c>
      <c r="B1989" s="1" t="s">
        <v>2173</v>
      </c>
      <c r="C1989" s="1" t="s">
        <v>28</v>
      </c>
      <c r="D1989" t="s">
        <v>34</v>
      </c>
      <c r="E1989" t="s">
        <v>198</v>
      </c>
      <c r="F1989" t="s">
        <v>24</v>
      </c>
      <c r="G1989" t="s">
        <v>25</v>
      </c>
      <c r="H1989" s="3">
        <v>5</v>
      </c>
      <c r="I1989" s="3">
        <v>3525</v>
      </c>
      <c r="J1989" s="3">
        <v>17625</v>
      </c>
      <c r="K1989" s="3">
        <v>2500</v>
      </c>
      <c r="L1989" s="3">
        <v>12500</v>
      </c>
      <c r="M1989" s="3">
        <v>5125</v>
      </c>
      <c r="N1989" s="4">
        <v>0.29078014184397161</v>
      </c>
    </row>
    <row r="1990" spans="1:14" x14ac:dyDescent="0.3">
      <c r="A1990" s="6">
        <v>45800</v>
      </c>
      <c r="B1990" s="1" t="s">
        <v>2174</v>
      </c>
      <c r="C1990" s="1" t="s">
        <v>27</v>
      </c>
      <c r="D1990" t="s">
        <v>33</v>
      </c>
      <c r="E1990" t="s">
        <v>41</v>
      </c>
      <c r="F1990" t="s">
        <v>21</v>
      </c>
      <c r="G1990" t="s">
        <v>20</v>
      </c>
      <c r="H1990" s="3">
        <v>3</v>
      </c>
      <c r="I1990" s="3">
        <v>726</v>
      </c>
      <c r="J1990" s="3">
        <v>2178</v>
      </c>
      <c r="K1990" s="3">
        <v>600</v>
      </c>
      <c r="L1990" s="3">
        <v>1800</v>
      </c>
      <c r="M1990" s="3">
        <v>378</v>
      </c>
      <c r="N1990" s="4">
        <v>0.17355371900826447</v>
      </c>
    </row>
    <row r="1991" spans="1:14" x14ac:dyDescent="0.3">
      <c r="A1991" s="6">
        <v>45800</v>
      </c>
      <c r="B1991" s="1" t="s">
        <v>2175</v>
      </c>
      <c r="C1991" s="1" t="s">
        <v>28</v>
      </c>
      <c r="D1991" t="s">
        <v>35</v>
      </c>
      <c r="E1991" t="s">
        <v>548</v>
      </c>
      <c r="F1991" t="s">
        <v>14</v>
      </c>
      <c r="G1991" t="s">
        <v>15</v>
      </c>
      <c r="H1991" s="3">
        <v>6</v>
      </c>
      <c r="I1991" s="3">
        <v>59850</v>
      </c>
      <c r="J1991" s="3">
        <v>359100</v>
      </c>
      <c r="K1991" s="3">
        <v>45000</v>
      </c>
      <c r="L1991" s="3">
        <v>270000</v>
      </c>
      <c r="M1991" s="3">
        <v>89100</v>
      </c>
      <c r="N1991" s="4">
        <v>0.24812030075187969</v>
      </c>
    </row>
    <row r="1992" spans="1:14" x14ac:dyDescent="0.3">
      <c r="A1992" s="6">
        <v>45800</v>
      </c>
      <c r="B1992" s="1" t="s">
        <v>2176</v>
      </c>
      <c r="C1992" s="1" t="s">
        <v>27</v>
      </c>
      <c r="D1992" t="s">
        <v>34</v>
      </c>
      <c r="E1992" t="s">
        <v>321</v>
      </c>
      <c r="F1992" t="s">
        <v>23</v>
      </c>
      <c r="G1992" t="s">
        <v>25</v>
      </c>
      <c r="H1992" s="3">
        <v>4</v>
      </c>
      <c r="I1992" s="3">
        <v>4224</v>
      </c>
      <c r="J1992" s="3">
        <v>16896</v>
      </c>
      <c r="K1992" s="3">
        <v>3200</v>
      </c>
      <c r="L1992" s="3">
        <v>12800</v>
      </c>
      <c r="M1992" s="3">
        <v>4096</v>
      </c>
      <c r="N1992" s="4">
        <v>0.24242424242424243</v>
      </c>
    </row>
    <row r="1993" spans="1:14" x14ac:dyDescent="0.3">
      <c r="A1993" s="6">
        <v>45800</v>
      </c>
      <c r="B1993" s="1" t="s">
        <v>2177</v>
      </c>
      <c r="C1993" s="1" t="s">
        <v>27</v>
      </c>
      <c r="D1993" t="s">
        <v>31</v>
      </c>
      <c r="E1993" t="s">
        <v>137</v>
      </c>
      <c r="F1993" t="s">
        <v>22</v>
      </c>
      <c r="G1993" t="s">
        <v>18</v>
      </c>
      <c r="H1993" s="3">
        <v>4</v>
      </c>
      <c r="I1993" s="3">
        <v>9800</v>
      </c>
      <c r="J1993" s="3">
        <v>39200</v>
      </c>
      <c r="K1993" s="3">
        <v>7000</v>
      </c>
      <c r="L1993" s="3">
        <v>28000</v>
      </c>
      <c r="M1993" s="3">
        <v>11200</v>
      </c>
      <c r="N1993" s="4">
        <v>0.2857142857142857</v>
      </c>
    </row>
    <row r="1994" spans="1:14" x14ac:dyDescent="0.3">
      <c r="A1994" s="6">
        <v>45800</v>
      </c>
      <c r="B1994" s="1" t="s">
        <v>2178</v>
      </c>
      <c r="C1994" s="1" t="s">
        <v>28</v>
      </c>
      <c r="D1994" t="s">
        <v>30</v>
      </c>
      <c r="E1994" t="s">
        <v>268</v>
      </c>
      <c r="F1994" t="s">
        <v>19</v>
      </c>
      <c r="G1994" t="s">
        <v>20</v>
      </c>
      <c r="H1994" s="3">
        <v>6</v>
      </c>
      <c r="I1994" s="3">
        <v>1260</v>
      </c>
      <c r="J1994" s="3">
        <v>7560</v>
      </c>
      <c r="K1994" s="3">
        <v>900</v>
      </c>
      <c r="L1994" s="3">
        <v>5400</v>
      </c>
      <c r="M1994" s="3">
        <v>2160</v>
      </c>
      <c r="N1994" s="4">
        <v>0.2857142857142857</v>
      </c>
    </row>
    <row r="1995" spans="1:14" x14ac:dyDescent="0.3">
      <c r="A1995" s="6">
        <v>45800</v>
      </c>
      <c r="B1995" s="1" t="s">
        <v>2179</v>
      </c>
      <c r="C1995" s="1" t="s">
        <v>28</v>
      </c>
      <c r="D1995" t="s">
        <v>30</v>
      </c>
      <c r="E1995" t="s">
        <v>407</v>
      </c>
      <c r="F1995" t="s">
        <v>16</v>
      </c>
      <c r="G1995" t="s">
        <v>15</v>
      </c>
      <c r="H1995" s="3">
        <v>2</v>
      </c>
      <c r="I1995" s="3">
        <v>54720</v>
      </c>
      <c r="J1995" s="3">
        <v>109440</v>
      </c>
      <c r="K1995" s="3">
        <v>38000</v>
      </c>
      <c r="L1995" s="3">
        <v>76000</v>
      </c>
      <c r="M1995" s="3">
        <v>33440</v>
      </c>
      <c r="N1995" s="4">
        <v>0.30555555555555558</v>
      </c>
    </row>
    <row r="1996" spans="1:14" x14ac:dyDescent="0.3">
      <c r="A1996" s="6">
        <v>45800</v>
      </c>
      <c r="B1996" s="1" t="s">
        <v>2180</v>
      </c>
      <c r="C1996" s="1" t="s">
        <v>29</v>
      </c>
      <c r="D1996" t="s">
        <v>34</v>
      </c>
      <c r="E1996" t="s">
        <v>137</v>
      </c>
      <c r="F1996" t="s">
        <v>14</v>
      </c>
      <c r="G1996" t="s">
        <v>15</v>
      </c>
      <c r="H1996" s="3">
        <v>9</v>
      </c>
      <c r="I1996" s="3">
        <v>54450</v>
      </c>
      <c r="J1996" s="3">
        <v>490050</v>
      </c>
      <c r="K1996" s="3">
        <v>45000</v>
      </c>
      <c r="L1996" s="3">
        <v>405000</v>
      </c>
      <c r="M1996" s="3">
        <v>85050</v>
      </c>
      <c r="N1996" s="4">
        <v>0.17355371900826447</v>
      </c>
    </row>
    <row r="1997" spans="1:14" x14ac:dyDescent="0.3">
      <c r="A1997" s="6">
        <v>45800</v>
      </c>
      <c r="B1997" s="1" t="s">
        <v>2181</v>
      </c>
      <c r="C1997" s="1" t="s">
        <v>27</v>
      </c>
      <c r="D1997" t="s">
        <v>30</v>
      </c>
      <c r="E1997" t="s">
        <v>184</v>
      </c>
      <c r="F1997" t="s">
        <v>19</v>
      </c>
      <c r="G1997" t="s">
        <v>20</v>
      </c>
      <c r="H1997" s="3">
        <v>10</v>
      </c>
      <c r="I1997" s="3">
        <v>1134</v>
      </c>
      <c r="J1997" s="3">
        <v>11340</v>
      </c>
      <c r="K1997" s="3">
        <v>900</v>
      </c>
      <c r="L1997" s="3">
        <v>9000</v>
      </c>
      <c r="M1997" s="3">
        <v>2340</v>
      </c>
      <c r="N1997" s="4">
        <v>0.20634920634920634</v>
      </c>
    </row>
    <row r="1998" spans="1:14" x14ac:dyDescent="0.3">
      <c r="A1998" s="6">
        <v>45800</v>
      </c>
      <c r="B1998" s="1" t="s">
        <v>2182</v>
      </c>
      <c r="C1998" s="1" t="s">
        <v>26</v>
      </c>
      <c r="D1998" t="s">
        <v>33</v>
      </c>
      <c r="E1998" t="s">
        <v>137</v>
      </c>
      <c r="F1998" t="s">
        <v>22</v>
      </c>
      <c r="G1998" t="s">
        <v>18</v>
      </c>
      <c r="H1998" s="3">
        <v>7</v>
      </c>
      <c r="I1998" s="3">
        <v>8890</v>
      </c>
      <c r="J1998" s="3">
        <v>62230</v>
      </c>
      <c r="K1998" s="3">
        <v>7000</v>
      </c>
      <c r="L1998" s="3">
        <v>49000</v>
      </c>
      <c r="M1998" s="3">
        <v>13230</v>
      </c>
      <c r="N1998" s="4">
        <v>0.2125984251968504</v>
      </c>
    </row>
    <row r="1999" spans="1:14" x14ac:dyDescent="0.3">
      <c r="A1999" s="6">
        <v>45800</v>
      </c>
      <c r="B1999" s="1" t="s">
        <v>2183</v>
      </c>
      <c r="C1999" s="1" t="s">
        <v>27</v>
      </c>
      <c r="D1999" t="s">
        <v>32</v>
      </c>
      <c r="E1999" t="s">
        <v>249</v>
      </c>
      <c r="F1999" t="s">
        <v>22</v>
      </c>
      <c r="G1999" t="s">
        <v>18</v>
      </c>
      <c r="H1999" s="3">
        <v>5</v>
      </c>
      <c r="I1999" s="3">
        <v>9590</v>
      </c>
      <c r="J1999" s="3">
        <v>47950</v>
      </c>
      <c r="K1999" s="3">
        <v>7000</v>
      </c>
      <c r="L1999" s="3">
        <v>35000</v>
      </c>
      <c r="M1999" s="3">
        <v>12950</v>
      </c>
      <c r="N1999" s="4">
        <v>0.27007299270072993</v>
      </c>
    </row>
    <row r="2000" spans="1:14" x14ac:dyDescent="0.3">
      <c r="A2000" s="6">
        <v>45800</v>
      </c>
      <c r="B2000" s="1" t="s">
        <v>2184</v>
      </c>
      <c r="C2000" s="1" t="s">
        <v>26</v>
      </c>
      <c r="D2000" t="s">
        <v>35</v>
      </c>
      <c r="E2000" t="s">
        <v>72</v>
      </c>
      <c r="F2000" t="s">
        <v>24</v>
      </c>
      <c r="G2000" t="s">
        <v>25</v>
      </c>
      <c r="H2000" s="3">
        <v>2</v>
      </c>
      <c r="I2000" s="3">
        <v>3225</v>
      </c>
      <c r="J2000" s="3">
        <v>6450</v>
      </c>
      <c r="K2000" s="3">
        <v>2500</v>
      </c>
      <c r="L2000" s="3">
        <v>5000</v>
      </c>
      <c r="M2000" s="3">
        <v>1450</v>
      </c>
      <c r="N2000" s="4">
        <v>0.22480620155038761</v>
      </c>
    </row>
    <row r="2001" spans="1:14" x14ac:dyDescent="0.3">
      <c r="A2001" s="6">
        <v>45800</v>
      </c>
      <c r="B2001" s="1" t="s">
        <v>2185</v>
      </c>
      <c r="C2001" s="1" t="s">
        <v>28</v>
      </c>
      <c r="D2001" t="s">
        <v>33</v>
      </c>
      <c r="E2001" t="s">
        <v>110</v>
      </c>
      <c r="F2001" t="s">
        <v>19</v>
      </c>
      <c r="G2001" t="s">
        <v>20</v>
      </c>
      <c r="H2001" s="3">
        <v>4</v>
      </c>
      <c r="I2001" s="3">
        <v>1206</v>
      </c>
      <c r="J2001" s="3">
        <v>4824</v>
      </c>
      <c r="K2001" s="3">
        <v>900</v>
      </c>
      <c r="L2001" s="3">
        <v>3600</v>
      </c>
      <c r="M2001" s="3">
        <v>1224</v>
      </c>
      <c r="N2001" s="4">
        <v>0.2537313432835821</v>
      </c>
    </row>
    <row r="2002" spans="1:14" x14ac:dyDescent="0.3">
      <c r="A2002" s="6">
        <v>45801</v>
      </c>
      <c r="B2002" s="1" t="s">
        <v>2186</v>
      </c>
      <c r="C2002" s="1" t="s">
        <v>29</v>
      </c>
      <c r="D2002" t="s">
        <v>31</v>
      </c>
      <c r="E2002" t="s">
        <v>349</v>
      </c>
      <c r="F2002" t="s">
        <v>23</v>
      </c>
      <c r="G2002" t="s">
        <v>25</v>
      </c>
      <c r="H2002" s="3">
        <v>9</v>
      </c>
      <c r="I2002" s="3">
        <v>3872</v>
      </c>
      <c r="J2002" s="3">
        <v>34848</v>
      </c>
      <c r="K2002" s="3">
        <v>3200</v>
      </c>
      <c r="L2002" s="3">
        <v>28800</v>
      </c>
      <c r="M2002" s="3">
        <v>6048</v>
      </c>
      <c r="N2002" s="4">
        <v>0.17355371900826447</v>
      </c>
    </row>
    <row r="2003" spans="1:14" x14ac:dyDescent="0.3">
      <c r="A2003" s="6">
        <v>45801</v>
      </c>
      <c r="B2003" s="1" t="s">
        <v>2187</v>
      </c>
      <c r="C2003" s="1" t="s">
        <v>29</v>
      </c>
      <c r="D2003" t="s">
        <v>33</v>
      </c>
      <c r="E2003" t="s">
        <v>336</v>
      </c>
      <c r="F2003" t="s">
        <v>21</v>
      </c>
      <c r="G2003" t="s">
        <v>20</v>
      </c>
      <c r="H2003" s="3">
        <v>6</v>
      </c>
      <c r="I2003" s="3">
        <v>834.00000000000011</v>
      </c>
      <c r="J2003" s="3">
        <v>5004.0000000000009</v>
      </c>
      <c r="K2003" s="3">
        <v>600</v>
      </c>
      <c r="L2003" s="3">
        <v>3600</v>
      </c>
      <c r="M2003" s="3">
        <v>1404.0000000000009</v>
      </c>
      <c r="N2003" s="4">
        <v>0.28057553956834547</v>
      </c>
    </row>
    <row r="2004" spans="1:14" x14ac:dyDescent="0.3">
      <c r="A2004" s="6">
        <v>45801</v>
      </c>
      <c r="B2004" s="1" t="s">
        <v>2188</v>
      </c>
      <c r="C2004" s="1" t="s">
        <v>26</v>
      </c>
      <c r="D2004" t="s">
        <v>32</v>
      </c>
      <c r="E2004" t="s">
        <v>175</v>
      </c>
      <c r="F2004" t="s">
        <v>21</v>
      </c>
      <c r="G2004" t="s">
        <v>20</v>
      </c>
      <c r="H2004" s="3">
        <v>10</v>
      </c>
      <c r="I2004" s="3">
        <v>726</v>
      </c>
      <c r="J2004" s="3">
        <v>7260</v>
      </c>
      <c r="K2004" s="3">
        <v>600</v>
      </c>
      <c r="L2004" s="3">
        <v>6000</v>
      </c>
      <c r="M2004" s="3">
        <v>1260</v>
      </c>
      <c r="N2004" s="4">
        <v>0.17355371900826447</v>
      </c>
    </row>
    <row r="2005" spans="1:14" x14ac:dyDescent="0.3">
      <c r="A2005" s="6">
        <v>45801</v>
      </c>
      <c r="B2005" s="1" t="s">
        <v>2189</v>
      </c>
      <c r="C2005" s="1" t="s">
        <v>27</v>
      </c>
      <c r="D2005" t="s">
        <v>32</v>
      </c>
      <c r="E2005" t="s">
        <v>407</v>
      </c>
      <c r="F2005" t="s">
        <v>17</v>
      </c>
      <c r="G2005" t="s">
        <v>18</v>
      </c>
      <c r="H2005" s="3">
        <v>8</v>
      </c>
      <c r="I2005" s="3">
        <v>11135</v>
      </c>
      <c r="J2005" s="3">
        <v>89080</v>
      </c>
      <c r="K2005" s="3">
        <v>8500</v>
      </c>
      <c r="L2005" s="3">
        <v>68000</v>
      </c>
      <c r="M2005" s="3">
        <v>21080</v>
      </c>
      <c r="N2005" s="4">
        <v>0.23664122137404581</v>
      </c>
    </row>
    <row r="2006" spans="1:14" x14ac:dyDescent="0.3">
      <c r="A2006" s="6">
        <v>45801</v>
      </c>
      <c r="B2006" s="1" t="s">
        <v>2190</v>
      </c>
      <c r="C2006" s="1" t="s">
        <v>29</v>
      </c>
      <c r="D2006" t="s">
        <v>34</v>
      </c>
      <c r="E2006" t="s">
        <v>175</v>
      </c>
      <c r="F2006" t="s">
        <v>23</v>
      </c>
      <c r="G2006" t="s">
        <v>25</v>
      </c>
      <c r="H2006" s="3">
        <v>10</v>
      </c>
      <c r="I2006" s="3">
        <v>4256</v>
      </c>
      <c r="J2006" s="3">
        <v>42560</v>
      </c>
      <c r="K2006" s="3">
        <v>3200</v>
      </c>
      <c r="L2006" s="3">
        <v>32000</v>
      </c>
      <c r="M2006" s="3">
        <v>10560</v>
      </c>
      <c r="N2006" s="4">
        <v>0.24812030075187969</v>
      </c>
    </row>
    <row r="2007" spans="1:14" x14ac:dyDescent="0.3">
      <c r="A2007" s="6">
        <v>45801</v>
      </c>
      <c r="B2007" s="1" t="s">
        <v>2191</v>
      </c>
      <c r="C2007" s="1" t="s">
        <v>29</v>
      </c>
      <c r="D2007" t="s">
        <v>33</v>
      </c>
      <c r="E2007" t="s">
        <v>47</v>
      </c>
      <c r="F2007" t="s">
        <v>21</v>
      </c>
      <c r="G2007" t="s">
        <v>20</v>
      </c>
      <c r="H2007" s="3">
        <v>8</v>
      </c>
      <c r="I2007" s="3">
        <v>768</v>
      </c>
      <c r="J2007" s="3">
        <v>6144</v>
      </c>
      <c r="K2007" s="3">
        <v>600</v>
      </c>
      <c r="L2007" s="3">
        <v>4800</v>
      </c>
      <c r="M2007" s="3">
        <v>1344</v>
      </c>
      <c r="N2007" s="4">
        <v>0.21875</v>
      </c>
    </row>
    <row r="2008" spans="1:14" x14ac:dyDescent="0.3">
      <c r="A2008" s="6">
        <v>45801</v>
      </c>
      <c r="B2008" s="1" t="s">
        <v>2192</v>
      </c>
      <c r="C2008" s="1" t="s">
        <v>27</v>
      </c>
      <c r="D2008" t="s">
        <v>30</v>
      </c>
      <c r="E2008" t="s">
        <v>431</v>
      </c>
      <c r="F2008" t="s">
        <v>24</v>
      </c>
      <c r="G2008" t="s">
        <v>25</v>
      </c>
      <c r="H2008" s="3">
        <v>3</v>
      </c>
      <c r="I2008" s="3">
        <v>3500</v>
      </c>
      <c r="J2008" s="3">
        <v>10500</v>
      </c>
      <c r="K2008" s="3">
        <v>2500</v>
      </c>
      <c r="L2008" s="3">
        <v>7500</v>
      </c>
      <c r="M2008" s="3">
        <v>3000</v>
      </c>
      <c r="N2008" s="4">
        <v>0.2857142857142857</v>
      </c>
    </row>
    <row r="2009" spans="1:14" x14ac:dyDescent="0.3">
      <c r="A2009" s="6">
        <v>45801</v>
      </c>
      <c r="B2009" s="1" t="s">
        <v>2193</v>
      </c>
      <c r="C2009" s="1" t="s">
        <v>28</v>
      </c>
      <c r="D2009" t="s">
        <v>34</v>
      </c>
      <c r="E2009" t="s">
        <v>106</v>
      </c>
      <c r="F2009" t="s">
        <v>19</v>
      </c>
      <c r="G2009" t="s">
        <v>20</v>
      </c>
      <c r="H2009" s="3">
        <v>9</v>
      </c>
      <c r="I2009" s="3">
        <v>1107</v>
      </c>
      <c r="J2009" s="3">
        <v>9963</v>
      </c>
      <c r="K2009" s="3">
        <v>900</v>
      </c>
      <c r="L2009" s="3">
        <v>8100</v>
      </c>
      <c r="M2009" s="3">
        <v>1863</v>
      </c>
      <c r="N2009" s="4">
        <v>0.18699186991869918</v>
      </c>
    </row>
    <row r="2010" spans="1:14" x14ac:dyDescent="0.3">
      <c r="A2010" s="6">
        <v>45801</v>
      </c>
      <c r="B2010" s="1" t="s">
        <v>2194</v>
      </c>
      <c r="C2010" s="1" t="s">
        <v>27</v>
      </c>
      <c r="D2010" t="s">
        <v>31</v>
      </c>
      <c r="E2010" t="s">
        <v>508</v>
      </c>
      <c r="F2010" t="s">
        <v>21</v>
      </c>
      <c r="G2010" t="s">
        <v>20</v>
      </c>
      <c r="H2010" s="3">
        <v>9</v>
      </c>
      <c r="I2010" s="3">
        <v>810</v>
      </c>
      <c r="J2010" s="3">
        <v>7290</v>
      </c>
      <c r="K2010" s="3">
        <v>600</v>
      </c>
      <c r="L2010" s="3">
        <v>5400</v>
      </c>
      <c r="M2010" s="3">
        <v>1890</v>
      </c>
      <c r="N2010" s="4">
        <v>0.25925925925925924</v>
      </c>
    </row>
    <row r="2011" spans="1:14" x14ac:dyDescent="0.3">
      <c r="A2011" s="6">
        <v>45801</v>
      </c>
      <c r="B2011" s="1" t="s">
        <v>2195</v>
      </c>
      <c r="C2011" s="1" t="s">
        <v>26</v>
      </c>
      <c r="D2011" t="s">
        <v>33</v>
      </c>
      <c r="E2011" t="s">
        <v>280</v>
      </c>
      <c r="F2011" t="s">
        <v>22</v>
      </c>
      <c r="G2011" t="s">
        <v>18</v>
      </c>
      <c r="H2011" s="3">
        <v>4</v>
      </c>
      <c r="I2011" s="3">
        <v>8470</v>
      </c>
      <c r="J2011" s="3">
        <v>33880</v>
      </c>
      <c r="K2011" s="3">
        <v>7000</v>
      </c>
      <c r="L2011" s="3">
        <v>28000</v>
      </c>
      <c r="M2011" s="3">
        <v>5880</v>
      </c>
      <c r="N2011" s="4">
        <v>0.17355371900826447</v>
      </c>
    </row>
    <row r="2012" spans="1:14" x14ac:dyDescent="0.3">
      <c r="A2012" s="6">
        <v>45801</v>
      </c>
      <c r="B2012" s="1" t="s">
        <v>2196</v>
      </c>
      <c r="C2012" s="1" t="s">
        <v>29</v>
      </c>
      <c r="D2012" t="s">
        <v>30</v>
      </c>
      <c r="E2012" t="s">
        <v>329</v>
      </c>
      <c r="F2012" t="s">
        <v>21</v>
      </c>
      <c r="G2012" t="s">
        <v>20</v>
      </c>
      <c r="H2012" s="3">
        <v>9</v>
      </c>
      <c r="I2012" s="3">
        <v>864</v>
      </c>
      <c r="J2012" s="3">
        <v>7776</v>
      </c>
      <c r="K2012" s="3">
        <v>600</v>
      </c>
      <c r="L2012" s="3">
        <v>5400</v>
      </c>
      <c r="M2012" s="3">
        <v>2376</v>
      </c>
      <c r="N2012" s="4">
        <v>0.30555555555555558</v>
      </c>
    </row>
    <row r="2013" spans="1:14" x14ac:dyDescent="0.3">
      <c r="A2013" s="6">
        <v>45801</v>
      </c>
      <c r="B2013" s="1" t="s">
        <v>2197</v>
      </c>
      <c r="C2013" s="1" t="s">
        <v>28</v>
      </c>
      <c r="D2013" t="s">
        <v>31</v>
      </c>
      <c r="E2013" t="s">
        <v>49</v>
      </c>
      <c r="F2013" t="s">
        <v>23</v>
      </c>
      <c r="G2013" t="s">
        <v>25</v>
      </c>
      <c r="H2013" s="3">
        <v>1</v>
      </c>
      <c r="I2013" s="3">
        <v>4032</v>
      </c>
      <c r="J2013" s="3">
        <v>4032</v>
      </c>
      <c r="K2013" s="3">
        <v>3200</v>
      </c>
      <c r="L2013" s="3">
        <v>3200</v>
      </c>
      <c r="M2013" s="3">
        <v>832</v>
      </c>
      <c r="N2013" s="4">
        <v>0.20634920634920634</v>
      </c>
    </row>
    <row r="2014" spans="1:14" x14ac:dyDescent="0.3">
      <c r="A2014" s="6">
        <v>45801</v>
      </c>
      <c r="B2014" s="1" t="s">
        <v>2198</v>
      </c>
      <c r="C2014" s="1" t="s">
        <v>28</v>
      </c>
      <c r="D2014" t="s">
        <v>32</v>
      </c>
      <c r="E2014" t="s">
        <v>100</v>
      </c>
      <c r="F2014" t="s">
        <v>24</v>
      </c>
      <c r="G2014" t="s">
        <v>25</v>
      </c>
      <c r="H2014" s="3">
        <v>7</v>
      </c>
      <c r="I2014" s="3">
        <v>3175</v>
      </c>
      <c r="J2014" s="3">
        <v>22225</v>
      </c>
      <c r="K2014" s="3">
        <v>2500</v>
      </c>
      <c r="L2014" s="3">
        <v>17500</v>
      </c>
      <c r="M2014" s="3">
        <v>4725</v>
      </c>
      <c r="N2014" s="4">
        <v>0.2125984251968504</v>
      </c>
    </row>
    <row r="2015" spans="1:14" x14ac:dyDescent="0.3">
      <c r="A2015" s="6">
        <v>45801</v>
      </c>
      <c r="B2015" s="1" t="s">
        <v>2199</v>
      </c>
      <c r="C2015" s="1" t="s">
        <v>27</v>
      </c>
      <c r="D2015" t="s">
        <v>32</v>
      </c>
      <c r="E2015" t="s">
        <v>582</v>
      </c>
      <c r="F2015" t="s">
        <v>14</v>
      </c>
      <c r="G2015" t="s">
        <v>15</v>
      </c>
      <c r="H2015" s="3">
        <v>4</v>
      </c>
      <c r="I2015" s="3">
        <v>60750.000000000007</v>
      </c>
      <c r="J2015" s="3">
        <v>243000.00000000003</v>
      </c>
      <c r="K2015" s="3">
        <v>45000</v>
      </c>
      <c r="L2015" s="3">
        <v>180000</v>
      </c>
      <c r="M2015" s="3">
        <v>63000.000000000029</v>
      </c>
      <c r="N2015" s="4">
        <v>0.25925925925925936</v>
      </c>
    </row>
    <row r="2016" spans="1:14" x14ac:dyDescent="0.3">
      <c r="A2016" s="6">
        <v>45802</v>
      </c>
      <c r="B2016" s="1" t="s">
        <v>2200</v>
      </c>
      <c r="C2016" s="1" t="s">
        <v>26</v>
      </c>
      <c r="D2016" t="s">
        <v>35</v>
      </c>
      <c r="E2016" t="s">
        <v>76</v>
      </c>
      <c r="F2016" t="s">
        <v>24</v>
      </c>
      <c r="G2016" t="s">
        <v>25</v>
      </c>
      <c r="H2016" s="3">
        <v>3</v>
      </c>
      <c r="I2016" s="3">
        <v>3425.0000000000005</v>
      </c>
      <c r="J2016" s="3">
        <v>10275.000000000002</v>
      </c>
      <c r="K2016" s="3">
        <v>2500</v>
      </c>
      <c r="L2016" s="3">
        <v>7500</v>
      </c>
      <c r="M2016" s="3">
        <v>2775.0000000000018</v>
      </c>
      <c r="N2016" s="4">
        <v>0.27007299270073004</v>
      </c>
    </row>
    <row r="2017" spans="1:14" x14ac:dyDescent="0.3">
      <c r="A2017" s="6">
        <v>45802</v>
      </c>
      <c r="B2017" s="1" t="s">
        <v>2201</v>
      </c>
      <c r="C2017" s="1" t="s">
        <v>29</v>
      </c>
      <c r="D2017" t="s">
        <v>33</v>
      </c>
      <c r="E2017" t="s">
        <v>94</v>
      </c>
      <c r="F2017" t="s">
        <v>19</v>
      </c>
      <c r="G2017" t="s">
        <v>20</v>
      </c>
      <c r="H2017" s="3">
        <v>7</v>
      </c>
      <c r="I2017" s="3">
        <v>1152</v>
      </c>
      <c r="J2017" s="3">
        <v>8064</v>
      </c>
      <c r="K2017" s="3">
        <v>900</v>
      </c>
      <c r="L2017" s="3">
        <v>6300</v>
      </c>
      <c r="M2017" s="3">
        <v>1764</v>
      </c>
      <c r="N2017" s="4">
        <v>0.21875</v>
      </c>
    </row>
    <row r="2018" spans="1:14" x14ac:dyDescent="0.3">
      <c r="A2018" s="6">
        <v>45802</v>
      </c>
      <c r="B2018" s="1" t="s">
        <v>2202</v>
      </c>
      <c r="C2018" s="1" t="s">
        <v>28</v>
      </c>
      <c r="D2018" t="s">
        <v>30</v>
      </c>
      <c r="E2018" t="s">
        <v>216</v>
      </c>
      <c r="F2018" t="s">
        <v>17</v>
      </c>
      <c r="G2018" t="s">
        <v>18</v>
      </c>
      <c r="H2018" s="3">
        <v>5</v>
      </c>
      <c r="I2018" s="3">
        <v>12240</v>
      </c>
      <c r="J2018" s="3">
        <v>61200</v>
      </c>
      <c r="K2018" s="3">
        <v>8500</v>
      </c>
      <c r="L2018" s="3">
        <v>42500</v>
      </c>
      <c r="M2018" s="3">
        <v>18700</v>
      </c>
      <c r="N2018" s="4">
        <v>0.30555555555555558</v>
      </c>
    </row>
    <row r="2019" spans="1:14" x14ac:dyDescent="0.3">
      <c r="A2019" s="6">
        <v>45802</v>
      </c>
      <c r="B2019" s="1" t="s">
        <v>2203</v>
      </c>
      <c r="C2019" s="1" t="s">
        <v>29</v>
      </c>
      <c r="D2019" t="s">
        <v>34</v>
      </c>
      <c r="E2019" t="s">
        <v>329</v>
      </c>
      <c r="F2019" t="s">
        <v>22</v>
      </c>
      <c r="G2019" t="s">
        <v>18</v>
      </c>
      <c r="H2019" s="3">
        <v>1</v>
      </c>
      <c r="I2019" s="3">
        <v>9590</v>
      </c>
      <c r="J2019" s="3">
        <v>9590</v>
      </c>
      <c r="K2019" s="3">
        <v>7000</v>
      </c>
      <c r="L2019" s="3">
        <v>7000</v>
      </c>
      <c r="M2019" s="3">
        <v>2590</v>
      </c>
      <c r="N2019" s="4">
        <v>0.27007299270072993</v>
      </c>
    </row>
    <row r="2020" spans="1:14" x14ac:dyDescent="0.3">
      <c r="A2020" s="6">
        <v>45802</v>
      </c>
      <c r="B2020" s="1" t="s">
        <v>2204</v>
      </c>
      <c r="C2020" s="1" t="s">
        <v>27</v>
      </c>
      <c r="D2020" t="s">
        <v>33</v>
      </c>
      <c r="E2020" t="s">
        <v>120</v>
      </c>
      <c r="F2020" t="s">
        <v>22</v>
      </c>
      <c r="G2020" t="s">
        <v>18</v>
      </c>
      <c r="H2020" s="3">
        <v>1</v>
      </c>
      <c r="I2020" s="3">
        <v>9660</v>
      </c>
      <c r="J2020" s="3">
        <v>9660</v>
      </c>
      <c r="K2020" s="3">
        <v>7000</v>
      </c>
      <c r="L2020" s="3">
        <v>7000</v>
      </c>
      <c r="M2020" s="3">
        <v>2660</v>
      </c>
      <c r="N2020" s="4">
        <v>0.27536231884057971</v>
      </c>
    </row>
    <row r="2021" spans="1:14" x14ac:dyDescent="0.3">
      <c r="A2021" s="6">
        <v>45802</v>
      </c>
      <c r="B2021" s="1" t="s">
        <v>2205</v>
      </c>
      <c r="C2021" s="1" t="s">
        <v>29</v>
      </c>
      <c r="D2021" t="s">
        <v>32</v>
      </c>
      <c r="E2021" t="s">
        <v>283</v>
      </c>
      <c r="F2021" t="s">
        <v>23</v>
      </c>
      <c r="G2021" t="s">
        <v>25</v>
      </c>
      <c r="H2021" s="3">
        <v>10</v>
      </c>
      <c r="I2021" s="3">
        <v>4096</v>
      </c>
      <c r="J2021" s="3">
        <v>40960</v>
      </c>
      <c r="K2021" s="3">
        <v>3200</v>
      </c>
      <c r="L2021" s="3">
        <v>32000</v>
      </c>
      <c r="M2021" s="3">
        <v>8960</v>
      </c>
      <c r="N2021" s="4">
        <v>0.21875</v>
      </c>
    </row>
    <row r="2022" spans="1:14" x14ac:dyDescent="0.3">
      <c r="A2022" s="6">
        <v>45802</v>
      </c>
      <c r="B2022" s="1" t="s">
        <v>2206</v>
      </c>
      <c r="C2022" s="1" t="s">
        <v>28</v>
      </c>
      <c r="D2022" t="s">
        <v>33</v>
      </c>
      <c r="E2022" t="s">
        <v>114</v>
      </c>
      <c r="F2022" t="s">
        <v>22</v>
      </c>
      <c r="G2022" t="s">
        <v>18</v>
      </c>
      <c r="H2022" s="3">
        <v>1</v>
      </c>
      <c r="I2022" s="3">
        <v>8470</v>
      </c>
      <c r="J2022" s="3">
        <v>8470</v>
      </c>
      <c r="K2022" s="3">
        <v>7000</v>
      </c>
      <c r="L2022" s="3">
        <v>7000</v>
      </c>
      <c r="M2022" s="3">
        <v>1470</v>
      </c>
      <c r="N2022" s="4">
        <v>0.17355371900826447</v>
      </c>
    </row>
    <row r="2023" spans="1:14" x14ac:dyDescent="0.3">
      <c r="A2023" s="6">
        <v>45802</v>
      </c>
      <c r="B2023" s="1" t="s">
        <v>2207</v>
      </c>
      <c r="C2023" s="1" t="s">
        <v>27</v>
      </c>
      <c r="D2023" t="s">
        <v>31</v>
      </c>
      <c r="E2023" t="s">
        <v>104</v>
      </c>
      <c r="F2023" t="s">
        <v>16</v>
      </c>
      <c r="G2023" t="s">
        <v>15</v>
      </c>
      <c r="H2023" s="3">
        <v>3</v>
      </c>
      <c r="I2023" s="3">
        <v>47120</v>
      </c>
      <c r="J2023" s="3">
        <v>141360</v>
      </c>
      <c r="K2023" s="3">
        <v>38000</v>
      </c>
      <c r="L2023" s="3">
        <v>114000</v>
      </c>
      <c r="M2023" s="3">
        <v>27360</v>
      </c>
      <c r="N2023" s="4">
        <v>0.19354838709677419</v>
      </c>
    </row>
    <row r="2024" spans="1:14" x14ac:dyDescent="0.3">
      <c r="A2024" s="6">
        <v>45802</v>
      </c>
      <c r="B2024" s="1" t="s">
        <v>2208</v>
      </c>
      <c r="C2024" s="1" t="s">
        <v>29</v>
      </c>
      <c r="D2024" t="s">
        <v>31</v>
      </c>
      <c r="E2024" t="s">
        <v>69</v>
      </c>
      <c r="F2024" t="s">
        <v>17</v>
      </c>
      <c r="G2024" t="s">
        <v>18</v>
      </c>
      <c r="H2024" s="3">
        <v>1</v>
      </c>
      <c r="I2024" s="3">
        <v>11475</v>
      </c>
      <c r="J2024" s="3">
        <v>11475</v>
      </c>
      <c r="K2024" s="3">
        <v>8500</v>
      </c>
      <c r="L2024" s="3">
        <v>8500</v>
      </c>
      <c r="M2024" s="3">
        <v>2975</v>
      </c>
      <c r="N2024" s="4">
        <v>0.25925925925925924</v>
      </c>
    </row>
    <row r="2025" spans="1:14" x14ac:dyDescent="0.3">
      <c r="A2025" s="6">
        <v>45802</v>
      </c>
      <c r="B2025" s="1" t="s">
        <v>2209</v>
      </c>
      <c r="C2025" s="1" t="s">
        <v>26</v>
      </c>
      <c r="D2025" t="s">
        <v>35</v>
      </c>
      <c r="E2025" t="s">
        <v>96</v>
      </c>
      <c r="F2025" t="s">
        <v>17</v>
      </c>
      <c r="G2025" t="s">
        <v>18</v>
      </c>
      <c r="H2025" s="3">
        <v>5</v>
      </c>
      <c r="I2025" s="3">
        <v>12240</v>
      </c>
      <c r="J2025" s="3">
        <v>61200</v>
      </c>
      <c r="K2025" s="3">
        <v>8500</v>
      </c>
      <c r="L2025" s="3">
        <v>42500</v>
      </c>
      <c r="M2025" s="3">
        <v>18700</v>
      </c>
      <c r="N2025" s="4">
        <v>0.30555555555555558</v>
      </c>
    </row>
    <row r="2026" spans="1:14" x14ac:dyDescent="0.3">
      <c r="A2026" s="6">
        <v>45802</v>
      </c>
      <c r="B2026" s="1" t="s">
        <v>2210</v>
      </c>
      <c r="C2026" s="1" t="s">
        <v>26</v>
      </c>
      <c r="D2026" t="s">
        <v>33</v>
      </c>
      <c r="E2026" t="s">
        <v>94</v>
      </c>
      <c r="F2026" t="s">
        <v>17</v>
      </c>
      <c r="G2026" t="s">
        <v>18</v>
      </c>
      <c r="H2026" s="3">
        <v>5</v>
      </c>
      <c r="I2026" s="3">
        <v>11390</v>
      </c>
      <c r="J2026" s="3">
        <v>56950</v>
      </c>
      <c r="K2026" s="3">
        <v>8500</v>
      </c>
      <c r="L2026" s="3">
        <v>42500</v>
      </c>
      <c r="M2026" s="3">
        <v>14450</v>
      </c>
      <c r="N2026" s="4">
        <v>0.2537313432835821</v>
      </c>
    </row>
    <row r="2027" spans="1:14" x14ac:dyDescent="0.3">
      <c r="A2027" s="6">
        <v>45802</v>
      </c>
      <c r="B2027" s="1" t="s">
        <v>2211</v>
      </c>
      <c r="C2027" s="1" t="s">
        <v>26</v>
      </c>
      <c r="D2027" t="s">
        <v>34</v>
      </c>
      <c r="E2027" t="s">
        <v>49</v>
      </c>
      <c r="F2027" t="s">
        <v>14</v>
      </c>
      <c r="G2027" t="s">
        <v>15</v>
      </c>
      <c r="H2027" s="3">
        <v>4</v>
      </c>
      <c r="I2027" s="3">
        <v>55800</v>
      </c>
      <c r="J2027" s="3">
        <v>223200</v>
      </c>
      <c r="K2027" s="3">
        <v>45000</v>
      </c>
      <c r="L2027" s="3">
        <v>180000</v>
      </c>
      <c r="M2027" s="3">
        <v>43200</v>
      </c>
      <c r="N2027" s="4">
        <v>0.19354838709677419</v>
      </c>
    </row>
    <row r="2028" spans="1:14" x14ac:dyDescent="0.3">
      <c r="A2028" s="6">
        <v>45802</v>
      </c>
      <c r="B2028" s="1" t="s">
        <v>2212</v>
      </c>
      <c r="C2028" s="1" t="s">
        <v>27</v>
      </c>
      <c r="D2028" t="s">
        <v>34</v>
      </c>
      <c r="E2028" t="s">
        <v>447</v>
      </c>
      <c r="F2028" t="s">
        <v>16</v>
      </c>
      <c r="G2028" t="s">
        <v>15</v>
      </c>
      <c r="H2028" s="3">
        <v>1</v>
      </c>
      <c r="I2028" s="3">
        <v>50920</v>
      </c>
      <c r="J2028" s="3">
        <v>50920</v>
      </c>
      <c r="K2028" s="3">
        <v>38000</v>
      </c>
      <c r="L2028" s="3">
        <v>38000</v>
      </c>
      <c r="M2028" s="3">
        <v>12920</v>
      </c>
      <c r="N2028" s="4">
        <v>0.2537313432835821</v>
      </c>
    </row>
    <row r="2029" spans="1:14" x14ac:dyDescent="0.3">
      <c r="A2029" s="6">
        <v>45802</v>
      </c>
      <c r="B2029" s="1" t="s">
        <v>2213</v>
      </c>
      <c r="C2029" s="1" t="s">
        <v>29</v>
      </c>
      <c r="D2029" t="s">
        <v>35</v>
      </c>
      <c r="E2029" t="s">
        <v>151</v>
      </c>
      <c r="F2029" t="s">
        <v>24</v>
      </c>
      <c r="G2029" t="s">
        <v>25</v>
      </c>
      <c r="H2029" s="3">
        <v>6</v>
      </c>
      <c r="I2029" s="3">
        <v>3449.9999999999995</v>
      </c>
      <c r="J2029" s="3">
        <v>20699.999999999996</v>
      </c>
      <c r="K2029" s="3">
        <v>2500</v>
      </c>
      <c r="L2029" s="3">
        <v>15000</v>
      </c>
      <c r="M2029" s="3">
        <v>5699.9999999999964</v>
      </c>
      <c r="N2029" s="4">
        <v>0.2753623188405796</v>
      </c>
    </row>
    <row r="2030" spans="1:14" x14ac:dyDescent="0.3">
      <c r="A2030" s="6">
        <v>45803</v>
      </c>
      <c r="B2030" s="1" t="s">
        <v>2214</v>
      </c>
      <c r="C2030" s="1" t="s">
        <v>27</v>
      </c>
      <c r="D2030" t="s">
        <v>35</v>
      </c>
      <c r="E2030" t="s">
        <v>112</v>
      </c>
      <c r="F2030" t="s">
        <v>19</v>
      </c>
      <c r="G2030" t="s">
        <v>20</v>
      </c>
      <c r="H2030" s="3">
        <v>7</v>
      </c>
      <c r="I2030" s="3">
        <v>1098</v>
      </c>
      <c r="J2030" s="3">
        <v>7686</v>
      </c>
      <c r="K2030" s="3">
        <v>900</v>
      </c>
      <c r="L2030" s="3">
        <v>6300</v>
      </c>
      <c r="M2030" s="3">
        <v>1386</v>
      </c>
      <c r="N2030" s="4">
        <v>0.18032786885245902</v>
      </c>
    </row>
    <row r="2031" spans="1:14" x14ac:dyDescent="0.3">
      <c r="A2031" s="6">
        <v>45803</v>
      </c>
      <c r="B2031" s="1" t="s">
        <v>2215</v>
      </c>
      <c r="C2031" s="1" t="s">
        <v>27</v>
      </c>
      <c r="D2031" t="s">
        <v>34</v>
      </c>
      <c r="E2031" t="s">
        <v>92</v>
      </c>
      <c r="F2031" t="s">
        <v>16</v>
      </c>
      <c r="G2031" t="s">
        <v>15</v>
      </c>
      <c r="H2031" s="3">
        <v>8</v>
      </c>
      <c r="I2031" s="3">
        <v>49780</v>
      </c>
      <c r="J2031" s="3">
        <v>398240</v>
      </c>
      <c r="K2031" s="3">
        <v>38000</v>
      </c>
      <c r="L2031" s="3">
        <v>304000</v>
      </c>
      <c r="M2031" s="3">
        <v>94240</v>
      </c>
      <c r="N2031" s="4">
        <v>0.23664122137404581</v>
      </c>
    </row>
    <row r="2032" spans="1:14" x14ac:dyDescent="0.3">
      <c r="A2032" s="6">
        <v>45803</v>
      </c>
      <c r="B2032" s="1" t="s">
        <v>2216</v>
      </c>
      <c r="C2032" s="1" t="s">
        <v>28</v>
      </c>
      <c r="D2032" t="s">
        <v>31</v>
      </c>
      <c r="E2032" t="s">
        <v>379</v>
      </c>
      <c r="F2032" t="s">
        <v>22</v>
      </c>
      <c r="G2032" t="s">
        <v>18</v>
      </c>
      <c r="H2032" s="3">
        <v>8</v>
      </c>
      <c r="I2032" s="3">
        <v>9660</v>
      </c>
      <c r="J2032" s="3">
        <v>77280</v>
      </c>
      <c r="K2032" s="3">
        <v>7000</v>
      </c>
      <c r="L2032" s="3">
        <v>56000</v>
      </c>
      <c r="M2032" s="3">
        <v>21280</v>
      </c>
      <c r="N2032" s="4">
        <v>0.27536231884057971</v>
      </c>
    </row>
    <row r="2033" spans="1:14" x14ac:dyDescent="0.3">
      <c r="A2033" s="6">
        <v>45803</v>
      </c>
      <c r="B2033" s="1" t="s">
        <v>2217</v>
      </c>
      <c r="C2033" s="1" t="s">
        <v>27</v>
      </c>
      <c r="D2033" t="s">
        <v>34</v>
      </c>
      <c r="E2033" t="s">
        <v>204</v>
      </c>
      <c r="F2033" t="s">
        <v>22</v>
      </c>
      <c r="G2033" t="s">
        <v>18</v>
      </c>
      <c r="H2033" s="3">
        <v>2</v>
      </c>
      <c r="I2033" s="3">
        <v>8540</v>
      </c>
      <c r="J2033" s="3">
        <v>17080</v>
      </c>
      <c r="K2033" s="3">
        <v>7000</v>
      </c>
      <c r="L2033" s="3">
        <v>14000</v>
      </c>
      <c r="M2033" s="3">
        <v>3080</v>
      </c>
      <c r="N2033" s="4">
        <v>0.18032786885245902</v>
      </c>
    </row>
    <row r="2034" spans="1:14" x14ac:dyDescent="0.3">
      <c r="A2034" s="6">
        <v>45803</v>
      </c>
      <c r="B2034" s="1" t="s">
        <v>2218</v>
      </c>
      <c r="C2034" s="1" t="s">
        <v>28</v>
      </c>
      <c r="D2034" t="s">
        <v>33</v>
      </c>
      <c r="E2034" t="s">
        <v>388</v>
      </c>
      <c r="F2034" t="s">
        <v>24</v>
      </c>
      <c r="G2034" t="s">
        <v>25</v>
      </c>
      <c r="H2034" s="3">
        <v>7</v>
      </c>
      <c r="I2034" s="3">
        <v>3375</v>
      </c>
      <c r="J2034" s="3">
        <v>23625</v>
      </c>
      <c r="K2034" s="3">
        <v>2500</v>
      </c>
      <c r="L2034" s="3">
        <v>17500</v>
      </c>
      <c r="M2034" s="3">
        <v>6125</v>
      </c>
      <c r="N2034" s="4">
        <v>0.25925925925925924</v>
      </c>
    </row>
    <row r="2035" spans="1:14" x14ac:dyDescent="0.3">
      <c r="A2035" s="6">
        <v>45803</v>
      </c>
      <c r="B2035" s="1" t="s">
        <v>2219</v>
      </c>
      <c r="C2035" s="1" t="s">
        <v>27</v>
      </c>
      <c r="D2035" t="s">
        <v>32</v>
      </c>
      <c r="E2035" t="s">
        <v>521</v>
      </c>
      <c r="F2035" t="s">
        <v>21</v>
      </c>
      <c r="G2035" t="s">
        <v>20</v>
      </c>
      <c r="H2035" s="3">
        <v>6</v>
      </c>
      <c r="I2035" s="3">
        <v>726</v>
      </c>
      <c r="J2035" s="3">
        <v>4356</v>
      </c>
      <c r="K2035" s="3">
        <v>600</v>
      </c>
      <c r="L2035" s="3">
        <v>3600</v>
      </c>
      <c r="M2035" s="3">
        <v>756</v>
      </c>
      <c r="N2035" s="4">
        <v>0.17355371900826447</v>
      </c>
    </row>
    <row r="2036" spans="1:14" x14ac:dyDescent="0.3">
      <c r="A2036" s="6">
        <v>45803</v>
      </c>
      <c r="B2036" s="1" t="s">
        <v>2220</v>
      </c>
      <c r="C2036" s="1" t="s">
        <v>26</v>
      </c>
      <c r="D2036" t="s">
        <v>30</v>
      </c>
      <c r="E2036" t="s">
        <v>149</v>
      </c>
      <c r="F2036" t="s">
        <v>17</v>
      </c>
      <c r="G2036" t="s">
        <v>18</v>
      </c>
      <c r="H2036" s="3">
        <v>4</v>
      </c>
      <c r="I2036" s="3">
        <v>11730</v>
      </c>
      <c r="J2036" s="3">
        <v>46920</v>
      </c>
      <c r="K2036" s="3">
        <v>8500</v>
      </c>
      <c r="L2036" s="3">
        <v>34000</v>
      </c>
      <c r="M2036" s="3">
        <v>12920</v>
      </c>
      <c r="N2036" s="4">
        <v>0.27536231884057971</v>
      </c>
    </row>
    <row r="2037" spans="1:14" x14ac:dyDescent="0.3">
      <c r="A2037" s="6">
        <v>45803</v>
      </c>
      <c r="B2037" s="1" t="s">
        <v>2221</v>
      </c>
      <c r="C2037" s="1" t="s">
        <v>28</v>
      </c>
      <c r="D2037" t="s">
        <v>33</v>
      </c>
      <c r="E2037" t="s">
        <v>88</v>
      </c>
      <c r="F2037" t="s">
        <v>24</v>
      </c>
      <c r="G2037" t="s">
        <v>25</v>
      </c>
      <c r="H2037" s="3">
        <v>6</v>
      </c>
      <c r="I2037" s="3">
        <v>3025</v>
      </c>
      <c r="J2037" s="3">
        <v>18150</v>
      </c>
      <c r="K2037" s="3">
        <v>2500</v>
      </c>
      <c r="L2037" s="3">
        <v>15000</v>
      </c>
      <c r="M2037" s="3">
        <v>3150</v>
      </c>
      <c r="N2037" s="4">
        <v>0.17355371900826447</v>
      </c>
    </row>
    <row r="2038" spans="1:14" x14ac:dyDescent="0.3">
      <c r="A2038" s="6">
        <v>45803</v>
      </c>
      <c r="B2038" s="1" t="s">
        <v>2222</v>
      </c>
      <c r="C2038" s="1" t="s">
        <v>28</v>
      </c>
      <c r="D2038" t="s">
        <v>33</v>
      </c>
      <c r="E2038" t="s">
        <v>331</v>
      </c>
      <c r="F2038" t="s">
        <v>17</v>
      </c>
      <c r="G2038" t="s">
        <v>18</v>
      </c>
      <c r="H2038" s="3">
        <v>7</v>
      </c>
      <c r="I2038" s="3">
        <v>11730</v>
      </c>
      <c r="J2038" s="3">
        <v>82110</v>
      </c>
      <c r="K2038" s="3">
        <v>8500</v>
      </c>
      <c r="L2038" s="3">
        <v>59500</v>
      </c>
      <c r="M2038" s="3">
        <v>22610</v>
      </c>
      <c r="N2038" s="4">
        <v>0.27536231884057971</v>
      </c>
    </row>
    <row r="2039" spans="1:14" x14ac:dyDescent="0.3">
      <c r="A2039" s="6">
        <v>45803</v>
      </c>
      <c r="B2039" s="1" t="s">
        <v>2223</v>
      </c>
      <c r="C2039" s="1" t="s">
        <v>28</v>
      </c>
      <c r="D2039" t="s">
        <v>31</v>
      </c>
      <c r="E2039" t="s">
        <v>698</v>
      </c>
      <c r="F2039" t="s">
        <v>14</v>
      </c>
      <c r="G2039" t="s">
        <v>15</v>
      </c>
      <c r="H2039" s="3">
        <v>1</v>
      </c>
      <c r="I2039" s="3">
        <v>59400</v>
      </c>
      <c r="J2039" s="3">
        <v>59400</v>
      </c>
      <c r="K2039" s="3">
        <v>45000</v>
      </c>
      <c r="L2039" s="3">
        <v>45000</v>
      </c>
      <c r="M2039" s="3">
        <v>14400</v>
      </c>
      <c r="N2039" s="4">
        <v>0.24242424242424243</v>
      </c>
    </row>
    <row r="2040" spans="1:14" x14ac:dyDescent="0.3">
      <c r="A2040" s="6">
        <v>45803</v>
      </c>
      <c r="B2040" s="1" t="s">
        <v>2224</v>
      </c>
      <c r="C2040" s="1" t="s">
        <v>29</v>
      </c>
      <c r="D2040" t="s">
        <v>35</v>
      </c>
      <c r="E2040" t="s">
        <v>255</v>
      </c>
      <c r="F2040" t="s">
        <v>24</v>
      </c>
      <c r="G2040" t="s">
        <v>25</v>
      </c>
      <c r="H2040" s="3">
        <v>3</v>
      </c>
      <c r="I2040" s="3">
        <v>3425.0000000000005</v>
      </c>
      <c r="J2040" s="3">
        <v>10275.000000000002</v>
      </c>
      <c r="K2040" s="3">
        <v>2500</v>
      </c>
      <c r="L2040" s="3">
        <v>7500</v>
      </c>
      <c r="M2040" s="3">
        <v>2775.0000000000018</v>
      </c>
      <c r="N2040" s="4">
        <v>0.27007299270073004</v>
      </c>
    </row>
    <row r="2041" spans="1:14" x14ac:dyDescent="0.3">
      <c r="A2041" s="6">
        <v>45803</v>
      </c>
      <c r="B2041" s="1" t="s">
        <v>2225</v>
      </c>
      <c r="C2041" s="1" t="s">
        <v>26</v>
      </c>
      <c r="D2041" t="s">
        <v>32</v>
      </c>
      <c r="E2041" t="s">
        <v>67</v>
      </c>
      <c r="F2041" t="s">
        <v>16</v>
      </c>
      <c r="G2041" t="s">
        <v>15</v>
      </c>
      <c r="H2041" s="3">
        <v>9</v>
      </c>
      <c r="I2041" s="3">
        <v>52439.999999999993</v>
      </c>
      <c r="J2041" s="3">
        <v>471959.99999999994</v>
      </c>
      <c r="K2041" s="3">
        <v>38000</v>
      </c>
      <c r="L2041" s="3">
        <v>342000</v>
      </c>
      <c r="M2041" s="3">
        <v>129959.99999999994</v>
      </c>
      <c r="N2041" s="4">
        <v>0.2753623188405796</v>
      </c>
    </row>
    <row r="2042" spans="1:14" x14ac:dyDescent="0.3">
      <c r="A2042" s="6">
        <v>45803</v>
      </c>
      <c r="B2042" s="1" t="s">
        <v>2226</v>
      </c>
      <c r="C2042" s="1" t="s">
        <v>27</v>
      </c>
      <c r="D2042" t="s">
        <v>34</v>
      </c>
      <c r="E2042" t="s">
        <v>275</v>
      </c>
      <c r="F2042" t="s">
        <v>17</v>
      </c>
      <c r="G2042" t="s">
        <v>18</v>
      </c>
      <c r="H2042" s="3">
        <v>9</v>
      </c>
      <c r="I2042" s="3">
        <v>11050</v>
      </c>
      <c r="J2042" s="3">
        <v>99450</v>
      </c>
      <c r="K2042" s="3">
        <v>8500</v>
      </c>
      <c r="L2042" s="3">
        <v>76500</v>
      </c>
      <c r="M2042" s="3">
        <v>22950</v>
      </c>
      <c r="N2042" s="4">
        <v>0.23076923076923078</v>
      </c>
    </row>
    <row r="2043" spans="1:14" x14ac:dyDescent="0.3">
      <c r="A2043" s="6">
        <v>45803</v>
      </c>
      <c r="B2043" s="1" t="s">
        <v>2227</v>
      </c>
      <c r="C2043" s="1" t="s">
        <v>28</v>
      </c>
      <c r="D2043" t="s">
        <v>35</v>
      </c>
      <c r="E2043" t="s">
        <v>698</v>
      </c>
      <c r="F2043" t="s">
        <v>19</v>
      </c>
      <c r="G2043" t="s">
        <v>20</v>
      </c>
      <c r="H2043" s="3">
        <v>1</v>
      </c>
      <c r="I2043" s="3">
        <v>1089</v>
      </c>
      <c r="J2043" s="3">
        <v>1089</v>
      </c>
      <c r="K2043" s="3">
        <v>900</v>
      </c>
      <c r="L2043" s="3">
        <v>900</v>
      </c>
      <c r="M2043" s="3">
        <v>189</v>
      </c>
      <c r="N2043" s="4">
        <v>0.17355371900826447</v>
      </c>
    </row>
    <row r="2044" spans="1:14" x14ac:dyDescent="0.3">
      <c r="A2044" s="6">
        <v>45804</v>
      </c>
      <c r="B2044" s="1" t="s">
        <v>2228</v>
      </c>
      <c r="C2044" s="1" t="s">
        <v>28</v>
      </c>
      <c r="D2044" t="s">
        <v>31</v>
      </c>
      <c r="E2044" t="s">
        <v>134</v>
      </c>
      <c r="F2044" t="s">
        <v>24</v>
      </c>
      <c r="G2044" t="s">
        <v>25</v>
      </c>
      <c r="H2044" s="3">
        <v>7</v>
      </c>
      <c r="I2044" s="3">
        <v>3399.9999999999995</v>
      </c>
      <c r="J2044" s="3">
        <v>23799.999999999996</v>
      </c>
      <c r="K2044" s="3">
        <v>2500</v>
      </c>
      <c r="L2044" s="3">
        <v>17500</v>
      </c>
      <c r="M2044" s="3">
        <v>6299.9999999999964</v>
      </c>
      <c r="N2044" s="4">
        <v>0.26470588235294107</v>
      </c>
    </row>
    <row r="2045" spans="1:14" x14ac:dyDescent="0.3">
      <c r="A2045" s="6">
        <v>45804</v>
      </c>
      <c r="B2045" s="1" t="s">
        <v>2229</v>
      </c>
      <c r="C2045" s="1" t="s">
        <v>26</v>
      </c>
      <c r="D2045" t="s">
        <v>30</v>
      </c>
      <c r="E2045" t="s">
        <v>131</v>
      </c>
      <c r="F2045" t="s">
        <v>21</v>
      </c>
      <c r="G2045" t="s">
        <v>20</v>
      </c>
      <c r="H2045" s="3">
        <v>9</v>
      </c>
      <c r="I2045" s="3">
        <v>756</v>
      </c>
      <c r="J2045" s="3">
        <v>6804</v>
      </c>
      <c r="K2045" s="3">
        <v>600</v>
      </c>
      <c r="L2045" s="3">
        <v>5400</v>
      </c>
      <c r="M2045" s="3">
        <v>1404</v>
      </c>
      <c r="N2045" s="4">
        <v>0.20634920634920634</v>
      </c>
    </row>
    <row r="2046" spans="1:14" x14ac:dyDescent="0.3">
      <c r="A2046" s="6">
        <v>45804</v>
      </c>
      <c r="B2046" s="1" t="s">
        <v>2230</v>
      </c>
      <c r="C2046" s="1" t="s">
        <v>28</v>
      </c>
      <c r="D2046" t="s">
        <v>30</v>
      </c>
      <c r="E2046" t="s">
        <v>214</v>
      </c>
      <c r="F2046" t="s">
        <v>23</v>
      </c>
      <c r="G2046" t="s">
        <v>25</v>
      </c>
      <c r="H2046" s="3">
        <v>4</v>
      </c>
      <c r="I2046" s="3">
        <v>4064</v>
      </c>
      <c r="J2046" s="3">
        <v>16256</v>
      </c>
      <c r="K2046" s="3">
        <v>3200</v>
      </c>
      <c r="L2046" s="3">
        <v>12800</v>
      </c>
      <c r="M2046" s="3">
        <v>3456</v>
      </c>
      <c r="N2046" s="4">
        <v>0.2125984251968504</v>
      </c>
    </row>
    <row r="2047" spans="1:14" x14ac:dyDescent="0.3">
      <c r="A2047" s="6">
        <v>45804</v>
      </c>
      <c r="B2047" s="1" t="s">
        <v>2231</v>
      </c>
      <c r="C2047" s="1" t="s">
        <v>27</v>
      </c>
      <c r="D2047" t="s">
        <v>34</v>
      </c>
      <c r="E2047" t="s">
        <v>126</v>
      </c>
      <c r="F2047" t="s">
        <v>14</v>
      </c>
      <c r="G2047" t="s">
        <v>15</v>
      </c>
      <c r="H2047" s="3">
        <v>10</v>
      </c>
      <c r="I2047" s="3">
        <v>61650.000000000007</v>
      </c>
      <c r="J2047" s="3">
        <v>616500.00000000012</v>
      </c>
      <c r="K2047" s="3">
        <v>45000</v>
      </c>
      <c r="L2047" s="3">
        <v>450000</v>
      </c>
      <c r="M2047" s="3">
        <v>166500.00000000012</v>
      </c>
      <c r="N2047" s="4">
        <v>0.27007299270073004</v>
      </c>
    </row>
    <row r="2048" spans="1:14" x14ac:dyDescent="0.3">
      <c r="A2048" s="6">
        <v>45804</v>
      </c>
      <c r="B2048" s="1" t="s">
        <v>2232</v>
      </c>
      <c r="C2048" s="1" t="s">
        <v>29</v>
      </c>
      <c r="D2048" t="s">
        <v>31</v>
      </c>
      <c r="E2048" t="s">
        <v>201</v>
      </c>
      <c r="F2048" t="s">
        <v>22</v>
      </c>
      <c r="G2048" t="s">
        <v>18</v>
      </c>
      <c r="H2048" s="3">
        <v>3</v>
      </c>
      <c r="I2048" s="3">
        <v>10010</v>
      </c>
      <c r="J2048" s="3">
        <v>30030</v>
      </c>
      <c r="K2048" s="3">
        <v>7000</v>
      </c>
      <c r="L2048" s="3">
        <v>21000</v>
      </c>
      <c r="M2048" s="3">
        <v>9030</v>
      </c>
      <c r="N2048" s="4">
        <v>0.30069930069930068</v>
      </c>
    </row>
    <row r="2049" spans="1:14" x14ac:dyDescent="0.3">
      <c r="A2049" s="6">
        <v>45804</v>
      </c>
      <c r="B2049" s="1" t="s">
        <v>2233</v>
      </c>
      <c r="C2049" s="1" t="s">
        <v>29</v>
      </c>
      <c r="D2049" t="s">
        <v>30</v>
      </c>
      <c r="E2049" t="s">
        <v>76</v>
      </c>
      <c r="F2049" t="s">
        <v>16</v>
      </c>
      <c r="G2049" t="s">
        <v>15</v>
      </c>
      <c r="H2049" s="3">
        <v>1</v>
      </c>
      <c r="I2049" s="3">
        <v>50540</v>
      </c>
      <c r="J2049" s="3">
        <v>50540</v>
      </c>
      <c r="K2049" s="3">
        <v>38000</v>
      </c>
      <c r="L2049" s="3">
        <v>38000</v>
      </c>
      <c r="M2049" s="3">
        <v>12540</v>
      </c>
      <c r="N2049" s="4">
        <v>0.24812030075187969</v>
      </c>
    </row>
    <row r="2050" spans="1:14" x14ac:dyDescent="0.3">
      <c r="A2050" s="6">
        <v>45804</v>
      </c>
      <c r="B2050" s="1" t="s">
        <v>2234</v>
      </c>
      <c r="C2050" s="1" t="s">
        <v>26</v>
      </c>
      <c r="D2050" t="s">
        <v>33</v>
      </c>
      <c r="E2050" t="s">
        <v>538</v>
      </c>
      <c r="F2050" t="s">
        <v>22</v>
      </c>
      <c r="G2050" t="s">
        <v>18</v>
      </c>
      <c r="H2050" s="3">
        <v>3</v>
      </c>
      <c r="I2050" s="3">
        <v>8750</v>
      </c>
      <c r="J2050" s="3">
        <v>26250</v>
      </c>
      <c r="K2050" s="3">
        <v>7000</v>
      </c>
      <c r="L2050" s="3">
        <v>21000</v>
      </c>
      <c r="M2050" s="3">
        <v>5250</v>
      </c>
      <c r="N2050" s="4">
        <v>0.2</v>
      </c>
    </row>
    <row r="2051" spans="1:14" x14ac:dyDescent="0.3">
      <c r="A2051" s="6">
        <v>45804</v>
      </c>
      <c r="B2051" s="1" t="s">
        <v>2235</v>
      </c>
      <c r="C2051" s="1" t="s">
        <v>29</v>
      </c>
      <c r="D2051" t="s">
        <v>30</v>
      </c>
      <c r="E2051" t="s">
        <v>204</v>
      </c>
      <c r="F2051" t="s">
        <v>21</v>
      </c>
      <c r="G2051" t="s">
        <v>20</v>
      </c>
      <c r="H2051" s="3">
        <v>8</v>
      </c>
      <c r="I2051" s="3">
        <v>780</v>
      </c>
      <c r="J2051" s="3">
        <v>6240</v>
      </c>
      <c r="K2051" s="3">
        <v>600</v>
      </c>
      <c r="L2051" s="3">
        <v>4800</v>
      </c>
      <c r="M2051" s="3">
        <v>1440</v>
      </c>
      <c r="N2051" s="4">
        <v>0.23076923076923078</v>
      </c>
    </row>
    <row r="2052" spans="1:14" x14ac:dyDescent="0.3">
      <c r="A2052" s="6">
        <v>45804</v>
      </c>
      <c r="B2052" s="1" t="s">
        <v>2236</v>
      </c>
      <c r="C2052" s="1" t="s">
        <v>28</v>
      </c>
      <c r="D2052" t="s">
        <v>30</v>
      </c>
      <c r="E2052" t="s">
        <v>100</v>
      </c>
      <c r="F2052" t="s">
        <v>21</v>
      </c>
      <c r="G2052" t="s">
        <v>20</v>
      </c>
      <c r="H2052" s="3">
        <v>1</v>
      </c>
      <c r="I2052" s="3">
        <v>827.99999999999989</v>
      </c>
      <c r="J2052" s="3">
        <v>827.99999999999989</v>
      </c>
      <c r="K2052" s="3">
        <v>600</v>
      </c>
      <c r="L2052" s="3">
        <v>600</v>
      </c>
      <c r="M2052" s="3">
        <v>227.99999999999989</v>
      </c>
      <c r="N2052" s="4">
        <v>0.2753623188405796</v>
      </c>
    </row>
    <row r="2053" spans="1:14" x14ac:dyDescent="0.3">
      <c r="A2053" s="6">
        <v>45804</v>
      </c>
      <c r="B2053" s="1" t="s">
        <v>2237</v>
      </c>
      <c r="C2053" s="1" t="s">
        <v>26</v>
      </c>
      <c r="D2053" t="s">
        <v>31</v>
      </c>
      <c r="E2053" t="s">
        <v>255</v>
      </c>
      <c r="F2053" t="s">
        <v>19</v>
      </c>
      <c r="G2053" t="s">
        <v>20</v>
      </c>
      <c r="H2053" s="3">
        <v>1</v>
      </c>
      <c r="I2053" s="3">
        <v>1305</v>
      </c>
      <c r="J2053" s="3">
        <v>1305</v>
      </c>
      <c r="K2053" s="3">
        <v>900</v>
      </c>
      <c r="L2053" s="3">
        <v>900</v>
      </c>
      <c r="M2053" s="3">
        <v>405</v>
      </c>
      <c r="N2053" s="4">
        <v>0.31034482758620691</v>
      </c>
    </row>
    <row r="2054" spans="1:14" x14ac:dyDescent="0.3">
      <c r="A2054" s="6">
        <v>45804</v>
      </c>
      <c r="B2054" s="1" t="s">
        <v>2238</v>
      </c>
      <c r="C2054" s="1" t="s">
        <v>27</v>
      </c>
      <c r="D2054" t="s">
        <v>34</v>
      </c>
      <c r="E2054" t="s">
        <v>292</v>
      </c>
      <c r="F2054" t="s">
        <v>22</v>
      </c>
      <c r="G2054" t="s">
        <v>18</v>
      </c>
      <c r="H2054" s="3">
        <v>7</v>
      </c>
      <c r="I2054" s="3">
        <v>10150</v>
      </c>
      <c r="J2054" s="3">
        <v>71050</v>
      </c>
      <c r="K2054" s="3">
        <v>7000</v>
      </c>
      <c r="L2054" s="3">
        <v>49000</v>
      </c>
      <c r="M2054" s="3">
        <v>22050</v>
      </c>
      <c r="N2054" s="4">
        <v>0.31034482758620691</v>
      </c>
    </row>
    <row r="2055" spans="1:14" x14ac:dyDescent="0.3">
      <c r="A2055" s="6">
        <v>45804</v>
      </c>
      <c r="B2055" s="1" t="s">
        <v>2239</v>
      </c>
      <c r="C2055" s="1" t="s">
        <v>29</v>
      </c>
      <c r="D2055" t="s">
        <v>34</v>
      </c>
      <c r="E2055" t="s">
        <v>118</v>
      </c>
      <c r="F2055" t="s">
        <v>24</v>
      </c>
      <c r="G2055" t="s">
        <v>25</v>
      </c>
      <c r="H2055" s="3">
        <v>6</v>
      </c>
      <c r="I2055" s="3">
        <v>3125</v>
      </c>
      <c r="J2055" s="3">
        <v>18750</v>
      </c>
      <c r="K2055" s="3">
        <v>2500</v>
      </c>
      <c r="L2055" s="3">
        <v>15000</v>
      </c>
      <c r="M2055" s="3">
        <v>3750</v>
      </c>
      <c r="N2055" s="4">
        <v>0.2</v>
      </c>
    </row>
    <row r="2056" spans="1:14" x14ac:dyDescent="0.3">
      <c r="A2056" s="6">
        <v>45804</v>
      </c>
      <c r="B2056" s="1" t="s">
        <v>2240</v>
      </c>
      <c r="C2056" s="1" t="s">
        <v>27</v>
      </c>
      <c r="D2056" t="s">
        <v>31</v>
      </c>
      <c r="E2056" t="s">
        <v>371</v>
      </c>
      <c r="F2056" t="s">
        <v>14</v>
      </c>
      <c r="G2056" t="s">
        <v>15</v>
      </c>
      <c r="H2056" s="3">
        <v>10</v>
      </c>
      <c r="I2056" s="3">
        <v>60300</v>
      </c>
      <c r="J2056" s="3">
        <v>603000</v>
      </c>
      <c r="K2056" s="3">
        <v>45000</v>
      </c>
      <c r="L2056" s="3">
        <v>450000</v>
      </c>
      <c r="M2056" s="3">
        <v>153000</v>
      </c>
      <c r="N2056" s="4">
        <v>0.2537313432835821</v>
      </c>
    </row>
    <row r="2057" spans="1:14" x14ac:dyDescent="0.3">
      <c r="A2057" s="6">
        <v>45804</v>
      </c>
      <c r="B2057" s="1" t="s">
        <v>2241</v>
      </c>
      <c r="C2057" s="1" t="s">
        <v>27</v>
      </c>
      <c r="D2057" t="s">
        <v>32</v>
      </c>
      <c r="E2057" t="s">
        <v>139</v>
      </c>
      <c r="F2057" t="s">
        <v>24</v>
      </c>
      <c r="G2057" t="s">
        <v>25</v>
      </c>
      <c r="H2057" s="3">
        <v>1</v>
      </c>
      <c r="I2057" s="3">
        <v>3575</v>
      </c>
      <c r="J2057" s="3">
        <v>3575</v>
      </c>
      <c r="K2057" s="3">
        <v>2500</v>
      </c>
      <c r="L2057" s="3">
        <v>2500</v>
      </c>
      <c r="M2057" s="3">
        <v>1075</v>
      </c>
      <c r="N2057" s="4">
        <v>0.30069930069930068</v>
      </c>
    </row>
    <row r="2058" spans="1:14" x14ac:dyDescent="0.3">
      <c r="A2058" s="6">
        <v>45805</v>
      </c>
      <c r="B2058" s="1" t="s">
        <v>2242</v>
      </c>
      <c r="C2058" s="1" t="s">
        <v>27</v>
      </c>
      <c r="D2058" t="s">
        <v>30</v>
      </c>
      <c r="E2058" t="s">
        <v>331</v>
      </c>
      <c r="F2058" t="s">
        <v>21</v>
      </c>
      <c r="G2058" t="s">
        <v>20</v>
      </c>
      <c r="H2058" s="3">
        <v>4</v>
      </c>
      <c r="I2058" s="3">
        <v>840</v>
      </c>
      <c r="J2058" s="3">
        <v>3360</v>
      </c>
      <c r="K2058" s="3">
        <v>600</v>
      </c>
      <c r="L2058" s="3">
        <v>2400</v>
      </c>
      <c r="M2058" s="3">
        <v>960</v>
      </c>
      <c r="N2058" s="4">
        <v>0.2857142857142857</v>
      </c>
    </row>
    <row r="2059" spans="1:14" x14ac:dyDescent="0.3">
      <c r="A2059" s="6">
        <v>45805</v>
      </c>
      <c r="B2059" s="1" t="s">
        <v>2243</v>
      </c>
      <c r="C2059" s="1" t="s">
        <v>26</v>
      </c>
      <c r="D2059" t="s">
        <v>30</v>
      </c>
      <c r="E2059" t="s">
        <v>400</v>
      </c>
      <c r="F2059" t="s">
        <v>14</v>
      </c>
      <c r="G2059" t="s">
        <v>15</v>
      </c>
      <c r="H2059" s="3">
        <v>1</v>
      </c>
      <c r="I2059" s="3">
        <v>54000</v>
      </c>
      <c r="J2059" s="3">
        <v>54000</v>
      </c>
      <c r="K2059" s="3">
        <v>45000</v>
      </c>
      <c r="L2059" s="3">
        <v>45000</v>
      </c>
      <c r="M2059" s="3">
        <v>9000</v>
      </c>
      <c r="N2059" s="4">
        <v>0.16666666666666666</v>
      </c>
    </row>
    <row r="2060" spans="1:14" x14ac:dyDescent="0.3">
      <c r="A2060" s="6">
        <v>45805</v>
      </c>
      <c r="B2060" s="1" t="s">
        <v>2244</v>
      </c>
      <c r="C2060" s="1" t="s">
        <v>29</v>
      </c>
      <c r="D2060" t="s">
        <v>31</v>
      </c>
      <c r="E2060" t="s">
        <v>201</v>
      </c>
      <c r="F2060" t="s">
        <v>21</v>
      </c>
      <c r="G2060" t="s">
        <v>20</v>
      </c>
      <c r="H2060" s="3">
        <v>5</v>
      </c>
      <c r="I2060" s="3">
        <v>774</v>
      </c>
      <c r="J2060" s="3">
        <v>3870</v>
      </c>
      <c r="K2060" s="3">
        <v>600</v>
      </c>
      <c r="L2060" s="3">
        <v>3000</v>
      </c>
      <c r="M2060" s="3">
        <v>870</v>
      </c>
      <c r="N2060" s="4">
        <v>0.22480620155038761</v>
      </c>
    </row>
    <row r="2061" spans="1:14" x14ac:dyDescent="0.3">
      <c r="A2061" s="6">
        <v>45805</v>
      </c>
      <c r="B2061" s="1" t="s">
        <v>2245</v>
      </c>
      <c r="C2061" s="1" t="s">
        <v>28</v>
      </c>
      <c r="D2061" t="s">
        <v>35</v>
      </c>
      <c r="E2061" t="s">
        <v>147</v>
      </c>
      <c r="F2061" t="s">
        <v>24</v>
      </c>
      <c r="G2061" t="s">
        <v>25</v>
      </c>
      <c r="H2061" s="3">
        <v>2</v>
      </c>
      <c r="I2061" s="3">
        <v>3375</v>
      </c>
      <c r="J2061" s="3">
        <v>6750</v>
      </c>
      <c r="K2061" s="3">
        <v>2500</v>
      </c>
      <c r="L2061" s="3">
        <v>5000</v>
      </c>
      <c r="M2061" s="3">
        <v>1750</v>
      </c>
      <c r="N2061" s="4">
        <v>0.25925925925925924</v>
      </c>
    </row>
    <row r="2062" spans="1:14" x14ac:dyDescent="0.3">
      <c r="A2062" s="6">
        <v>45805</v>
      </c>
      <c r="B2062" s="1" t="s">
        <v>2246</v>
      </c>
      <c r="C2062" s="1" t="s">
        <v>26</v>
      </c>
      <c r="D2062" t="s">
        <v>33</v>
      </c>
      <c r="E2062" t="s">
        <v>576</v>
      </c>
      <c r="F2062" t="s">
        <v>24</v>
      </c>
      <c r="G2062" t="s">
        <v>25</v>
      </c>
      <c r="H2062" s="3">
        <v>10</v>
      </c>
      <c r="I2062" s="3">
        <v>3275</v>
      </c>
      <c r="J2062" s="3">
        <v>32750</v>
      </c>
      <c r="K2062" s="3">
        <v>2500</v>
      </c>
      <c r="L2062" s="3">
        <v>25000</v>
      </c>
      <c r="M2062" s="3">
        <v>7750</v>
      </c>
      <c r="N2062" s="4">
        <v>0.23664122137404581</v>
      </c>
    </row>
    <row r="2063" spans="1:14" x14ac:dyDescent="0.3">
      <c r="A2063" s="6">
        <v>45805</v>
      </c>
      <c r="B2063" s="1" t="s">
        <v>2247</v>
      </c>
      <c r="C2063" s="1" t="s">
        <v>27</v>
      </c>
      <c r="D2063" t="s">
        <v>30</v>
      </c>
      <c r="E2063" t="s">
        <v>43</v>
      </c>
      <c r="F2063" t="s">
        <v>23</v>
      </c>
      <c r="G2063" t="s">
        <v>25</v>
      </c>
      <c r="H2063" s="3">
        <v>9</v>
      </c>
      <c r="I2063" s="3">
        <v>4640</v>
      </c>
      <c r="J2063" s="3">
        <v>41760</v>
      </c>
      <c r="K2063" s="3">
        <v>3200</v>
      </c>
      <c r="L2063" s="3">
        <v>28800</v>
      </c>
      <c r="M2063" s="3">
        <v>12960</v>
      </c>
      <c r="N2063" s="4">
        <v>0.31034482758620691</v>
      </c>
    </row>
    <row r="2064" spans="1:14" x14ac:dyDescent="0.3">
      <c r="A2064" s="6">
        <v>45805</v>
      </c>
      <c r="B2064" s="1" t="s">
        <v>2248</v>
      </c>
      <c r="C2064" s="1" t="s">
        <v>29</v>
      </c>
      <c r="D2064" t="s">
        <v>33</v>
      </c>
      <c r="E2064" t="s">
        <v>208</v>
      </c>
      <c r="F2064" t="s">
        <v>19</v>
      </c>
      <c r="G2064" t="s">
        <v>20</v>
      </c>
      <c r="H2064" s="3">
        <v>10</v>
      </c>
      <c r="I2064" s="3">
        <v>1098</v>
      </c>
      <c r="J2064" s="3">
        <v>10980</v>
      </c>
      <c r="K2064" s="3">
        <v>900</v>
      </c>
      <c r="L2064" s="3">
        <v>9000</v>
      </c>
      <c r="M2064" s="3">
        <v>1980</v>
      </c>
      <c r="N2064" s="4">
        <v>0.18032786885245902</v>
      </c>
    </row>
    <row r="2065" spans="1:14" x14ac:dyDescent="0.3">
      <c r="A2065" s="6">
        <v>45805</v>
      </c>
      <c r="B2065" s="1" t="s">
        <v>2249</v>
      </c>
      <c r="C2065" s="1" t="s">
        <v>26</v>
      </c>
      <c r="D2065" t="s">
        <v>34</v>
      </c>
      <c r="E2065" t="s">
        <v>110</v>
      </c>
      <c r="F2065" t="s">
        <v>23</v>
      </c>
      <c r="G2065" t="s">
        <v>25</v>
      </c>
      <c r="H2065" s="3">
        <v>6</v>
      </c>
      <c r="I2065" s="3">
        <v>4512</v>
      </c>
      <c r="J2065" s="3">
        <v>27072</v>
      </c>
      <c r="K2065" s="3">
        <v>3200</v>
      </c>
      <c r="L2065" s="3">
        <v>19200</v>
      </c>
      <c r="M2065" s="3">
        <v>7872</v>
      </c>
      <c r="N2065" s="4">
        <v>0.29078014184397161</v>
      </c>
    </row>
    <row r="2066" spans="1:14" x14ac:dyDescent="0.3">
      <c r="A2066" s="6">
        <v>45805</v>
      </c>
      <c r="B2066" s="1" t="s">
        <v>2250</v>
      </c>
      <c r="C2066" s="1" t="s">
        <v>27</v>
      </c>
      <c r="D2066" t="s">
        <v>31</v>
      </c>
      <c r="E2066" t="s">
        <v>236</v>
      </c>
      <c r="F2066" t="s">
        <v>24</v>
      </c>
      <c r="G2066" t="s">
        <v>25</v>
      </c>
      <c r="H2066" s="3">
        <v>5</v>
      </c>
      <c r="I2066" s="3">
        <v>3250</v>
      </c>
      <c r="J2066" s="3">
        <v>16250</v>
      </c>
      <c r="K2066" s="3">
        <v>2500</v>
      </c>
      <c r="L2066" s="3">
        <v>12500</v>
      </c>
      <c r="M2066" s="3">
        <v>3750</v>
      </c>
      <c r="N2066" s="4">
        <v>0.23076923076923078</v>
      </c>
    </row>
    <row r="2067" spans="1:14" x14ac:dyDescent="0.3">
      <c r="A2067" s="6">
        <v>45805</v>
      </c>
      <c r="B2067" s="1" t="s">
        <v>2251</v>
      </c>
      <c r="C2067" s="1" t="s">
        <v>26</v>
      </c>
      <c r="D2067" t="s">
        <v>35</v>
      </c>
      <c r="E2067" t="s">
        <v>72</v>
      </c>
      <c r="F2067" t="s">
        <v>23</v>
      </c>
      <c r="G2067" t="s">
        <v>25</v>
      </c>
      <c r="H2067" s="3">
        <v>10</v>
      </c>
      <c r="I2067" s="3">
        <v>4512</v>
      </c>
      <c r="J2067" s="3">
        <v>45120</v>
      </c>
      <c r="K2067" s="3">
        <v>3200</v>
      </c>
      <c r="L2067" s="3">
        <v>32000</v>
      </c>
      <c r="M2067" s="3">
        <v>13120</v>
      </c>
      <c r="N2067" s="4">
        <v>0.29078014184397161</v>
      </c>
    </row>
    <row r="2068" spans="1:14" x14ac:dyDescent="0.3">
      <c r="A2068" s="6">
        <v>45805</v>
      </c>
      <c r="B2068" s="1" t="s">
        <v>2252</v>
      </c>
      <c r="C2068" s="1" t="s">
        <v>27</v>
      </c>
      <c r="D2068" t="s">
        <v>35</v>
      </c>
      <c r="E2068" t="s">
        <v>222</v>
      </c>
      <c r="F2068" t="s">
        <v>17</v>
      </c>
      <c r="G2068" t="s">
        <v>18</v>
      </c>
      <c r="H2068" s="3">
        <v>4</v>
      </c>
      <c r="I2068" s="3">
        <v>10965</v>
      </c>
      <c r="J2068" s="3">
        <v>43860</v>
      </c>
      <c r="K2068" s="3">
        <v>8500</v>
      </c>
      <c r="L2068" s="3">
        <v>34000</v>
      </c>
      <c r="M2068" s="3">
        <v>9860</v>
      </c>
      <c r="N2068" s="4">
        <v>0.22480620155038761</v>
      </c>
    </row>
    <row r="2069" spans="1:14" x14ac:dyDescent="0.3">
      <c r="A2069" s="6">
        <v>45805</v>
      </c>
      <c r="B2069" s="1" t="s">
        <v>2253</v>
      </c>
      <c r="C2069" s="1" t="s">
        <v>28</v>
      </c>
      <c r="D2069" t="s">
        <v>31</v>
      </c>
      <c r="E2069" t="s">
        <v>349</v>
      </c>
      <c r="F2069" t="s">
        <v>21</v>
      </c>
      <c r="G2069" t="s">
        <v>20</v>
      </c>
      <c r="H2069" s="3">
        <v>3</v>
      </c>
      <c r="I2069" s="3">
        <v>810</v>
      </c>
      <c r="J2069" s="3">
        <v>2430</v>
      </c>
      <c r="K2069" s="3">
        <v>600</v>
      </c>
      <c r="L2069" s="3">
        <v>1800</v>
      </c>
      <c r="M2069" s="3">
        <v>630</v>
      </c>
      <c r="N2069" s="4">
        <v>0.25925925925925924</v>
      </c>
    </row>
    <row r="2070" spans="1:14" x14ac:dyDescent="0.3">
      <c r="A2070" s="6">
        <v>45805</v>
      </c>
      <c r="B2070" s="1" t="s">
        <v>2254</v>
      </c>
      <c r="C2070" s="1" t="s">
        <v>29</v>
      </c>
      <c r="D2070" t="s">
        <v>31</v>
      </c>
      <c r="E2070" t="s">
        <v>508</v>
      </c>
      <c r="F2070" t="s">
        <v>16</v>
      </c>
      <c r="G2070" t="s">
        <v>15</v>
      </c>
      <c r="H2070" s="3">
        <v>7</v>
      </c>
      <c r="I2070" s="3">
        <v>47120</v>
      </c>
      <c r="J2070" s="3">
        <v>329840</v>
      </c>
      <c r="K2070" s="3">
        <v>38000</v>
      </c>
      <c r="L2070" s="3">
        <v>266000</v>
      </c>
      <c r="M2070" s="3">
        <v>63840</v>
      </c>
      <c r="N2070" s="4">
        <v>0.19354838709677419</v>
      </c>
    </row>
    <row r="2071" spans="1:14" x14ac:dyDescent="0.3">
      <c r="A2071" s="6">
        <v>45805</v>
      </c>
      <c r="B2071" s="1" t="s">
        <v>2255</v>
      </c>
      <c r="C2071" s="1" t="s">
        <v>28</v>
      </c>
      <c r="D2071" t="s">
        <v>34</v>
      </c>
      <c r="E2071" t="s">
        <v>112</v>
      </c>
      <c r="F2071" t="s">
        <v>14</v>
      </c>
      <c r="G2071" t="s">
        <v>15</v>
      </c>
      <c r="H2071" s="3">
        <v>10</v>
      </c>
      <c r="I2071" s="3">
        <v>62999.999999999993</v>
      </c>
      <c r="J2071" s="3">
        <v>629999.99999999988</v>
      </c>
      <c r="K2071" s="3">
        <v>45000</v>
      </c>
      <c r="L2071" s="3">
        <v>450000</v>
      </c>
      <c r="M2071" s="3">
        <v>179999.99999999988</v>
      </c>
      <c r="N2071" s="4">
        <v>0.28571428571428559</v>
      </c>
    </row>
    <row r="2072" spans="1:14" x14ac:dyDescent="0.3">
      <c r="A2072" s="6">
        <v>45806</v>
      </c>
      <c r="B2072" s="1" t="s">
        <v>2256</v>
      </c>
      <c r="C2072" s="1" t="s">
        <v>28</v>
      </c>
      <c r="D2072" t="s">
        <v>34</v>
      </c>
      <c r="E2072" t="s">
        <v>216</v>
      </c>
      <c r="F2072" t="s">
        <v>21</v>
      </c>
      <c r="G2072" t="s">
        <v>20</v>
      </c>
      <c r="H2072" s="3">
        <v>3</v>
      </c>
      <c r="I2072" s="3">
        <v>852</v>
      </c>
      <c r="J2072" s="3">
        <v>2556</v>
      </c>
      <c r="K2072" s="3">
        <v>600</v>
      </c>
      <c r="L2072" s="3">
        <v>1800</v>
      </c>
      <c r="M2072" s="3">
        <v>756</v>
      </c>
      <c r="N2072" s="4">
        <v>0.29577464788732394</v>
      </c>
    </row>
    <row r="2073" spans="1:14" x14ac:dyDescent="0.3">
      <c r="A2073" s="6">
        <v>45806</v>
      </c>
      <c r="B2073" s="1" t="s">
        <v>2257</v>
      </c>
      <c r="C2073" s="1" t="s">
        <v>27</v>
      </c>
      <c r="D2073" t="s">
        <v>31</v>
      </c>
      <c r="E2073" t="s">
        <v>336</v>
      </c>
      <c r="F2073" t="s">
        <v>22</v>
      </c>
      <c r="G2073" t="s">
        <v>18</v>
      </c>
      <c r="H2073" s="3">
        <v>3</v>
      </c>
      <c r="I2073" s="3">
        <v>10080</v>
      </c>
      <c r="J2073" s="3">
        <v>30240</v>
      </c>
      <c r="K2073" s="3">
        <v>7000</v>
      </c>
      <c r="L2073" s="3">
        <v>21000</v>
      </c>
      <c r="M2073" s="3">
        <v>9240</v>
      </c>
      <c r="N2073" s="4">
        <v>0.30555555555555558</v>
      </c>
    </row>
    <row r="2074" spans="1:14" x14ac:dyDescent="0.3">
      <c r="A2074" s="6">
        <v>45806</v>
      </c>
      <c r="B2074" s="1" t="s">
        <v>2258</v>
      </c>
      <c r="C2074" s="1" t="s">
        <v>29</v>
      </c>
      <c r="D2074" t="s">
        <v>30</v>
      </c>
      <c r="E2074" t="s">
        <v>110</v>
      </c>
      <c r="F2074" t="s">
        <v>24</v>
      </c>
      <c r="G2074" t="s">
        <v>25</v>
      </c>
      <c r="H2074" s="3">
        <v>1</v>
      </c>
      <c r="I2074" s="3">
        <v>3350</v>
      </c>
      <c r="J2074" s="3">
        <v>3350</v>
      </c>
      <c r="K2074" s="3">
        <v>2500</v>
      </c>
      <c r="L2074" s="3">
        <v>2500</v>
      </c>
      <c r="M2074" s="3">
        <v>850</v>
      </c>
      <c r="N2074" s="4">
        <v>0.2537313432835821</v>
      </c>
    </row>
    <row r="2075" spans="1:14" x14ac:dyDescent="0.3">
      <c r="A2075" s="6">
        <v>45806</v>
      </c>
      <c r="B2075" s="1" t="s">
        <v>2259</v>
      </c>
      <c r="C2075" s="1" t="s">
        <v>27</v>
      </c>
      <c r="D2075" t="s">
        <v>34</v>
      </c>
      <c r="E2075" t="s">
        <v>327</v>
      </c>
      <c r="F2075" t="s">
        <v>21</v>
      </c>
      <c r="G2075" t="s">
        <v>20</v>
      </c>
      <c r="H2075" s="3">
        <v>10</v>
      </c>
      <c r="I2075" s="3">
        <v>774</v>
      </c>
      <c r="J2075" s="3">
        <v>7740</v>
      </c>
      <c r="K2075" s="3">
        <v>600</v>
      </c>
      <c r="L2075" s="3">
        <v>6000</v>
      </c>
      <c r="M2075" s="3">
        <v>1740</v>
      </c>
      <c r="N2075" s="4">
        <v>0.22480620155038761</v>
      </c>
    </row>
    <row r="2076" spans="1:14" x14ac:dyDescent="0.3">
      <c r="A2076" s="6">
        <v>45806</v>
      </c>
      <c r="B2076" s="1" t="s">
        <v>2260</v>
      </c>
      <c r="C2076" s="1" t="s">
        <v>29</v>
      </c>
      <c r="D2076" t="s">
        <v>33</v>
      </c>
      <c r="E2076" t="s">
        <v>137</v>
      </c>
      <c r="F2076" t="s">
        <v>16</v>
      </c>
      <c r="G2076" t="s">
        <v>15</v>
      </c>
      <c r="H2076" s="3">
        <v>4</v>
      </c>
      <c r="I2076" s="3">
        <v>47120</v>
      </c>
      <c r="J2076" s="3">
        <v>188480</v>
      </c>
      <c r="K2076" s="3">
        <v>38000</v>
      </c>
      <c r="L2076" s="3">
        <v>152000</v>
      </c>
      <c r="M2076" s="3">
        <v>36480</v>
      </c>
      <c r="N2076" s="4">
        <v>0.19354838709677419</v>
      </c>
    </row>
    <row r="2077" spans="1:14" x14ac:dyDescent="0.3">
      <c r="A2077" s="6">
        <v>45806</v>
      </c>
      <c r="B2077" s="1" t="s">
        <v>2261</v>
      </c>
      <c r="C2077" s="1" t="s">
        <v>28</v>
      </c>
      <c r="D2077" t="s">
        <v>33</v>
      </c>
      <c r="E2077" t="s">
        <v>157</v>
      </c>
      <c r="F2077" t="s">
        <v>17</v>
      </c>
      <c r="G2077" t="s">
        <v>18</v>
      </c>
      <c r="H2077" s="3">
        <v>2</v>
      </c>
      <c r="I2077" s="3">
        <v>11985</v>
      </c>
      <c r="J2077" s="3">
        <v>23970</v>
      </c>
      <c r="K2077" s="3">
        <v>8500</v>
      </c>
      <c r="L2077" s="3">
        <v>17000</v>
      </c>
      <c r="M2077" s="3">
        <v>6970</v>
      </c>
      <c r="N2077" s="4">
        <v>0.29078014184397161</v>
      </c>
    </row>
    <row r="2078" spans="1:14" x14ac:dyDescent="0.3">
      <c r="A2078" s="6">
        <v>45806</v>
      </c>
      <c r="B2078" s="1" t="s">
        <v>2262</v>
      </c>
      <c r="C2078" s="1" t="s">
        <v>26</v>
      </c>
      <c r="D2078" t="s">
        <v>32</v>
      </c>
      <c r="E2078" t="s">
        <v>65</v>
      </c>
      <c r="F2078" t="s">
        <v>22</v>
      </c>
      <c r="G2078" t="s">
        <v>18</v>
      </c>
      <c r="H2078" s="3">
        <v>9</v>
      </c>
      <c r="I2078" s="3">
        <v>8400</v>
      </c>
      <c r="J2078" s="3">
        <v>75600</v>
      </c>
      <c r="K2078" s="3">
        <v>7000</v>
      </c>
      <c r="L2078" s="3">
        <v>63000</v>
      </c>
      <c r="M2078" s="3">
        <v>12600</v>
      </c>
      <c r="N2078" s="4">
        <v>0.16666666666666666</v>
      </c>
    </row>
    <row r="2079" spans="1:14" x14ac:dyDescent="0.3">
      <c r="A2079" s="6">
        <v>45806</v>
      </c>
      <c r="B2079" s="1" t="s">
        <v>2263</v>
      </c>
      <c r="C2079" s="1" t="s">
        <v>28</v>
      </c>
      <c r="D2079" t="s">
        <v>35</v>
      </c>
      <c r="E2079" t="s">
        <v>574</v>
      </c>
      <c r="F2079" t="s">
        <v>17</v>
      </c>
      <c r="G2079" t="s">
        <v>18</v>
      </c>
      <c r="H2079" s="3">
        <v>7</v>
      </c>
      <c r="I2079" s="3">
        <v>11220</v>
      </c>
      <c r="J2079" s="3">
        <v>78540</v>
      </c>
      <c r="K2079" s="3">
        <v>8500</v>
      </c>
      <c r="L2079" s="3">
        <v>59500</v>
      </c>
      <c r="M2079" s="3">
        <v>19040</v>
      </c>
      <c r="N2079" s="4">
        <v>0.24242424242424243</v>
      </c>
    </row>
    <row r="2080" spans="1:14" x14ac:dyDescent="0.3">
      <c r="A2080" s="6">
        <v>45806</v>
      </c>
      <c r="B2080" s="1" t="s">
        <v>2264</v>
      </c>
      <c r="C2080" s="1" t="s">
        <v>26</v>
      </c>
      <c r="D2080" t="s">
        <v>31</v>
      </c>
      <c r="E2080" t="s">
        <v>147</v>
      </c>
      <c r="F2080" t="s">
        <v>21</v>
      </c>
      <c r="G2080" t="s">
        <v>20</v>
      </c>
      <c r="H2080" s="3">
        <v>10</v>
      </c>
      <c r="I2080" s="3">
        <v>852</v>
      </c>
      <c r="J2080" s="3">
        <v>8520</v>
      </c>
      <c r="K2080" s="3">
        <v>600</v>
      </c>
      <c r="L2080" s="3">
        <v>6000</v>
      </c>
      <c r="M2080" s="3">
        <v>2520</v>
      </c>
      <c r="N2080" s="4">
        <v>0.29577464788732394</v>
      </c>
    </row>
    <row r="2081" spans="1:14" x14ac:dyDescent="0.3">
      <c r="A2081" s="6">
        <v>45806</v>
      </c>
      <c r="B2081" s="1" t="s">
        <v>2265</v>
      </c>
      <c r="C2081" s="1" t="s">
        <v>28</v>
      </c>
      <c r="D2081" t="s">
        <v>33</v>
      </c>
      <c r="E2081" t="s">
        <v>273</v>
      </c>
      <c r="F2081" t="s">
        <v>22</v>
      </c>
      <c r="G2081" t="s">
        <v>18</v>
      </c>
      <c r="H2081" s="3">
        <v>7</v>
      </c>
      <c r="I2081" s="3">
        <v>9170</v>
      </c>
      <c r="J2081" s="3">
        <v>64190</v>
      </c>
      <c r="K2081" s="3">
        <v>7000</v>
      </c>
      <c r="L2081" s="3">
        <v>49000</v>
      </c>
      <c r="M2081" s="3">
        <v>15190</v>
      </c>
      <c r="N2081" s="4">
        <v>0.23664122137404581</v>
      </c>
    </row>
    <row r="2082" spans="1:14" x14ac:dyDescent="0.3">
      <c r="A2082" s="6">
        <v>45806</v>
      </c>
      <c r="B2082" s="1" t="s">
        <v>2266</v>
      </c>
      <c r="C2082" s="1" t="s">
        <v>26</v>
      </c>
      <c r="D2082" t="s">
        <v>32</v>
      </c>
      <c r="E2082" t="s">
        <v>565</v>
      </c>
      <c r="F2082" t="s">
        <v>21</v>
      </c>
      <c r="G2082" t="s">
        <v>20</v>
      </c>
      <c r="H2082" s="3">
        <v>4</v>
      </c>
      <c r="I2082" s="3">
        <v>774</v>
      </c>
      <c r="J2082" s="3">
        <v>3096</v>
      </c>
      <c r="K2082" s="3">
        <v>600</v>
      </c>
      <c r="L2082" s="3">
        <v>2400</v>
      </c>
      <c r="M2082" s="3">
        <v>696</v>
      </c>
      <c r="N2082" s="4">
        <v>0.22480620155038761</v>
      </c>
    </row>
    <row r="2083" spans="1:14" x14ac:dyDescent="0.3">
      <c r="A2083" s="6">
        <v>45806</v>
      </c>
      <c r="B2083" s="1" t="s">
        <v>2267</v>
      </c>
      <c r="C2083" s="1" t="s">
        <v>27</v>
      </c>
      <c r="D2083" t="s">
        <v>30</v>
      </c>
      <c r="E2083" t="s">
        <v>118</v>
      </c>
      <c r="F2083" t="s">
        <v>24</v>
      </c>
      <c r="G2083" t="s">
        <v>25</v>
      </c>
      <c r="H2083" s="3">
        <v>2</v>
      </c>
      <c r="I2083" s="3">
        <v>3350</v>
      </c>
      <c r="J2083" s="3">
        <v>6700</v>
      </c>
      <c r="K2083" s="3">
        <v>2500</v>
      </c>
      <c r="L2083" s="3">
        <v>5000</v>
      </c>
      <c r="M2083" s="3">
        <v>1700</v>
      </c>
      <c r="N2083" s="4">
        <v>0.2537313432835821</v>
      </c>
    </row>
    <row r="2084" spans="1:14" x14ac:dyDescent="0.3">
      <c r="A2084" s="6">
        <v>45806</v>
      </c>
      <c r="B2084" s="1" t="s">
        <v>2268</v>
      </c>
      <c r="C2084" s="1" t="s">
        <v>27</v>
      </c>
      <c r="D2084" t="s">
        <v>34</v>
      </c>
      <c r="E2084" t="s">
        <v>122</v>
      </c>
      <c r="F2084" t="s">
        <v>22</v>
      </c>
      <c r="G2084" t="s">
        <v>18</v>
      </c>
      <c r="H2084" s="3">
        <v>6</v>
      </c>
      <c r="I2084" s="3">
        <v>8470</v>
      </c>
      <c r="J2084" s="3">
        <v>50820</v>
      </c>
      <c r="K2084" s="3">
        <v>7000</v>
      </c>
      <c r="L2084" s="3">
        <v>42000</v>
      </c>
      <c r="M2084" s="3">
        <v>8820</v>
      </c>
      <c r="N2084" s="4">
        <v>0.17355371900826447</v>
      </c>
    </row>
    <row r="2085" spans="1:14" x14ac:dyDescent="0.3">
      <c r="A2085" s="6">
        <v>45806</v>
      </c>
      <c r="B2085" s="1" t="s">
        <v>2269</v>
      </c>
      <c r="C2085" s="1" t="s">
        <v>27</v>
      </c>
      <c r="D2085" t="s">
        <v>32</v>
      </c>
      <c r="E2085" t="s">
        <v>100</v>
      </c>
      <c r="F2085" t="s">
        <v>16</v>
      </c>
      <c r="G2085" t="s">
        <v>15</v>
      </c>
      <c r="H2085" s="3">
        <v>3</v>
      </c>
      <c r="I2085" s="3">
        <v>51300</v>
      </c>
      <c r="J2085" s="3">
        <v>153900</v>
      </c>
      <c r="K2085" s="3">
        <v>38000</v>
      </c>
      <c r="L2085" s="3">
        <v>114000</v>
      </c>
      <c r="M2085" s="3">
        <v>39900</v>
      </c>
      <c r="N2085" s="4">
        <v>0.25925925925925924</v>
      </c>
    </row>
    <row r="2086" spans="1:14" x14ac:dyDescent="0.3">
      <c r="A2086" s="6">
        <v>45807</v>
      </c>
      <c r="B2086" s="1" t="s">
        <v>2270</v>
      </c>
      <c r="C2086" s="1" t="s">
        <v>29</v>
      </c>
      <c r="D2086" t="s">
        <v>33</v>
      </c>
      <c r="E2086" t="s">
        <v>239</v>
      </c>
      <c r="F2086" t="s">
        <v>22</v>
      </c>
      <c r="G2086" t="s">
        <v>18</v>
      </c>
      <c r="H2086" s="3">
        <v>1</v>
      </c>
      <c r="I2086" s="3">
        <v>8890</v>
      </c>
      <c r="J2086" s="3">
        <v>8890</v>
      </c>
      <c r="K2086" s="3">
        <v>7000</v>
      </c>
      <c r="L2086" s="3">
        <v>7000</v>
      </c>
      <c r="M2086" s="3">
        <v>1890</v>
      </c>
      <c r="N2086" s="4">
        <v>0.2125984251968504</v>
      </c>
    </row>
    <row r="2087" spans="1:14" x14ac:dyDescent="0.3">
      <c r="A2087" s="6">
        <v>45807</v>
      </c>
      <c r="B2087" s="1" t="s">
        <v>2271</v>
      </c>
      <c r="C2087" s="1" t="s">
        <v>29</v>
      </c>
      <c r="D2087" t="s">
        <v>34</v>
      </c>
      <c r="E2087" t="s">
        <v>116</v>
      </c>
      <c r="F2087" t="s">
        <v>19</v>
      </c>
      <c r="G2087" t="s">
        <v>20</v>
      </c>
      <c r="H2087" s="3">
        <v>4</v>
      </c>
      <c r="I2087" s="3">
        <v>1143</v>
      </c>
      <c r="J2087" s="3">
        <v>4572</v>
      </c>
      <c r="K2087" s="3">
        <v>900</v>
      </c>
      <c r="L2087" s="3">
        <v>3600</v>
      </c>
      <c r="M2087" s="3">
        <v>972</v>
      </c>
      <c r="N2087" s="4">
        <v>0.2125984251968504</v>
      </c>
    </row>
    <row r="2088" spans="1:14" x14ac:dyDescent="0.3">
      <c r="A2088" s="6">
        <v>45807</v>
      </c>
      <c r="B2088" s="1" t="s">
        <v>2272</v>
      </c>
      <c r="C2088" s="1" t="s">
        <v>28</v>
      </c>
      <c r="D2088" t="s">
        <v>34</v>
      </c>
      <c r="E2088" t="s">
        <v>355</v>
      </c>
      <c r="F2088" t="s">
        <v>24</v>
      </c>
      <c r="G2088" t="s">
        <v>25</v>
      </c>
      <c r="H2088" s="3">
        <v>7</v>
      </c>
      <c r="I2088" s="3">
        <v>3525</v>
      </c>
      <c r="J2088" s="3">
        <v>24675</v>
      </c>
      <c r="K2088" s="3">
        <v>2500</v>
      </c>
      <c r="L2088" s="3">
        <v>17500</v>
      </c>
      <c r="M2088" s="3">
        <v>7175</v>
      </c>
      <c r="N2088" s="4">
        <v>0.29078014184397161</v>
      </c>
    </row>
    <row r="2089" spans="1:14" x14ac:dyDescent="0.3">
      <c r="A2089" s="6">
        <v>45807</v>
      </c>
      <c r="B2089" s="1" t="s">
        <v>2273</v>
      </c>
      <c r="C2089" s="1" t="s">
        <v>26</v>
      </c>
      <c r="D2089" t="s">
        <v>33</v>
      </c>
      <c r="E2089" t="s">
        <v>273</v>
      </c>
      <c r="F2089" t="s">
        <v>21</v>
      </c>
      <c r="G2089" t="s">
        <v>20</v>
      </c>
      <c r="H2089" s="3">
        <v>2</v>
      </c>
      <c r="I2089" s="3">
        <v>756</v>
      </c>
      <c r="J2089" s="3">
        <v>1512</v>
      </c>
      <c r="K2089" s="3">
        <v>600</v>
      </c>
      <c r="L2089" s="3">
        <v>1200</v>
      </c>
      <c r="M2089" s="3">
        <v>312</v>
      </c>
      <c r="N2089" s="4">
        <v>0.20634920634920634</v>
      </c>
    </row>
    <row r="2090" spans="1:14" x14ac:dyDescent="0.3">
      <c r="A2090" s="6">
        <v>45807</v>
      </c>
      <c r="B2090" s="1" t="s">
        <v>2274</v>
      </c>
      <c r="C2090" s="1" t="s">
        <v>26</v>
      </c>
      <c r="D2090" t="s">
        <v>31</v>
      </c>
      <c r="E2090" t="s">
        <v>186</v>
      </c>
      <c r="F2090" t="s">
        <v>24</v>
      </c>
      <c r="G2090" t="s">
        <v>25</v>
      </c>
      <c r="H2090" s="3">
        <v>7</v>
      </c>
      <c r="I2090" s="3">
        <v>3200</v>
      </c>
      <c r="J2090" s="3">
        <v>22400</v>
      </c>
      <c r="K2090" s="3">
        <v>2500</v>
      </c>
      <c r="L2090" s="3">
        <v>17500</v>
      </c>
      <c r="M2090" s="3">
        <v>4900</v>
      </c>
      <c r="N2090" s="4">
        <v>0.21875</v>
      </c>
    </row>
    <row r="2091" spans="1:14" x14ac:dyDescent="0.3">
      <c r="A2091" s="6">
        <v>45807</v>
      </c>
      <c r="B2091" s="1" t="s">
        <v>2275</v>
      </c>
      <c r="C2091" s="1" t="s">
        <v>28</v>
      </c>
      <c r="D2091" t="s">
        <v>34</v>
      </c>
      <c r="E2091" t="s">
        <v>331</v>
      </c>
      <c r="F2091" t="s">
        <v>16</v>
      </c>
      <c r="G2091" t="s">
        <v>15</v>
      </c>
      <c r="H2091" s="3">
        <v>2</v>
      </c>
      <c r="I2091" s="3">
        <v>51300</v>
      </c>
      <c r="J2091" s="3">
        <v>102600</v>
      </c>
      <c r="K2091" s="3">
        <v>38000</v>
      </c>
      <c r="L2091" s="3">
        <v>76000</v>
      </c>
      <c r="M2091" s="3">
        <v>26600</v>
      </c>
      <c r="N2091" s="4">
        <v>0.25925925925925924</v>
      </c>
    </row>
    <row r="2092" spans="1:14" x14ac:dyDescent="0.3">
      <c r="A2092" s="6">
        <v>45807</v>
      </c>
      <c r="B2092" s="1" t="s">
        <v>2276</v>
      </c>
      <c r="C2092" s="1" t="s">
        <v>28</v>
      </c>
      <c r="D2092" t="s">
        <v>32</v>
      </c>
      <c r="E2092" t="s">
        <v>317</v>
      </c>
      <c r="F2092" t="s">
        <v>23</v>
      </c>
      <c r="G2092" t="s">
        <v>25</v>
      </c>
      <c r="H2092" s="3">
        <v>4</v>
      </c>
      <c r="I2092" s="3">
        <v>4000</v>
      </c>
      <c r="J2092" s="3">
        <v>16000</v>
      </c>
      <c r="K2092" s="3">
        <v>3200</v>
      </c>
      <c r="L2092" s="3">
        <v>12800</v>
      </c>
      <c r="M2092" s="3">
        <v>3200</v>
      </c>
      <c r="N2092" s="4">
        <v>0.2</v>
      </c>
    </row>
    <row r="2093" spans="1:14" x14ac:dyDescent="0.3">
      <c r="A2093" s="6">
        <v>45807</v>
      </c>
      <c r="B2093" s="1" t="s">
        <v>2277</v>
      </c>
      <c r="C2093" s="1" t="s">
        <v>26</v>
      </c>
      <c r="D2093" t="s">
        <v>35</v>
      </c>
      <c r="E2093" t="s">
        <v>206</v>
      </c>
      <c r="F2093" t="s">
        <v>16</v>
      </c>
      <c r="G2093" t="s">
        <v>15</v>
      </c>
      <c r="H2093" s="3">
        <v>1</v>
      </c>
      <c r="I2093" s="3">
        <v>50160</v>
      </c>
      <c r="J2093" s="3">
        <v>50160</v>
      </c>
      <c r="K2093" s="3">
        <v>38000</v>
      </c>
      <c r="L2093" s="3">
        <v>38000</v>
      </c>
      <c r="M2093" s="3">
        <v>12160</v>
      </c>
      <c r="N2093" s="4">
        <v>0.24242424242424243</v>
      </c>
    </row>
    <row r="2094" spans="1:14" x14ac:dyDescent="0.3">
      <c r="A2094" s="6">
        <v>45807</v>
      </c>
      <c r="B2094" s="1" t="s">
        <v>2278</v>
      </c>
      <c r="C2094" s="1" t="s">
        <v>29</v>
      </c>
      <c r="D2094" t="s">
        <v>30</v>
      </c>
      <c r="E2094" t="s">
        <v>175</v>
      </c>
      <c r="F2094" t="s">
        <v>22</v>
      </c>
      <c r="G2094" t="s">
        <v>18</v>
      </c>
      <c r="H2094" s="3">
        <v>2</v>
      </c>
      <c r="I2094" s="3">
        <v>9100</v>
      </c>
      <c r="J2094" s="3">
        <v>18200</v>
      </c>
      <c r="K2094" s="3">
        <v>7000</v>
      </c>
      <c r="L2094" s="3">
        <v>14000</v>
      </c>
      <c r="M2094" s="3">
        <v>4200</v>
      </c>
      <c r="N2094" s="4">
        <v>0.23076923076923078</v>
      </c>
    </row>
    <row r="2095" spans="1:14" x14ac:dyDescent="0.3">
      <c r="A2095" s="6">
        <v>45807</v>
      </c>
      <c r="B2095" s="1" t="s">
        <v>2279</v>
      </c>
      <c r="C2095" s="1" t="s">
        <v>29</v>
      </c>
      <c r="D2095" t="s">
        <v>35</v>
      </c>
      <c r="E2095" t="s">
        <v>92</v>
      </c>
      <c r="F2095" t="s">
        <v>19</v>
      </c>
      <c r="G2095" t="s">
        <v>20</v>
      </c>
      <c r="H2095" s="3">
        <v>4</v>
      </c>
      <c r="I2095" s="3">
        <v>1224</v>
      </c>
      <c r="J2095" s="3">
        <v>4896</v>
      </c>
      <c r="K2095" s="3">
        <v>900</v>
      </c>
      <c r="L2095" s="3">
        <v>3600</v>
      </c>
      <c r="M2095" s="3">
        <v>1296</v>
      </c>
      <c r="N2095" s="4">
        <v>0.26470588235294118</v>
      </c>
    </row>
    <row r="2096" spans="1:14" x14ac:dyDescent="0.3">
      <c r="A2096" s="6">
        <v>45807</v>
      </c>
      <c r="B2096" s="1" t="s">
        <v>2280</v>
      </c>
      <c r="C2096" s="1" t="s">
        <v>28</v>
      </c>
      <c r="D2096" t="s">
        <v>34</v>
      </c>
      <c r="E2096" t="s">
        <v>76</v>
      </c>
      <c r="F2096" t="s">
        <v>23</v>
      </c>
      <c r="G2096" t="s">
        <v>25</v>
      </c>
      <c r="H2096" s="3">
        <v>7</v>
      </c>
      <c r="I2096" s="3">
        <v>4416</v>
      </c>
      <c r="J2096" s="3">
        <v>30912</v>
      </c>
      <c r="K2096" s="3">
        <v>3200</v>
      </c>
      <c r="L2096" s="3">
        <v>22400</v>
      </c>
      <c r="M2096" s="3">
        <v>8512</v>
      </c>
      <c r="N2096" s="4">
        <v>0.27536231884057971</v>
      </c>
    </row>
    <row r="2097" spans="1:14" x14ac:dyDescent="0.3">
      <c r="A2097" s="6">
        <v>45807</v>
      </c>
      <c r="B2097" s="1" t="s">
        <v>2281</v>
      </c>
      <c r="C2097" s="1" t="s">
        <v>29</v>
      </c>
      <c r="D2097" t="s">
        <v>34</v>
      </c>
      <c r="E2097" t="s">
        <v>239</v>
      </c>
      <c r="F2097" t="s">
        <v>24</v>
      </c>
      <c r="G2097" t="s">
        <v>25</v>
      </c>
      <c r="H2097" s="3">
        <v>2</v>
      </c>
      <c r="I2097" s="3">
        <v>3625</v>
      </c>
      <c r="J2097" s="3">
        <v>7250</v>
      </c>
      <c r="K2097" s="3">
        <v>2500</v>
      </c>
      <c r="L2097" s="3">
        <v>5000</v>
      </c>
      <c r="M2097" s="3">
        <v>2250</v>
      </c>
      <c r="N2097" s="4">
        <v>0.31034482758620691</v>
      </c>
    </row>
    <row r="2098" spans="1:14" x14ac:dyDescent="0.3">
      <c r="A2098" s="6">
        <v>45807</v>
      </c>
      <c r="B2098" s="1" t="s">
        <v>2282</v>
      </c>
      <c r="C2098" s="1" t="s">
        <v>27</v>
      </c>
      <c r="D2098" t="s">
        <v>30</v>
      </c>
      <c r="E2098" t="s">
        <v>220</v>
      </c>
      <c r="F2098" t="s">
        <v>22</v>
      </c>
      <c r="G2098" t="s">
        <v>18</v>
      </c>
      <c r="H2098" s="3">
        <v>10</v>
      </c>
      <c r="I2098" s="3">
        <v>8680</v>
      </c>
      <c r="J2098" s="3">
        <v>86800</v>
      </c>
      <c r="K2098" s="3">
        <v>7000</v>
      </c>
      <c r="L2098" s="3">
        <v>70000</v>
      </c>
      <c r="M2098" s="3">
        <v>16800</v>
      </c>
      <c r="N2098" s="4">
        <v>0.19354838709677419</v>
      </c>
    </row>
    <row r="2099" spans="1:14" x14ac:dyDescent="0.3">
      <c r="A2099" s="6">
        <v>45807</v>
      </c>
      <c r="B2099" s="1" t="s">
        <v>2283</v>
      </c>
      <c r="C2099" s="1" t="s">
        <v>27</v>
      </c>
      <c r="D2099" t="s">
        <v>34</v>
      </c>
      <c r="E2099" t="s">
        <v>108</v>
      </c>
      <c r="F2099" t="s">
        <v>17</v>
      </c>
      <c r="G2099" t="s">
        <v>18</v>
      </c>
      <c r="H2099" s="3">
        <v>6</v>
      </c>
      <c r="I2099" s="3">
        <v>11645</v>
      </c>
      <c r="J2099" s="3">
        <v>69870</v>
      </c>
      <c r="K2099" s="3">
        <v>8500</v>
      </c>
      <c r="L2099" s="3">
        <v>51000</v>
      </c>
      <c r="M2099" s="3">
        <v>18870</v>
      </c>
      <c r="N2099" s="4">
        <v>0.27007299270072993</v>
      </c>
    </row>
    <row r="2100" spans="1:14" x14ac:dyDescent="0.3">
      <c r="A2100" s="6">
        <v>45808</v>
      </c>
      <c r="B2100" s="1" t="s">
        <v>2284</v>
      </c>
      <c r="C2100" s="1" t="s">
        <v>29</v>
      </c>
      <c r="D2100" t="s">
        <v>34</v>
      </c>
      <c r="E2100" t="s">
        <v>122</v>
      </c>
      <c r="F2100" t="s">
        <v>23</v>
      </c>
      <c r="G2100" t="s">
        <v>25</v>
      </c>
      <c r="H2100" s="3">
        <v>2</v>
      </c>
      <c r="I2100" s="3">
        <v>4192</v>
      </c>
      <c r="J2100" s="3">
        <v>8384</v>
      </c>
      <c r="K2100" s="3">
        <v>3200</v>
      </c>
      <c r="L2100" s="3">
        <v>6400</v>
      </c>
      <c r="M2100" s="3">
        <v>1984</v>
      </c>
      <c r="N2100" s="4">
        <v>0.23664122137404581</v>
      </c>
    </row>
    <row r="2101" spans="1:14" x14ac:dyDescent="0.3">
      <c r="A2101" s="6">
        <v>45808</v>
      </c>
      <c r="B2101" s="1" t="s">
        <v>2285</v>
      </c>
      <c r="C2101" s="1" t="s">
        <v>27</v>
      </c>
      <c r="D2101" t="s">
        <v>33</v>
      </c>
      <c r="E2101" t="s">
        <v>407</v>
      </c>
      <c r="F2101" t="s">
        <v>14</v>
      </c>
      <c r="G2101" t="s">
        <v>15</v>
      </c>
      <c r="H2101" s="3">
        <v>7</v>
      </c>
      <c r="I2101" s="3">
        <v>61650.000000000007</v>
      </c>
      <c r="J2101" s="3">
        <v>431550.00000000006</v>
      </c>
      <c r="K2101" s="3">
        <v>45000</v>
      </c>
      <c r="L2101" s="3">
        <v>315000</v>
      </c>
      <c r="M2101" s="3">
        <v>116550.00000000006</v>
      </c>
      <c r="N2101" s="4">
        <v>0.27007299270073004</v>
      </c>
    </row>
    <row r="2102" spans="1:14" x14ac:dyDescent="0.3">
      <c r="A2102" s="6">
        <v>45808</v>
      </c>
      <c r="B2102" s="1" t="s">
        <v>2286</v>
      </c>
      <c r="C2102" s="1" t="s">
        <v>28</v>
      </c>
      <c r="D2102" t="s">
        <v>34</v>
      </c>
      <c r="E2102" t="s">
        <v>120</v>
      </c>
      <c r="F2102" t="s">
        <v>22</v>
      </c>
      <c r="G2102" t="s">
        <v>18</v>
      </c>
      <c r="H2102" s="3">
        <v>2</v>
      </c>
      <c r="I2102" s="3">
        <v>8960</v>
      </c>
      <c r="J2102" s="3">
        <v>17920</v>
      </c>
      <c r="K2102" s="3">
        <v>7000</v>
      </c>
      <c r="L2102" s="3">
        <v>14000</v>
      </c>
      <c r="M2102" s="3">
        <v>3920</v>
      </c>
      <c r="N2102" s="4">
        <v>0.21875</v>
      </c>
    </row>
    <row r="2103" spans="1:14" x14ac:dyDescent="0.3">
      <c r="A2103" s="6">
        <v>45808</v>
      </c>
      <c r="B2103" s="1" t="s">
        <v>2287</v>
      </c>
      <c r="C2103" s="1" t="s">
        <v>27</v>
      </c>
      <c r="D2103" t="s">
        <v>32</v>
      </c>
      <c r="E2103" t="s">
        <v>371</v>
      </c>
      <c r="F2103" t="s">
        <v>21</v>
      </c>
      <c r="G2103" t="s">
        <v>20</v>
      </c>
      <c r="H2103" s="3">
        <v>6</v>
      </c>
      <c r="I2103" s="3">
        <v>786</v>
      </c>
      <c r="J2103" s="3">
        <v>4716</v>
      </c>
      <c r="K2103" s="3">
        <v>600</v>
      </c>
      <c r="L2103" s="3">
        <v>3600</v>
      </c>
      <c r="M2103" s="3">
        <v>1116</v>
      </c>
      <c r="N2103" s="4">
        <v>0.23664122137404581</v>
      </c>
    </row>
    <row r="2104" spans="1:14" x14ac:dyDescent="0.3">
      <c r="A2104" s="6">
        <v>45808</v>
      </c>
      <c r="B2104" s="1" t="s">
        <v>2288</v>
      </c>
      <c r="C2104" s="1" t="s">
        <v>27</v>
      </c>
      <c r="D2104" t="s">
        <v>34</v>
      </c>
      <c r="E2104" t="s">
        <v>78</v>
      </c>
      <c r="F2104" t="s">
        <v>16</v>
      </c>
      <c r="G2104" t="s">
        <v>15</v>
      </c>
      <c r="H2104" s="3">
        <v>2</v>
      </c>
      <c r="I2104" s="3">
        <v>50920</v>
      </c>
      <c r="J2104" s="3">
        <v>101840</v>
      </c>
      <c r="K2104" s="3">
        <v>38000</v>
      </c>
      <c r="L2104" s="3">
        <v>76000</v>
      </c>
      <c r="M2104" s="3">
        <v>25840</v>
      </c>
      <c r="N2104" s="4">
        <v>0.2537313432835821</v>
      </c>
    </row>
    <row r="2105" spans="1:14" x14ac:dyDescent="0.3">
      <c r="A2105" s="6">
        <v>45808</v>
      </c>
      <c r="B2105" s="1" t="s">
        <v>2289</v>
      </c>
      <c r="C2105" s="1" t="s">
        <v>27</v>
      </c>
      <c r="D2105" t="s">
        <v>32</v>
      </c>
      <c r="E2105" t="s">
        <v>369</v>
      </c>
      <c r="F2105" t="s">
        <v>17</v>
      </c>
      <c r="G2105" t="s">
        <v>18</v>
      </c>
      <c r="H2105" s="3">
        <v>4</v>
      </c>
      <c r="I2105" s="3">
        <v>12155</v>
      </c>
      <c r="J2105" s="3">
        <v>48620</v>
      </c>
      <c r="K2105" s="3">
        <v>8500</v>
      </c>
      <c r="L2105" s="3">
        <v>34000</v>
      </c>
      <c r="M2105" s="3">
        <v>14620</v>
      </c>
      <c r="N2105" s="4">
        <v>0.30069930069930068</v>
      </c>
    </row>
    <row r="2106" spans="1:14" x14ac:dyDescent="0.3">
      <c r="A2106" s="6">
        <v>45808</v>
      </c>
      <c r="B2106" s="1" t="s">
        <v>2290</v>
      </c>
      <c r="C2106" s="1" t="s">
        <v>29</v>
      </c>
      <c r="D2106" t="s">
        <v>30</v>
      </c>
      <c r="E2106" t="s">
        <v>329</v>
      </c>
      <c r="F2106" t="s">
        <v>23</v>
      </c>
      <c r="G2106" t="s">
        <v>25</v>
      </c>
      <c r="H2106" s="3">
        <v>9</v>
      </c>
      <c r="I2106" s="3">
        <v>4480</v>
      </c>
      <c r="J2106" s="3">
        <v>40320</v>
      </c>
      <c r="K2106" s="3">
        <v>3200</v>
      </c>
      <c r="L2106" s="3">
        <v>28800</v>
      </c>
      <c r="M2106" s="3">
        <v>11520</v>
      </c>
      <c r="N2106" s="4">
        <v>0.2857142857142857</v>
      </c>
    </row>
    <row r="2107" spans="1:14" x14ac:dyDescent="0.3">
      <c r="A2107" s="6">
        <v>45808</v>
      </c>
      <c r="B2107" s="1" t="s">
        <v>2291</v>
      </c>
      <c r="C2107" s="1" t="s">
        <v>26</v>
      </c>
      <c r="D2107" t="s">
        <v>31</v>
      </c>
      <c r="E2107" t="s">
        <v>72</v>
      </c>
      <c r="F2107" t="s">
        <v>17</v>
      </c>
      <c r="G2107" t="s">
        <v>18</v>
      </c>
      <c r="H2107" s="3">
        <v>8</v>
      </c>
      <c r="I2107" s="3">
        <v>11305</v>
      </c>
      <c r="J2107" s="3">
        <v>90440</v>
      </c>
      <c r="K2107" s="3">
        <v>8500</v>
      </c>
      <c r="L2107" s="3">
        <v>68000</v>
      </c>
      <c r="M2107" s="3">
        <v>22440</v>
      </c>
      <c r="N2107" s="4">
        <v>0.24812030075187969</v>
      </c>
    </row>
    <row r="2108" spans="1:14" x14ac:dyDescent="0.3">
      <c r="A2108" s="6">
        <v>45808</v>
      </c>
      <c r="B2108" s="1" t="s">
        <v>2292</v>
      </c>
      <c r="C2108" s="1" t="s">
        <v>28</v>
      </c>
      <c r="D2108" t="s">
        <v>34</v>
      </c>
      <c r="E2108" t="s">
        <v>116</v>
      </c>
      <c r="F2108" t="s">
        <v>14</v>
      </c>
      <c r="G2108" t="s">
        <v>15</v>
      </c>
      <c r="H2108" s="3">
        <v>7</v>
      </c>
      <c r="I2108" s="3">
        <v>61199.999999999993</v>
      </c>
      <c r="J2108" s="3">
        <v>428399.99999999994</v>
      </c>
      <c r="K2108" s="3">
        <v>45000</v>
      </c>
      <c r="L2108" s="3">
        <v>315000</v>
      </c>
      <c r="M2108" s="3">
        <v>113399.99999999994</v>
      </c>
      <c r="N2108" s="4">
        <v>0.26470588235294107</v>
      </c>
    </row>
    <row r="2109" spans="1:14" x14ac:dyDescent="0.3">
      <c r="A2109" s="6">
        <v>45808</v>
      </c>
      <c r="B2109" s="1" t="s">
        <v>2293</v>
      </c>
      <c r="C2109" s="1" t="s">
        <v>28</v>
      </c>
      <c r="D2109" t="s">
        <v>35</v>
      </c>
      <c r="E2109" t="s">
        <v>538</v>
      </c>
      <c r="F2109" t="s">
        <v>19</v>
      </c>
      <c r="G2109" t="s">
        <v>20</v>
      </c>
      <c r="H2109" s="3">
        <v>6</v>
      </c>
      <c r="I2109" s="3">
        <v>1215</v>
      </c>
      <c r="J2109" s="3">
        <v>7290</v>
      </c>
      <c r="K2109" s="3">
        <v>900</v>
      </c>
      <c r="L2109" s="3">
        <v>5400</v>
      </c>
      <c r="M2109" s="3">
        <v>1890</v>
      </c>
      <c r="N2109" s="4">
        <v>0.25925925925925924</v>
      </c>
    </row>
    <row r="2110" spans="1:14" x14ac:dyDescent="0.3">
      <c r="A2110" s="6">
        <v>45808</v>
      </c>
      <c r="B2110" s="1" t="s">
        <v>2294</v>
      </c>
      <c r="C2110" s="1" t="s">
        <v>27</v>
      </c>
      <c r="D2110" t="s">
        <v>34</v>
      </c>
      <c r="E2110" t="s">
        <v>198</v>
      </c>
      <c r="F2110" t="s">
        <v>14</v>
      </c>
      <c r="G2110" t="s">
        <v>15</v>
      </c>
      <c r="H2110" s="3">
        <v>3</v>
      </c>
      <c r="I2110" s="3">
        <v>55800</v>
      </c>
      <c r="J2110" s="3">
        <v>167400</v>
      </c>
      <c r="K2110" s="3">
        <v>45000</v>
      </c>
      <c r="L2110" s="3">
        <v>135000</v>
      </c>
      <c r="M2110" s="3">
        <v>32400</v>
      </c>
      <c r="N2110" s="4">
        <v>0.19354838709677419</v>
      </c>
    </row>
    <row r="2111" spans="1:14" x14ac:dyDescent="0.3">
      <c r="A2111" s="6">
        <v>45808</v>
      </c>
      <c r="B2111" s="1" t="s">
        <v>2295</v>
      </c>
      <c r="C2111" s="1" t="s">
        <v>29</v>
      </c>
      <c r="D2111" t="s">
        <v>31</v>
      </c>
      <c r="E2111" t="s">
        <v>124</v>
      </c>
      <c r="F2111" t="s">
        <v>21</v>
      </c>
      <c r="G2111" t="s">
        <v>20</v>
      </c>
      <c r="H2111" s="3">
        <v>8</v>
      </c>
      <c r="I2111" s="3">
        <v>744</v>
      </c>
      <c r="J2111" s="3">
        <v>5952</v>
      </c>
      <c r="K2111" s="3">
        <v>600</v>
      </c>
      <c r="L2111" s="3">
        <v>4800</v>
      </c>
      <c r="M2111" s="3">
        <v>1152</v>
      </c>
      <c r="N2111" s="4">
        <v>0.19354838709677419</v>
      </c>
    </row>
    <row r="2112" spans="1:14" x14ac:dyDescent="0.3">
      <c r="A2112" s="6">
        <v>45808</v>
      </c>
      <c r="B2112" s="1" t="s">
        <v>2296</v>
      </c>
      <c r="C2112" s="1" t="s">
        <v>28</v>
      </c>
      <c r="D2112" t="s">
        <v>35</v>
      </c>
      <c r="E2112" t="s">
        <v>302</v>
      </c>
      <c r="F2112" t="s">
        <v>24</v>
      </c>
      <c r="G2112" t="s">
        <v>25</v>
      </c>
      <c r="H2112" s="3">
        <v>4</v>
      </c>
      <c r="I2112" s="3">
        <v>3050</v>
      </c>
      <c r="J2112" s="3">
        <v>12200</v>
      </c>
      <c r="K2112" s="3">
        <v>2500</v>
      </c>
      <c r="L2112" s="3">
        <v>10000</v>
      </c>
      <c r="M2112" s="3">
        <v>2200</v>
      </c>
      <c r="N2112" s="4">
        <v>0.18032786885245902</v>
      </c>
    </row>
    <row r="2113" spans="1:14" x14ac:dyDescent="0.3">
      <c r="A2113" s="6">
        <v>45808</v>
      </c>
      <c r="B2113" s="1" t="s">
        <v>2297</v>
      </c>
      <c r="C2113" s="1" t="s">
        <v>28</v>
      </c>
      <c r="D2113" t="s">
        <v>30</v>
      </c>
      <c r="E2113" t="s">
        <v>53</v>
      </c>
      <c r="F2113" t="s">
        <v>23</v>
      </c>
      <c r="G2113" t="s">
        <v>25</v>
      </c>
      <c r="H2113" s="3">
        <v>3</v>
      </c>
      <c r="I2113" s="3">
        <v>4512</v>
      </c>
      <c r="J2113" s="3">
        <v>13536</v>
      </c>
      <c r="K2113" s="3">
        <v>3200</v>
      </c>
      <c r="L2113" s="3">
        <v>9600</v>
      </c>
      <c r="M2113" s="3">
        <v>3936</v>
      </c>
      <c r="N2113" s="4">
        <v>0.29078014184397161</v>
      </c>
    </row>
    <row r="2114" spans="1:14" x14ac:dyDescent="0.3">
      <c r="A2114" s="6">
        <v>45809</v>
      </c>
      <c r="B2114" s="1" t="s">
        <v>2298</v>
      </c>
      <c r="C2114" s="1" t="s">
        <v>29</v>
      </c>
      <c r="D2114" t="s">
        <v>31</v>
      </c>
      <c r="E2114" t="s">
        <v>134</v>
      </c>
      <c r="F2114" t="s">
        <v>16</v>
      </c>
      <c r="G2114" t="s">
        <v>15</v>
      </c>
      <c r="H2114" s="3">
        <v>10</v>
      </c>
      <c r="I2114" s="3">
        <v>54720</v>
      </c>
      <c r="J2114" s="3">
        <v>547200</v>
      </c>
      <c r="K2114" s="3">
        <v>38000</v>
      </c>
      <c r="L2114" s="3">
        <v>380000</v>
      </c>
      <c r="M2114" s="3">
        <v>167200</v>
      </c>
      <c r="N2114" s="4">
        <v>0.30555555555555558</v>
      </c>
    </row>
    <row r="2115" spans="1:14" x14ac:dyDescent="0.3">
      <c r="A2115" s="6">
        <v>45809</v>
      </c>
      <c r="B2115" s="1" t="s">
        <v>2299</v>
      </c>
      <c r="C2115" s="1" t="s">
        <v>29</v>
      </c>
      <c r="D2115" t="s">
        <v>30</v>
      </c>
      <c r="E2115" t="s">
        <v>436</v>
      </c>
      <c r="F2115" t="s">
        <v>22</v>
      </c>
      <c r="G2115" t="s">
        <v>18</v>
      </c>
      <c r="H2115" s="3">
        <v>8</v>
      </c>
      <c r="I2115" s="3">
        <v>8540</v>
      </c>
      <c r="J2115" s="3">
        <v>68320</v>
      </c>
      <c r="K2115" s="3">
        <v>7000</v>
      </c>
      <c r="L2115" s="3">
        <v>56000</v>
      </c>
      <c r="M2115" s="3">
        <v>12320</v>
      </c>
      <c r="N2115" s="4">
        <v>0.18032786885245902</v>
      </c>
    </row>
    <row r="2116" spans="1:14" x14ac:dyDescent="0.3">
      <c r="A2116" s="6">
        <v>45809</v>
      </c>
      <c r="B2116" s="1" t="s">
        <v>2300</v>
      </c>
      <c r="C2116" s="1" t="s">
        <v>26</v>
      </c>
      <c r="D2116" t="s">
        <v>30</v>
      </c>
      <c r="E2116" t="s">
        <v>45</v>
      </c>
      <c r="F2116" t="s">
        <v>17</v>
      </c>
      <c r="G2116" t="s">
        <v>18</v>
      </c>
      <c r="H2116" s="3">
        <v>7</v>
      </c>
      <c r="I2116" s="3">
        <v>11390</v>
      </c>
      <c r="J2116" s="3">
        <v>79730</v>
      </c>
      <c r="K2116" s="3">
        <v>8500</v>
      </c>
      <c r="L2116" s="3">
        <v>59500</v>
      </c>
      <c r="M2116" s="3">
        <v>20230</v>
      </c>
      <c r="N2116" s="4">
        <v>0.2537313432835821</v>
      </c>
    </row>
    <row r="2117" spans="1:14" x14ac:dyDescent="0.3">
      <c r="A2117" s="6">
        <v>45809</v>
      </c>
      <c r="B2117" s="1" t="s">
        <v>2301</v>
      </c>
      <c r="C2117" s="1" t="s">
        <v>29</v>
      </c>
      <c r="D2117" t="s">
        <v>33</v>
      </c>
      <c r="E2117" t="s">
        <v>61</v>
      </c>
      <c r="F2117" t="s">
        <v>14</v>
      </c>
      <c r="G2117" t="s">
        <v>15</v>
      </c>
      <c r="H2117" s="3">
        <v>7</v>
      </c>
      <c r="I2117" s="3">
        <v>59400</v>
      </c>
      <c r="J2117" s="3">
        <v>415800</v>
      </c>
      <c r="K2117" s="3">
        <v>45000</v>
      </c>
      <c r="L2117" s="3">
        <v>315000</v>
      </c>
      <c r="M2117" s="3">
        <v>100800</v>
      </c>
      <c r="N2117" s="4">
        <v>0.24242424242424243</v>
      </c>
    </row>
    <row r="2118" spans="1:14" x14ac:dyDescent="0.3">
      <c r="A2118" s="6">
        <v>45809</v>
      </c>
      <c r="B2118" s="1" t="s">
        <v>2302</v>
      </c>
      <c r="C2118" s="1" t="s">
        <v>29</v>
      </c>
      <c r="D2118" t="s">
        <v>35</v>
      </c>
      <c r="E2118" t="s">
        <v>508</v>
      </c>
      <c r="F2118" t="s">
        <v>19</v>
      </c>
      <c r="G2118" t="s">
        <v>20</v>
      </c>
      <c r="H2118" s="3">
        <v>2</v>
      </c>
      <c r="I2118" s="3">
        <v>1080</v>
      </c>
      <c r="J2118" s="3">
        <v>2160</v>
      </c>
      <c r="K2118" s="3">
        <v>900</v>
      </c>
      <c r="L2118" s="3">
        <v>1800</v>
      </c>
      <c r="M2118" s="3">
        <v>360</v>
      </c>
      <c r="N2118" s="4">
        <v>0.16666666666666666</v>
      </c>
    </row>
    <row r="2119" spans="1:14" x14ac:dyDescent="0.3">
      <c r="A2119" s="6">
        <v>45809</v>
      </c>
      <c r="B2119" s="1" t="s">
        <v>2303</v>
      </c>
      <c r="C2119" s="1" t="s">
        <v>28</v>
      </c>
      <c r="D2119" t="s">
        <v>32</v>
      </c>
      <c r="E2119" t="s">
        <v>88</v>
      </c>
      <c r="F2119" t="s">
        <v>21</v>
      </c>
      <c r="G2119" t="s">
        <v>20</v>
      </c>
      <c r="H2119" s="3">
        <v>4</v>
      </c>
      <c r="I2119" s="3">
        <v>870</v>
      </c>
      <c r="J2119" s="3">
        <v>3480</v>
      </c>
      <c r="K2119" s="3">
        <v>600</v>
      </c>
      <c r="L2119" s="3">
        <v>2400</v>
      </c>
      <c r="M2119" s="3">
        <v>1080</v>
      </c>
      <c r="N2119" s="4">
        <v>0.31034482758620691</v>
      </c>
    </row>
    <row r="2120" spans="1:14" x14ac:dyDescent="0.3">
      <c r="A2120" s="6">
        <v>45809</v>
      </c>
      <c r="B2120" s="1" t="s">
        <v>2304</v>
      </c>
      <c r="C2120" s="1" t="s">
        <v>28</v>
      </c>
      <c r="D2120" t="s">
        <v>30</v>
      </c>
      <c r="E2120" t="s">
        <v>220</v>
      </c>
      <c r="F2120" t="s">
        <v>19</v>
      </c>
      <c r="G2120" t="s">
        <v>20</v>
      </c>
      <c r="H2120" s="3">
        <v>4</v>
      </c>
      <c r="I2120" s="3">
        <v>1107</v>
      </c>
      <c r="J2120" s="3">
        <v>4428</v>
      </c>
      <c r="K2120" s="3">
        <v>900</v>
      </c>
      <c r="L2120" s="3">
        <v>3600</v>
      </c>
      <c r="M2120" s="3">
        <v>828</v>
      </c>
      <c r="N2120" s="4">
        <v>0.18699186991869918</v>
      </c>
    </row>
    <row r="2121" spans="1:14" x14ac:dyDescent="0.3">
      <c r="A2121" s="6">
        <v>45809</v>
      </c>
      <c r="B2121" s="1" t="s">
        <v>2305</v>
      </c>
      <c r="C2121" s="1" t="s">
        <v>28</v>
      </c>
      <c r="D2121" t="s">
        <v>33</v>
      </c>
      <c r="E2121" t="s">
        <v>69</v>
      </c>
      <c r="F2121" t="s">
        <v>16</v>
      </c>
      <c r="G2121" t="s">
        <v>15</v>
      </c>
      <c r="H2121" s="3">
        <v>7</v>
      </c>
      <c r="I2121" s="3">
        <v>50540</v>
      </c>
      <c r="J2121" s="3">
        <v>353780</v>
      </c>
      <c r="K2121" s="3">
        <v>38000</v>
      </c>
      <c r="L2121" s="3">
        <v>266000</v>
      </c>
      <c r="M2121" s="3">
        <v>87780</v>
      </c>
      <c r="N2121" s="4">
        <v>0.24812030075187969</v>
      </c>
    </row>
    <row r="2122" spans="1:14" x14ac:dyDescent="0.3">
      <c r="A2122" s="6">
        <v>45809</v>
      </c>
      <c r="B2122" s="1" t="s">
        <v>2306</v>
      </c>
      <c r="C2122" s="1" t="s">
        <v>26</v>
      </c>
      <c r="D2122" t="s">
        <v>33</v>
      </c>
      <c r="E2122" t="s">
        <v>336</v>
      </c>
      <c r="F2122" t="s">
        <v>21</v>
      </c>
      <c r="G2122" t="s">
        <v>20</v>
      </c>
      <c r="H2122" s="3">
        <v>6</v>
      </c>
      <c r="I2122" s="3">
        <v>762</v>
      </c>
      <c r="J2122" s="3">
        <v>4572</v>
      </c>
      <c r="K2122" s="3">
        <v>600</v>
      </c>
      <c r="L2122" s="3">
        <v>3600</v>
      </c>
      <c r="M2122" s="3">
        <v>972</v>
      </c>
      <c r="N2122" s="4">
        <v>0.2125984251968504</v>
      </c>
    </row>
    <row r="2123" spans="1:14" x14ac:dyDescent="0.3">
      <c r="A2123" s="6">
        <v>45809</v>
      </c>
      <c r="B2123" s="1" t="s">
        <v>2307</v>
      </c>
      <c r="C2123" s="1" t="s">
        <v>28</v>
      </c>
      <c r="D2123" t="s">
        <v>30</v>
      </c>
      <c r="E2123" t="s">
        <v>153</v>
      </c>
      <c r="F2123" t="s">
        <v>24</v>
      </c>
      <c r="G2123" t="s">
        <v>25</v>
      </c>
      <c r="H2123" s="3">
        <v>3</v>
      </c>
      <c r="I2123" s="3">
        <v>3375</v>
      </c>
      <c r="J2123" s="3">
        <v>10125</v>
      </c>
      <c r="K2123" s="3">
        <v>2500</v>
      </c>
      <c r="L2123" s="3">
        <v>7500</v>
      </c>
      <c r="M2123" s="3">
        <v>2625</v>
      </c>
      <c r="N2123" s="4">
        <v>0.25925925925925924</v>
      </c>
    </row>
    <row r="2124" spans="1:14" x14ac:dyDescent="0.3">
      <c r="A2124" s="6">
        <v>45809</v>
      </c>
      <c r="B2124" s="1" t="s">
        <v>2308</v>
      </c>
      <c r="C2124" s="1" t="s">
        <v>29</v>
      </c>
      <c r="D2124" t="s">
        <v>30</v>
      </c>
      <c r="E2124" t="s">
        <v>129</v>
      </c>
      <c r="F2124" t="s">
        <v>21</v>
      </c>
      <c r="G2124" t="s">
        <v>20</v>
      </c>
      <c r="H2124" s="3">
        <v>9</v>
      </c>
      <c r="I2124" s="3">
        <v>762</v>
      </c>
      <c r="J2124" s="3">
        <v>6858</v>
      </c>
      <c r="K2124" s="3">
        <v>600</v>
      </c>
      <c r="L2124" s="3">
        <v>5400</v>
      </c>
      <c r="M2124" s="3">
        <v>1458</v>
      </c>
      <c r="N2124" s="4">
        <v>0.2125984251968504</v>
      </c>
    </row>
    <row r="2125" spans="1:14" x14ac:dyDescent="0.3">
      <c r="A2125" s="6">
        <v>45809</v>
      </c>
      <c r="B2125" s="1" t="s">
        <v>2309</v>
      </c>
      <c r="C2125" s="1" t="s">
        <v>28</v>
      </c>
      <c r="D2125" t="s">
        <v>33</v>
      </c>
      <c r="E2125" t="s">
        <v>524</v>
      </c>
      <c r="F2125" t="s">
        <v>23</v>
      </c>
      <c r="G2125" t="s">
        <v>25</v>
      </c>
      <c r="H2125" s="3">
        <v>5</v>
      </c>
      <c r="I2125" s="3">
        <v>3904</v>
      </c>
      <c r="J2125" s="3">
        <v>19520</v>
      </c>
      <c r="K2125" s="3">
        <v>3200</v>
      </c>
      <c r="L2125" s="3">
        <v>16000</v>
      </c>
      <c r="M2125" s="3">
        <v>3520</v>
      </c>
      <c r="N2125" s="4">
        <v>0.18032786885245902</v>
      </c>
    </row>
    <row r="2126" spans="1:14" x14ac:dyDescent="0.3">
      <c r="A2126" s="6">
        <v>45809</v>
      </c>
      <c r="B2126" s="1" t="s">
        <v>2310</v>
      </c>
      <c r="C2126" s="1" t="s">
        <v>26</v>
      </c>
      <c r="D2126" t="s">
        <v>30</v>
      </c>
      <c r="E2126" t="s">
        <v>116</v>
      </c>
      <c r="F2126" t="s">
        <v>23</v>
      </c>
      <c r="G2126" t="s">
        <v>25</v>
      </c>
      <c r="H2126" s="3">
        <v>3</v>
      </c>
      <c r="I2126" s="3">
        <v>4576</v>
      </c>
      <c r="J2126" s="3">
        <v>13728</v>
      </c>
      <c r="K2126" s="3">
        <v>3200</v>
      </c>
      <c r="L2126" s="3">
        <v>9600</v>
      </c>
      <c r="M2126" s="3">
        <v>4128</v>
      </c>
      <c r="N2126" s="4">
        <v>0.30069930069930068</v>
      </c>
    </row>
    <row r="2127" spans="1:14" x14ac:dyDescent="0.3">
      <c r="A2127" s="6">
        <v>45809</v>
      </c>
      <c r="B2127" s="1" t="s">
        <v>2311</v>
      </c>
      <c r="C2127" s="1" t="s">
        <v>27</v>
      </c>
      <c r="D2127" t="s">
        <v>31</v>
      </c>
      <c r="E2127" t="s">
        <v>249</v>
      </c>
      <c r="F2127" t="s">
        <v>16</v>
      </c>
      <c r="G2127" t="s">
        <v>15</v>
      </c>
      <c r="H2127" s="3">
        <v>4</v>
      </c>
      <c r="I2127" s="3">
        <v>48640</v>
      </c>
      <c r="J2127" s="3">
        <v>194560</v>
      </c>
      <c r="K2127" s="3">
        <v>38000</v>
      </c>
      <c r="L2127" s="3">
        <v>152000</v>
      </c>
      <c r="M2127" s="3">
        <v>42560</v>
      </c>
      <c r="N2127" s="4">
        <v>0.21875</v>
      </c>
    </row>
    <row r="2128" spans="1:14" x14ac:dyDescent="0.3">
      <c r="A2128" s="6">
        <v>45810</v>
      </c>
      <c r="B2128" s="1" t="s">
        <v>2312</v>
      </c>
      <c r="C2128" s="1" t="s">
        <v>28</v>
      </c>
      <c r="D2128" t="s">
        <v>32</v>
      </c>
      <c r="E2128" t="s">
        <v>76</v>
      </c>
      <c r="F2128" t="s">
        <v>21</v>
      </c>
      <c r="G2128" t="s">
        <v>20</v>
      </c>
      <c r="H2128" s="3">
        <v>7</v>
      </c>
      <c r="I2128" s="3">
        <v>870</v>
      </c>
      <c r="J2128" s="3">
        <v>6090</v>
      </c>
      <c r="K2128" s="3">
        <v>600</v>
      </c>
      <c r="L2128" s="3">
        <v>4200</v>
      </c>
      <c r="M2128" s="3">
        <v>1890</v>
      </c>
      <c r="N2128" s="4">
        <v>0.31034482758620691</v>
      </c>
    </row>
    <row r="2129" spans="1:14" x14ac:dyDescent="0.3">
      <c r="A2129" s="6">
        <v>45810</v>
      </c>
      <c r="B2129" s="1" t="s">
        <v>2313</v>
      </c>
      <c r="C2129" s="1" t="s">
        <v>29</v>
      </c>
      <c r="D2129" t="s">
        <v>31</v>
      </c>
      <c r="E2129" t="s">
        <v>327</v>
      </c>
      <c r="F2129" t="s">
        <v>23</v>
      </c>
      <c r="G2129" t="s">
        <v>25</v>
      </c>
      <c r="H2129" s="3">
        <v>5</v>
      </c>
      <c r="I2129" s="3">
        <v>4320</v>
      </c>
      <c r="J2129" s="3">
        <v>21600</v>
      </c>
      <c r="K2129" s="3">
        <v>3200</v>
      </c>
      <c r="L2129" s="3">
        <v>16000</v>
      </c>
      <c r="M2129" s="3">
        <v>5600</v>
      </c>
      <c r="N2129" s="4">
        <v>0.25925925925925924</v>
      </c>
    </row>
    <row r="2130" spans="1:14" x14ac:dyDescent="0.3">
      <c r="A2130" s="6">
        <v>45810</v>
      </c>
      <c r="B2130" s="1" t="s">
        <v>2314</v>
      </c>
      <c r="C2130" s="1" t="s">
        <v>26</v>
      </c>
      <c r="D2130" t="s">
        <v>32</v>
      </c>
      <c r="E2130" t="s">
        <v>263</v>
      </c>
      <c r="F2130" t="s">
        <v>24</v>
      </c>
      <c r="G2130" t="s">
        <v>25</v>
      </c>
      <c r="H2130" s="3">
        <v>8</v>
      </c>
      <c r="I2130" s="3">
        <v>3325</v>
      </c>
      <c r="J2130" s="3">
        <v>26600</v>
      </c>
      <c r="K2130" s="3">
        <v>2500</v>
      </c>
      <c r="L2130" s="3">
        <v>20000</v>
      </c>
      <c r="M2130" s="3">
        <v>6600</v>
      </c>
      <c r="N2130" s="4">
        <v>0.24812030075187969</v>
      </c>
    </row>
    <row r="2131" spans="1:14" x14ac:dyDescent="0.3">
      <c r="A2131" s="6">
        <v>45810</v>
      </c>
      <c r="B2131" s="1" t="s">
        <v>2315</v>
      </c>
      <c r="C2131" s="1" t="s">
        <v>29</v>
      </c>
      <c r="D2131" t="s">
        <v>33</v>
      </c>
      <c r="E2131" t="s">
        <v>193</v>
      </c>
      <c r="F2131" t="s">
        <v>17</v>
      </c>
      <c r="G2131" t="s">
        <v>18</v>
      </c>
      <c r="H2131" s="3">
        <v>2</v>
      </c>
      <c r="I2131" s="3">
        <v>10455</v>
      </c>
      <c r="J2131" s="3">
        <v>20910</v>
      </c>
      <c r="K2131" s="3">
        <v>8500</v>
      </c>
      <c r="L2131" s="3">
        <v>17000</v>
      </c>
      <c r="M2131" s="3">
        <v>3910</v>
      </c>
      <c r="N2131" s="4">
        <v>0.18699186991869918</v>
      </c>
    </row>
    <row r="2132" spans="1:14" x14ac:dyDescent="0.3">
      <c r="A2132" s="6">
        <v>45810</v>
      </c>
      <c r="B2132" s="1" t="s">
        <v>2316</v>
      </c>
      <c r="C2132" s="1" t="s">
        <v>28</v>
      </c>
      <c r="D2132" t="s">
        <v>35</v>
      </c>
      <c r="E2132" t="s">
        <v>155</v>
      </c>
      <c r="F2132" t="s">
        <v>19</v>
      </c>
      <c r="G2132" t="s">
        <v>20</v>
      </c>
      <c r="H2132" s="3">
        <v>7</v>
      </c>
      <c r="I2132" s="3">
        <v>1143</v>
      </c>
      <c r="J2132" s="3">
        <v>8001</v>
      </c>
      <c r="K2132" s="3">
        <v>900</v>
      </c>
      <c r="L2132" s="3">
        <v>6300</v>
      </c>
      <c r="M2132" s="3">
        <v>1701</v>
      </c>
      <c r="N2132" s="4">
        <v>0.2125984251968504</v>
      </c>
    </row>
    <row r="2133" spans="1:14" x14ac:dyDescent="0.3">
      <c r="A2133" s="6">
        <v>45810</v>
      </c>
      <c r="B2133" s="1" t="s">
        <v>2317</v>
      </c>
      <c r="C2133" s="1" t="s">
        <v>26</v>
      </c>
      <c r="D2133" t="s">
        <v>33</v>
      </c>
      <c r="E2133" t="s">
        <v>98</v>
      </c>
      <c r="F2133" t="s">
        <v>21</v>
      </c>
      <c r="G2133" t="s">
        <v>20</v>
      </c>
      <c r="H2133" s="3">
        <v>8</v>
      </c>
      <c r="I2133" s="3">
        <v>780</v>
      </c>
      <c r="J2133" s="3">
        <v>6240</v>
      </c>
      <c r="K2133" s="3">
        <v>600</v>
      </c>
      <c r="L2133" s="3">
        <v>4800</v>
      </c>
      <c r="M2133" s="3">
        <v>1440</v>
      </c>
      <c r="N2133" s="4">
        <v>0.23076923076923078</v>
      </c>
    </row>
    <row r="2134" spans="1:14" x14ac:dyDescent="0.3">
      <c r="A2134" s="6">
        <v>45810</v>
      </c>
      <c r="B2134" s="1" t="s">
        <v>2318</v>
      </c>
      <c r="C2134" s="1" t="s">
        <v>27</v>
      </c>
      <c r="D2134" t="s">
        <v>34</v>
      </c>
      <c r="E2134" t="s">
        <v>100</v>
      </c>
      <c r="F2134" t="s">
        <v>23</v>
      </c>
      <c r="G2134" t="s">
        <v>25</v>
      </c>
      <c r="H2134" s="3">
        <v>4</v>
      </c>
      <c r="I2134" s="3">
        <v>4288</v>
      </c>
      <c r="J2134" s="3">
        <v>17152</v>
      </c>
      <c r="K2134" s="3">
        <v>3200</v>
      </c>
      <c r="L2134" s="3">
        <v>12800</v>
      </c>
      <c r="M2134" s="3">
        <v>4352</v>
      </c>
      <c r="N2134" s="4">
        <v>0.2537313432835821</v>
      </c>
    </row>
    <row r="2135" spans="1:14" x14ac:dyDescent="0.3">
      <c r="A2135" s="6">
        <v>45810</v>
      </c>
      <c r="B2135" s="1" t="s">
        <v>2319</v>
      </c>
      <c r="C2135" s="1" t="s">
        <v>27</v>
      </c>
      <c r="D2135" t="s">
        <v>30</v>
      </c>
      <c r="E2135" t="s">
        <v>216</v>
      </c>
      <c r="F2135" t="s">
        <v>16</v>
      </c>
      <c r="G2135" t="s">
        <v>15</v>
      </c>
      <c r="H2135" s="3">
        <v>9</v>
      </c>
      <c r="I2135" s="3">
        <v>50540</v>
      </c>
      <c r="J2135" s="3">
        <v>454860</v>
      </c>
      <c r="K2135" s="3">
        <v>38000</v>
      </c>
      <c r="L2135" s="3">
        <v>342000</v>
      </c>
      <c r="M2135" s="3">
        <v>112860</v>
      </c>
      <c r="N2135" s="4">
        <v>0.24812030075187969</v>
      </c>
    </row>
    <row r="2136" spans="1:14" x14ac:dyDescent="0.3">
      <c r="A2136" s="6">
        <v>45810</v>
      </c>
      <c r="B2136" s="1" t="s">
        <v>2320</v>
      </c>
      <c r="C2136" s="1" t="s">
        <v>29</v>
      </c>
      <c r="D2136" t="s">
        <v>31</v>
      </c>
      <c r="E2136" t="s">
        <v>273</v>
      </c>
      <c r="F2136" t="s">
        <v>24</v>
      </c>
      <c r="G2136" t="s">
        <v>25</v>
      </c>
      <c r="H2136" s="3">
        <v>6</v>
      </c>
      <c r="I2136" s="3">
        <v>3225</v>
      </c>
      <c r="J2136" s="3">
        <v>19350</v>
      </c>
      <c r="K2136" s="3">
        <v>2500</v>
      </c>
      <c r="L2136" s="3">
        <v>15000</v>
      </c>
      <c r="M2136" s="3">
        <v>4350</v>
      </c>
      <c r="N2136" s="4">
        <v>0.22480620155038761</v>
      </c>
    </row>
    <row r="2137" spans="1:14" x14ac:dyDescent="0.3">
      <c r="A2137" s="6">
        <v>45810</v>
      </c>
      <c r="B2137" s="1" t="s">
        <v>2321</v>
      </c>
      <c r="C2137" s="1" t="s">
        <v>27</v>
      </c>
      <c r="D2137" t="s">
        <v>35</v>
      </c>
      <c r="E2137" t="s">
        <v>286</v>
      </c>
      <c r="F2137" t="s">
        <v>23</v>
      </c>
      <c r="G2137" t="s">
        <v>25</v>
      </c>
      <c r="H2137" s="3">
        <v>9</v>
      </c>
      <c r="I2137" s="3">
        <v>4416</v>
      </c>
      <c r="J2137" s="3">
        <v>39744</v>
      </c>
      <c r="K2137" s="3">
        <v>3200</v>
      </c>
      <c r="L2137" s="3">
        <v>28800</v>
      </c>
      <c r="M2137" s="3">
        <v>10944</v>
      </c>
      <c r="N2137" s="4">
        <v>0.27536231884057971</v>
      </c>
    </row>
    <row r="2138" spans="1:14" x14ac:dyDescent="0.3">
      <c r="A2138" s="6">
        <v>45810</v>
      </c>
      <c r="B2138" s="1" t="s">
        <v>2322</v>
      </c>
      <c r="C2138" s="1" t="s">
        <v>26</v>
      </c>
      <c r="D2138" t="s">
        <v>31</v>
      </c>
      <c r="E2138" t="s">
        <v>157</v>
      </c>
      <c r="F2138" t="s">
        <v>19</v>
      </c>
      <c r="G2138" t="s">
        <v>20</v>
      </c>
      <c r="H2138" s="3">
        <v>8</v>
      </c>
      <c r="I2138" s="3">
        <v>1206</v>
      </c>
      <c r="J2138" s="3">
        <v>9648</v>
      </c>
      <c r="K2138" s="3">
        <v>900</v>
      </c>
      <c r="L2138" s="3">
        <v>7200</v>
      </c>
      <c r="M2138" s="3">
        <v>2448</v>
      </c>
      <c r="N2138" s="4">
        <v>0.2537313432835821</v>
      </c>
    </row>
    <row r="2139" spans="1:14" x14ac:dyDescent="0.3">
      <c r="A2139" s="6">
        <v>45810</v>
      </c>
      <c r="B2139" s="1" t="s">
        <v>2323</v>
      </c>
      <c r="C2139" s="1" t="s">
        <v>27</v>
      </c>
      <c r="D2139" t="s">
        <v>32</v>
      </c>
      <c r="E2139" t="s">
        <v>304</v>
      </c>
      <c r="F2139" t="s">
        <v>22</v>
      </c>
      <c r="G2139" t="s">
        <v>18</v>
      </c>
      <c r="H2139" s="3">
        <v>5</v>
      </c>
      <c r="I2139" s="3">
        <v>9660</v>
      </c>
      <c r="J2139" s="3">
        <v>48300</v>
      </c>
      <c r="K2139" s="3">
        <v>7000</v>
      </c>
      <c r="L2139" s="3">
        <v>35000</v>
      </c>
      <c r="M2139" s="3">
        <v>13300</v>
      </c>
      <c r="N2139" s="4">
        <v>0.27536231884057971</v>
      </c>
    </row>
    <row r="2140" spans="1:14" x14ac:dyDescent="0.3">
      <c r="A2140" s="6">
        <v>45810</v>
      </c>
      <c r="B2140" s="1" t="s">
        <v>2324</v>
      </c>
      <c r="C2140" s="1" t="s">
        <v>27</v>
      </c>
      <c r="D2140" t="s">
        <v>30</v>
      </c>
      <c r="E2140" t="s">
        <v>100</v>
      </c>
      <c r="F2140" t="s">
        <v>14</v>
      </c>
      <c r="G2140" t="s">
        <v>15</v>
      </c>
      <c r="H2140" s="3">
        <v>3</v>
      </c>
      <c r="I2140" s="3">
        <v>62999.999999999993</v>
      </c>
      <c r="J2140" s="3">
        <v>188999.99999999997</v>
      </c>
      <c r="K2140" s="3">
        <v>45000</v>
      </c>
      <c r="L2140" s="3">
        <v>135000</v>
      </c>
      <c r="M2140" s="3">
        <v>53999.999999999971</v>
      </c>
      <c r="N2140" s="4">
        <v>0.28571428571428559</v>
      </c>
    </row>
    <row r="2141" spans="1:14" x14ac:dyDescent="0.3">
      <c r="A2141" s="6">
        <v>45810</v>
      </c>
      <c r="B2141" s="1" t="s">
        <v>2325</v>
      </c>
      <c r="C2141" s="1" t="s">
        <v>29</v>
      </c>
      <c r="D2141" t="s">
        <v>32</v>
      </c>
      <c r="E2141" t="s">
        <v>226</v>
      </c>
      <c r="F2141" t="s">
        <v>24</v>
      </c>
      <c r="G2141" t="s">
        <v>25</v>
      </c>
      <c r="H2141" s="3">
        <v>2</v>
      </c>
      <c r="I2141" s="3">
        <v>3350</v>
      </c>
      <c r="J2141" s="3">
        <v>6700</v>
      </c>
      <c r="K2141" s="3">
        <v>2500</v>
      </c>
      <c r="L2141" s="3">
        <v>5000</v>
      </c>
      <c r="M2141" s="3">
        <v>1700</v>
      </c>
      <c r="N2141" s="4">
        <v>0.2537313432835821</v>
      </c>
    </row>
    <row r="2142" spans="1:14" x14ac:dyDescent="0.3">
      <c r="A2142" s="6">
        <v>45811</v>
      </c>
      <c r="B2142" s="1" t="s">
        <v>2326</v>
      </c>
      <c r="C2142" s="1" t="s">
        <v>29</v>
      </c>
      <c r="D2142" t="s">
        <v>32</v>
      </c>
      <c r="E2142" t="s">
        <v>186</v>
      </c>
      <c r="F2142" t="s">
        <v>24</v>
      </c>
      <c r="G2142" t="s">
        <v>25</v>
      </c>
      <c r="H2142" s="3">
        <v>1</v>
      </c>
      <c r="I2142" s="3">
        <v>3449.9999999999995</v>
      </c>
      <c r="J2142" s="3">
        <v>3449.9999999999995</v>
      </c>
      <c r="K2142" s="3">
        <v>2500</v>
      </c>
      <c r="L2142" s="3">
        <v>2500</v>
      </c>
      <c r="M2142" s="3">
        <v>949.99999999999955</v>
      </c>
      <c r="N2142" s="4">
        <v>0.2753623188405796</v>
      </c>
    </row>
    <row r="2143" spans="1:14" x14ac:dyDescent="0.3">
      <c r="A2143" s="6">
        <v>45811</v>
      </c>
      <c r="B2143" s="1" t="s">
        <v>2327</v>
      </c>
      <c r="C2143" s="1" t="s">
        <v>26</v>
      </c>
      <c r="D2143" t="s">
        <v>33</v>
      </c>
      <c r="E2143" t="s">
        <v>214</v>
      </c>
      <c r="F2143" t="s">
        <v>17</v>
      </c>
      <c r="G2143" t="s">
        <v>18</v>
      </c>
      <c r="H2143" s="3">
        <v>9</v>
      </c>
      <c r="I2143" s="3">
        <v>10540</v>
      </c>
      <c r="J2143" s="3">
        <v>94860</v>
      </c>
      <c r="K2143" s="3">
        <v>8500</v>
      </c>
      <c r="L2143" s="3">
        <v>76500</v>
      </c>
      <c r="M2143" s="3">
        <v>18360</v>
      </c>
      <c r="N2143" s="4">
        <v>0.19354838709677419</v>
      </c>
    </row>
    <row r="2144" spans="1:14" x14ac:dyDescent="0.3">
      <c r="A2144" s="6">
        <v>45811</v>
      </c>
      <c r="B2144" s="1" t="s">
        <v>2328</v>
      </c>
      <c r="C2144" s="1" t="s">
        <v>28</v>
      </c>
      <c r="D2144" t="s">
        <v>34</v>
      </c>
      <c r="E2144" t="s">
        <v>189</v>
      </c>
      <c r="F2144" t="s">
        <v>19</v>
      </c>
      <c r="G2144" t="s">
        <v>20</v>
      </c>
      <c r="H2144" s="3">
        <v>10</v>
      </c>
      <c r="I2144" s="3">
        <v>1287</v>
      </c>
      <c r="J2144" s="3">
        <v>12870</v>
      </c>
      <c r="K2144" s="3">
        <v>900</v>
      </c>
      <c r="L2144" s="3">
        <v>9000</v>
      </c>
      <c r="M2144" s="3">
        <v>3870</v>
      </c>
      <c r="N2144" s="4">
        <v>0.30069930069930068</v>
      </c>
    </row>
    <row r="2145" spans="1:14" x14ac:dyDescent="0.3">
      <c r="A2145" s="6">
        <v>45811</v>
      </c>
      <c r="B2145" s="1" t="s">
        <v>2329</v>
      </c>
      <c r="C2145" s="1" t="s">
        <v>29</v>
      </c>
      <c r="D2145" t="s">
        <v>34</v>
      </c>
      <c r="E2145" t="s">
        <v>442</v>
      </c>
      <c r="F2145" t="s">
        <v>24</v>
      </c>
      <c r="G2145" t="s">
        <v>25</v>
      </c>
      <c r="H2145" s="3">
        <v>7</v>
      </c>
      <c r="I2145" s="3">
        <v>3600</v>
      </c>
      <c r="J2145" s="3">
        <v>25200</v>
      </c>
      <c r="K2145" s="3">
        <v>2500</v>
      </c>
      <c r="L2145" s="3">
        <v>17500</v>
      </c>
      <c r="M2145" s="3">
        <v>7700</v>
      </c>
      <c r="N2145" s="4">
        <v>0.30555555555555558</v>
      </c>
    </row>
    <row r="2146" spans="1:14" x14ac:dyDescent="0.3">
      <c r="A2146" s="6">
        <v>45811</v>
      </c>
      <c r="B2146" s="1" t="s">
        <v>2330</v>
      </c>
      <c r="C2146" s="1" t="s">
        <v>28</v>
      </c>
      <c r="D2146" t="s">
        <v>33</v>
      </c>
      <c r="E2146" t="s">
        <v>243</v>
      </c>
      <c r="F2146" t="s">
        <v>23</v>
      </c>
      <c r="G2146" t="s">
        <v>25</v>
      </c>
      <c r="H2146" s="3">
        <v>9</v>
      </c>
      <c r="I2146" s="3">
        <v>4160</v>
      </c>
      <c r="J2146" s="3">
        <v>37440</v>
      </c>
      <c r="K2146" s="3">
        <v>3200</v>
      </c>
      <c r="L2146" s="3">
        <v>28800</v>
      </c>
      <c r="M2146" s="3">
        <v>8640</v>
      </c>
      <c r="N2146" s="4">
        <v>0.23076923076923078</v>
      </c>
    </row>
    <row r="2147" spans="1:14" x14ac:dyDescent="0.3">
      <c r="A2147" s="6">
        <v>45811</v>
      </c>
      <c r="B2147" s="1" t="s">
        <v>2331</v>
      </c>
      <c r="C2147" s="1" t="s">
        <v>29</v>
      </c>
      <c r="D2147" t="s">
        <v>35</v>
      </c>
      <c r="E2147" t="s">
        <v>361</v>
      </c>
      <c r="F2147" t="s">
        <v>23</v>
      </c>
      <c r="G2147" t="s">
        <v>25</v>
      </c>
      <c r="H2147" s="3">
        <v>2</v>
      </c>
      <c r="I2147" s="3">
        <v>3904</v>
      </c>
      <c r="J2147" s="3">
        <v>7808</v>
      </c>
      <c r="K2147" s="3">
        <v>3200</v>
      </c>
      <c r="L2147" s="3">
        <v>6400</v>
      </c>
      <c r="M2147" s="3">
        <v>1408</v>
      </c>
      <c r="N2147" s="4">
        <v>0.18032786885245902</v>
      </c>
    </row>
    <row r="2148" spans="1:14" x14ac:dyDescent="0.3">
      <c r="A2148" s="6">
        <v>45811</v>
      </c>
      <c r="B2148" s="1" t="s">
        <v>2332</v>
      </c>
      <c r="C2148" s="1" t="s">
        <v>26</v>
      </c>
      <c r="D2148" t="s">
        <v>32</v>
      </c>
      <c r="E2148" t="s">
        <v>265</v>
      </c>
      <c r="F2148" t="s">
        <v>14</v>
      </c>
      <c r="G2148" t="s">
        <v>15</v>
      </c>
      <c r="H2148" s="3">
        <v>4</v>
      </c>
      <c r="I2148" s="3">
        <v>64350</v>
      </c>
      <c r="J2148" s="3">
        <v>257400</v>
      </c>
      <c r="K2148" s="3">
        <v>45000</v>
      </c>
      <c r="L2148" s="3">
        <v>180000</v>
      </c>
      <c r="M2148" s="3">
        <v>77400</v>
      </c>
      <c r="N2148" s="4">
        <v>0.30069930069930068</v>
      </c>
    </row>
    <row r="2149" spans="1:14" x14ac:dyDescent="0.3">
      <c r="A2149" s="6">
        <v>45811</v>
      </c>
      <c r="B2149" s="1" t="s">
        <v>2333</v>
      </c>
      <c r="C2149" s="1" t="s">
        <v>27</v>
      </c>
      <c r="D2149" t="s">
        <v>31</v>
      </c>
      <c r="E2149" t="s">
        <v>243</v>
      </c>
      <c r="F2149" t="s">
        <v>16</v>
      </c>
      <c r="G2149" t="s">
        <v>15</v>
      </c>
      <c r="H2149" s="3">
        <v>4</v>
      </c>
      <c r="I2149" s="3">
        <v>47500</v>
      </c>
      <c r="J2149" s="3">
        <v>190000</v>
      </c>
      <c r="K2149" s="3">
        <v>38000</v>
      </c>
      <c r="L2149" s="3">
        <v>152000</v>
      </c>
      <c r="M2149" s="3">
        <v>38000</v>
      </c>
      <c r="N2149" s="4">
        <v>0.2</v>
      </c>
    </row>
    <row r="2150" spans="1:14" x14ac:dyDescent="0.3">
      <c r="A2150" s="6">
        <v>45811</v>
      </c>
      <c r="B2150" s="1" t="s">
        <v>2334</v>
      </c>
      <c r="C2150" s="1" t="s">
        <v>26</v>
      </c>
      <c r="D2150" t="s">
        <v>32</v>
      </c>
      <c r="E2150" t="s">
        <v>155</v>
      </c>
      <c r="F2150" t="s">
        <v>14</v>
      </c>
      <c r="G2150" t="s">
        <v>15</v>
      </c>
      <c r="H2150" s="3">
        <v>7</v>
      </c>
      <c r="I2150" s="3">
        <v>61650.000000000007</v>
      </c>
      <c r="J2150" s="3">
        <v>431550.00000000006</v>
      </c>
      <c r="K2150" s="3">
        <v>45000</v>
      </c>
      <c r="L2150" s="3">
        <v>315000</v>
      </c>
      <c r="M2150" s="3">
        <v>116550.00000000006</v>
      </c>
      <c r="N2150" s="4">
        <v>0.27007299270073004</v>
      </c>
    </row>
    <row r="2151" spans="1:14" x14ac:dyDescent="0.3">
      <c r="A2151" s="6">
        <v>45811</v>
      </c>
      <c r="B2151" s="1" t="s">
        <v>2335</v>
      </c>
      <c r="C2151" s="1" t="s">
        <v>28</v>
      </c>
      <c r="D2151" t="s">
        <v>35</v>
      </c>
      <c r="E2151" t="s">
        <v>63</v>
      </c>
      <c r="F2151" t="s">
        <v>17</v>
      </c>
      <c r="G2151" t="s">
        <v>18</v>
      </c>
      <c r="H2151" s="3">
        <v>9</v>
      </c>
      <c r="I2151" s="3">
        <v>11135</v>
      </c>
      <c r="J2151" s="3">
        <v>100215</v>
      </c>
      <c r="K2151" s="3">
        <v>8500</v>
      </c>
      <c r="L2151" s="3">
        <v>76500</v>
      </c>
      <c r="M2151" s="3">
        <v>23715</v>
      </c>
      <c r="N2151" s="4">
        <v>0.23664122137404581</v>
      </c>
    </row>
    <row r="2152" spans="1:14" x14ac:dyDescent="0.3">
      <c r="A2152" s="6">
        <v>45811</v>
      </c>
      <c r="B2152" s="1" t="s">
        <v>2336</v>
      </c>
      <c r="C2152" s="1" t="s">
        <v>26</v>
      </c>
      <c r="D2152" t="s">
        <v>31</v>
      </c>
      <c r="E2152" t="s">
        <v>118</v>
      </c>
      <c r="F2152" t="s">
        <v>23</v>
      </c>
      <c r="G2152" t="s">
        <v>25</v>
      </c>
      <c r="H2152" s="3">
        <v>5</v>
      </c>
      <c r="I2152" s="3">
        <v>4416</v>
      </c>
      <c r="J2152" s="3">
        <v>22080</v>
      </c>
      <c r="K2152" s="3">
        <v>3200</v>
      </c>
      <c r="L2152" s="3">
        <v>16000</v>
      </c>
      <c r="M2152" s="3">
        <v>6080</v>
      </c>
      <c r="N2152" s="4">
        <v>0.27536231884057971</v>
      </c>
    </row>
    <row r="2153" spans="1:14" x14ac:dyDescent="0.3">
      <c r="A2153" s="6">
        <v>45811</v>
      </c>
      <c r="B2153" s="1" t="s">
        <v>2337</v>
      </c>
      <c r="C2153" s="1" t="s">
        <v>27</v>
      </c>
      <c r="D2153" t="s">
        <v>30</v>
      </c>
      <c r="E2153" t="s">
        <v>90</v>
      </c>
      <c r="F2153" t="s">
        <v>14</v>
      </c>
      <c r="G2153" t="s">
        <v>15</v>
      </c>
      <c r="H2153" s="3">
        <v>1</v>
      </c>
      <c r="I2153" s="3">
        <v>61199.999999999993</v>
      </c>
      <c r="J2153" s="3">
        <v>61199.999999999993</v>
      </c>
      <c r="K2153" s="3">
        <v>45000</v>
      </c>
      <c r="L2153" s="3">
        <v>45000</v>
      </c>
      <c r="M2153" s="3">
        <v>16199.999999999993</v>
      </c>
      <c r="N2153" s="4">
        <v>0.26470588235294107</v>
      </c>
    </row>
    <row r="2154" spans="1:14" x14ac:dyDescent="0.3">
      <c r="A2154" s="6">
        <v>45811</v>
      </c>
      <c r="B2154" s="1" t="s">
        <v>2338</v>
      </c>
      <c r="C2154" s="1" t="s">
        <v>29</v>
      </c>
      <c r="D2154" t="s">
        <v>35</v>
      </c>
      <c r="E2154" t="s">
        <v>184</v>
      </c>
      <c r="F2154" t="s">
        <v>24</v>
      </c>
      <c r="G2154" t="s">
        <v>25</v>
      </c>
      <c r="H2154" s="3">
        <v>10</v>
      </c>
      <c r="I2154" s="3">
        <v>3225</v>
      </c>
      <c r="J2154" s="3">
        <v>32250</v>
      </c>
      <c r="K2154" s="3">
        <v>2500</v>
      </c>
      <c r="L2154" s="3">
        <v>25000</v>
      </c>
      <c r="M2154" s="3">
        <v>7250</v>
      </c>
      <c r="N2154" s="4">
        <v>0.22480620155038761</v>
      </c>
    </row>
    <row r="2155" spans="1:14" x14ac:dyDescent="0.3">
      <c r="A2155" s="6">
        <v>45811</v>
      </c>
      <c r="B2155" s="1" t="s">
        <v>2339</v>
      </c>
      <c r="C2155" s="1" t="s">
        <v>26</v>
      </c>
      <c r="D2155" t="s">
        <v>30</v>
      </c>
      <c r="E2155" t="s">
        <v>131</v>
      </c>
      <c r="F2155" t="s">
        <v>23</v>
      </c>
      <c r="G2155" t="s">
        <v>25</v>
      </c>
      <c r="H2155" s="3">
        <v>10</v>
      </c>
      <c r="I2155" s="3">
        <v>4096</v>
      </c>
      <c r="J2155" s="3">
        <v>40960</v>
      </c>
      <c r="K2155" s="3">
        <v>3200</v>
      </c>
      <c r="L2155" s="3">
        <v>32000</v>
      </c>
      <c r="M2155" s="3">
        <v>8960</v>
      </c>
      <c r="N2155" s="4">
        <v>0.21875</v>
      </c>
    </row>
    <row r="2156" spans="1:14" x14ac:dyDescent="0.3">
      <c r="A2156" s="6">
        <v>45812</v>
      </c>
      <c r="B2156" s="1" t="s">
        <v>2340</v>
      </c>
      <c r="C2156" s="1" t="s">
        <v>26</v>
      </c>
      <c r="D2156" t="s">
        <v>33</v>
      </c>
      <c r="E2156" t="s">
        <v>76</v>
      </c>
      <c r="F2156" t="s">
        <v>24</v>
      </c>
      <c r="G2156" t="s">
        <v>25</v>
      </c>
      <c r="H2156" s="3">
        <v>10</v>
      </c>
      <c r="I2156" s="3">
        <v>3399.9999999999995</v>
      </c>
      <c r="J2156" s="3">
        <v>33999.999999999993</v>
      </c>
      <c r="K2156" s="3">
        <v>2500</v>
      </c>
      <c r="L2156" s="3">
        <v>25000</v>
      </c>
      <c r="M2156" s="3">
        <v>8999.9999999999927</v>
      </c>
      <c r="N2156" s="4">
        <v>0.26470588235294101</v>
      </c>
    </row>
    <row r="2157" spans="1:14" x14ac:dyDescent="0.3">
      <c r="A2157" s="6">
        <v>45812</v>
      </c>
      <c r="B2157" s="1" t="s">
        <v>2341</v>
      </c>
      <c r="C2157" s="1" t="s">
        <v>27</v>
      </c>
      <c r="D2157" t="s">
        <v>35</v>
      </c>
      <c r="E2157" t="s">
        <v>453</v>
      </c>
      <c r="F2157" t="s">
        <v>19</v>
      </c>
      <c r="G2157" t="s">
        <v>20</v>
      </c>
      <c r="H2157" s="3">
        <v>6</v>
      </c>
      <c r="I2157" s="3">
        <v>1251</v>
      </c>
      <c r="J2157" s="3">
        <v>7506</v>
      </c>
      <c r="K2157" s="3">
        <v>900</v>
      </c>
      <c r="L2157" s="3">
        <v>5400</v>
      </c>
      <c r="M2157" s="3">
        <v>2106</v>
      </c>
      <c r="N2157" s="4">
        <v>0.2805755395683453</v>
      </c>
    </row>
    <row r="2158" spans="1:14" x14ac:dyDescent="0.3">
      <c r="A2158" s="6">
        <v>45812</v>
      </c>
      <c r="B2158" s="1" t="s">
        <v>2342</v>
      </c>
      <c r="C2158" s="1" t="s">
        <v>29</v>
      </c>
      <c r="D2158" t="s">
        <v>32</v>
      </c>
      <c r="E2158" t="s">
        <v>357</v>
      </c>
      <c r="F2158" t="s">
        <v>16</v>
      </c>
      <c r="G2158" t="s">
        <v>15</v>
      </c>
      <c r="H2158" s="3">
        <v>9</v>
      </c>
      <c r="I2158" s="3">
        <v>47880</v>
      </c>
      <c r="J2158" s="3">
        <v>430920</v>
      </c>
      <c r="K2158" s="3">
        <v>38000</v>
      </c>
      <c r="L2158" s="3">
        <v>342000</v>
      </c>
      <c r="M2158" s="3">
        <v>88920</v>
      </c>
      <c r="N2158" s="4">
        <v>0.20634920634920634</v>
      </c>
    </row>
    <row r="2159" spans="1:14" x14ac:dyDescent="0.3">
      <c r="A2159" s="6">
        <v>45812</v>
      </c>
      <c r="B2159" s="1" t="s">
        <v>2343</v>
      </c>
      <c r="C2159" s="1" t="s">
        <v>28</v>
      </c>
      <c r="D2159" t="s">
        <v>35</v>
      </c>
      <c r="E2159" t="s">
        <v>198</v>
      </c>
      <c r="F2159" t="s">
        <v>19</v>
      </c>
      <c r="G2159" t="s">
        <v>20</v>
      </c>
      <c r="H2159" s="3">
        <v>1</v>
      </c>
      <c r="I2159" s="3">
        <v>1161</v>
      </c>
      <c r="J2159" s="3">
        <v>1161</v>
      </c>
      <c r="K2159" s="3">
        <v>900</v>
      </c>
      <c r="L2159" s="3">
        <v>900</v>
      </c>
      <c r="M2159" s="3">
        <v>261</v>
      </c>
      <c r="N2159" s="4">
        <v>0.22480620155038761</v>
      </c>
    </row>
    <row r="2160" spans="1:14" x14ac:dyDescent="0.3">
      <c r="A2160" s="6">
        <v>45812</v>
      </c>
      <c r="B2160" s="1" t="s">
        <v>2344</v>
      </c>
      <c r="C2160" s="1" t="s">
        <v>26</v>
      </c>
      <c r="D2160" t="s">
        <v>31</v>
      </c>
      <c r="E2160" t="s">
        <v>275</v>
      </c>
      <c r="F2160" t="s">
        <v>17</v>
      </c>
      <c r="G2160" t="s">
        <v>18</v>
      </c>
      <c r="H2160" s="3">
        <v>6</v>
      </c>
      <c r="I2160" s="3">
        <v>11050</v>
      </c>
      <c r="J2160" s="3">
        <v>66300</v>
      </c>
      <c r="K2160" s="3">
        <v>8500</v>
      </c>
      <c r="L2160" s="3">
        <v>51000</v>
      </c>
      <c r="M2160" s="3">
        <v>15300</v>
      </c>
      <c r="N2160" s="4">
        <v>0.23076923076923078</v>
      </c>
    </row>
    <row r="2161" spans="1:14" x14ac:dyDescent="0.3">
      <c r="A2161" s="6">
        <v>45812</v>
      </c>
      <c r="B2161" s="1" t="s">
        <v>2345</v>
      </c>
      <c r="C2161" s="1" t="s">
        <v>26</v>
      </c>
      <c r="D2161" t="s">
        <v>33</v>
      </c>
      <c r="E2161" t="s">
        <v>92</v>
      </c>
      <c r="F2161" t="s">
        <v>16</v>
      </c>
      <c r="G2161" t="s">
        <v>15</v>
      </c>
      <c r="H2161" s="3">
        <v>9</v>
      </c>
      <c r="I2161" s="3">
        <v>49400</v>
      </c>
      <c r="J2161" s="3">
        <v>444600</v>
      </c>
      <c r="K2161" s="3">
        <v>38000</v>
      </c>
      <c r="L2161" s="3">
        <v>342000</v>
      </c>
      <c r="M2161" s="3">
        <v>102600</v>
      </c>
      <c r="N2161" s="4">
        <v>0.23076923076923078</v>
      </c>
    </row>
    <row r="2162" spans="1:14" x14ac:dyDescent="0.3">
      <c r="A2162" s="6">
        <v>45812</v>
      </c>
      <c r="B2162" s="1" t="s">
        <v>2346</v>
      </c>
      <c r="C2162" s="1" t="s">
        <v>29</v>
      </c>
      <c r="D2162" t="s">
        <v>32</v>
      </c>
      <c r="E2162" t="s">
        <v>76</v>
      </c>
      <c r="F2162" t="s">
        <v>17</v>
      </c>
      <c r="G2162" t="s">
        <v>18</v>
      </c>
      <c r="H2162" s="3">
        <v>4</v>
      </c>
      <c r="I2162" s="3">
        <v>11730</v>
      </c>
      <c r="J2162" s="3">
        <v>46920</v>
      </c>
      <c r="K2162" s="3">
        <v>8500</v>
      </c>
      <c r="L2162" s="3">
        <v>34000</v>
      </c>
      <c r="M2162" s="3">
        <v>12920</v>
      </c>
      <c r="N2162" s="4">
        <v>0.27536231884057971</v>
      </c>
    </row>
    <row r="2163" spans="1:14" x14ac:dyDescent="0.3">
      <c r="A2163" s="6">
        <v>45812</v>
      </c>
      <c r="B2163" s="1" t="s">
        <v>2347</v>
      </c>
      <c r="C2163" s="1" t="s">
        <v>27</v>
      </c>
      <c r="D2163" t="s">
        <v>30</v>
      </c>
      <c r="E2163" t="s">
        <v>118</v>
      </c>
      <c r="F2163" t="s">
        <v>24</v>
      </c>
      <c r="G2163" t="s">
        <v>25</v>
      </c>
      <c r="H2163" s="3">
        <v>3</v>
      </c>
      <c r="I2163" s="3">
        <v>3475.0000000000005</v>
      </c>
      <c r="J2163" s="3">
        <v>10425.000000000002</v>
      </c>
      <c r="K2163" s="3">
        <v>2500</v>
      </c>
      <c r="L2163" s="3">
        <v>7500</v>
      </c>
      <c r="M2163" s="3">
        <v>2925.0000000000018</v>
      </c>
      <c r="N2163" s="4">
        <v>0.28057553956834547</v>
      </c>
    </row>
    <row r="2164" spans="1:14" x14ac:dyDescent="0.3">
      <c r="A2164" s="6">
        <v>45812</v>
      </c>
      <c r="B2164" s="1" t="s">
        <v>2348</v>
      </c>
      <c r="C2164" s="1" t="s">
        <v>26</v>
      </c>
      <c r="D2164" t="s">
        <v>34</v>
      </c>
      <c r="E2164" t="s">
        <v>124</v>
      </c>
      <c r="F2164" t="s">
        <v>17</v>
      </c>
      <c r="G2164" t="s">
        <v>18</v>
      </c>
      <c r="H2164" s="3">
        <v>3</v>
      </c>
      <c r="I2164" s="3">
        <v>10540</v>
      </c>
      <c r="J2164" s="3">
        <v>31620</v>
      </c>
      <c r="K2164" s="3">
        <v>8500</v>
      </c>
      <c r="L2164" s="3">
        <v>25500</v>
      </c>
      <c r="M2164" s="3">
        <v>6120</v>
      </c>
      <c r="N2164" s="4">
        <v>0.19354838709677419</v>
      </c>
    </row>
    <row r="2165" spans="1:14" x14ac:dyDescent="0.3">
      <c r="A2165" s="6">
        <v>45812</v>
      </c>
      <c r="B2165" s="1" t="s">
        <v>2349</v>
      </c>
      <c r="C2165" s="1" t="s">
        <v>27</v>
      </c>
      <c r="D2165" t="s">
        <v>31</v>
      </c>
      <c r="E2165" t="s">
        <v>226</v>
      </c>
      <c r="F2165" t="s">
        <v>22</v>
      </c>
      <c r="G2165" t="s">
        <v>18</v>
      </c>
      <c r="H2165" s="3">
        <v>4</v>
      </c>
      <c r="I2165" s="3">
        <v>9800</v>
      </c>
      <c r="J2165" s="3">
        <v>39200</v>
      </c>
      <c r="K2165" s="3">
        <v>7000</v>
      </c>
      <c r="L2165" s="3">
        <v>28000</v>
      </c>
      <c r="M2165" s="3">
        <v>11200</v>
      </c>
      <c r="N2165" s="4">
        <v>0.2857142857142857</v>
      </c>
    </row>
    <row r="2166" spans="1:14" x14ac:dyDescent="0.3">
      <c r="A2166" s="6">
        <v>45812</v>
      </c>
      <c r="B2166" s="1" t="s">
        <v>2350</v>
      </c>
      <c r="C2166" s="1" t="s">
        <v>29</v>
      </c>
      <c r="D2166" t="s">
        <v>33</v>
      </c>
      <c r="E2166" t="s">
        <v>228</v>
      </c>
      <c r="F2166" t="s">
        <v>19</v>
      </c>
      <c r="G2166" t="s">
        <v>20</v>
      </c>
      <c r="H2166" s="3">
        <v>3</v>
      </c>
      <c r="I2166" s="3">
        <v>1215</v>
      </c>
      <c r="J2166" s="3">
        <v>3645</v>
      </c>
      <c r="K2166" s="3">
        <v>900</v>
      </c>
      <c r="L2166" s="3">
        <v>2700</v>
      </c>
      <c r="M2166" s="3">
        <v>945</v>
      </c>
      <c r="N2166" s="4">
        <v>0.25925925925925924</v>
      </c>
    </row>
    <row r="2167" spans="1:14" x14ac:dyDescent="0.3">
      <c r="A2167" s="6">
        <v>45812</v>
      </c>
      <c r="B2167" s="1" t="s">
        <v>2351</v>
      </c>
      <c r="C2167" s="1" t="s">
        <v>29</v>
      </c>
      <c r="D2167" t="s">
        <v>31</v>
      </c>
      <c r="E2167" t="s">
        <v>139</v>
      </c>
      <c r="F2167" t="s">
        <v>23</v>
      </c>
      <c r="G2167" t="s">
        <v>25</v>
      </c>
      <c r="H2167" s="3">
        <v>2</v>
      </c>
      <c r="I2167" s="3">
        <v>4224</v>
      </c>
      <c r="J2167" s="3">
        <v>8448</v>
      </c>
      <c r="K2167" s="3">
        <v>3200</v>
      </c>
      <c r="L2167" s="3">
        <v>6400</v>
      </c>
      <c r="M2167" s="3">
        <v>2048</v>
      </c>
      <c r="N2167" s="4">
        <v>0.24242424242424243</v>
      </c>
    </row>
    <row r="2168" spans="1:14" x14ac:dyDescent="0.3">
      <c r="A2168" s="6">
        <v>45812</v>
      </c>
      <c r="B2168" s="1" t="s">
        <v>2352</v>
      </c>
      <c r="C2168" s="1" t="s">
        <v>29</v>
      </c>
      <c r="D2168" t="s">
        <v>30</v>
      </c>
      <c r="E2168" t="s">
        <v>129</v>
      </c>
      <c r="F2168" t="s">
        <v>21</v>
      </c>
      <c r="G2168" t="s">
        <v>20</v>
      </c>
      <c r="H2168" s="3">
        <v>7</v>
      </c>
      <c r="I2168" s="3">
        <v>726</v>
      </c>
      <c r="J2168" s="3">
        <v>5082</v>
      </c>
      <c r="K2168" s="3">
        <v>600</v>
      </c>
      <c r="L2168" s="3">
        <v>4200</v>
      </c>
      <c r="M2168" s="3">
        <v>882</v>
      </c>
      <c r="N2168" s="4">
        <v>0.17355371900826447</v>
      </c>
    </row>
    <row r="2169" spans="1:14" x14ac:dyDescent="0.3">
      <c r="A2169" s="6">
        <v>45812</v>
      </c>
      <c r="B2169" s="1" t="s">
        <v>2353</v>
      </c>
      <c r="C2169" s="1" t="s">
        <v>27</v>
      </c>
      <c r="D2169" t="s">
        <v>35</v>
      </c>
      <c r="E2169" t="s">
        <v>126</v>
      </c>
      <c r="F2169" t="s">
        <v>14</v>
      </c>
      <c r="G2169" t="s">
        <v>15</v>
      </c>
      <c r="H2169" s="3">
        <v>5</v>
      </c>
      <c r="I2169" s="3">
        <v>61650.000000000007</v>
      </c>
      <c r="J2169" s="3">
        <v>308250.00000000006</v>
      </c>
      <c r="K2169" s="3">
        <v>45000</v>
      </c>
      <c r="L2169" s="3">
        <v>225000</v>
      </c>
      <c r="M2169" s="3">
        <v>83250.000000000058</v>
      </c>
      <c r="N2169" s="4">
        <v>0.27007299270073004</v>
      </c>
    </row>
    <row r="2170" spans="1:14" x14ac:dyDescent="0.3">
      <c r="A2170" s="6">
        <v>45813</v>
      </c>
      <c r="B2170" s="1" t="s">
        <v>2354</v>
      </c>
      <c r="C2170" s="1" t="s">
        <v>26</v>
      </c>
      <c r="D2170" t="s">
        <v>32</v>
      </c>
      <c r="E2170" t="s">
        <v>208</v>
      </c>
      <c r="F2170" t="s">
        <v>16</v>
      </c>
      <c r="G2170" t="s">
        <v>15</v>
      </c>
      <c r="H2170" s="3">
        <v>2</v>
      </c>
      <c r="I2170" s="3">
        <v>51679.999999999993</v>
      </c>
      <c r="J2170" s="3">
        <v>103359.99999999999</v>
      </c>
      <c r="K2170" s="3">
        <v>38000</v>
      </c>
      <c r="L2170" s="3">
        <v>76000</v>
      </c>
      <c r="M2170" s="3">
        <v>27359.999999999985</v>
      </c>
      <c r="N2170" s="4">
        <v>0.26470588235294107</v>
      </c>
    </row>
    <row r="2171" spans="1:14" x14ac:dyDescent="0.3">
      <c r="A2171" s="6">
        <v>45813</v>
      </c>
      <c r="B2171" s="1" t="s">
        <v>2355</v>
      </c>
      <c r="C2171" s="1" t="s">
        <v>29</v>
      </c>
      <c r="D2171" t="s">
        <v>34</v>
      </c>
      <c r="E2171" t="s">
        <v>381</v>
      </c>
      <c r="F2171" t="s">
        <v>24</v>
      </c>
      <c r="G2171" t="s">
        <v>25</v>
      </c>
      <c r="H2171" s="3">
        <v>1</v>
      </c>
      <c r="I2171" s="3">
        <v>3250</v>
      </c>
      <c r="J2171" s="3">
        <v>3250</v>
      </c>
      <c r="K2171" s="3">
        <v>2500</v>
      </c>
      <c r="L2171" s="3">
        <v>2500</v>
      </c>
      <c r="M2171" s="3">
        <v>750</v>
      </c>
      <c r="N2171" s="4">
        <v>0.23076923076923078</v>
      </c>
    </row>
    <row r="2172" spans="1:14" x14ac:dyDescent="0.3">
      <c r="A2172" s="6">
        <v>45813</v>
      </c>
      <c r="B2172" s="1" t="s">
        <v>2356</v>
      </c>
      <c r="C2172" s="1" t="s">
        <v>27</v>
      </c>
      <c r="D2172" t="s">
        <v>32</v>
      </c>
      <c r="E2172" t="s">
        <v>427</v>
      </c>
      <c r="F2172" t="s">
        <v>16</v>
      </c>
      <c r="G2172" t="s">
        <v>15</v>
      </c>
      <c r="H2172" s="3">
        <v>5</v>
      </c>
      <c r="I2172" s="3">
        <v>53200</v>
      </c>
      <c r="J2172" s="3">
        <v>266000</v>
      </c>
      <c r="K2172" s="3">
        <v>38000</v>
      </c>
      <c r="L2172" s="3">
        <v>190000</v>
      </c>
      <c r="M2172" s="3">
        <v>76000</v>
      </c>
      <c r="N2172" s="4">
        <v>0.2857142857142857</v>
      </c>
    </row>
    <row r="2173" spans="1:14" x14ac:dyDescent="0.3">
      <c r="A2173" s="6">
        <v>45813</v>
      </c>
      <c r="B2173" s="1" t="s">
        <v>2357</v>
      </c>
      <c r="C2173" s="1" t="s">
        <v>28</v>
      </c>
      <c r="D2173" t="s">
        <v>32</v>
      </c>
      <c r="E2173" t="s">
        <v>83</v>
      </c>
      <c r="F2173" t="s">
        <v>24</v>
      </c>
      <c r="G2173" t="s">
        <v>25</v>
      </c>
      <c r="H2173" s="3">
        <v>9</v>
      </c>
      <c r="I2173" s="3">
        <v>3000</v>
      </c>
      <c r="J2173" s="3">
        <v>27000</v>
      </c>
      <c r="K2173" s="3">
        <v>2500</v>
      </c>
      <c r="L2173" s="3">
        <v>22500</v>
      </c>
      <c r="M2173" s="3">
        <v>4500</v>
      </c>
      <c r="N2173" s="4">
        <v>0.16666666666666666</v>
      </c>
    </row>
    <row r="2174" spans="1:14" x14ac:dyDescent="0.3">
      <c r="A2174" s="6">
        <v>45813</v>
      </c>
      <c r="B2174" s="1" t="s">
        <v>2358</v>
      </c>
      <c r="C2174" s="1" t="s">
        <v>26</v>
      </c>
      <c r="D2174" t="s">
        <v>33</v>
      </c>
      <c r="E2174" t="s">
        <v>134</v>
      </c>
      <c r="F2174" t="s">
        <v>19</v>
      </c>
      <c r="G2174" t="s">
        <v>20</v>
      </c>
      <c r="H2174" s="3">
        <v>2</v>
      </c>
      <c r="I2174" s="3">
        <v>1098</v>
      </c>
      <c r="J2174" s="3">
        <v>2196</v>
      </c>
      <c r="K2174" s="3">
        <v>900</v>
      </c>
      <c r="L2174" s="3">
        <v>1800</v>
      </c>
      <c r="M2174" s="3">
        <v>396</v>
      </c>
      <c r="N2174" s="4">
        <v>0.18032786885245902</v>
      </c>
    </row>
    <row r="2175" spans="1:14" x14ac:dyDescent="0.3">
      <c r="A2175" s="6">
        <v>45813</v>
      </c>
      <c r="B2175" s="1" t="s">
        <v>2359</v>
      </c>
      <c r="C2175" s="1" t="s">
        <v>28</v>
      </c>
      <c r="D2175" t="s">
        <v>30</v>
      </c>
      <c r="E2175" t="s">
        <v>81</v>
      </c>
      <c r="F2175" t="s">
        <v>23</v>
      </c>
      <c r="G2175" t="s">
        <v>25</v>
      </c>
      <c r="H2175" s="3">
        <v>10</v>
      </c>
      <c r="I2175" s="3">
        <v>4480</v>
      </c>
      <c r="J2175" s="3">
        <v>44800</v>
      </c>
      <c r="K2175" s="3">
        <v>3200</v>
      </c>
      <c r="L2175" s="3">
        <v>32000</v>
      </c>
      <c r="M2175" s="3">
        <v>12800</v>
      </c>
      <c r="N2175" s="4">
        <v>0.2857142857142857</v>
      </c>
    </row>
    <row r="2176" spans="1:14" x14ac:dyDescent="0.3">
      <c r="A2176" s="6">
        <v>45813</v>
      </c>
      <c r="B2176" s="1" t="s">
        <v>2360</v>
      </c>
      <c r="C2176" s="1" t="s">
        <v>29</v>
      </c>
      <c r="D2176" t="s">
        <v>32</v>
      </c>
      <c r="E2176" t="s">
        <v>43</v>
      </c>
      <c r="F2176" t="s">
        <v>14</v>
      </c>
      <c r="G2176" t="s">
        <v>15</v>
      </c>
      <c r="H2176" s="3">
        <v>6</v>
      </c>
      <c r="I2176" s="3">
        <v>56250</v>
      </c>
      <c r="J2176" s="3">
        <v>337500</v>
      </c>
      <c r="K2176" s="3">
        <v>45000</v>
      </c>
      <c r="L2176" s="3">
        <v>270000</v>
      </c>
      <c r="M2176" s="3">
        <v>67500</v>
      </c>
      <c r="N2176" s="4">
        <v>0.2</v>
      </c>
    </row>
    <row r="2177" spans="1:14" x14ac:dyDescent="0.3">
      <c r="A2177" s="6">
        <v>45813</v>
      </c>
      <c r="B2177" s="1" t="s">
        <v>2361</v>
      </c>
      <c r="C2177" s="1" t="s">
        <v>29</v>
      </c>
      <c r="D2177" t="s">
        <v>35</v>
      </c>
      <c r="E2177" t="s">
        <v>310</v>
      </c>
      <c r="F2177" t="s">
        <v>17</v>
      </c>
      <c r="G2177" t="s">
        <v>18</v>
      </c>
      <c r="H2177" s="3">
        <v>7</v>
      </c>
      <c r="I2177" s="3">
        <v>11390</v>
      </c>
      <c r="J2177" s="3">
        <v>79730</v>
      </c>
      <c r="K2177" s="3">
        <v>8500</v>
      </c>
      <c r="L2177" s="3">
        <v>59500</v>
      </c>
      <c r="M2177" s="3">
        <v>20230</v>
      </c>
      <c r="N2177" s="4">
        <v>0.2537313432835821</v>
      </c>
    </row>
    <row r="2178" spans="1:14" x14ac:dyDescent="0.3">
      <c r="A2178" s="6">
        <v>45813</v>
      </c>
      <c r="B2178" s="1" t="s">
        <v>2362</v>
      </c>
      <c r="C2178" s="1" t="s">
        <v>28</v>
      </c>
      <c r="D2178" t="s">
        <v>32</v>
      </c>
      <c r="E2178" t="s">
        <v>304</v>
      </c>
      <c r="F2178" t="s">
        <v>24</v>
      </c>
      <c r="G2178" t="s">
        <v>25</v>
      </c>
      <c r="H2178" s="3">
        <v>10</v>
      </c>
      <c r="I2178" s="3">
        <v>3375</v>
      </c>
      <c r="J2178" s="3">
        <v>33750</v>
      </c>
      <c r="K2178" s="3">
        <v>2500</v>
      </c>
      <c r="L2178" s="3">
        <v>25000</v>
      </c>
      <c r="M2178" s="3">
        <v>8750</v>
      </c>
      <c r="N2178" s="4">
        <v>0.25925925925925924</v>
      </c>
    </row>
    <row r="2179" spans="1:14" x14ac:dyDescent="0.3">
      <c r="A2179" s="6">
        <v>45813</v>
      </c>
      <c r="B2179" s="1" t="s">
        <v>2363</v>
      </c>
      <c r="C2179" s="1" t="s">
        <v>28</v>
      </c>
      <c r="D2179" t="s">
        <v>31</v>
      </c>
      <c r="E2179" t="s">
        <v>108</v>
      </c>
      <c r="F2179" t="s">
        <v>14</v>
      </c>
      <c r="G2179" t="s">
        <v>15</v>
      </c>
      <c r="H2179" s="3">
        <v>6</v>
      </c>
      <c r="I2179" s="3">
        <v>62999.999999999993</v>
      </c>
      <c r="J2179" s="3">
        <v>377999.99999999994</v>
      </c>
      <c r="K2179" s="3">
        <v>45000</v>
      </c>
      <c r="L2179" s="3">
        <v>270000</v>
      </c>
      <c r="M2179" s="3">
        <v>107999.99999999994</v>
      </c>
      <c r="N2179" s="4">
        <v>0.28571428571428559</v>
      </c>
    </row>
    <row r="2180" spans="1:14" x14ac:dyDescent="0.3">
      <c r="A2180" s="6">
        <v>45813</v>
      </c>
      <c r="B2180" s="1" t="s">
        <v>2364</v>
      </c>
      <c r="C2180" s="1" t="s">
        <v>26</v>
      </c>
      <c r="D2180" t="s">
        <v>33</v>
      </c>
      <c r="E2180" t="s">
        <v>43</v>
      </c>
      <c r="F2180" t="s">
        <v>23</v>
      </c>
      <c r="G2180" t="s">
        <v>25</v>
      </c>
      <c r="H2180" s="3">
        <v>7</v>
      </c>
      <c r="I2180" s="3">
        <v>4608</v>
      </c>
      <c r="J2180" s="3">
        <v>32256</v>
      </c>
      <c r="K2180" s="3">
        <v>3200</v>
      </c>
      <c r="L2180" s="3">
        <v>22400</v>
      </c>
      <c r="M2180" s="3">
        <v>9856</v>
      </c>
      <c r="N2180" s="4">
        <v>0.30555555555555558</v>
      </c>
    </row>
    <row r="2181" spans="1:14" x14ac:dyDescent="0.3">
      <c r="A2181" s="6">
        <v>45813</v>
      </c>
      <c r="B2181" s="1" t="s">
        <v>2365</v>
      </c>
      <c r="C2181" s="1" t="s">
        <v>27</v>
      </c>
      <c r="D2181" t="s">
        <v>35</v>
      </c>
      <c r="E2181" t="s">
        <v>67</v>
      </c>
      <c r="F2181" t="s">
        <v>21</v>
      </c>
      <c r="G2181" t="s">
        <v>20</v>
      </c>
      <c r="H2181" s="3">
        <v>5</v>
      </c>
      <c r="I2181" s="3">
        <v>720</v>
      </c>
      <c r="J2181" s="3">
        <v>3600</v>
      </c>
      <c r="K2181" s="3">
        <v>600</v>
      </c>
      <c r="L2181" s="3">
        <v>3000</v>
      </c>
      <c r="M2181" s="3">
        <v>600</v>
      </c>
      <c r="N2181" s="4">
        <v>0.16666666666666666</v>
      </c>
    </row>
    <row r="2182" spans="1:14" x14ac:dyDescent="0.3">
      <c r="A2182" s="6">
        <v>45813</v>
      </c>
      <c r="B2182" s="1" t="s">
        <v>2366</v>
      </c>
      <c r="C2182" s="1" t="s">
        <v>28</v>
      </c>
      <c r="D2182" t="s">
        <v>32</v>
      </c>
      <c r="E2182" t="s">
        <v>381</v>
      </c>
      <c r="F2182" t="s">
        <v>23</v>
      </c>
      <c r="G2182" t="s">
        <v>25</v>
      </c>
      <c r="H2182" s="3">
        <v>8</v>
      </c>
      <c r="I2182" s="3">
        <v>3872</v>
      </c>
      <c r="J2182" s="3">
        <v>30976</v>
      </c>
      <c r="K2182" s="3">
        <v>3200</v>
      </c>
      <c r="L2182" s="3">
        <v>25600</v>
      </c>
      <c r="M2182" s="3">
        <v>5376</v>
      </c>
      <c r="N2182" s="4">
        <v>0.17355371900826447</v>
      </c>
    </row>
    <row r="2183" spans="1:14" x14ac:dyDescent="0.3">
      <c r="A2183" s="6">
        <v>45813</v>
      </c>
      <c r="B2183" s="1" t="s">
        <v>2367</v>
      </c>
      <c r="C2183" s="1" t="s">
        <v>29</v>
      </c>
      <c r="D2183" t="s">
        <v>31</v>
      </c>
      <c r="E2183" t="s">
        <v>363</v>
      </c>
      <c r="F2183" t="s">
        <v>24</v>
      </c>
      <c r="G2183" t="s">
        <v>25</v>
      </c>
      <c r="H2183" s="3">
        <v>1</v>
      </c>
      <c r="I2183" s="3">
        <v>3100</v>
      </c>
      <c r="J2183" s="3">
        <v>3100</v>
      </c>
      <c r="K2183" s="3">
        <v>2500</v>
      </c>
      <c r="L2183" s="3">
        <v>2500</v>
      </c>
      <c r="M2183" s="3">
        <v>600</v>
      </c>
      <c r="N2183" s="4">
        <v>0.19354838709677419</v>
      </c>
    </row>
    <row r="2184" spans="1:14" x14ac:dyDescent="0.3">
      <c r="A2184" s="6">
        <v>45814</v>
      </c>
      <c r="B2184" s="1" t="s">
        <v>2368</v>
      </c>
      <c r="C2184" s="1" t="s">
        <v>27</v>
      </c>
      <c r="D2184" t="s">
        <v>33</v>
      </c>
      <c r="E2184" t="s">
        <v>427</v>
      </c>
      <c r="F2184" t="s">
        <v>22</v>
      </c>
      <c r="G2184" t="s">
        <v>18</v>
      </c>
      <c r="H2184" s="3">
        <v>6</v>
      </c>
      <c r="I2184" s="3">
        <v>9730</v>
      </c>
      <c r="J2184" s="3">
        <v>58380</v>
      </c>
      <c r="K2184" s="3">
        <v>7000</v>
      </c>
      <c r="L2184" s="3">
        <v>42000</v>
      </c>
      <c r="M2184" s="3">
        <v>16380</v>
      </c>
      <c r="N2184" s="4">
        <v>0.2805755395683453</v>
      </c>
    </row>
    <row r="2185" spans="1:14" x14ac:dyDescent="0.3">
      <c r="A2185" s="6">
        <v>45814</v>
      </c>
      <c r="B2185" s="1" t="s">
        <v>2369</v>
      </c>
      <c r="C2185" s="1" t="s">
        <v>29</v>
      </c>
      <c r="D2185" t="s">
        <v>33</v>
      </c>
      <c r="E2185" t="s">
        <v>359</v>
      </c>
      <c r="F2185" t="s">
        <v>22</v>
      </c>
      <c r="G2185" t="s">
        <v>18</v>
      </c>
      <c r="H2185" s="3">
        <v>7</v>
      </c>
      <c r="I2185" s="3">
        <v>9310</v>
      </c>
      <c r="J2185" s="3">
        <v>65170</v>
      </c>
      <c r="K2185" s="3">
        <v>7000</v>
      </c>
      <c r="L2185" s="3">
        <v>49000</v>
      </c>
      <c r="M2185" s="3">
        <v>16170</v>
      </c>
      <c r="N2185" s="4">
        <v>0.24812030075187969</v>
      </c>
    </row>
    <row r="2186" spans="1:14" x14ac:dyDescent="0.3">
      <c r="A2186" s="6">
        <v>45814</v>
      </c>
      <c r="B2186" s="1" t="s">
        <v>2370</v>
      </c>
      <c r="C2186" s="1" t="s">
        <v>28</v>
      </c>
      <c r="D2186" t="s">
        <v>32</v>
      </c>
      <c r="E2186" t="s">
        <v>102</v>
      </c>
      <c r="F2186" t="s">
        <v>19</v>
      </c>
      <c r="G2186" t="s">
        <v>20</v>
      </c>
      <c r="H2186" s="3">
        <v>3</v>
      </c>
      <c r="I2186" s="3">
        <v>1143</v>
      </c>
      <c r="J2186" s="3">
        <v>3429</v>
      </c>
      <c r="K2186" s="3">
        <v>900</v>
      </c>
      <c r="L2186" s="3">
        <v>2700</v>
      </c>
      <c r="M2186" s="3">
        <v>729</v>
      </c>
      <c r="N2186" s="4">
        <v>0.2125984251968504</v>
      </c>
    </row>
    <row r="2187" spans="1:14" x14ac:dyDescent="0.3">
      <c r="A2187" s="6">
        <v>45814</v>
      </c>
      <c r="B2187" s="1" t="s">
        <v>2371</v>
      </c>
      <c r="C2187" s="1" t="s">
        <v>26</v>
      </c>
      <c r="D2187" t="s">
        <v>34</v>
      </c>
      <c r="E2187" t="s">
        <v>116</v>
      </c>
      <c r="F2187" t="s">
        <v>24</v>
      </c>
      <c r="G2187" t="s">
        <v>25</v>
      </c>
      <c r="H2187" s="3">
        <v>9</v>
      </c>
      <c r="I2187" s="3">
        <v>3425.0000000000005</v>
      </c>
      <c r="J2187" s="3">
        <v>30825.000000000004</v>
      </c>
      <c r="K2187" s="3">
        <v>2500</v>
      </c>
      <c r="L2187" s="3">
        <v>22500</v>
      </c>
      <c r="M2187" s="3">
        <v>8325.0000000000036</v>
      </c>
      <c r="N2187" s="4">
        <v>0.27007299270072999</v>
      </c>
    </row>
    <row r="2188" spans="1:14" x14ac:dyDescent="0.3">
      <c r="A2188" s="6">
        <v>45814</v>
      </c>
      <c r="B2188" s="1" t="s">
        <v>2372</v>
      </c>
      <c r="C2188" s="1" t="s">
        <v>27</v>
      </c>
      <c r="D2188" t="s">
        <v>32</v>
      </c>
      <c r="E2188" t="s">
        <v>359</v>
      </c>
      <c r="F2188" t="s">
        <v>16</v>
      </c>
      <c r="G2188" t="s">
        <v>15</v>
      </c>
      <c r="H2188" s="3">
        <v>7</v>
      </c>
      <c r="I2188" s="3">
        <v>53200</v>
      </c>
      <c r="J2188" s="3">
        <v>372400</v>
      </c>
      <c r="K2188" s="3">
        <v>38000</v>
      </c>
      <c r="L2188" s="3">
        <v>266000</v>
      </c>
      <c r="M2188" s="3">
        <v>106400</v>
      </c>
      <c r="N2188" s="4">
        <v>0.2857142857142857</v>
      </c>
    </row>
    <row r="2189" spans="1:14" x14ac:dyDescent="0.3">
      <c r="A2189" s="6">
        <v>45814</v>
      </c>
      <c r="B2189" s="1" t="s">
        <v>2373</v>
      </c>
      <c r="C2189" s="1" t="s">
        <v>26</v>
      </c>
      <c r="D2189" t="s">
        <v>30</v>
      </c>
      <c r="E2189" t="s">
        <v>220</v>
      </c>
      <c r="F2189" t="s">
        <v>17</v>
      </c>
      <c r="G2189" t="s">
        <v>18</v>
      </c>
      <c r="H2189" s="3">
        <v>10</v>
      </c>
      <c r="I2189" s="3">
        <v>10965</v>
      </c>
      <c r="J2189" s="3">
        <v>109650</v>
      </c>
      <c r="K2189" s="3">
        <v>8500</v>
      </c>
      <c r="L2189" s="3">
        <v>85000</v>
      </c>
      <c r="M2189" s="3">
        <v>24650</v>
      </c>
      <c r="N2189" s="4">
        <v>0.22480620155038761</v>
      </c>
    </row>
    <row r="2190" spans="1:14" x14ac:dyDescent="0.3">
      <c r="A2190" s="6">
        <v>45814</v>
      </c>
      <c r="B2190" s="1" t="s">
        <v>2374</v>
      </c>
      <c r="C2190" s="1" t="s">
        <v>27</v>
      </c>
      <c r="D2190" t="s">
        <v>35</v>
      </c>
      <c r="E2190" t="s">
        <v>126</v>
      </c>
      <c r="F2190" t="s">
        <v>19</v>
      </c>
      <c r="G2190" t="s">
        <v>20</v>
      </c>
      <c r="H2190" s="3">
        <v>3</v>
      </c>
      <c r="I2190" s="3">
        <v>1197</v>
      </c>
      <c r="J2190" s="3">
        <v>3591</v>
      </c>
      <c r="K2190" s="3">
        <v>900</v>
      </c>
      <c r="L2190" s="3">
        <v>2700</v>
      </c>
      <c r="M2190" s="3">
        <v>891</v>
      </c>
      <c r="N2190" s="4">
        <v>0.24812030075187969</v>
      </c>
    </row>
    <row r="2191" spans="1:14" x14ac:dyDescent="0.3">
      <c r="A2191" s="6">
        <v>45814</v>
      </c>
      <c r="B2191" s="1" t="s">
        <v>2375</v>
      </c>
      <c r="C2191" s="1" t="s">
        <v>26</v>
      </c>
      <c r="D2191" t="s">
        <v>31</v>
      </c>
      <c r="E2191" t="s">
        <v>206</v>
      </c>
      <c r="F2191" t="s">
        <v>22</v>
      </c>
      <c r="G2191" t="s">
        <v>18</v>
      </c>
      <c r="H2191" s="3">
        <v>6</v>
      </c>
      <c r="I2191" s="3">
        <v>9100</v>
      </c>
      <c r="J2191" s="3">
        <v>54600</v>
      </c>
      <c r="K2191" s="3">
        <v>7000</v>
      </c>
      <c r="L2191" s="3">
        <v>42000</v>
      </c>
      <c r="M2191" s="3">
        <v>12600</v>
      </c>
      <c r="N2191" s="4">
        <v>0.23076923076923078</v>
      </c>
    </row>
    <row r="2192" spans="1:14" x14ac:dyDescent="0.3">
      <c r="A2192" s="6">
        <v>45814</v>
      </c>
      <c r="B2192" s="1" t="s">
        <v>2376</v>
      </c>
      <c r="C2192" s="1" t="s">
        <v>29</v>
      </c>
      <c r="D2192" t="s">
        <v>35</v>
      </c>
      <c r="E2192" t="s">
        <v>142</v>
      </c>
      <c r="F2192" t="s">
        <v>21</v>
      </c>
      <c r="G2192" t="s">
        <v>20</v>
      </c>
      <c r="H2192" s="3">
        <v>3</v>
      </c>
      <c r="I2192" s="3">
        <v>780</v>
      </c>
      <c r="J2192" s="3">
        <v>2340</v>
      </c>
      <c r="K2192" s="3">
        <v>600</v>
      </c>
      <c r="L2192" s="3">
        <v>1800</v>
      </c>
      <c r="M2192" s="3">
        <v>540</v>
      </c>
      <c r="N2192" s="4">
        <v>0.23076923076923078</v>
      </c>
    </row>
    <row r="2193" spans="1:14" x14ac:dyDescent="0.3">
      <c r="A2193" s="6">
        <v>45814</v>
      </c>
      <c r="B2193" s="1" t="s">
        <v>2377</v>
      </c>
      <c r="C2193" s="1" t="s">
        <v>26</v>
      </c>
      <c r="D2193" t="s">
        <v>30</v>
      </c>
      <c r="E2193" t="s">
        <v>126</v>
      </c>
      <c r="F2193" t="s">
        <v>16</v>
      </c>
      <c r="G2193" t="s">
        <v>15</v>
      </c>
      <c r="H2193" s="3">
        <v>3</v>
      </c>
      <c r="I2193" s="3">
        <v>52060.000000000007</v>
      </c>
      <c r="J2193" s="3">
        <v>156180.00000000003</v>
      </c>
      <c r="K2193" s="3">
        <v>38000</v>
      </c>
      <c r="L2193" s="3">
        <v>114000</v>
      </c>
      <c r="M2193" s="3">
        <v>42180.000000000029</v>
      </c>
      <c r="N2193" s="4">
        <v>0.27007299270073004</v>
      </c>
    </row>
    <row r="2194" spans="1:14" x14ac:dyDescent="0.3">
      <c r="A2194" s="6">
        <v>45814</v>
      </c>
      <c r="B2194" s="1" t="s">
        <v>2378</v>
      </c>
      <c r="C2194" s="1" t="s">
        <v>27</v>
      </c>
      <c r="D2194" t="s">
        <v>32</v>
      </c>
      <c r="E2194" t="s">
        <v>275</v>
      </c>
      <c r="F2194" t="s">
        <v>16</v>
      </c>
      <c r="G2194" t="s">
        <v>15</v>
      </c>
      <c r="H2194" s="3">
        <v>8</v>
      </c>
      <c r="I2194" s="3">
        <v>45980</v>
      </c>
      <c r="J2194" s="3">
        <v>367840</v>
      </c>
      <c r="K2194" s="3">
        <v>38000</v>
      </c>
      <c r="L2194" s="3">
        <v>304000</v>
      </c>
      <c r="M2194" s="3">
        <v>63840</v>
      </c>
      <c r="N2194" s="4">
        <v>0.17355371900826447</v>
      </c>
    </row>
    <row r="2195" spans="1:14" x14ac:dyDescent="0.3">
      <c r="A2195" s="6">
        <v>45814</v>
      </c>
      <c r="B2195" s="1" t="s">
        <v>2379</v>
      </c>
      <c r="C2195" s="1" t="s">
        <v>26</v>
      </c>
      <c r="D2195" t="s">
        <v>31</v>
      </c>
      <c r="E2195" t="s">
        <v>308</v>
      </c>
      <c r="F2195" t="s">
        <v>14</v>
      </c>
      <c r="G2195" t="s">
        <v>15</v>
      </c>
      <c r="H2195" s="3">
        <v>6</v>
      </c>
      <c r="I2195" s="3">
        <v>62550.000000000007</v>
      </c>
      <c r="J2195" s="3">
        <v>375300.00000000006</v>
      </c>
      <c r="K2195" s="3">
        <v>45000</v>
      </c>
      <c r="L2195" s="3">
        <v>270000</v>
      </c>
      <c r="M2195" s="3">
        <v>105300.00000000006</v>
      </c>
      <c r="N2195" s="4">
        <v>0.28057553956834541</v>
      </c>
    </row>
    <row r="2196" spans="1:14" x14ac:dyDescent="0.3">
      <c r="A2196" s="6">
        <v>45814</v>
      </c>
      <c r="B2196" s="1" t="s">
        <v>2380</v>
      </c>
      <c r="C2196" s="1" t="s">
        <v>27</v>
      </c>
      <c r="D2196" t="s">
        <v>32</v>
      </c>
      <c r="E2196" t="s">
        <v>574</v>
      </c>
      <c r="F2196" t="s">
        <v>23</v>
      </c>
      <c r="G2196" t="s">
        <v>25</v>
      </c>
      <c r="H2196" s="3">
        <v>7</v>
      </c>
      <c r="I2196" s="3">
        <v>4448</v>
      </c>
      <c r="J2196" s="3">
        <v>31136</v>
      </c>
      <c r="K2196" s="3">
        <v>3200</v>
      </c>
      <c r="L2196" s="3">
        <v>22400</v>
      </c>
      <c r="M2196" s="3">
        <v>8736</v>
      </c>
      <c r="N2196" s="4">
        <v>0.2805755395683453</v>
      </c>
    </row>
    <row r="2197" spans="1:14" x14ac:dyDescent="0.3">
      <c r="A2197" s="6">
        <v>45814</v>
      </c>
      <c r="B2197" s="1" t="s">
        <v>2381</v>
      </c>
      <c r="C2197" s="1" t="s">
        <v>27</v>
      </c>
      <c r="D2197" t="s">
        <v>35</v>
      </c>
      <c r="E2197" t="s">
        <v>83</v>
      </c>
      <c r="F2197" t="s">
        <v>19</v>
      </c>
      <c r="G2197" t="s">
        <v>20</v>
      </c>
      <c r="H2197" s="3">
        <v>5</v>
      </c>
      <c r="I2197" s="3">
        <v>1206</v>
      </c>
      <c r="J2197" s="3">
        <v>6030</v>
      </c>
      <c r="K2197" s="3">
        <v>900</v>
      </c>
      <c r="L2197" s="3">
        <v>4500</v>
      </c>
      <c r="M2197" s="3">
        <v>1530</v>
      </c>
      <c r="N2197" s="4">
        <v>0.2537313432835821</v>
      </c>
    </row>
    <row r="2198" spans="1:14" x14ac:dyDescent="0.3">
      <c r="A2198" s="6">
        <v>45815</v>
      </c>
      <c r="B2198" s="1" t="s">
        <v>2382</v>
      </c>
      <c r="C2198" s="1" t="s">
        <v>29</v>
      </c>
      <c r="D2198" t="s">
        <v>30</v>
      </c>
      <c r="E2198" t="s">
        <v>349</v>
      </c>
      <c r="F2198" t="s">
        <v>22</v>
      </c>
      <c r="G2198" t="s">
        <v>18</v>
      </c>
      <c r="H2198" s="3">
        <v>7</v>
      </c>
      <c r="I2198" s="3">
        <v>9240</v>
      </c>
      <c r="J2198" s="3">
        <v>64680</v>
      </c>
      <c r="K2198" s="3">
        <v>7000</v>
      </c>
      <c r="L2198" s="3">
        <v>49000</v>
      </c>
      <c r="M2198" s="3">
        <v>15680</v>
      </c>
      <c r="N2198" s="4">
        <v>0.24242424242424243</v>
      </c>
    </row>
    <row r="2199" spans="1:14" x14ac:dyDescent="0.3">
      <c r="A2199" s="6">
        <v>45815</v>
      </c>
      <c r="B2199" s="1" t="s">
        <v>2383</v>
      </c>
      <c r="C2199" s="1" t="s">
        <v>26</v>
      </c>
      <c r="D2199" t="s">
        <v>34</v>
      </c>
      <c r="E2199" t="s">
        <v>114</v>
      </c>
      <c r="F2199" t="s">
        <v>14</v>
      </c>
      <c r="G2199" t="s">
        <v>15</v>
      </c>
      <c r="H2199" s="3">
        <v>4</v>
      </c>
      <c r="I2199" s="3">
        <v>62550.000000000007</v>
      </c>
      <c r="J2199" s="3">
        <v>250200.00000000003</v>
      </c>
      <c r="K2199" s="3">
        <v>45000</v>
      </c>
      <c r="L2199" s="3">
        <v>180000</v>
      </c>
      <c r="M2199" s="3">
        <v>70200.000000000029</v>
      </c>
      <c r="N2199" s="4">
        <v>0.28057553956834541</v>
      </c>
    </row>
    <row r="2200" spans="1:14" x14ac:dyDescent="0.3">
      <c r="A2200" s="6">
        <v>45815</v>
      </c>
      <c r="B2200" s="1" t="s">
        <v>2384</v>
      </c>
      <c r="C2200" s="1" t="s">
        <v>29</v>
      </c>
      <c r="D2200" t="s">
        <v>33</v>
      </c>
      <c r="E2200" t="s">
        <v>321</v>
      </c>
      <c r="F2200" t="s">
        <v>17</v>
      </c>
      <c r="G2200" t="s">
        <v>18</v>
      </c>
      <c r="H2200" s="3">
        <v>1</v>
      </c>
      <c r="I2200" s="3">
        <v>11220</v>
      </c>
      <c r="J2200" s="3">
        <v>11220</v>
      </c>
      <c r="K2200" s="3">
        <v>8500</v>
      </c>
      <c r="L2200" s="3">
        <v>8500</v>
      </c>
      <c r="M2200" s="3">
        <v>2720</v>
      </c>
      <c r="N2200" s="4">
        <v>0.24242424242424243</v>
      </c>
    </row>
    <row r="2201" spans="1:14" x14ac:dyDescent="0.3">
      <c r="A2201" s="6">
        <v>45815</v>
      </c>
      <c r="B2201" s="1" t="s">
        <v>2385</v>
      </c>
      <c r="C2201" s="1" t="s">
        <v>27</v>
      </c>
      <c r="D2201" t="s">
        <v>33</v>
      </c>
      <c r="E2201" t="s">
        <v>342</v>
      </c>
      <c r="F2201" t="s">
        <v>16</v>
      </c>
      <c r="G2201" t="s">
        <v>15</v>
      </c>
      <c r="H2201" s="3">
        <v>2</v>
      </c>
      <c r="I2201" s="3">
        <v>50160</v>
      </c>
      <c r="J2201" s="3">
        <v>100320</v>
      </c>
      <c r="K2201" s="3">
        <v>38000</v>
      </c>
      <c r="L2201" s="3">
        <v>76000</v>
      </c>
      <c r="M2201" s="3">
        <v>24320</v>
      </c>
      <c r="N2201" s="4">
        <v>0.24242424242424243</v>
      </c>
    </row>
    <row r="2202" spans="1:14" x14ac:dyDescent="0.3">
      <c r="A2202" s="6">
        <v>45815</v>
      </c>
      <c r="B2202" s="1" t="s">
        <v>2386</v>
      </c>
      <c r="C2202" s="1" t="s">
        <v>28</v>
      </c>
      <c r="D2202" t="s">
        <v>35</v>
      </c>
      <c r="E2202" t="s">
        <v>331</v>
      </c>
      <c r="F2202" t="s">
        <v>21</v>
      </c>
      <c r="G2202" t="s">
        <v>20</v>
      </c>
      <c r="H2202" s="3">
        <v>10</v>
      </c>
      <c r="I2202" s="3">
        <v>804</v>
      </c>
      <c r="J2202" s="3">
        <v>8040</v>
      </c>
      <c r="K2202" s="3">
        <v>600</v>
      </c>
      <c r="L2202" s="3">
        <v>6000</v>
      </c>
      <c r="M2202" s="3">
        <v>2040</v>
      </c>
      <c r="N2202" s="4">
        <v>0.2537313432835821</v>
      </c>
    </row>
    <row r="2203" spans="1:14" x14ac:dyDescent="0.3">
      <c r="A2203" s="6">
        <v>45815</v>
      </c>
      <c r="B2203" s="1" t="s">
        <v>2387</v>
      </c>
      <c r="C2203" s="1" t="s">
        <v>29</v>
      </c>
      <c r="D2203" t="s">
        <v>35</v>
      </c>
      <c r="E2203" t="s">
        <v>142</v>
      </c>
      <c r="F2203" t="s">
        <v>14</v>
      </c>
      <c r="G2203" t="s">
        <v>15</v>
      </c>
      <c r="H2203" s="3">
        <v>4</v>
      </c>
      <c r="I2203" s="3">
        <v>58500</v>
      </c>
      <c r="J2203" s="3">
        <v>234000</v>
      </c>
      <c r="K2203" s="3">
        <v>45000</v>
      </c>
      <c r="L2203" s="3">
        <v>180000</v>
      </c>
      <c r="M2203" s="3">
        <v>54000</v>
      </c>
      <c r="N2203" s="4">
        <v>0.23076923076923078</v>
      </c>
    </row>
    <row r="2204" spans="1:14" x14ac:dyDescent="0.3">
      <c r="A2204" s="6">
        <v>45815</v>
      </c>
      <c r="B2204" s="1" t="s">
        <v>2388</v>
      </c>
      <c r="C2204" s="1" t="s">
        <v>29</v>
      </c>
      <c r="D2204" t="s">
        <v>31</v>
      </c>
      <c r="E2204" t="s">
        <v>159</v>
      </c>
      <c r="F2204" t="s">
        <v>21</v>
      </c>
      <c r="G2204" t="s">
        <v>20</v>
      </c>
      <c r="H2204" s="3">
        <v>3</v>
      </c>
      <c r="I2204" s="3">
        <v>744</v>
      </c>
      <c r="J2204" s="3">
        <v>2232</v>
      </c>
      <c r="K2204" s="3">
        <v>600</v>
      </c>
      <c r="L2204" s="3">
        <v>1800</v>
      </c>
      <c r="M2204" s="3">
        <v>432</v>
      </c>
      <c r="N2204" s="4">
        <v>0.19354838709677419</v>
      </c>
    </row>
    <row r="2205" spans="1:14" x14ac:dyDescent="0.3">
      <c r="A2205" s="6">
        <v>45815</v>
      </c>
      <c r="B2205" s="1" t="s">
        <v>2389</v>
      </c>
      <c r="C2205" s="1" t="s">
        <v>27</v>
      </c>
      <c r="D2205" t="s">
        <v>35</v>
      </c>
      <c r="E2205" t="s">
        <v>92</v>
      </c>
      <c r="F2205" t="s">
        <v>19</v>
      </c>
      <c r="G2205" t="s">
        <v>20</v>
      </c>
      <c r="H2205" s="3">
        <v>8</v>
      </c>
      <c r="I2205" s="3">
        <v>1278</v>
      </c>
      <c r="J2205" s="3">
        <v>10224</v>
      </c>
      <c r="K2205" s="3">
        <v>900</v>
      </c>
      <c r="L2205" s="3">
        <v>7200</v>
      </c>
      <c r="M2205" s="3">
        <v>3024</v>
      </c>
      <c r="N2205" s="4">
        <v>0.29577464788732394</v>
      </c>
    </row>
    <row r="2206" spans="1:14" x14ac:dyDescent="0.3">
      <c r="A2206" s="6">
        <v>45815</v>
      </c>
      <c r="B2206" s="1" t="s">
        <v>2390</v>
      </c>
      <c r="C2206" s="1" t="s">
        <v>28</v>
      </c>
      <c r="D2206" t="s">
        <v>31</v>
      </c>
      <c r="E2206" t="s">
        <v>151</v>
      </c>
      <c r="F2206" t="s">
        <v>21</v>
      </c>
      <c r="G2206" t="s">
        <v>20</v>
      </c>
      <c r="H2206" s="3">
        <v>10</v>
      </c>
      <c r="I2206" s="3">
        <v>827.99999999999989</v>
      </c>
      <c r="J2206" s="3">
        <v>8279.9999999999982</v>
      </c>
      <c r="K2206" s="3">
        <v>600</v>
      </c>
      <c r="L2206" s="3">
        <v>6000</v>
      </c>
      <c r="M2206" s="3">
        <v>2279.9999999999982</v>
      </c>
      <c r="N2206" s="4">
        <v>0.27536231884057955</v>
      </c>
    </row>
    <row r="2207" spans="1:14" x14ac:dyDescent="0.3">
      <c r="A2207" s="6">
        <v>45815</v>
      </c>
      <c r="B2207" s="1" t="s">
        <v>2391</v>
      </c>
      <c r="C2207" s="1" t="s">
        <v>29</v>
      </c>
      <c r="D2207" t="s">
        <v>33</v>
      </c>
      <c r="E2207" t="s">
        <v>118</v>
      </c>
      <c r="F2207" t="s">
        <v>24</v>
      </c>
      <c r="G2207" t="s">
        <v>25</v>
      </c>
      <c r="H2207" s="3">
        <v>6</v>
      </c>
      <c r="I2207" s="3">
        <v>3500</v>
      </c>
      <c r="J2207" s="3">
        <v>21000</v>
      </c>
      <c r="K2207" s="3">
        <v>2500</v>
      </c>
      <c r="L2207" s="3">
        <v>15000</v>
      </c>
      <c r="M2207" s="3">
        <v>6000</v>
      </c>
      <c r="N2207" s="4">
        <v>0.2857142857142857</v>
      </c>
    </row>
    <row r="2208" spans="1:14" x14ac:dyDescent="0.3">
      <c r="A2208" s="6">
        <v>45815</v>
      </c>
      <c r="B2208" s="1" t="s">
        <v>2392</v>
      </c>
      <c r="C2208" s="1" t="s">
        <v>29</v>
      </c>
      <c r="D2208" t="s">
        <v>32</v>
      </c>
      <c r="E2208" t="s">
        <v>145</v>
      </c>
      <c r="F2208" t="s">
        <v>17</v>
      </c>
      <c r="G2208" t="s">
        <v>18</v>
      </c>
      <c r="H2208" s="3">
        <v>3</v>
      </c>
      <c r="I2208" s="3">
        <v>11645</v>
      </c>
      <c r="J2208" s="3">
        <v>34935</v>
      </c>
      <c r="K2208" s="3">
        <v>8500</v>
      </c>
      <c r="L2208" s="3">
        <v>25500</v>
      </c>
      <c r="M2208" s="3">
        <v>9435</v>
      </c>
      <c r="N2208" s="4">
        <v>0.27007299270072993</v>
      </c>
    </row>
    <row r="2209" spans="1:14" x14ac:dyDescent="0.3">
      <c r="A2209" s="6">
        <v>45815</v>
      </c>
      <c r="B2209" s="1" t="s">
        <v>2393</v>
      </c>
      <c r="C2209" s="1" t="s">
        <v>27</v>
      </c>
      <c r="D2209" t="s">
        <v>30</v>
      </c>
      <c r="E2209" t="s">
        <v>196</v>
      </c>
      <c r="F2209" t="s">
        <v>14</v>
      </c>
      <c r="G2209" t="s">
        <v>15</v>
      </c>
      <c r="H2209" s="3">
        <v>9</v>
      </c>
      <c r="I2209" s="3">
        <v>61199.999999999993</v>
      </c>
      <c r="J2209" s="3">
        <v>550799.99999999988</v>
      </c>
      <c r="K2209" s="3">
        <v>45000</v>
      </c>
      <c r="L2209" s="3">
        <v>405000</v>
      </c>
      <c r="M2209" s="3">
        <v>145799.99999999988</v>
      </c>
      <c r="N2209" s="4">
        <v>0.26470588235294101</v>
      </c>
    </row>
    <row r="2210" spans="1:14" x14ac:dyDescent="0.3">
      <c r="A2210" s="6">
        <v>45815</v>
      </c>
      <c r="B2210" s="1" t="s">
        <v>2394</v>
      </c>
      <c r="C2210" s="1" t="s">
        <v>27</v>
      </c>
      <c r="D2210" t="s">
        <v>33</v>
      </c>
      <c r="E2210" t="s">
        <v>226</v>
      </c>
      <c r="F2210" t="s">
        <v>21</v>
      </c>
      <c r="G2210" t="s">
        <v>20</v>
      </c>
      <c r="H2210" s="3">
        <v>4</v>
      </c>
      <c r="I2210" s="3">
        <v>840</v>
      </c>
      <c r="J2210" s="3">
        <v>3360</v>
      </c>
      <c r="K2210" s="3">
        <v>600</v>
      </c>
      <c r="L2210" s="3">
        <v>2400</v>
      </c>
      <c r="M2210" s="3">
        <v>960</v>
      </c>
      <c r="N2210" s="4">
        <v>0.2857142857142857</v>
      </c>
    </row>
    <row r="2211" spans="1:14" x14ac:dyDescent="0.3">
      <c r="A2211" s="6">
        <v>45815</v>
      </c>
      <c r="B2211" s="1" t="s">
        <v>2395</v>
      </c>
      <c r="C2211" s="1" t="s">
        <v>27</v>
      </c>
      <c r="D2211" t="s">
        <v>31</v>
      </c>
      <c r="E2211" t="s">
        <v>349</v>
      </c>
      <c r="F2211" t="s">
        <v>22</v>
      </c>
      <c r="G2211" t="s">
        <v>18</v>
      </c>
      <c r="H2211" s="3">
        <v>4</v>
      </c>
      <c r="I2211" s="3">
        <v>9240</v>
      </c>
      <c r="J2211" s="3">
        <v>36960</v>
      </c>
      <c r="K2211" s="3">
        <v>7000</v>
      </c>
      <c r="L2211" s="3">
        <v>28000</v>
      </c>
      <c r="M2211" s="3">
        <v>8960</v>
      </c>
      <c r="N2211" s="4">
        <v>0.24242424242424243</v>
      </c>
    </row>
    <row r="2212" spans="1:14" x14ac:dyDescent="0.3">
      <c r="A2212" s="6">
        <v>45816</v>
      </c>
      <c r="B2212" s="1" t="s">
        <v>2396</v>
      </c>
      <c r="C2212" s="1" t="s">
        <v>28</v>
      </c>
      <c r="D2212" t="s">
        <v>32</v>
      </c>
      <c r="E2212" t="s">
        <v>110</v>
      </c>
      <c r="F2212" t="s">
        <v>17</v>
      </c>
      <c r="G2212" t="s">
        <v>18</v>
      </c>
      <c r="H2212" s="3">
        <v>4</v>
      </c>
      <c r="I2212" s="3">
        <v>11900</v>
      </c>
      <c r="J2212" s="3">
        <v>47600</v>
      </c>
      <c r="K2212" s="3">
        <v>8500</v>
      </c>
      <c r="L2212" s="3">
        <v>34000</v>
      </c>
      <c r="M2212" s="3">
        <v>13600</v>
      </c>
      <c r="N2212" s="4">
        <v>0.2857142857142857</v>
      </c>
    </row>
    <row r="2213" spans="1:14" x14ac:dyDescent="0.3">
      <c r="A2213" s="6">
        <v>45816</v>
      </c>
      <c r="B2213" s="1" t="s">
        <v>2397</v>
      </c>
      <c r="C2213" s="1" t="s">
        <v>28</v>
      </c>
      <c r="D2213" t="s">
        <v>31</v>
      </c>
      <c r="E2213" t="s">
        <v>411</v>
      </c>
      <c r="F2213" t="s">
        <v>16</v>
      </c>
      <c r="G2213" t="s">
        <v>15</v>
      </c>
      <c r="H2213" s="3">
        <v>2</v>
      </c>
      <c r="I2213" s="3">
        <v>46360</v>
      </c>
      <c r="J2213" s="3">
        <v>92720</v>
      </c>
      <c r="K2213" s="3">
        <v>38000</v>
      </c>
      <c r="L2213" s="3">
        <v>76000</v>
      </c>
      <c r="M2213" s="3">
        <v>16720</v>
      </c>
      <c r="N2213" s="4">
        <v>0.18032786885245902</v>
      </c>
    </row>
    <row r="2214" spans="1:14" x14ac:dyDescent="0.3">
      <c r="A2214" s="6">
        <v>45816</v>
      </c>
      <c r="B2214" s="1" t="s">
        <v>2398</v>
      </c>
      <c r="C2214" s="1" t="s">
        <v>29</v>
      </c>
      <c r="D2214" t="s">
        <v>30</v>
      </c>
      <c r="E2214" t="s">
        <v>582</v>
      </c>
      <c r="F2214" t="s">
        <v>23</v>
      </c>
      <c r="G2214" t="s">
        <v>25</v>
      </c>
      <c r="H2214" s="3">
        <v>5</v>
      </c>
      <c r="I2214" s="3">
        <v>4352</v>
      </c>
      <c r="J2214" s="3">
        <v>21760</v>
      </c>
      <c r="K2214" s="3">
        <v>3200</v>
      </c>
      <c r="L2214" s="3">
        <v>16000</v>
      </c>
      <c r="M2214" s="3">
        <v>5760</v>
      </c>
      <c r="N2214" s="4">
        <v>0.26470588235294118</v>
      </c>
    </row>
    <row r="2215" spans="1:14" x14ac:dyDescent="0.3">
      <c r="A2215" s="6">
        <v>45816</v>
      </c>
      <c r="B2215" s="1" t="s">
        <v>2399</v>
      </c>
      <c r="C2215" s="1" t="s">
        <v>27</v>
      </c>
      <c r="D2215" t="s">
        <v>31</v>
      </c>
      <c r="E2215" t="s">
        <v>436</v>
      </c>
      <c r="F2215" t="s">
        <v>22</v>
      </c>
      <c r="G2215" t="s">
        <v>18</v>
      </c>
      <c r="H2215" s="3">
        <v>1</v>
      </c>
      <c r="I2215" s="3">
        <v>9450</v>
      </c>
      <c r="J2215" s="3">
        <v>9450</v>
      </c>
      <c r="K2215" s="3">
        <v>7000</v>
      </c>
      <c r="L2215" s="3">
        <v>7000</v>
      </c>
      <c r="M2215" s="3">
        <v>2450</v>
      </c>
      <c r="N2215" s="4">
        <v>0.25925925925925924</v>
      </c>
    </row>
    <row r="2216" spans="1:14" x14ac:dyDescent="0.3">
      <c r="A2216" s="6">
        <v>45816</v>
      </c>
      <c r="B2216" s="1" t="s">
        <v>2400</v>
      </c>
      <c r="C2216" s="1" t="s">
        <v>26</v>
      </c>
      <c r="D2216" t="s">
        <v>34</v>
      </c>
      <c r="E2216" t="s">
        <v>78</v>
      </c>
      <c r="F2216" t="s">
        <v>19</v>
      </c>
      <c r="G2216" t="s">
        <v>20</v>
      </c>
      <c r="H2216" s="3">
        <v>8</v>
      </c>
      <c r="I2216" s="3">
        <v>1278</v>
      </c>
      <c r="J2216" s="3">
        <v>10224</v>
      </c>
      <c r="K2216" s="3">
        <v>900</v>
      </c>
      <c r="L2216" s="3">
        <v>7200</v>
      </c>
      <c r="M2216" s="3">
        <v>3024</v>
      </c>
      <c r="N2216" s="4">
        <v>0.29577464788732394</v>
      </c>
    </row>
    <row r="2217" spans="1:14" x14ac:dyDescent="0.3">
      <c r="A2217" s="6">
        <v>45816</v>
      </c>
      <c r="B2217" s="1" t="s">
        <v>2401</v>
      </c>
      <c r="C2217" s="1" t="s">
        <v>26</v>
      </c>
      <c r="D2217" t="s">
        <v>32</v>
      </c>
      <c r="E2217" t="s">
        <v>249</v>
      </c>
      <c r="F2217" t="s">
        <v>23</v>
      </c>
      <c r="G2217" t="s">
        <v>25</v>
      </c>
      <c r="H2217" s="3">
        <v>10</v>
      </c>
      <c r="I2217" s="3">
        <v>4448</v>
      </c>
      <c r="J2217" s="3">
        <v>44480</v>
      </c>
      <c r="K2217" s="3">
        <v>3200</v>
      </c>
      <c r="L2217" s="3">
        <v>32000</v>
      </c>
      <c r="M2217" s="3">
        <v>12480</v>
      </c>
      <c r="N2217" s="4">
        <v>0.2805755395683453</v>
      </c>
    </row>
    <row r="2218" spans="1:14" x14ac:dyDescent="0.3">
      <c r="A2218" s="6">
        <v>45816</v>
      </c>
      <c r="B2218" s="1" t="s">
        <v>2402</v>
      </c>
      <c r="C2218" s="1" t="s">
        <v>29</v>
      </c>
      <c r="D2218" t="s">
        <v>33</v>
      </c>
      <c r="E2218" t="s">
        <v>163</v>
      </c>
      <c r="F2218" t="s">
        <v>21</v>
      </c>
      <c r="G2218" t="s">
        <v>20</v>
      </c>
      <c r="H2218" s="3">
        <v>2</v>
      </c>
      <c r="I2218" s="3">
        <v>774</v>
      </c>
      <c r="J2218" s="3">
        <v>1548</v>
      </c>
      <c r="K2218" s="3">
        <v>600</v>
      </c>
      <c r="L2218" s="3">
        <v>1200</v>
      </c>
      <c r="M2218" s="3">
        <v>348</v>
      </c>
      <c r="N2218" s="4">
        <v>0.22480620155038761</v>
      </c>
    </row>
    <row r="2219" spans="1:14" x14ac:dyDescent="0.3">
      <c r="A2219" s="6">
        <v>45816</v>
      </c>
      <c r="B2219" s="1" t="s">
        <v>2403</v>
      </c>
      <c r="C2219" s="1" t="s">
        <v>27</v>
      </c>
      <c r="D2219" t="s">
        <v>33</v>
      </c>
      <c r="E2219" t="s">
        <v>239</v>
      </c>
      <c r="F2219" t="s">
        <v>17</v>
      </c>
      <c r="G2219" t="s">
        <v>18</v>
      </c>
      <c r="H2219" s="3">
        <v>6</v>
      </c>
      <c r="I2219" s="3">
        <v>12325</v>
      </c>
      <c r="J2219" s="3">
        <v>73950</v>
      </c>
      <c r="K2219" s="3">
        <v>8500</v>
      </c>
      <c r="L2219" s="3">
        <v>51000</v>
      </c>
      <c r="M2219" s="3">
        <v>22950</v>
      </c>
      <c r="N2219" s="4">
        <v>0.31034482758620691</v>
      </c>
    </row>
    <row r="2220" spans="1:14" x14ac:dyDescent="0.3">
      <c r="A2220" s="6">
        <v>45816</v>
      </c>
      <c r="B2220" s="1" t="s">
        <v>2404</v>
      </c>
      <c r="C2220" s="1" t="s">
        <v>29</v>
      </c>
      <c r="D2220" t="s">
        <v>33</v>
      </c>
      <c r="E2220" t="s">
        <v>263</v>
      </c>
      <c r="F2220" t="s">
        <v>22</v>
      </c>
      <c r="G2220" t="s">
        <v>18</v>
      </c>
      <c r="H2220" s="3">
        <v>3</v>
      </c>
      <c r="I2220" s="3">
        <v>9170</v>
      </c>
      <c r="J2220" s="3">
        <v>27510</v>
      </c>
      <c r="K2220" s="3">
        <v>7000</v>
      </c>
      <c r="L2220" s="3">
        <v>21000</v>
      </c>
      <c r="M2220" s="3">
        <v>6510</v>
      </c>
      <c r="N2220" s="4">
        <v>0.23664122137404581</v>
      </c>
    </row>
    <row r="2221" spans="1:14" x14ac:dyDescent="0.3">
      <c r="A2221" s="6">
        <v>45816</v>
      </c>
      <c r="B2221" s="1" t="s">
        <v>2405</v>
      </c>
      <c r="C2221" s="1" t="s">
        <v>27</v>
      </c>
      <c r="D2221" t="s">
        <v>33</v>
      </c>
      <c r="E2221" t="s">
        <v>275</v>
      </c>
      <c r="F2221" t="s">
        <v>21</v>
      </c>
      <c r="G2221" t="s">
        <v>20</v>
      </c>
      <c r="H2221" s="3">
        <v>10</v>
      </c>
      <c r="I2221" s="3">
        <v>738</v>
      </c>
      <c r="J2221" s="3">
        <v>7380</v>
      </c>
      <c r="K2221" s="3">
        <v>600</v>
      </c>
      <c r="L2221" s="3">
        <v>6000</v>
      </c>
      <c r="M2221" s="3">
        <v>1380</v>
      </c>
      <c r="N2221" s="4">
        <v>0.18699186991869918</v>
      </c>
    </row>
    <row r="2222" spans="1:14" x14ac:dyDescent="0.3">
      <c r="A2222" s="6">
        <v>45816</v>
      </c>
      <c r="B2222" s="1" t="s">
        <v>2406</v>
      </c>
      <c r="C2222" s="1" t="s">
        <v>29</v>
      </c>
      <c r="D2222" t="s">
        <v>34</v>
      </c>
      <c r="E2222" t="s">
        <v>49</v>
      </c>
      <c r="F2222" t="s">
        <v>19</v>
      </c>
      <c r="G2222" t="s">
        <v>20</v>
      </c>
      <c r="H2222" s="3">
        <v>6</v>
      </c>
      <c r="I2222" s="3">
        <v>1242</v>
      </c>
      <c r="J2222" s="3">
        <v>7452</v>
      </c>
      <c r="K2222" s="3">
        <v>900</v>
      </c>
      <c r="L2222" s="3">
        <v>5400</v>
      </c>
      <c r="M2222" s="3">
        <v>2052</v>
      </c>
      <c r="N2222" s="4">
        <v>0.27536231884057971</v>
      </c>
    </row>
    <row r="2223" spans="1:14" x14ac:dyDescent="0.3">
      <c r="A2223" s="6">
        <v>45816</v>
      </c>
      <c r="B2223" s="1" t="s">
        <v>2407</v>
      </c>
      <c r="C2223" s="1" t="s">
        <v>28</v>
      </c>
      <c r="D2223" t="s">
        <v>34</v>
      </c>
      <c r="E2223" t="s">
        <v>61</v>
      </c>
      <c r="F2223" t="s">
        <v>14</v>
      </c>
      <c r="G2223" t="s">
        <v>15</v>
      </c>
      <c r="H2223" s="3">
        <v>9</v>
      </c>
      <c r="I2223" s="3">
        <v>55800</v>
      </c>
      <c r="J2223" s="3">
        <v>502200</v>
      </c>
      <c r="K2223" s="3">
        <v>45000</v>
      </c>
      <c r="L2223" s="3">
        <v>405000</v>
      </c>
      <c r="M2223" s="3">
        <v>97200</v>
      </c>
      <c r="N2223" s="4">
        <v>0.19354838709677419</v>
      </c>
    </row>
    <row r="2224" spans="1:14" x14ac:dyDescent="0.3">
      <c r="A2224" s="6">
        <v>45816</v>
      </c>
      <c r="B2224" s="1" t="s">
        <v>2408</v>
      </c>
      <c r="C2224" s="1" t="s">
        <v>28</v>
      </c>
      <c r="D2224" t="s">
        <v>34</v>
      </c>
      <c r="E2224" t="s">
        <v>69</v>
      </c>
      <c r="F2224" t="s">
        <v>16</v>
      </c>
      <c r="G2224" t="s">
        <v>15</v>
      </c>
      <c r="H2224" s="3">
        <v>10</v>
      </c>
      <c r="I2224" s="3">
        <v>49020</v>
      </c>
      <c r="J2224" s="3">
        <v>490200</v>
      </c>
      <c r="K2224" s="3">
        <v>38000</v>
      </c>
      <c r="L2224" s="3">
        <v>380000</v>
      </c>
      <c r="M2224" s="3">
        <v>110200</v>
      </c>
      <c r="N2224" s="4">
        <v>0.22480620155038761</v>
      </c>
    </row>
    <row r="2225" spans="1:14" x14ac:dyDescent="0.3">
      <c r="A2225" s="6">
        <v>45816</v>
      </c>
      <c r="B2225" s="1" t="s">
        <v>2409</v>
      </c>
      <c r="C2225" s="1" t="s">
        <v>28</v>
      </c>
      <c r="D2225" t="s">
        <v>33</v>
      </c>
      <c r="E2225" t="s">
        <v>365</v>
      </c>
      <c r="F2225" t="s">
        <v>23</v>
      </c>
      <c r="G2225" t="s">
        <v>25</v>
      </c>
      <c r="H2225" s="3">
        <v>3</v>
      </c>
      <c r="I2225" s="3">
        <v>4320</v>
      </c>
      <c r="J2225" s="3">
        <v>12960</v>
      </c>
      <c r="K2225" s="3">
        <v>3200</v>
      </c>
      <c r="L2225" s="3">
        <v>9600</v>
      </c>
      <c r="M2225" s="3">
        <v>3360</v>
      </c>
      <c r="N2225" s="4">
        <v>0.25925925925925924</v>
      </c>
    </row>
    <row r="2226" spans="1:14" x14ac:dyDescent="0.3">
      <c r="A2226" s="6">
        <v>45817</v>
      </c>
      <c r="B2226" s="1" t="s">
        <v>2410</v>
      </c>
      <c r="C2226" s="1" t="s">
        <v>26</v>
      </c>
      <c r="D2226" t="s">
        <v>33</v>
      </c>
      <c r="E2226" t="s">
        <v>357</v>
      </c>
      <c r="F2226" t="s">
        <v>19</v>
      </c>
      <c r="G2226" t="s">
        <v>20</v>
      </c>
      <c r="H2226" s="3">
        <v>2</v>
      </c>
      <c r="I2226" s="3">
        <v>1215</v>
      </c>
      <c r="J2226" s="3">
        <v>2430</v>
      </c>
      <c r="K2226" s="3">
        <v>900</v>
      </c>
      <c r="L2226" s="3">
        <v>1800</v>
      </c>
      <c r="M2226" s="3">
        <v>630</v>
      </c>
      <c r="N2226" s="4">
        <v>0.25925925925925924</v>
      </c>
    </row>
    <row r="2227" spans="1:14" x14ac:dyDescent="0.3">
      <c r="A2227" s="6">
        <v>45817</v>
      </c>
      <c r="B2227" s="1" t="s">
        <v>2411</v>
      </c>
      <c r="C2227" s="1" t="s">
        <v>29</v>
      </c>
      <c r="D2227" t="s">
        <v>33</v>
      </c>
      <c r="E2227" t="s">
        <v>239</v>
      </c>
      <c r="F2227" t="s">
        <v>24</v>
      </c>
      <c r="G2227" t="s">
        <v>25</v>
      </c>
      <c r="H2227" s="3">
        <v>10</v>
      </c>
      <c r="I2227" s="3">
        <v>3625</v>
      </c>
      <c r="J2227" s="3">
        <v>36250</v>
      </c>
      <c r="K2227" s="3">
        <v>2500</v>
      </c>
      <c r="L2227" s="3">
        <v>25000</v>
      </c>
      <c r="M2227" s="3">
        <v>11250</v>
      </c>
      <c r="N2227" s="4">
        <v>0.31034482758620691</v>
      </c>
    </row>
    <row r="2228" spans="1:14" x14ac:dyDescent="0.3">
      <c r="A2228" s="6">
        <v>45817</v>
      </c>
      <c r="B2228" s="1" t="s">
        <v>2412</v>
      </c>
      <c r="C2228" s="1" t="s">
        <v>29</v>
      </c>
      <c r="D2228" t="s">
        <v>35</v>
      </c>
      <c r="E2228" t="s">
        <v>283</v>
      </c>
      <c r="F2228" t="s">
        <v>21</v>
      </c>
      <c r="G2228" t="s">
        <v>20</v>
      </c>
      <c r="H2228" s="3">
        <v>10</v>
      </c>
      <c r="I2228" s="3">
        <v>774</v>
      </c>
      <c r="J2228" s="3">
        <v>7740</v>
      </c>
      <c r="K2228" s="3">
        <v>600</v>
      </c>
      <c r="L2228" s="3">
        <v>6000</v>
      </c>
      <c r="M2228" s="3">
        <v>1740</v>
      </c>
      <c r="N2228" s="4">
        <v>0.22480620155038761</v>
      </c>
    </row>
    <row r="2229" spans="1:14" x14ac:dyDescent="0.3">
      <c r="A2229" s="6">
        <v>45817</v>
      </c>
      <c r="B2229" s="1" t="s">
        <v>2413</v>
      </c>
      <c r="C2229" s="1" t="s">
        <v>27</v>
      </c>
      <c r="D2229" t="s">
        <v>32</v>
      </c>
      <c r="E2229" t="s">
        <v>447</v>
      </c>
      <c r="F2229" t="s">
        <v>24</v>
      </c>
      <c r="G2229" t="s">
        <v>25</v>
      </c>
      <c r="H2229" s="3">
        <v>8</v>
      </c>
      <c r="I2229" s="3">
        <v>3025</v>
      </c>
      <c r="J2229" s="3">
        <v>24200</v>
      </c>
      <c r="K2229" s="3">
        <v>2500</v>
      </c>
      <c r="L2229" s="3">
        <v>20000</v>
      </c>
      <c r="M2229" s="3">
        <v>4200</v>
      </c>
      <c r="N2229" s="4">
        <v>0.17355371900826447</v>
      </c>
    </row>
    <row r="2230" spans="1:14" x14ac:dyDescent="0.3">
      <c r="A2230" s="6">
        <v>45817</v>
      </c>
      <c r="B2230" s="1" t="s">
        <v>2414</v>
      </c>
      <c r="C2230" s="1" t="s">
        <v>29</v>
      </c>
      <c r="D2230" t="s">
        <v>34</v>
      </c>
      <c r="E2230" t="s">
        <v>365</v>
      </c>
      <c r="F2230" t="s">
        <v>17</v>
      </c>
      <c r="G2230" t="s">
        <v>18</v>
      </c>
      <c r="H2230" s="3">
        <v>10</v>
      </c>
      <c r="I2230" s="3">
        <v>11559.999999999998</v>
      </c>
      <c r="J2230" s="3">
        <v>115599.99999999999</v>
      </c>
      <c r="K2230" s="3">
        <v>8500</v>
      </c>
      <c r="L2230" s="3">
        <v>85000</v>
      </c>
      <c r="M2230" s="3">
        <v>30599.999999999985</v>
      </c>
      <c r="N2230" s="4">
        <v>0.26470588235294107</v>
      </c>
    </row>
    <row r="2231" spans="1:14" x14ac:dyDescent="0.3">
      <c r="A2231" s="6">
        <v>45817</v>
      </c>
      <c r="B2231" s="1" t="s">
        <v>2415</v>
      </c>
      <c r="C2231" s="1" t="s">
        <v>26</v>
      </c>
      <c r="D2231" t="s">
        <v>33</v>
      </c>
      <c r="E2231" t="s">
        <v>349</v>
      </c>
      <c r="F2231" t="s">
        <v>19</v>
      </c>
      <c r="G2231" t="s">
        <v>20</v>
      </c>
      <c r="H2231" s="3">
        <v>7</v>
      </c>
      <c r="I2231" s="3">
        <v>1251</v>
      </c>
      <c r="J2231" s="3">
        <v>8757</v>
      </c>
      <c r="K2231" s="3">
        <v>900</v>
      </c>
      <c r="L2231" s="3">
        <v>6300</v>
      </c>
      <c r="M2231" s="3">
        <v>2457</v>
      </c>
      <c r="N2231" s="4">
        <v>0.2805755395683453</v>
      </c>
    </row>
    <row r="2232" spans="1:14" x14ac:dyDescent="0.3">
      <c r="A2232" s="6">
        <v>45817</v>
      </c>
      <c r="B2232" s="1" t="s">
        <v>2416</v>
      </c>
      <c r="C2232" s="1" t="s">
        <v>26</v>
      </c>
      <c r="D2232" t="s">
        <v>30</v>
      </c>
      <c r="E2232" t="s">
        <v>935</v>
      </c>
      <c r="F2232" t="s">
        <v>14</v>
      </c>
      <c r="G2232" t="s">
        <v>15</v>
      </c>
      <c r="H2232" s="3">
        <v>10</v>
      </c>
      <c r="I2232" s="3">
        <v>62550.000000000007</v>
      </c>
      <c r="J2232" s="3">
        <v>625500.00000000012</v>
      </c>
      <c r="K2232" s="3">
        <v>45000</v>
      </c>
      <c r="L2232" s="3">
        <v>450000</v>
      </c>
      <c r="M2232" s="3">
        <v>175500.00000000012</v>
      </c>
      <c r="N2232" s="4">
        <v>0.28057553956834547</v>
      </c>
    </row>
    <row r="2233" spans="1:14" x14ac:dyDescent="0.3">
      <c r="A2233" s="6">
        <v>45817</v>
      </c>
      <c r="B2233" s="1" t="s">
        <v>2417</v>
      </c>
      <c r="C2233" s="1" t="s">
        <v>29</v>
      </c>
      <c r="D2233" t="s">
        <v>33</v>
      </c>
      <c r="E2233" t="s">
        <v>153</v>
      </c>
      <c r="F2233" t="s">
        <v>23</v>
      </c>
      <c r="G2233" t="s">
        <v>25</v>
      </c>
      <c r="H2233" s="3">
        <v>9</v>
      </c>
      <c r="I2233" s="3">
        <v>4448</v>
      </c>
      <c r="J2233" s="3">
        <v>40032</v>
      </c>
      <c r="K2233" s="3">
        <v>3200</v>
      </c>
      <c r="L2233" s="3">
        <v>28800</v>
      </c>
      <c r="M2233" s="3">
        <v>11232</v>
      </c>
      <c r="N2233" s="4">
        <v>0.2805755395683453</v>
      </c>
    </row>
    <row r="2234" spans="1:14" x14ac:dyDescent="0.3">
      <c r="A2234" s="6">
        <v>45817</v>
      </c>
      <c r="B2234" s="1" t="s">
        <v>2418</v>
      </c>
      <c r="C2234" s="1" t="s">
        <v>26</v>
      </c>
      <c r="D2234" t="s">
        <v>33</v>
      </c>
      <c r="E2234" t="s">
        <v>55</v>
      </c>
      <c r="F2234" t="s">
        <v>22</v>
      </c>
      <c r="G2234" t="s">
        <v>18</v>
      </c>
      <c r="H2234" s="3">
        <v>7</v>
      </c>
      <c r="I2234" s="3">
        <v>9030</v>
      </c>
      <c r="J2234" s="3">
        <v>63210</v>
      </c>
      <c r="K2234" s="3">
        <v>7000</v>
      </c>
      <c r="L2234" s="3">
        <v>49000</v>
      </c>
      <c r="M2234" s="3">
        <v>14210</v>
      </c>
      <c r="N2234" s="4">
        <v>0.22480620155038761</v>
      </c>
    </row>
    <row r="2235" spans="1:14" x14ac:dyDescent="0.3">
      <c r="A2235" s="6">
        <v>45817</v>
      </c>
      <c r="B2235" s="1" t="s">
        <v>2419</v>
      </c>
      <c r="C2235" s="1" t="s">
        <v>28</v>
      </c>
      <c r="D2235" t="s">
        <v>33</v>
      </c>
      <c r="E2235" t="s">
        <v>317</v>
      </c>
      <c r="F2235" t="s">
        <v>19</v>
      </c>
      <c r="G2235" t="s">
        <v>20</v>
      </c>
      <c r="H2235" s="3">
        <v>8</v>
      </c>
      <c r="I2235" s="3">
        <v>1251</v>
      </c>
      <c r="J2235" s="3">
        <v>10008</v>
      </c>
      <c r="K2235" s="3">
        <v>900</v>
      </c>
      <c r="L2235" s="3">
        <v>7200</v>
      </c>
      <c r="M2235" s="3">
        <v>2808</v>
      </c>
      <c r="N2235" s="4">
        <v>0.2805755395683453</v>
      </c>
    </row>
    <row r="2236" spans="1:14" x14ac:dyDescent="0.3">
      <c r="A2236" s="6">
        <v>45817</v>
      </c>
      <c r="B2236" s="1" t="s">
        <v>2420</v>
      </c>
      <c r="C2236" s="1" t="s">
        <v>27</v>
      </c>
      <c r="D2236" t="s">
        <v>30</v>
      </c>
      <c r="E2236" t="s">
        <v>263</v>
      </c>
      <c r="F2236" t="s">
        <v>16</v>
      </c>
      <c r="G2236" t="s">
        <v>15</v>
      </c>
      <c r="H2236" s="3">
        <v>2</v>
      </c>
      <c r="I2236" s="3">
        <v>51679.999999999993</v>
      </c>
      <c r="J2236" s="3">
        <v>103359.99999999999</v>
      </c>
      <c r="K2236" s="3">
        <v>38000</v>
      </c>
      <c r="L2236" s="3">
        <v>76000</v>
      </c>
      <c r="M2236" s="3">
        <v>27359.999999999985</v>
      </c>
      <c r="N2236" s="4">
        <v>0.26470588235294107</v>
      </c>
    </row>
    <row r="2237" spans="1:14" x14ac:dyDescent="0.3">
      <c r="A2237" s="6">
        <v>45817</v>
      </c>
      <c r="B2237" s="1" t="s">
        <v>2421</v>
      </c>
      <c r="C2237" s="1" t="s">
        <v>27</v>
      </c>
      <c r="D2237" t="s">
        <v>35</v>
      </c>
      <c r="E2237" t="s">
        <v>110</v>
      </c>
      <c r="F2237" t="s">
        <v>21</v>
      </c>
      <c r="G2237" t="s">
        <v>20</v>
      </c>
      <c r="H2237" s="3">
        <v>4</v>
      </c>
      <c r="I2237" s="3">
        <v>822.00000000000011</v>
      </c>
      <c r="J2237" s="3">
        <v>3288.0000000000005</v>
      </c>
      <c r="K2237" s="3">
        <v>600</v>
      </c>
      <c r="L2237" s="3">
        <v>2400</v>
      </c>
      <c r="M2237" s="3">
        <v>888.00000000000045</v>
      </c>
      <c r="N2237" s="4">
        <v>0.27007299270073004</v>
      </c>
    </row>
    <row r="2238" spans="1:14" x14ac:dyDescent="0.3">
      <c r="A2238" s="6">
        <v>45817</v>
      </c>
      <c r="B2238" s="1" t="s">
        <v>2422</v>
      </c>
      <c r="C2238" s="1" t="s">
        <v>27</v>
      </c>
      <c r="D2238" t="s">
        <v>31</v>
      </c>
      <c r="E2238" t="s">
        <v>116</v>
      </c>
      <c r="F2238" t="s">
        <v>21</v>
      </c>
      <c r="G2238" t="s">
        <v>20</v>
      </c>
      <c r="H2238" s="3">
        <v>5</v>
      </c>
      <c r="I2238" s="3">
        <v>786</v>
      </c>
      <c r="J2238" s="3">
        <v>3930</v>
      </c>
      <c r="K2238" s="3">
        <v>600</v>
      </c>
      <c r="L2238" s="3">
        <v>3000</v>
      </c>
      <c r="M2238" s="3">
        <v>930</v>
      </c>
      <c r="N2238" s="4">
        <v>0.23664122137404581</v>
      </c>
    </row>
    <row r="2239" spans="1:14" x14ac:dyDescent="0.3">
      <c r="A2239" s="6">
        <v>45817</v>
      </c>
      <c r="B2239" s="1" t="s">
        <v>2423</v>
      </c>
      <c r="C2239" s="1" t="s">
        <v>27</v>
      </c>
      <c r="D2239" t="s">
        <v>31</v>
      </c>
      <c r="E2239" t="s">
        <v>220</v>
      </c>
      <c r="F2239" t="s">
        <v>21</v>
      </c>
      <c r="G2239" t="s">
        <v>20</v>
      </c>
      <c r="H2239" s="3">
        <v>2</v>
      </c>
      <c r="I2239" s="3">
        <v>815.99999999999989</v>
      </c>
      <c r="J2239" s="3">
        <v>1631.9999999999998</v>
      </c>
      <c r="K2239" s="3">
        <v>600</v>
      </c>
      <c r="L2239" s="3">
        <v>1200</v>
      </c>
      <c r="M2239" s="3">
        <v>431.99999999999977</v>
      </c>
      <c r="N2239" s="4">
        <v>0.26470588235294107</v>
      </c>
    </row>
    <row r="2240" spans="1:14" x14ac:dyDescent="0.3">
      <c r="A2240" s="6">
        <v>45818</v>
      </c>
      <c r="B2240" s="1" t="s">
        <v>2424</v>
      </c>
      <c r="C2240" s="1" t="s">
        <v>26</v>
      </c>
      <c r="D2240" t="s">
        <v>33</v>
      </c>
      <c r="E2240" t="s">
        <v>65</v>
      </c>
      <c r="F2240" t="s">
        <v>22</v>
      </c>
      <c r="G2240" t="s">
        <v>18</v>
      </c>
      <c r="H2240" s="3">
        <v>5</v>
      </c>
      <c r="I2240" s="3">
        <v>8540</v>
      </c>
      <c r="J2240" s="3">
        <v>42700</v>
      </c>
      <c r="K2240" s="3">
        <v>7000</v>
      </c>
      <c r="L2240" s="3">
        <v>35000</v>
      </c>
      <c r="M2240" s="3">
        <v>7700</v>
      </c>
      <c r="N2240" s="4">
        <v>0.18032786885245902</v>
      </c>
    </row>
    <row r="2241" spans="1:14" x14ac:dyDescent="0.3">
      <c r="A2241" s="6">
        <v>45818</v>
      </c>
      <c r="B2241" s="1" t="s">
        <v>2425</v>
      </c>
      <c r="C2241" s="1" t="s">
        <v>28</v>
      </c>
      <c r="D2241" t="s">
        <v>30</v>
      </c>
      <c r="E2241" t="s">
        <v>126</v>
      </c>
      <c r="F2241" t="s">
        <v>16</v>
      </c>
      <c r="G2241" t="s">
        <v>15</v>
      </c>
      <c r="H2241" s="3">
        <v>3</v>
      </c>
      <c r="I2241" s="3">
        <v>50160</v>
      </c>
      <c r="J2241" s="3">
        <v>150480</v>
      </c>
      <c r="K2241" s="3">
        <v>38000</v>
      </c>
      <c r="L2241" s="3">
        <v>114000</v>
      </c>
      <c r="M2241" s="3">
        <v>36480</v>
      </c>
      <c r="N2241" s="4">
        <v>0.24242424242424243</v>
      </c>
    </row>
    <row r="2242" spans="1:14" x14ac:dyDescent="0.3">
      <c r="A2242" s="6">
        <v>45818</v>
      </c>
      <c r="B2242" s="1" t="s">
        <v>2426</v>
      </c>
      <c r="C2242" s="1" t="s">
        <v>28</v>
      </c>
      <c r="D2242" t="s">
        <v>31</v>
      </c>
      <c r="E2242" t="s">
        <v>193</v>
      </c>
      <c r="F2242" t="s">
        <v>23</v>
      </c>
      <c r="G2242" t="s">
        <v>25</v>
      </c>
      <c r="H2242" s="3">
        <v>8</v>
      </c>
      <c r="I2242" s="3">
        <v>4480</v>
      </c>
      <c r="J2242" s="3">
        <v>35840</v>
      </c>
      <c r="K2242" s="3">
        <v>3200</v>
      </c>
      <c r="L2242" s="3">
        <v>25600</v>
      </c>
      <c r="M2242" s="3">
        <v>10240</v>
      </c>
      <c r="N2242" s="4">
        <v>0.2857142857142857</v>
      </c>
    </row>
    <row r="2243" spans="1:14" x14ac:dyDescent="0.3">
      <c r="A2243" s="6">
        <v>45818</v>
      </c>
      <c r="B2243" s="1" t="s">
        <v>2427</v>
      </c>
      <c r="C2243" s="1" t="s">
        <v>27</v>
      </c>
      <c r="D2243" t="s">
        <v>32</v>
      </c>
      <c r="E2243" t="s">
        <v>357</v>
      </c>
      <c r="F2243" t="s">
        <v>22</v>
      </c>
      <c r="G2243" t="s">
        <v>18</v>
      </c>
      <c r="H2243" s="3">
        <v>7</v>
      </c>
      <c r="I2243" s="3">
        <v>9170</v>
      </c>
      <c r="J2243" s="3">
        <v>64190</v>
      </c>
      <c r="K2243" s="3">
        <v>7000</v>
      </c>
      <c r="L2243" s="3">
        <v>49000</v>
      </c>
      <c r="M2243" s="3">
        <v>15190</v>
      </c>
      <c r="N2243" s="4">
        <v>0.23664122137404581</v>
      </c>
    </row>
    <row r="2244" spans="1:14" x14ac:dyDescent="0.3">
      <c r="A2244" s="6">
        <v>45818</v>
      </c>
      <c r="B2244" s="1" t="s">
        <v>2428</v>
      </c>
      <c r="C2244" s="1" t="s">
        <v>27</v>
      </c>
      <c r="D2244" t="s">
        <v>35</v>
      </c>
      <c r="E2244" t="s">
        <v>379</v>
      </c>
      <c r="F2244" t="s">
        <v>22</v>
      </c>
      <c r="G2244" t="s">
        <v>18</v>
      </c>
      <c r="H2244" s="3">
        <v>8</v>
      </c>
      <c r="I2244" s="3">
        <v>9240</v>
      </c>
      <c r="J2244" s="3">
        <v>73920</v>
      </c>
      <c r="K2244" s="3">
        <v>7000</v>
      </c>
      <c r="L2244" s="3">
        <v>56000</v>
      </c>
      <c r="M2244" s="3">
        <v>17920</v>
      </c>
      <c r="N2244" s="4">
        <v>0.24242424242424243</v>
      </c>
    </row>
    <row r="2245" spans="1:14" x14ac:dyDescent="0.3">
      <c r="A2245" s="6">
        <v>45818</v>
      </c>
      <c r="B2245" s="1" t="s">
        <v>2429</v>
      </c>
      <c r="C2245" s="1" t="s">
        <v>28</v>
      </c>
      <c r="D2245" t="s">
        <v>33</v>
      </c>
      <c r="E2245" t="s">
        <v>161</v>
      </c>
      <c r="F2245" t="s">
        <v>22</v>
      </c>
      <c r="G2245" t="s">
        <v>18</v>
      </c>
      <c r="H2245" s="3">
        <v>9</v>
      </c>
      <c r="I2245" s="3">
        <v>8680</v>
      </c>
      <c r="J2245" s="3">
        <v>78120</v>
      </c>
      <c r="K2245" s="3">
        <v>7000</v>
      </c>
      <c r="L2245" s="3">
        <v>63000</v>
      </c>
      <c r="M2245" s="3">
        <v>15120</v>
      </c>
      <c r="N2245" s="4">
        <v>0.19354838709677419</v>
      </c>
    </row>
    <row r="2246" spans="1:14" x14ac:dyDescent="0.3">
      <c r="A2246" s="6">
        <v>45818</v>
      </c>
      <c r="B2246" s="1" t="s">
        <v>2430</v>
      </c>
      <c r="C2246" s="1" t="s">
        <v>26</v>
      </c>
      <c r="D2246" t="s">
        <v>35</v>
      </c>
      <c r="E2246" t="s">
        <v>151</v>
      </c>
      <c r="F2246" t="s">
        <v>19</v>
      </c>
      <c r="G2246" t="s">
        <v>20</v>
      </c>
      <c r="H2246" s="3">
        <v>10</v>
      </c>
      <c r="I2246" s="3">
        <v>1233</v>
      </c>
      <c r="J2246" s="3">
        <v>12330</v>
      </c>
      <c r="K2246" s="3">
        <v>900</v>
      </c>
      <c r="L2246" s="3">
        <v>9000</v>
      </c>
      <c r="M2246" s="3">
        <v>3330</v>
      </c>
      <c r="N2246" s="4">
        <v>0.27007299270072993</v>
      </c>
    </row>
    <row r="2247" spans="1:14" x14ac:dyDescent="0.3">
      <c r="A2247" s="6">
        <v>45818</v>
      </c>
      <c r="B2247" s="1" t="s">
        <v>2431</v>
      </c>
      <c r="C2247" s="1" t="s">
        <v>29</v>
      </c>
      <c r="D2247" t="s">
        <v>32</v>
      </c>
      <c r="E2247" t="s">
        <v>263</v>
      </c>
      <c r="F2247" t="s">
        <v>21</v>
      </c>
      <c r="G2247" t="s">
        <v>20</v>
      </c>
      <c r="H2247" s="3">
        <v>7</v>
      </c>
      <c r="I2247" s="3">
        <v>744</v>
      </c>
      <c r="J2247" s="3">
        <v>5208</v>
      </c>
      <c r="K2247" s="3">
        <v>600</v>
      </c>
      <c r="L2247" s="3">
        <v>4200</v>
      </c>
      <c r="M2247" s="3">
        <v>1008</v>
      </c>
      <c r="N2247" s="4">
        <v>0.19354838709677419</v>
      </c>
    </row>
    <row r="2248" spans="1:14" x14ac:dyDescent="0.3">
      <c r="A2248" s="6">
        <v>45818</v>
      </c>
      <c r="B2248" s="1" t="s">
        <v>2432</v>
      </c>
      <c r="C2248" s="1" t="s">
        <v>27</v>
      </c>
      <c r="D2248" t="s">
        <v>35</v>
      </c>
      <c r="E2248" t="s">
        <v>157</v>
      </c>
      <c r="F2248" t="s">
        <v>21</v>
      </c>
      <c r="G2248" t="s">
        <v>20</v>
      </c>
      <c r="H2248" s="3">
        <v>7</v>
      </c>
      <c r="I2248" s="3">
        <v>864</v>
      </c>
      <c r="J2248" s="3">
        <v>6048</v>
      </c>
      <c r="K2248" s="3">
        <v>600</v>
      </c>
      <c r="L2248" s="3">
        <v>4200</v>
      </c>
      <c r="M2248" s="3">
        <v>1848</v>
      </c>
      <c r="N2248" s="4">
        <v>0.30555555555555558</v>
      </c>
    </row>
    <row r="2249" spans="1:14" x14ac:dyDescent="0.3">
      <c r="A2249" s="6">
        <v>45818</v>
      </c>
      <c r="B2249" s="1" t="s">
        <v>2433</v>
      </c>
      <c r="C2249" s="1" t="s">
        <v>28</v>
      </c>
      <c r="D2249" t="s">
        <v>32</v>
      </c>
      <c r="E2249" t="s">
        <v>306</v>
      </c>
      <c r="F2249" t="s">
        <v>14</v>
      </c>
      <c r="G2249" t="s">
        <v>15</v>
      </c>
      <c r="H2249" s="3">
        <v>8</v>
      </c>
      <c r="I2249" s="3">
        <v>59400</v>
      </c>
      <c r="J2249" s="3">
        <v>475200</v>
      </c>
      <c r="K2249" s="3">
        <v>45000</v>
      </c>
      <c r="L2249" s="3">
        <v>360000</v>
      </c>
      <c r="M2249" s="3">
        <v>115200</v>
      </c>
      <c r="N2249" s="4">
        <v>0.24242424242424243</v>
      </c>
    </row>
    <row r="2250" spans="1:14" x14ac:dyDescent="0.3">
      <c r="A2250" s="6">
        <v>45818</v>
      </c>
      <c r="B2250" s="1" t="s">
        <v>2434</v>
      </c>
      <c r="C2250" s="1" t="s">
        <v>27</v>
      </c>
      <c r="D2250" t="s">
        <v>33</v>
      </c>
      <c r="E2250" t="s">
        <v>51</v>
      </c>
      <c r="F2250" t="s">
        <v>22</v>
      </c>
      <c r="G2250" t="s">
        <v>18</v>
      </c>
      <c r="H2250" s="3">
        <v>3</v>
      </c>
      <c r="I2250" s="3">
        <v>9170</v>
      </c>
      <c r="J2250" s="3">
        <v>27510</v>
      </c>
      <c r="K2250" s="3">
        <v>7000</v>
      </c>
      <c r="L2250" s="3">
        <v>21000</v>
      </c>
      <c r="M2250" s="3">
        <v>6510</v>
      </c>
      <c r="N2250" s="4">
        <v>0.23664122137404581</v>
      </c>
    </row>
    <row r="2251" spans="1:14" x14ac:dyDescent="0.3">
      <c r="A2251" s="6">
        <v>45818</v>
      </c>
      <c r="B2251" s="1" t="s">
        <v>2435</v>
      </c>
      <c r="C2251" s="1" t="s">
        <v>28</v>
      </c>
      <c r="D2251" t="s">
        <v>32</v>
      </c>
      <c r="E2251" t="s">
        <v>243</v>
      </c>
      <c r="F2251" t="s">
        <v>14</v>
      </c>
      <c r="G2251" t="s">
        <v>15</v>
      </c>
      <c r="H2251" s="3">
        <v>4</v>
      </c>
      <c r="I2251" s="3">
        <v>57150</v>
      </c>
      <c r="J2251" s="3">
        <v>228600</v>
      </c>
      <c r="K2251" s="3">
        <v>45000</v>
      </c>
      <c r="L2251" s="3">
        <v>180000</v>
      </c>
      <c r="M2251" s="3">
        <v>48600</v>
      </c>
      <c r="N2251" s="4">
        <v>0.2125984251968504</v>
      </c>
    </row>
    <row r="2252" spans="1:14" x14ac:dyDescent="0.3">
      <c r="A2252" s="6">
        <v>45818</v>
      </c>
      <c r="B2252" s="1" t="s">
        <v>2436</v>
      </c>
      <c r="C2252" s="1" t="s">
        <v>27</v>
      </c>
      <c r="D2252" t="s">
        <v>30</v>
      </c>
      <c r="E2252" t="s">
        <v>236</v>
      </c>
      <c r="F2252" t="s">
        <v>17</v>
      </c>
      <c r="G2252" t="s">
        <v>18</v>
      </c>
      <c r="H2252" s="3">
        <v>4</v>
      </c>
      <c r="I2252" s="3">
        <v>10455</v>
      </c>
      <c r="J2252" s="3">
        <v>41820</v>
      </c>
      <c r="K2252" s="3">
        <v>8500</v>
      </c>
      <c r="L2252" s="3">
        <v>34000</v>
      </c>
      <c r="M2252" s="3">
        <v>7820</v>
      </c>
      <c r="N2252" s="4">
        <v>0.18699186991869918</v>
      </c>
    </row>
    <row r="2253" spans="1:14" x14ac:dyDescent="0.3">
      <c r="A2253" s="6">
        <v>45818</v>
      </c>
      <c r="B2253" s="1" t="s">
        <v>2437</v>
      </c>
      <c r="C2253" s="1" t="s">
        <v>27</v>
      </c>
      <c r="D2253" t="s">
        <v>33</v>
      </c>
      <c r="E2253" t="s">
        <v>65</v>
      </c>
      <c r="F2253" t="s">
        <v>14</v>
      </c>
      <c r="G2253" t="s">
        <v>15</v>
      </c>
      <c r="H2253" s="3">
        <v>3</v>
      </c>
      <c r="I2253" s="3">
        <v>60750.000000000007</v>
      </c>
      <c r="J2253" s="3">
        <v>182250.00000000003</v>
      </c>
      <c r="K2253" s="3">
        <v>45000</v>
      </c>
      <c r="L2253" s="3">
        <v>135000</v>
      </c>
      <c r="M2253" s="3">
        <v>47250.000000000029</v>
      </c>
      <c r="N2253" s="4">
        <v>0.25925925925925936</v>
      </c>
    </row>
    <row r="2254" spans="1:14" x14ac:dyDescent="0.3">
      <c r="A2254" s="6">
        <v>45819</v>
      </c>
      <c r="B2254" s="1" t="s">
        <v>2438</v>
      </c>
      <c r="C2254" s="1" t="s">
        <v>27</v>
      </c>
      <c r="D2254" t="s">
        <v>35</v>
      </c>
      <c r="E2254" t="s">
        <v>216</v>
      </c>
      <c r="F2254" t="s">
        <v>21</v>
      </c>
      <c r="G2254" t="s">
        <v>20</v>
      </c>
      <c r="H2254" s="3">
        <v>2</v>
      </c>
      <c r="I2254" s="3">
        <v>780</v>
      </c>
      <c r="J2254" s="3">
        <v>1560</v>
      </c>
      <c r="K2254" s="3">
        <v>600</v>
      </c>
      <c r="L2254" s="3">
        <v>1200</v>
      </c>
      <c r="M2254" s="3">
        <v>360</v>
      </c>
      <c r="N2254" s="4">
        <v>0.23076923076923078</v>
      </c>
    </row>
    <row r="2255" spans="1:14" x14ac:dyDescent="0.3">
      <c r="A2255" s="6">
        <v>45819</v>
      </c>
      <c r="B2255" s="1" t="s">
        <v>2439</v>
      </c>
      <c r="C2255" s="1" t="s">
        <v>29</v>
      </c>
      <c r="D2255" t="s">
        <v>32</v>
      </c>
      <c r="E2255" t="s">
        <v>100</v>
      </c>
      <c r="F2255" t="s">
        <v>14</v>
      </c>
      <c r="G2255" t="s">
        <v>15</v>
      </c>
      <c r="H2255" s="3">
        <v>4</v>
      </c>
      <c r="I2255" s="3">
        <v>54450</v>
      </c>
      <c r="J2255" s="3">
        <v>217800</v>
      </c>
      <c r="K2255" s="3">
        <v>45000</v>
      </c>
      <c r="L2255" s="3">
        <v>180000</v>
      </c>
      <c r="M2255" s="3">
        <v>37800</v>
      </c>
      <c r="N2255" s="4">
        <v>0.17355371900826447</v>
      </c>
    </row>
    <row r="2256" spans="1:14" x14ac:dyDescent="0.3">
      <c r="A2256" s="6">
        <v>45819</v>
      </c>
      <c r="B2256" s="1" t="s">
        <v>2440</v>
      </c>
      <c r="C2256" s="1" t="s">
        <v>27</v>
      </c>
      <c r="D2256" t="s">
        <v>32</v>
      </c>
      <c r="E2256" t="s">
        <v>427</v>
      </c>
      <c r="F2256" t="s">
        <v>22</v>
      </c>
      <c r="G2256" t="s">
        <v>18</v>
      </c>
      <c r="H2256" s="3">
        <v>1</v>
      </c>
      <c r="I2256" s="3">
        <v>8890</v>
      </c>
      <c r="J2256" s="3">
        <v>8890</v>
      </c>
      <c r="K2256" s="3">
        <v>7000</v>
      </c>
      <c r="L2256" s="3">
        <v>7000</v>
      </c>
      <c r="M2256" s="3">
        <v>1890</v>
      </c>
      <c r="N2256" s="4">
        <v>0.2125984251968504</v>
      </c>
    </row>
    <row r="2257" spans="1:14" x14ac:dyDescent="0.3">
      <c r="A2257" s="6">
        <v>45819</v>
      </c>
      <c r="B2257" s="1" t="s">
        <v>2441</v>
      </c>
      <c r="C2257" s="1" t="s">
        <v>29</v>
      </c>
      <c r="D2257" t="s">
        <v>32</v>
      </c>
      <c r="E2257" t="s">
        <v>196</v>
      </c>
      <c r="F2257" t="s">
        <v>24</v>
      </c>
      <c r="G2257" t="s">
        <v>25</v>
      </c>
      <c r="H2257" s="3">
        <v>6</v>
      </c>
      <c r="I2257" s="3">
        <v>3075</v>
      </c>
      <c r="J2257" s="3">
        <v>18450</v>
      </c>
      <c r="K2257" s="3">
        <v>2500</v>
      </c>
      <c r="L2257" s="3">
        <v>15000</v>
      </c>
      <c r="M2257" s="3">
        <v>3450</v>
      </c>
      <c r="N2257" s="4">
        <v>0.18699186991869918</v>
      </c>
    </row>
    <row r="2258" spans="1:14" x14ac:dyDescent="0.3">
      <c r="A2258" s="6">
        <v>45819</v>
      </c>
      <c r="B2258" s="1" t="s">
        <v>2442</v>
      </c>
      <c r="C2258" s="1" t="s">
        <v>27</v>
      </c>
      <c r="D2258" t="s">
        <v>35</v>
      </c>
      <c r="E2258" t="s">
        <v>236</v>
      </c>
      <c r="F2258" t="s">
        <v>21</v>
      </c>
      <c r="G2258" t="s">
        <v>20</v>
      </c>
      <c r="H2258" s="3">
        <v>1</v>
      </c>
      <c r="I2258" s="3">
        <v>762</v>
      </c>
      <c r="J2258" s="3">
        <v>762</v>
      </c>
      <c r="K2258" s="3">
        <v>600</v>
      </c>
      <c r="L2258" s="3">
        <v>600</v>
      </c>
      <c r="M2258" s="3">
        <v>162</v>
      </c>
      <c r="N2258" s="4">
        <v>0.2125984251968504</v>
      </c>
    </row>
    <row r="2259" spans="1:14" x14ac:dyDescent="0.3">
      <c r="A2259" s="6">
        <v>45819</v>
      </c>
      <c r="B2259" s="1" t="s">
        <v>2443</v>
      </c>
      <c r="C2259" s="1" t="s">
        <v>27</v>
      </c>
      <c r="D2259" t="s">
        <v>33</v>
      </c>
      <c r="E2259" t="s">
        <v>61</v>
      </c>
      <c r="F2259" t="s">
        <v>24</v>
      </c>
      <c r="G2259" t="s">
        <v>25</v>
      </c>
      <c r="H2259" s="3">
        <v>7</v>
      </c>
      <c r="I2259" s="3">
        <v>3600</v>
      </c>
      <c r="J2259" s="3">
        <v>25200</v>
      </c>
      <c r="K2259" s="3">
        <v>2500</v>
      </c>
      <c r="L2259" s="3">
        <v>17500</v>
      </c>
      <c r="M2259" s="3">
        <v>7700</v>
      </c>
      <c r="N2259" s="4">
        <v>0.30555555555555558</v>
      </c>
    </row>
    <row r="2260" spans="1:14" x14ac:dyDescent="0.3">
      <c r="A2260" s="6">
        <v>45819</v>
      </c>
      <c r="B2260" s="1" t="s">
        <v>2444</v>
      </c>
      <c r="C2260" s="1" t="s">
        <v>29</v>
      </c>
      <c r="D2260" t="s">
        <v>32</v>
      </c>
      <c r="E2260" t="s">
        <v>92</v>
      </c>
      <c r="F2260" t="s">
        <v>17</v>
      </c>
      <c r="G2260" t="s">
        <v>18</v>
      </c>
      <c r="H2260" s="3">
        <v>10</v>
      </c>
      <c r="I2260" s="3">
        <v>11390</v>
      </c>
      <c r="J2260" s="3">
        <v>113900</v>
      </c>
      <c r="K2260" s="3">
        <v>8500</v>
      </c>
      <c r="L2260" s="3">
        <v>85000</v>
      </c>
      <c r="M2260" s="3">
        <v>28900</v>
      </c>
      <c r="N2260" s="4">
        <v>0.2537313432835821</v>
      </c>
    </row>
    <row r="2261" spans="1:14" x14ac:dyDescent="0.3">
      <c r="A2261" s="6">
        <v>45819</v>
      </c>
      <c r="B2261" s="1" t="s">
        <v>2445</v>
      </c>
      <c r="C2261" s="1" t="s">
        <v>26</v>
      </c>
      <c r="D2261" t="s">
        <v>35</v>
      </c>
      <c r="E2261" t="s">
        <v>310</v>
      </c>
      <c r="F2261" t="s">
        <v>17</v>
      </c>
      <c r="G2261" t="s">
        <v>18</v>
      </c>
      <c r="H2261" s="3">
        <v>8</v>
      </c>
      <c r="I2261" s="3">
        <v>10540</v>
      </c>
      <c r="J2261" s="3">
        <v>84320</v>
      </c>
      <c r="K2261" s="3">
        <v>8500</v>
      </c>
      <c r="L2261" s="3">
        <v>68000</v>
      </c>
      <c r="M2261" s="3">
        <v>16320</v>
      </c>
      <c r="N2261" s="4">
        <v>0.19354838709677419</v>
      </c>
    </row>
    <row r="2262" spans="1:14" x14ac:dyDescent="0.3">
      <c r="A2262" s="6">
        <v>45819</v>
      </c>
      <c r="B2262" s="1" t="s">
        <v>2446</v>
      </c>
      <c r="C2262" s="1" t="s">
        <v>26</v>
      </c>
      <c r="D2262" t="s">
        <v>35</v>
      </c>
      <c r="E2262" t="s">
        <v>506</v>
      </c>
      <c r="F2262" t="s">
        <v>14</v>
      </c>
      <c r="G2262" t="s">
        <v>15</v>
      </c>
      <c r="H2262" s="3">
        <v>4</v>
      </c>
      <c r="I2262" s="3">
        <v>56700</v>
      </c>
      <c r="J2262" s="3">
        <v>226800</v>
      </c>
      <c r="K2262" s="3">
        <v>45000</v>
      </c>
      <c r="L2262" s="3">
        <v>180000</v>
      </c>
      <c r="M2262" s="3">
        <v>46800</v>
      </c>
      <c r="N2262" s="4">
        <v>0.20634920634920634</v>
      </c>
    </row>
    <row r="2263" spans="1:14" x14ac:dyDescent="0.3">
      <c r="A2263" s="6">
        <v>45819</v>
      </c>
      <c r="B2263" s="1" t="s">
        <v>2447</v>
      </c>
      <c r="C2263" s="1" t="s">
        <v>29</v>
      </c>
      <c r="D2263" t="s">
        <v>32</v>
      </c>
      <c r="E2263" t="s">
        <v>45</v>
      </c>
      <c r="F2263" t="s">
        <v>24</v>
      </c>
      <c r="G2263" t="s">
        <v>25</v>
      </c>
      <c r="H2263" s="3">
        <v>9</v>
      </c>
      <c r="I2263" s="3">
        <v>3500</v>
      </c>
      <c r="J2263" s="3">
        <v>31500</v>
      </c>
      <c r="K2263" s="3">
        <v>2500</v>
      </c>
      <c r="L2263" s="3">
        <v>22500</v>
      </c>
      <c r="M2263" s="3">
        <v>9000</v>
      </c>
      <c r="N2263" s="4">
        <v>0.2857142857142857</v>
      </c>
    </row>
    <row r="2264" spans="1:14" x14ac:dyDescent="0.3">
      <c r="A2264" s="6">
        <v>45819</v>
      </c>
      <c r="B2264" s="1" t="s">
        <v>2448</v>
      </c>
      <c r="C2264" s="1" t="s">
        <v>27</v>
      </c>
      <c r="D2264" t="s">
        <v>31</v>
      </c>
      <c r="E2264" t="s">
        <v>231</v>
      </c>
      <c r="F2264" t="s">
        <v>22</v>
      </c>
      <c r="G2264" t="s">
        <v>18</v>
      </c>
      <c r="H2264" s="3">
        <v>1</v>
      </c>
      <c r="I2264" s="3">
        <v>9450</v>
      </c>
      <c r="J2264" s="3">
        <v>9450</v>
      </c>
      <c r="K2264" s="3">
        <v>7000</v>
      </c>
      <c r="L2264" s="3">
        <v>7000</v>
      </c>
      <c r="M2264" s="3">
        <v>2450</v>
      </c>
      <c r="N2264" s="4">
        <v>0.25925925925925924</v>
      </c>
    </row>
    <row r="2265" spans="1:14" x14ac:dyDescent="0.3">
      <c r="A2265" s="6">
        <v>45819</v>
      </c>
      <c r="B2265" s="1" t="s">
        <v>2449</v>
      </c>
      <c r="C2265" s="1" t="s">
        <v>26</v>
      </c>
      <c r="D2265" t="s">
        <v>34</v>
      </c>
      <c r="E2265" t="s">
        <v>409</v>
      </c>
      <c r="F2265" t="s">
        <v>16</v>
      </c>
      <c r="G2265" t="s">
        <v>15</v>
      </c>
      <c r="H2265" s="3">
        <v>4</v>
      </c>
      <c r="I2265" s="3">
        <v>47120</v>
      </c>
      <c r="J2265" s="3">
        <v>188480</v>
      </c>
      <c r="K2265" s="3">
        <v>38000</v>
      </c>
      <c r="L2265" s="3">
        <v>152000</v>
      </c>
      <c r="M2265" s="3">
        <v>36480</v>
      </c>
      <c r="N2265" s="4">
        <v>0.19354838709677419</v>
      </c>
    </row>
    <row r="2266" spans="1:14" x14ac:dyDescent="0.3">
      <c r="A2266" s="6">
        <v>45819</v>
      </c>
      <c r="B2266" s="1" t="s">
        <v>2450</v>
      </c>
      <c r="C2266" s="1" t="s">
        <v>27</v>
      </c>
      <c r="D2266" t="s">
        <v>31</v>
      </c>
      <c r="E2266" t="s">
        <v>161</v>
      </c>
      <c r="F2266" t="s">
        <v>23</v>
      </c>
      <c r="G2266" t="s">
        <v>25</v>
      </c>
      <c r="H2266" s="3">
        <v>7</v>
      </c>
      <c r="I2266" s="3">
        <v>4544</v>
      </c>
      <c r="J2266" s="3">
        <v>31808</v>
      </c>
      <c r="K2266" s="3">
        <v>3200</v>
      </c>
      <c r="L2266" s="3">
        <v>22400</v>
      </c>
      <c r="M2266" s="3">
        <v>9408</v>
      </c>
      <c r="N2266" s="4">
        <v>0.29577464788732394</v>
      </c>
    </row>
    <row r="2267" spans="1:14" x14ac:dyDescent="0.3">
      <c r="A2267" s="6">
        <v>45819</v>
      </c>
      <c r="B2267" s="1" t="s">
        <v>2451</v>
      </c>
      <c r="C2267" s="1" t="s">
        <v>27</v>
      </c>
      <c r="D2267" t="s">
        <v>33</v>
      </c>
      <c r="E2267" t="s">
        <v>243</v>
      </c>
      <c r="F2267" t="s">
        <v>17</v>
      </c>
      <c r="G2267" t="s">
        <v>18</v>
      </c>
      <c r="H2267" s="3">
        <v>9</v>
      </c>
      <c r="I2267" s="3">
        <v>11645</v>
      </c>
      <c r="J2267" s="3">
        <v>104805</v>
      </c>
      <c r="K2267" s="3">
        <v>8500</v>
      </c>
      <c r="L2267" s="3">
        <v>76500</v>
      </c>
      <c r="M2267" s="3">
        <v>28305</v>
      </c>
      <c r="N2267" s="4">
        <v>0.27007299270072993</v>
      </c>
    </row>
    <row r="2268" spans="1:14" x14ac:dyDescent="0.3">
      <c r="A2268" s="6">
        <v>45820</v>
      </c>
      <c r="B2268" s="1" t="s">
        <v>2452</v>
      </c>
      <c r="C2268" s="1" t="s">
        <v>29</v>
      </c>
      <c r="D2268" t="s">
        <v>34</v>
      </c>
      <c r="E2268" t="s">
        <v>228</v>
      </c>
      <c r="F2268" t="s">
        <v>14</v>
      </c>
      <c r="G2268" t="s">
        <v>15</v>
      </c>
      <c r="H2268" s="3">
        <v>5</v>
      </c>
      <c r="I2268" s="3">
        <v>62099.999999999993</v>
      </c>
      <c r="J2268" s="3">
        <v>310499.99999999994</v>
      </c>
      <c r="K2268" s="3">
        <v>45000</v>
      </c>
      <c r="L2268" s="3">
        <v>225000</v>
      </c>
      <c r="M2268" s="3">
        <v>85499.999999999942</v>
      </c>
      <c r="N2268" s="4">
        <v>0.2753623188405796</v>
      </c>
    </row>
    <row r="2269" spans="1:14" x14ac:dyDescent="0.3">
      <c r="A2269" s="6">
        <v>45820</v>
      </c>
      <c r="B2269" s="1" t="s">
        <v>2453</v>
      </c>
      <c r="C2269" s="1" t="s">
        <v>29</v>
      </c>
      <c r="D2269" t="s">
        <v>32</v>
      </c>
      <c r="E2269" t="s">
        <v>280</v>
      </c>
      <c r="F2269" t="s">
        <v>19</v>
      </c>
      <c r="G2269" t="s">
        <v>20</v>
      </c>
      <c r="H2269" s="3">
        <v>4</v>
      </c>
      <c r="I2269" s="3">
        <v>1089</v>
      </c>
      <c r="J2269" s="3">
        <v>4356</v>
      </c>
      <c r="K2269" s="3">
        <v>900</v>
      </c>
      <c r="L2269" s="3">
        <v>3600</v>
      </c>
      <c r="M2269" s="3">
        <v>756</v>
      </c>
      <c r="N2269" s="4">
        <v>0.17355371900826447</v>
      </c>
    </row>
    <row r="2270" spans="1:14" x14ac:dyDescent="0.3">
      <c r="A2270" s="6">
        <v>45820</v>
      </c>
      <c r="B2270" s="1" t="s">
        <v>2454</v>
      </c>
      <c r="C2270" s="1" t="s">
        <v>26</v>
      </c>
      <c r="D2270" t="s">
        <v>32</v>
      </c>
      <c r="E2270" t="s">
        <v>184</v>
      </c>
      <c r="F2270" t="s">
        <v>21</v>
      </c>
      <c r="G2270" t="s">
        <v>20</v>
      </c>
      <c r="H2270" s="3">
        <v>3</v>
      </c>
      <c r="I2270" s="3">
        <v>798</v>
      </c>
      <c r="J2270" s="3">
        <v>2394</v>
      </c>
      <c r="K2270" s="3">
        <v>600</v>
      </c>
      <c r="L2270" s="3">
        <v>1800</v>
      </c>
      <c r="M2270" s="3">
        <v>594</v>
      </c>
      <c r="N2270" s="4">
        <v>0.24812030075187969</v>
      </c>
    </row>
    <row r="2271" spans="1:14" x14ac:dyDescent="0.3">
      <c r="A2271" s="6">
        <v>45820</v>
      </c>
      <c r="B2271" s="1" t="s">
        <v>2455</v>
      </c>
      <c r="C2271" s="1" t="s">
        <v>29</v>
      </c>
      <c r="D2271" t="s">
        <v>34</v>
      </c>
      <c r="E2271" t="s">
        <v>236</v>
      </c>
      <c r="F2271" t="s">
        <v>21</v>
      </c>
      <c r="G2271" t="s">
        <v>20</v>
      </c>
      <c r="H2271" s="3">
        <v>2</v>
      </c>
      <c r="I2271" s="3">
        <v>798</v>
      </c>
      <c r="J2271" s="3">
        <v>1596</v>
      </c>
      <c r="K2271" s="3">
        <v>600</v>
      </c>
      <c r="L2271" s="3">
        <v>1200</v>
      </c>
      <c r="M2271" s="3">
        <v>396</v>
      </c>
      <c r="N2271" s="4">
        <v>0.24812030075187969</v>
      </c>
    </row>
    <row r="2272" spans="1:14" x14ac:dyDescent="0.3">
      <c r="A2272" s="6">
        <v>45820</v>
      </c>
      <c r="B2272" s="1" t="s">
        <v>2456</v>
      </c>
      <c r="C2272" s="1" t="s">
        <v>26</v>
      </c>
      <c r="D2272" t="s">
        <v>32</v>
      </c>
      <c r="E2272" t="s">
        <v>363</v>
      </c>
      <c r="F2272" t="s">
        <v>24</v>
      </c>
      <c r="G2272" t="s">
        <v>25</v>
      </c>
      <c r="H2272" s="3">
        <v>2</v>
      </c>
      <c r="I2272" s="3">
        <v>3175</v>
      </c>
      <c r="J2272" s="3">
        <v>6350</v>
      </c>
      <c r="K2272" s="3">
        <v>2500</v>
      </c>
      <c r="L2272" s="3">
        <v>5000</v>
      </c>
      <c r="M2272" s="3">
        <v>1350</v>
      </c>
      <c r="N2272" s="4">
        <v>0.2125984251968504</v>
      </c>
    </row>
    <row r="2273" spans="1:14" x14ac:dyDescent="0.3">
      <c r="A2273" s="6">
        <v>45820</v>
      </c>
      <c r="B2273" s="1" t="s">
        <v>2457</v>
      </c>
      <c r="C2273" s="1" t="s">
        <v>26</v>
      </c>
      <c r="D2273" t="s">
        <v>34</v>
      </c>
      <c r="E2273" t="s">
        <v>361</v>
      </c>
      <c r="F2273" t="s">
        <v>24</v>
      </c>
      <c r="G2273" t="s">
        <v>25</v>
      </c>
      <c r="H2273" s="3">
        <v>1</v>
      </c>
      <c r="I2273" s="3">
        <v>3449.9999999999995</v>
      </c>
      <c r="J2273" s="3">
        <v>3449.9999999999995</v>
      </c>
      <c r="K2273" s="3">
        <v>2500</v>
      </c>
      <c r="L2273" s="3">
        <v>2500</v>
      </c>
      <c r="M2273" s="3">
        <v>949.99999999999955</v>
      </c>
      <c r="N2273" s="4">
        <v>0.2753623188405796</v>
      </c>
    </row>
    <row r="2274" spans="1:14" x14ac:dyDescent="0.3">
      <c r="A2274" s="6">
        <v>45820</v>
      </c>
      <c r="B2274" s="1" t="s">
        <v>2458</v>
      </c>
      <c r="C2274" s="1" t="s">
        <v>29</v>
      </c>
      <c r="D2274" t="s">
        <v>35</v>
      </c>
      <c r="E2274" t="s">
        <v>357</v>
      </c>
      <c r="F2274" t="s">
        <v>23</v>
      </c>
      <c r="G2274" t="s">
        <v>25</v>
      </c>
      <c r="H2274" s="3">
        <v>7</v>
      </c>
      <c r="I2274" s="3">
        <v>4608</v>
      </c>
      <c r="J2274" s="3">
        <v>32256</v>
      </c>
      <c r="K2274" s="3">
        <v>3200</v>
      </c>
      <c r="L2274" s="3">
        <v>22400</v>
      </c>
      <c r="M2274" s="3">
        <v>9856</v>
      </c>
      <c r="N2274" s="4">
        <v>0.30555555555555558</v>
      </c>
    </row>
    <row r="2275" spans="1:14" x14ac:dyDescent="0.3">
      <c r="A2275" s="6">
        <v>45820</v>
      </c>
      <c r="B2275" s="1" t="s">
        <v>2459</v>
      </c>
      <c r="C2275" s="1" t="s">
        <v>29</v>
      </c>
      <c r="D2275" t="s">
        <v>31</v>
      </c>
      <c r="E2275" t="s">
        <v>129</v>
      </c>
      <c r="F2275" t="s">
        <v>19</v>
      </c>
      <c r="G2275" t="s">
        <v>20</v>
      </c>
      <c r="H2275" s="3">
        <v>3</v>
      </c>
      <c r="I2275" s="3">
        <v>1251</v>
      </c>
      <c r="J2275" s="3">
        <v>3753</v>
      </c>
      <c r="K2275" s="3">
        <v>900</v>
      </c>
      <c r="L2275" s="3">
        <v>2700</v>
      </c>
      <c r="M2275" s="3">
        <v>1053</v>
      </c>
      <c r="N2275" s="4">
        <v>0.2805755395683453</v>
      </c>
    </row>
    <row r="2276" spans="1:14" x14ac:dyDescent="0.3">
      <c r="A2276" s="6">
        <v>45820</v>
      </c>
      <c r="B2276" s="1" t="s">
        <v>2460</v>
      </c>
      <c r="C2276" s="1" t="s">
        <v>29</v>
      </c>
      <c r="D2276" t="s">
        <v>35</v>
      </c>
      <c r="E2276" t="s">
        <v>411</v>
      </c>
      <c r="F2276" t="s">
        <v>22</v>
      </c>
      <c r="G2276" t="s">
        <v>18</v>
      </c>
      <c r="H2276" s="3">
        <v>7</v>
      </c>
      <c r="I2276" s="3">
        <v>9940</v>
      </c>
      <c r="J2276" s="3">
        <v>69580</v>
      </c>
      <c r="K2276" s="3">
        <v>7000</v>
      </c>
      <c r="L2276" s="3">
        <v>49000</v>
      </c>
      <c r="M2276" s="3">
        <v>20580</v>
      </c>
      <c r="N2276" s="4">
        <v>0.29577464788732394</v>
      </c>
    </row>
    <row r="2277" spans="1:14" x14ac:dyDescent="0.3">
      <c r="A2277" s="6">
        <v>45820</v>
      </c>
      <c r="B2277" s="1" t="s">
        <v>2461</v>
      </c>
      <c r="C2277" s="1" t="s">
        <v>29</v>
      </c>
      <c r="D2277" t="s">
        <v>32</v>
      </c>
      <c r="E2277" t="s">
        <v>453</v>
      </c>
      <c r="F2277" t="s">
        <v>19</v>
      </c>
      <c r="G2277" t="s">
        <v>20</v>
      </c>
      <c r="H2277" s="3">
        <v>2</v>
      </c>
      <c r="I2277" s="3">
        <v>1233</v>
      </c>
      <c r="J2277" s="3">
        <v>2466</v>
      </c>
      <c r="K2277" s="3">
        <v>900</v>
      </c>
      <c r="L2277" s="3">
        <v>1800</v>
      </c>
      <c r="M2277" s="3">
        <v>666</v>
      </c>
      <c r="N2277" s="4">
        <v>0.27007299270072993</v>
      </c>
    </row>
    <row r="2278" spans="1:14" x14ac:dyDescent="0.3">
      <c r="A2278" s="6">
        <v>45820</v>
      </c>
      <c r="B2278" s="1" t="s">
        <v>2462</v>
      </c>
      <c r="C2278" s="1" t="s">
        <v>29</v>
      </c>
      <c r="D2278" t="s">
        <v>35</v>
      </c>
      <c r="E2278" t="s">
        <v>582</v>
      </c>
      <c r="F2278" t="s">
        <v>24</v>
      </c>
      <c r="G2278" t="s">
        <v>25</v>
      </c>
      <c r="H2278" s="3">
        <v>8</v>
      </c>
      <c r="I2278" s="3">
        <v>3125</v>
      </c>
      <c r="J2278" s="3">
        <v>25000</v>
      </c>
      <c r="K2278" s="3">
        <v>2500</v>
      </c>
      <c r="L2278" s="3">
        <v>20000</v>
      </c>
      <c r="M2278" s="3">
        <v>5000</v>
      </c>
      <c r="N2278" s="4">
        <v>0.2</v>
      </c>
    </row>
    <row r="2279" spans="1:14" x14ac:dyDescent="0.3">
      <c r="A2279" s="6">
        <v>45820</v>
      </c>
      <c r="B2279" s="1" t="s">
        <v>2463</v>
      </c>
      <c r="C2279" s="1" t="s">
        <v>26</v>
      </c>
      <c r="D2279" t="s">
        <v>32</v>
      </c>
      <c r="E2279" t="s">
        <v>400</v>
      </c>
      <c r="F2279" t="s">
        <v>16</v>
      </c>
      <c r="G2279" t="s">
        <v>15</v>
      </c>
      <c r="H2279" s="3">
        <v>5</v>
      </c>
      <c r="I2279" s="3">
        <v>45980</v>
      </c>
      <c r="J2279" s="3">
        <v>229900</v>
      </c>
      <c r="K2279" s="3">
        <v>38000</v>
      </c>
      <c r="L2279" s="3">
        <v>190000</v>
      </c>
      <c r="M2279" s="3">
        <v>39900</v>
      </c>
      <c r="N2279" s="4">
        <v>0.17355371900826447</v>
      </c>
    </row>
    <row r="2280" spans="1:14" x14ac:dyDescent="0.3">
      <c r="A2280" s="6">
        <v>45820</v>
      </c>
      <c r="B2280" s="1" t="s">
        <v>2464</v>
      </c>
      <c r="C2280" s="1" t="s">
        <v>28</v>
      </c>
      <c r="D2280" t="s">
        <v>33</v>
      </c>
      <c r="E2280" t="s">
        <v>102</v>
      </c>
      <c r="F2280" t="s">
        <v>17</v>
      </c>
      <c r="G2280" t="s">
        <v>18</v>
      </c>
      <c r="H2280" s="3">
        <v>5</v>
      </c>
      <c r="I2280" s="3">
        <v>10285</v>
      </c>
      <c r="J2280" s="3">
        <v>51425</v>
      </c>
      <c r="K2280" s="3">
        <v>8500</v>
      </c>
      <c r="L2280" s="3">
        <v>42500</v>
      </c>
      <c r="M2280" s="3">
        <v>8925</v>
      </c>
      <c r="N2280" s="4">
        <v>0.17355371900826447</v>
      </c>
    </row>
    <row r="2281" spans="1:14" x14ac:dyDescent="0.3">
      <c r="A2281" s="6">
        <v>45820</v>
      </c>
      <c r="B2281" s="1" t="s">
        <v>2465</v>
      </c>
      <c r="C2281" s="1" t="s">
        <v>28</v>
      </c>
      <c r="D2281" t="s">
        <v>30</v>
      </c>
      <c r="E2281" t="s">
        <v>198</v>
      </c>
      <c r="F2281" t="s">
        <v>14</v>
      </c>
      <c r="G2281" t="s">
        <v>15</v>
      </c>
      <c r="H2281" s="3">
        <v>5</v>
      </c>
      <c r="I2281" s="3">
        <v>58500</v>
      </c>
      <c r="J2281" s="3">
        <v>292500</v>
      </c>
      <c r="K2281" s="3">
        <v>45000</v>
      </c>
      <c r="L2281" s="3">
        <v>225000</v>
      </c>
      <c r="M2281" s="3">
        <v>67500</v>
      </c>
      <c r="N2281" s="4">
        <v>0.23076923076923078</v>
      </c>
    </row>
    <row r="2282" spans="1:14" x14ac:dyDescent="0.3">
      <c r="A2282" s="6">
        <v>45821</v>
      </c>
      <c r="B2282" s="1" t="s">
        <v>2466</v>
      </c>
      <c r="C2282" s="1" t="s">
        <v>28</v>
      </c>
      <c r="D2282" t="s">
        <v>35</v>
      </c>
      <c r="E2282" t="s">
        <v>329</v>
      </c>
      <c r="F2282" t="s">
        <v>22</v>
      </c>
      <c r="G2282" t="s">
        <v>18</v>
      </c>
      <c r="H2282" s="3">
        <v>3</v>
      </c>
      <c r="I2282" s="3">
        <v>9450</v>
      </c>
      <c r="J2282" s="3">
        <v>28350</v>
      </c>
      <c r="K2282" s="3">
        <v>7000</v>
      </c>
      <c r="L2282" s="3">
        <v>21000</v>
      </c>
      <c r="M2282" s="3">
        <v>7350</v>
      </c>
      <c r="N2282" s="4">
        <v>0.25925925925925924</v>
      </c>
    </row>
    <row r="2283" spans="1:14" x14ac:dyDescent="0.3">
      <c r="A2283" s="6">
        <v>45821</v>
      </c>
      <c r="B2283" s="1" t="s">
        <v>2467</v>
      </c>
      <c r="C2283" s="1" t="s">
        <v>27</v>
      </c>
      <c r="D2283" t="s">
        <v>31</v>
      </c>
      <c r="E2283" t="s">
        <v>106</v>
      </c>
      <c r="F2283" t="s">
        <v>21</v>
      </c>
      <c r="G2283" t="s">
        <v>20</v>
      </c>
      <c r="H2283" s="3">
        <v>6</v>
      </c>
      <c r="I2283" s="3">
        <v>726</v>
      </c>
      <c r="J2283" s="3">
        <v>4356</v>
      </c>
      <c r="K2283" s="3">
        <v>600</v>
      </c>
      <c r="L2283" s="3">
        <v>3600</v>
      </c>
      <c r="M2283" s="3">
        <v>756</v>
      </c>
      <c r="N2283" s="4">
        <v>0.17355371900826447</v>
      </c>
    </row>
    <row r="2284" spans="1:14" x14ac:dyDescent="0.3">
      <c r="A2284" s="6">
        <v>45821</v>
      </c>
      <c r="B2284" s="1" t="s">
        <v>2468</v>
      </c>
      <c r="C2284" s="1" t="s">
        <v>28</v>
      </c>
      <c r="D2284" t="s">
        <v>32</v>
      </c>
      <c r="E2284" t="s">
        <v>124</v>
      </c>
      <c r="F2284" t="s">
        <v>22</v>
      </c>
      <c r="G2284" t="s">
        <v>18</v>
      </c>
      <c r="H2284" s="3">
        <v>10</v>
      </c>
      <c r="I2284" s="3">
        <v>9800</v>
      </c>
      <c r="J2284" s="3">
        <v>98000</v>
      </c>
      <c r="K2284" s="3">
        <v>7000</v>
      </c>
      <c r="L2284" s="3">
        <v>70000</v>
      </c>
      <c r="M2284" s="3">
        <v>28000</v>
      </c>
      <c r="N2284" s="4">
        <v>0.2857142857142857</v>
      </c>
    </row>
    <row r="2285" spans="1:14" x14ac:dyDescent="0.3">
      <c r="A2285" s="6">
        <v>45821</v>
      </c>
      <c r="B2285" s="1" t="s">
        <v>2469</v>
      </c>
      <c r="C2285" s="1" t="s">
        <v>26</v>
      </c>
      <c r="D2285" t="s">
        <v>32</v>
      </c>
      <c r="E2285" t="s">
        <v>126</v>
      </c>
      <c r="F2285" t="s">
        <v>22</v>
      </c>
      <c r="G2285" t="s">
        <v>18</v>
      </c>
      <c r="H2285" s="3">
        <v>5</v>
      </c>
      <c r="I2285" s="3">
        <v>9660</v>
      </c>
      <c r="J2285" s="3">
        <v>48300</v>
      </c>
      <c r="K2285" s="3">
        <v>7000</v>
      </c>
      <c r="L2285" s="3">
        <v>35000</v>
      </c>
      <c r="M2285" s="3">
        <v>13300</v>
      </c>
      <c r="N2285" s="4">
        <v>0.27536231884057971</v>
      </c>
    </row>
    <row r="2286" spans="1:14" x14ac:dyDescent="0.3">
      <c r="A2286" s="6">
        <v>45821</v>
      </c>
      <c r="B2286" s="1" t="s">
        <v>2470</v>
      </c>
      <c r="C2286" s="1" t="s">
        <v>27</v>
      </c>
      <c r="D2286" t="s">
        <v>35</v>
      </c>
      <c r="E2286" t="s">
        <v>139</v>
      </c>
      <c r="F2286" t="s">
        <v>16</v>
      </c>
      <c r="G2286" t="s">
        <v>15</v>
      </c>
      <c r="H2286" s="3">
        <v>6</v>
      </c>
      <c r="I2286" s="3">
        <v>50920</v>
      </c>
      <c r="J2286" s="3">
        <v>305520</v>
      </c>
      <c r="K2286" s="3">
        <v>38000</v>
      </c>
      <c r="L2286" s="3">
        <v>228000</v>
      </c>
      <c r="M2286" s="3">
        <v>77520</v>
      </c>
      <c r="N2286" s="4">
        <v>0.2537313432835821</v>
      </c>
    </row>
    <row r="2287" spans="1:14" x14ac:dyDescent="0.3">
      <c r="A2287" s="6">
        <v>45821</v>
      </c>
      <c r="B2287" s="1" t="s">
        <v>2471</v>
      </c>
      <c r="C2287" s="1" t="s">
        <v>27</v>
      </c>
      <c r="D2287" t="s">
        <v>32</v>
      </c>
      <c r="E2287" t="s">
        <v>72</v>
      </c>
      <c r="F2287" t="s">
        <v>21</v>
      </c>
      <c r="G2287" t="s">
        <v>20</v>
      </c>
      <c r="H2287" s="3">
        <v>3</v>
      </c>
      <c r="I2287" s="3">
        <v>858</v>
      </c>
      <c r="J2287" s="3">
        <v>2574</v>
      </c>
      <c r="K2287" s="3">
        <v>600</v>
      </c>
      <c r="L2287" s="3">
        <v>1800</v>
      </c>
      <c r="M2287" s="3">
        <v>774</v>
      </c>
      <c r="N2287" s="4">
        <v>0.30069930069930068</v>
      </c>
    </row>
    <row r="2288" spans="1:14" x14ac:dyDescent="0.3">
      <c r="A2288" s="6">
        <v>45821</v>
      </c>
      <c r="B2288" s="1" t="s">
        <v>2472</v>
      </c>
      <c r="C2288" s="1" t="s">
        <v>28</v>
      </c>
      <c r="D2288" t="s">
        <v>31</v>
      </c>
      <c r="E2288" t="s">
        <v>51</v>
      </c>
      <c r="F2288" t="s">
        <v>23</v>
      </c>
      <c r="G2288" t="s">
        <v>25</v>
      </c>
      <c r="H2288" s="3">
        <v>3</v>
      </c>
      <c r="I2288" s="3">
        <v>4608</v>
      </c>
      <c r="J2288" s="3">
        <v>13824</v>
      </c>
      <c r="K2288" s="3">
        <v>3200</v>
      </c>
      <c r="L2288" s="3">
        <v>9600</v>
      </c>
      <c r="M2288" s="3">
        <v>4224</v>
      </c>
      <c r="N2288" s="4">
        <v>0.30555555555555558</v>
      </c>
    </row>
    <row r="2289" spans="1:14" x14ac:dyDescent="0.3">
      <c r="A2289" s="6">
        <v>45821</v>
      </c>
      <c r="B2289" s="1" t="s">
        <v>2473</v>
      </c>
      <c r="C2289" s="1" t="s">
        <v>27</v>
      </c>
      <c r="D2289" t="s">
        <v>32</v>
      </c>
      <c r="E2289" t="s">
        <v>142</v>
      </c>
      <c r="F2289" t="s">
        <v>21</v>
      </c>
      <c r="G2289" t="s">
        <v>20</v>
      </c>
      <c r="H2289" s="3">
        <v>2</v>
      </c>
      <c r="I2289" s="3">
        <v>780</v>
      </c>
      <c r="J2289" s="3">
        <v>1560</v>
      </c>
      <c r="K2289" s="3">
        <v>600</v>
      </c>
      <c r="L2289" s="3">
        <v>1200</v>
      </c>
      <c r="M2289" s="3">
        <v>360</v>
      </c>
      <c r="N2289" s="4">
        <v>0.23076923076923078</v>
      </c>
    </row>
    <row r="2290" spans="1:14" x14ac:dyDescent="0.3">
      <c r="A2290" s="6">
        <v>45821</v>
      </c>
      <c r="B2290" s="1" t="s">
        <v>2474</v>
      </c>
      <c r="C2290" s="1" t="s">
        <v>27</v>
      </c>
      <c r="D2290" t="s">
        <v>31</v>
      </c>
      <c r="E2290" t="s">
        <v>268</v>
      </c>
      <c r="F2290" t="s">
        <v>24</v>
      </c>
      <c r="G2290" t="s">
        <v>25</v>
      </c>
      <c r="H2290" s="3">
        <v>9</v>
      </c>
      <c r="I2290" s="3">
        <v>3000</v>
      </c>
      <c r="J2290" s="3">
        <v>27000</v>
      </c>
      <c r="K2290" s="3">
        <v>2500</v>
      </c>
      <c r="L2290" s="3">
        <v>22500</v>
      </c>
      <c r="M2290" s="3">
        <v>4500</v>
      </c>
      <c r="N2290" s="4">
        <v>0.16666666666666666</v>
      </c>
    </row>
    <row r="2291" spans="1:14" x14ac:dyDescent="0.3">
      <c r="A2291" s="6">
        <v>45821</v>
      </c>
      <c r="B2291" s="1" t="s">
        <v>2475</v>
      </c>
      <c r="C2291" s="1" t="s">
        <v>29</v>
      </c>
      <c r="D2291" t="s">
        <v>35</v>
      </c>
      <c r="E2291" t="s">
        <v>37</v>
      </c>
      <c r="F2291" t="s">
        <v>16</v>
      </c>
      <c r="G2291" t="s">
        <v>15</v>
      </c>
      <c r="H2291" s="3">
        <v>8</v>
      </c>
      <c r="I2291" s="3">
        <v>52060.000000000007</v>
      </c>
      <c r="J2291" s="3">
        <v>416480.00000000006</v>
      </c>
      <c r="K2291" s="3">
        <v>38000</v>
      </c>
      <c r="L2291" s="3">
        <v>304000</v>
      </c>
      <c r="M2291" s="3">
        <v>112480.00000000006</v>
      </c>
      <c r="N2291" s="4">
        <v>0.27007299270073004</v>
      </c>
    </row>
    <row r="2292" spans="1:14" x14ac:dyDescent="0.3">
      <c r="A2292" s="6">
        <v>45821</v>
      </c>
      <c r="B2292" s="1" t="s">
        <v>2476</v>
      </c>
      <c r="C2292" s="1" t="s">
        <v>29</v>
      </c>
      <c r="D2292" t="s">
        <v>33</v>
      </c>
      <c r="E2292" t="s">
        <v>55</v>
      </c>
      <c r="F2292" t="s">
        <v>24</v>
      </c>
      <c r="G2292" t="s">
        <v>25</v>
      </c>
      <c r="H2292" s="3">
        <v>4</v>
      </c>
      <c r="I2292" s="3">
        <v>3525</v>
      </c>
      <c r="J2292" s="3">
        <v>14100</v>
      </c>
      <c r="K2292" s="3">
        <v>2500</v>
      </c>
      <c r="L2292" s="3">
        <v>10000</v>
      </c>
      <c r="M2292" s="3">
        <v>4100</v>
      </c>
      <c r="N2292" s="4">
        <v>0.29078014184397161</v>
      </c>
    </row>
    <row r="2293" spans="1:14" x14ac:dyDescent="0.3">
      <c r="A2293" s="6">
        <v>45821</v>
      </c>
      <c r="B2293" s="1" t="s">
        <v>2477</v>
      </c>
      <c r="C2293" s="1" t="s">
        <v>28</v>
      </c>
      <c r="D2293" t="s">
        <v>34</v>
      </c>
      <c r="E2293" t="s">
        <v>206</v>
      </c>
      <c r="F2293" t="s">
        <v>24</v>
      </c>
      <c r="G2293" t="s">
        <v>25</v>
      </c>
      <c r="H2293" s="3">
        <v>7</v>
      </c>
      <c r="I2293" s="3">
        <v>3250</v>
      </c>
      <c r="J2293" s="3">
        <v>22750</v>
      </c>
      <c r="K2293" s="3">
        <v>2500</v>
      </c>
      <c r="L2293" s="3">
        <v>17500</v>
      </c>
      <c r="M2293" s="3">
        <v>5250</v>
      </c>
      <c r="N2293" s="4">
        <v>0.23076923076923078</v>
      </c>
    </row>
    <row r="2294" spans="1:14" x14ac:dyDescent="0.3">
      <c r="A2294" s="6">
        <v>45821</v>
      </c>
      <c r="B2294" s="1" t="s">
        <v>2478</v>
      </c>
      <c r="C2294" s="1" t="s">
        <v>27</v>
      </c>
      <c r="D2294" t="s">
        <v>35</v>
      </c>
      <c r="E2294" t="s">
        <v>243</v>
      </c>
      <c r="F2294" t="s">
        <v>23</v>
      </c>
      <c r="G2294" t="s">
        <v>25</v>
      </c>
      <c r="H2294" s="3">
        <v>9</v>
      </c>
      <c r="I2294" s="3">
        <v>4096</v>
      </c>
      <c r="J2294" s="3">
        <v>36864</v>
      </c>
      <c r="K2294" s="3">
        <v>3200</v>
      </c>
      <c r="L2294" s="3">
        <v>28800</v>
      </c>
      <c r="M2294" s="3">
        <v>8064</v>
      </c>
      <c r="N2294" s="4">
        <v>0.21875</v>
      </c>
    </row>
    <row r="2295" spans="1:14" x14ac:dyDescent="0.3">
      <c r="A2295" s="6">
        <v>45821</v>
      </c>
      <c r="B2295" s="1" t="s">
        <v>2479</v>
      </c>
      <c r="C2295" s="1" t="s">
        <v>27</v>
      </c>
      <c r="D2295" t="s">
        <v>34</v>
      </c>
      <c r="E2295" t="s">
        <v>118</v>
      </c>
      <c r="F2295" t="s">
        <v>14</v>
      </c>
      <c r="G2295" t="s">
        <v>15</v>
      </c>
      <c r="H2295" s="3">
        <v>3</v>
      </c>
      <c r="I2295" s="3">
        <v>58050</v>
      </c>
      <c r="J2295" s="3">
        <v>174150</v>
      </c>
      <c r="K2295" s="3">
        <v>45000</v>
      </c>
      <c r="L2295" s="3">
        <v>135000</v>
      </c>
      <c r="M2295" s="3">
        <v>39150</v>
      </c>
      <c r="N2295" s="4">
        <v>0.22480620155038761</v>
      </c>
    </row>
    <row r="2296" spans="1:14" x14ac:dyDescent="0.3">
      <c r="A2296" s="6">
        <v>45822</v>
      </c>
      <c r="B2296" s="1" t="s">
        <v>2480</v>
      </c>
      <c r="C2296" s="1" t="s">
        <v>29</v>
      </c>
      <c r="D2296" t="s">
        <v>30</v>
      </c>
      <c r="E2296" t="s">
        <v>310</v>
      </c>
      <c r="F2296" t="s">
        <v>19</v>
      </c>
      <c r="G2296" t="s">
        <v>20</v>
      </c>
      <c r="H2296" s="3">
        <v>4</v>
      </c>
      <c r="I2296" s="3">
        <v>1224</v>
      </c>
      <c r="J2296" s="3">
        <v>4896</v>
      </c>
      <c r="K2296" s="3">
        <v>900</v>
      </c>
      <c r="L2296" s="3">
        <v>3600</v>
      </c>
      <c r="M2296" s="3">
        <v>1296</v>
      </c>
      <c r="N2296" s="4">
        <v>0.26470588235294118</v>
      </c>
    </row>
    <row r="2297" spans="1:14" x14ac:dyDescent="0.3">
      <c r="A2297" s="6">
        <v>45822</v>
      </c>
      <c r="B2297" s="1" t="s">
        <v>2481</v>
      </c>
      <c r="C2297" s="1" t="s">
        <v>27</v>
      </c>
      <c r="D2297" t="s">
        <v>30</v>
      </c>
      <c r="E2297" t="s">
        <v>72</v>
      </c>
      <c r="F2297" t="s">
        <v>23</v>
      </c>
      <c r="G2297" t="s">
        <v>25</v>
      </c>
      <c r="H2297" s="3">
        <v>4</v>
      </c>
      <c r="I2297" s="3">
        <v>4160</v>
      </c>
      <c r="J2297" s="3">
        <v>16640</v>
      </c>
      <c r="K2297" s="3">
        <v>3200</v>
      </c>
      <c r="L2297" s="3">
        <v>12800</v>
      </c>
      <c r="M2297" s="3">
        <v>3840</v>
      </c>
      <c r="N2297" s="4">
        <v>0.23076923076923078</v>
      </c>
    </row>
    <row r="2298" spans="1:14" x14ac:dyDescent="0.3">
      <c r="A2298" s="6">
        <v>45822</v>
      </c>
      <c r="B2298" s="1" t="s">
        <v>2482</v>
      </c>
      <c r="C2298" s="1" t="s">
        <v>29</v>
      </c>
      <c r="D2298" t="s">
        <v>31</v>
      </c>
      <c r="E2298" t="s">
        <v>116</v>
      </c>
      <c r="F2298" t="s">
        <v>14</v>
      </c>
      <c r="G2298" t="s">
        <v>15</v>
      </c>
      <c r="H2298" s="3">
        <v>8</v>
      </c>
      <c r="I2298" s="3">
        <v>54900</v>
      </c>
      <c r="J2298" s="3">
        <v>439200</v>
      </c>
      <c r="K2298" s="3">
        <v>45000</v>
      </c>
      <c r="L2298" s="3">
        <v>360000</v>
      </c>
      <c r="M2298" s="3">
        <v>79200</v>
      </c>
      <c r="N2298" s="4">
        <v>0.18032786885245902</v>
      </c>
    </row>
    <row r="2299" spans="1:14" x14ac:dyDescent="0.3">
      <c r="A2299" s="6">
        <v>45822</v>
      </c>
      <c r="B2299" s="1" t="s">
        <v>2483</v>
      </c>
      <c r="C2299" s="1" t="s">
        <v>29</v>
      </c>
      <c r="D2299" t="s">
        <v>33</v>
      </c>
      <c r="E2299" t="s">
        <v>280</v>
      </c>
      <c r="F2299" t="s">
        <v>19</v>
      </c>
      <c r="G2299" t="s">
        <v>20</v>
      </c>
      <c r="H2299" s="3">
        <v>8</v>
      </c>
      <c r="I2299" s="3">
        <v>1188</v>
      </c>
      <c r="J2299" s="3">
        <v>9504</v>
      </c>
      <c r="K2299" s="3">
        <v>900</v>
      </c>
      <c r="L2299" s="3">
        <v>7200</v>
      </c>
      <c r="M2299" s="3">
        <v>2304</v>
      </c>
      <c r="N2299" s="4">
        <v>0.24242424242424243</v>
      </c>
    </row>
    <row r="2300" spans="1:14" x14ac:dyDescent="0.3">
      <c r="A2300" s="6">
        <v>45822</v>
      </c>
      <c r="B2300" s="1" t="s">
        <v>2484</v>
      </c>
      <c r="C2300" s="1" t="s">
        <v>26</v>
      </c>
      <c r="D2300" t="s">
        <v>30</v>
      </c>
      <c r="E2300" t="s">
        <v>407</v>
      </c>
      <c r="F2300" t="s">
        <v>22</v>
      </c>
      <c r="G2300" t="s">
        <v>18</v>
      </c>
      <c r="H2300" s="3">
        <v>6</v>
      </c>
      <c r="I2300" s="3">
        <v>8680</v>
      </c>
      <c r="J2300" s="3">
        <v>52080</v>
      </c>
      <c r="K2300" s="3">
        <v>7000</v>
      </c>
      <c r="L2300" s="3">
        <v>42000</v>
      </c>
      <c r="M2300" s="3">
        <v>10080</v>
      </c>
      <c r="N2300" s="4">
        <v>0.19354838709677419</v>
      </c>
    </row>
    <row r="2301" spans="1:14" x14ac:dyDescent="0.3">
      <c r="A2301" s="6">
        <v>45822</v>
      </c>
      <c r="B2301" s="1" t="s">
        <v>2485</v>
      </c>
      <c r="C2301" s="1" t="s">
        <v>27</v>
      </c>
      <c r="D2301" t="s">
        <v>33</v>
      </c>
      <c r="E2301" t="s">
        <v>74</v>
      </c>
      <c r="F2301" t="s">
        <v>16</v>
      </c>
      <c r="G2301" t="s">
        <v>15</v>
      </c>
      <c r="H2301" s="3">
        <v>5</v>
      </c>
      <c r="I2301" s="3">
        <v>47500</v>
      </c>
      <c r="J2301" s="3">
        <v>237500</v>
      </c>
      <c r="K2301" s="3">
        <v>38000</v>
      </c>
      <c r="L2301" s="3">
        <v>190000</v>
      </c>
      <c r="M2301" s="3">
        <v>47500</v>
      </c>
      <c r="N2301" s="4">
        <v>0.2</v>
      </c>
    </row>
    <row r="2302" spans="1:14" x14ac:dyDescent="0.3">
      <c r="A2302" s="6">
        <v>45822</v>
      </c>
      <c r="B2302" s="1" t="s">
        <v>2486</v>
      </c>
      <c r="C2302" s="1" t="s">
        <v>28</v>
      </c>
      <c r="D2302" t="s">
        <v>34</v>
      </c>
      <c r="E2302" t="s">
        <v>524</v>
      </c>
      <c r="F2302" t="s">
        <v>24</v>
      </c>
      <c r="G2302" t="s">
        <v>25</v>
      </c>
      <c r="H2302" s="3">
        <v>8</v>
      </c>
      <c r="I2302" s="3">
        <v>3449.9999999999995</v>
      </c>
      <c r="J2302" s="3">
        <v>27599.999999999996</v>
      </c>
      <c r="K2302" s="3">
        <v>2500</v>
      </c>
      <c r="L2302" s="3">
        <v>20000</v>
      </c>
      <c r="M2302" s="3">
        <v>7599.9999999999964</v>
      </c>
      <c r="N2302" s="4">
        <v>0.2753623188405796</v>
      </c>
    </row>
    <row r="2303" spans="1:14" x14ac:dyDescent="0.3">
      <c r="A2303" s="6">
        <v>45822</v>
      </c>
      <c r="B2303" s="1" t="s">
        <v>2487</v>
      </c>
      <c r="C2303" s="1" t="s">
        <v>28</v>
      </c>
      <c r="D2303" t="s">
        <v>35</v>
      </c>
      <c r="E2303" t="s">
        <v>329</v>
      </c>
      <c r="F2303" t="s">
        <v>21</v>
      </c>
      <c r="G2303" t="s">
        <v>20</v>
      </c>
      <c r="H2303" s="3">
        <v>10</v>
      </c>
      <c r="I2303" s="3">
        <v>720</v>
      </c>
      <c r="J2303" s="3">
        <v>7200</v>
      </c>
      <c r="K2303" s="3">
        <v>600</v>
      </c>
      <c r="L2303" s="3">
        <v>6000</v>
      </c>
      <c r="M2303" s="3">
        <v>1200</v>
      </c>
      <c r="N2303" s="4">
        <v>0.16666666666666666</v>
      </c>
    </row>
    <row r="2304" spans="1:14" x14ac:dyDescent="0.3">
      <c r="A2304" s="6">
        <v>45822</v>
      </c>
      <c r="B2304" s="1" t="s">
        <v>2488</v>
      </c>
      <c r="C2304" s="1" t="s">
        <v>28</v>
      </c>
      <c r="D2304" t="s">
        <v>30</v>
      </c>
      <c r="E2304" t="s">
        <v>108</v>
      </c>
      <c r="F2304" t="s">
        <v>21</v>
      </c>
      <c r="G2304" t="s">
        <v>20</v>
      </c>
      <c r="H2304" s="3">
        <v>3</v>
      </c>
      <c r="I2304" s="3">
        <v>726</v>
      </c>
      <c r="J2304" s="3">
        <v>2178</v>
      </c>
      <c r="K2304" s="3">
        <v>600</v>
      </c>
      <c r="L2304" s="3">
        <v>1800</v>
      </c>
      <c r="M2304" s="3">
        <v>378</v>
      </c>
      <c r="N2304" s="4">
        <v>0.17355371900826447</v>
      </c>
    </row>
    <row r="2305" spans="1:14" x14ac:dyDescent="0.3">
      <c r="A2305" s="6">
        <v>45822</v>
      </c>
      <c r="B2305" s="1" t="s">
        <v>2489</v>
      </c>
      <c r="C2305" s="1" t="s">
        <v>27</v>
      </c>
      <c r="D2305" t="s">
        <v>31</v>
      </c>
      <c r="E2305" t="s">
        <v>369</v>
      </c>
      <c r="F2305" t="s">
        <v>24</v>
      </c>
      <c r="G2305" t="s">
        <v>25</v>
      </c>
      <c r="H2305" s="3">
        <v>1</v>
      </c>
      <c r="I2305" s="3">
        <v>3300</v>
      </c>
      <c r="J2305" s="3">
        <v>3300</v>
      </c>
      <c r="K2305" s="3">
        <v>2500</v>
      </c>
      <c r="L2305" s="3">
        <v>2500</v>
      </c>
      <c r="M2305" s="3">
        <v>800</v>
      </c>
      <c r="N2305" s="4">
        <v>0.24242424242424243</v>
      </c>
    </row>
    <row r="2306" spans="1:14" x14ac:dyDescent="0.3">
      <c r="A2306" s="6">
        <v>45822</v>
      </c>
      <c r="B2306" s="1" t="s">
        <v>2490</v>
      </c>
      <c r="C2306" s="1" t="s">
        <v>28</v>
      </c>
      <c r="D2306" t="s">
        <v>35</v>
      </c>
      <c r="E2306" t="s">
        <v>175</v>
      </c>
      <c r="F2306" t="s">
        <v>22</v>
      </c>
      <c r="G2306" t="s">
        <v>18</v>
      </c>
      <c r="H2306" s="3">
        <v>10</v>
      </c>
      <c r="I2306" s="3">
        <v>9240</v>
      </c>
      <c r="J2306" s="3">
        <v>92400</v>
      </c>
      <c r="K2306" s="3">
        <v>7000</v>
      </c>
      <c r="L2306" s="3">
        <v>70000</v>
      </c>
      <c r="M2306" s="3">
        <v>22400</v>
      </c>
      <c r="N2306" s="4">
        <v>0.24242424242424243</v>
      </c>
    </row>
    <row r="2307" spans="1:14" x14ac:dyDescent="0.3">
      <c r="A2307" s="6">
        <v>45822</v>
      </c>
      <c r="B2307" s="1" t="s">
        <v>2491</v>
      </c>
      <c r="C2307" s="1" t="s">
        <v>26</v>
      </c>
      <c r="D2307" t="s">
        <v>32</v>
      </c>
      <c r="E2307" t="s">
        <v>96</v>
      </c>
      <c r="F2307" t="s">
        <v>21</v>
      </c>
      <c r="G2307" t="s">
        <v>20</v>
      </c>
      <c r="H2307" s="3">
        <v>7</v>
      </c>
      <c r="I2307" s="3">
        <v>774</v>
      </c>
      <c r="J2307" s="3">
        <v>5418</v>
      </c>
      <c r="K2307" s="3">
        <v>600</v>
      </c>
      <c r="L2307" s="3">
        <v>4200</v>
      </c>
      <c r="M2307" s="3">
        <v>1218</v>
      </c>
      <c r="N2307" s="4">
        <v>0.22480620155038761</v>
      </c>
    </row>
    <row r="2308" spans="1:14" x14ac:dyDescent="0.3">
      <c r="A2308" s="6">
        <v>45822</v>
      </c>
      <c r="B2308" s="1" t="s">
        <v>2492</v>
      </c>
      <c r="C2308" s="1" t="s">
        <v>26</v>
      </c>
      <c r="D2308" t="s">
        <v>32</v>
      </c>
      <c r="E2308" t="s">
        <v>243</v>
      </c>
      <c r="F2308" t="s">
        <v>22</v>
      </c>
      <c r="G2308" t="s">
        <v>18</v>
      </c>
      <c r="H2308" s="3">
        <v>8</v>
      </c>
      <c r="I2308" s="3">
        <v>8960</v>
      </c>
      <c r="J2308" s="3">
        <v>71680</v>
      </c>
      <c r="K2308" s="3">
        <v>7000</v>
      </c>
      <c r="L2308" s="3">
        <v>56000</v>
      </c>
      <c r="M2308" s="3">
        <v>15680</v>
      </c>
      <c r="N2308" s="4">
        <v>0.21875</v>
      </c>
    </row>
    <row r="2309" spans="1:14" x14ac:dyDescent="0.3">
      <c r="A2309" s="6">
        <v>45822</v>
      </c>
      <c r="B2309" s="1" t="s">
        <v>2493</v>
      </c>
      <c r="C2309" s="1" t="s">
        <v>27</v>
      </c>
      <c r="D2309" t="s">
        <v>33</v>
      </c>
      <c r="E2309" t="s">
        <v>53</v>
      </c>
      <c r="F2309" t="s">
        <v>21</v>
      </c>
      <c r="G2309" t="s">
        <v>20</v>
      </c>
      <c r="H2309" s="3">
        <v>4</v>
      </c>
      <c r="I2309" s="3">
        <v>827.99999999999989</v>
      </c>
      <c r="J2309" s="3">
        <v>3311.9999999999995</v>
      </c>
      <c r="K2309" s="3">
        <v>600</v>
      </c>
      <c r="L2309" s="3">
        <v>2400</v>
      </c>
      <c r="M2309" s="3">
        <v>911.99999999999955</v>
      </c>
      <c r="N2309" s="4">
        <v>0.2753623188405796</v>
      </c>
    </row>
    <row r="2310" spans="1:14" x14ac:dyDescent="0.3">
      <c r="A2310" s="6">
        <v>45823</v>
      </c>
      <c r="B2310" s="1" t="s">
        <v>2494</v>
      </c>
      <c r="C2310" s="1" t="s">
        <v>27</v>
      </c>
      <c r="D2310" t="s">
        <v>34</v>
      </c>
      <c r="E2310" t="s">
        <v>94</v>
      </c>
      <c r="F2310" t="s">
        <v>21</v>
      </c>
      <c r="G2310" t="s">
        <v>20</v>
      </c>
      <c r="H2310" s="3">
        <v>9</v>
      </c>
      <c r="I2310" s="3">
        <v>720</v>
      </c>
      <c r="J2310" s="3">
        <v>6480</v>
      </c>
      <c r="K2310" s="3">
        <v>600</v>
      </c>
      <c r="L2310" s="3">
        <v>5400</v>
      </c>
      <c r="M2310" s="3">
        <v>1080</v>
      </c>
      <c r="N2310" s="4">
        <v>0.16666666666666666</v>
      </c>
    </row>
    <row r="2311" spans="1:14" x14ac:dyDescent="0.3">
      <c r="A2311" s="6">
        <v>45823</v>
      </c>
      <c r="B2311" s="1" t="s">
        <v>2495</v>
      </c>
      <c r="C2311" s="1" t="s">
        <v>26</v>
      </c>
      <c r="D2311" t="s">
        <v>35</v>
      </c>
      <c r="E2311" t="s">
        <v>283</v>
      </c>
      <c r="F2311" t="s">
        <v>22</v>
      </c>
      <c r="G2311" t="s">
        <v>18</v>
      </c>
      <c r="H2311" s="3">
        <v>2</v>
      </c>
      <c r="I2311" s="3">
        <v>9730</v>
      </c>
      <c r="J2311" s="3">
        <v>19460</v>
      </c>
      <c r="K2311" s="3">
        <v>7000</v>
      </c>
      <c r="L2311" s="3">
        <v>14000</v>
      </c>
      <c r="M2311" s="3">
        <v>5460</v>
      </c>
      <c r="N2311" s="4">
        <v>0.2805755395683453</v>
      </c>
    </row>
    <row r="2312" spans="1:14" x14ac:dyDescent="0.3">
      <c r="A2312" s="6">
        <v>45823</v>
      </c>
      <c r="B2312" s="1" t="s">
        <v>2496</v>
      </c>
      <c r="C2312" s="1" t="s">
        <v>27</v>
      </c>
      <c r="D2312" t="s">
        <v>31</v>
      </c>
      <c r="E2312" t="s">
        <v>112</v>
      </c>
      <c r="F2312" t="s">
        <v>24</v>
      </c>
      <c r="G2312" t="s">
        <v>25</v>
      </c>
      <c r="H2312" s="3">
        <v>9</v>
      </c>
      <c r="I2312" s="3">
        <v>3100</v>
      </c>
      <c r="J2312" s="3">
        <v>27900</v>
      </c>
      <c r="K2312" s="3">
        <v>2500</v>
      </c>
      <c r="L2312" s="3">
        <v>22500</v>
      </c>
      <c r="M2312" s="3">
        <v>5400</v>
      </c>
      <c r="N2312" s="4">
        <v>0.19354838709677419</v>
      </c>
    </row>
    <row r="2313" spans="1:14" x14ac:dyDescent="0.3">
      <c r="A2313" s="6">
        <v>45823</v>
      </c>
      <c r="B2313" s="1" t="s">
        <v>2497</v>
      </c>
      <c r="C2313" s="1" t="s">
        <v>28</v>
      </c>
      <c r="D2313" t="s">
        <v>30</v>
      </c>
      <c r="E2313" t="s">
        <v>216</v>
      </c>
      <c r="F2313" t="s">
        <v>24</v>
      </c>
      <c r="G2313" t="s">
        <v>25</v>
      </c>
      <c r="H2313" s="3">
        <v>2</v>
      </c>
      <c r="I2313" s="3">
        <v>3625</v>
      </c>
      <c r="J2313" s="3">
        <v>7250</v>
      </c>
      <c r="K2313" s="3">
        <v>2500</v>
      </c>
      <c r="L2313" s="3">
        <v>5000</v>
      </c>
      <c r="M2313" s="3">
        <v>2250</v>
      </c>
      <c r="N2313" s="4">
        <v>0.31034482758620691</v>
      </c>
    </row>
    <row r="2314" spans="1:14" x14ac:dyDescent="0.3">
      <c r="A2314" s="6">
        <v>45823</v>
      </c>
      <c r="B2314" s="1" t="s">
        <v>2498</v>
      </c>
      <c r="C2314" s="1" t="s">
        <v>28</v>
      </c>
      <c r="D2314" t="s">
        <v>31</v>
      </c>
      <c r="E2314" t="s">
        <v>201</v>
      </c>
      <c r="F2314" t="s">
        <v>16</v>
      </c>
      <c r="G2314" t="s">
        <v>15</v>
      </c>
      <c r="H2314" s="3">
        <v>3</v>
      </c>
      <c r="I2314" s="3">
        <v>45600</v>
      </c>
      <c r="J2314" s="3">
        <v>136800</v>
      </c>
      <c r="K2314" s="3">
        <v>38000</v>
      </c>
      <c r="L2314" s="3">
        <v>114000</v>
      </c>
      <c r="M2314" s="3">
        <v>22800</v>
      </c>
      <c r="N2314" s="4">
        <v>0.16666666666666666</v>
      </c>
    </row>
    <row r="2315" spans="1:14" x14ac:dyDescent="0.3">
      <c r="A2315" s="6">
        <v>45823</v>
      </c>
      <c r="B2315" s="1" t="s">
        <v>2499</v>
      </c>
      <c r="C2315" s="1" t="s">
        <v>27</v>
      </c>
      <c r="D2315" t="s">
        <v>34</v>
      </c>
      <c r="E2315" t="s">
        <v>116</v>
      </c>
      <c r="F2315" t="s">
        <v>21</v>
      </c>
      <c r="G2315" t="s">
        <v>20</v>
      </c>
      <c r="H2315" s="3">
        <v>1</v>
      </c>
      <c r="I2315" s="3">
        <v>804</v>
      </c>
      <c r="J2315" s="3">
        <v>804</v>
      </c>
      <c r="K2315" s="3">
        <v>600</v>
      </c>
      <c r="L2315" s="3">
        <v>600</v>
      </c>
      <c r="M2315" s="3">
        <v>204</v>
      </c>
      <c r="N2315" s="4">
        <v>0.2537313432835821</v>
      </c>
    </row>
    <row r="2316" spans="1:14" x14ac:dyDescent="0.3">
      <c r="A2316" s="6">
        <v>45823</v>
      </c>
      <c r="B2316" s="1" t="s">
        <v>2500</v>
      </c>
      <c r="C2316" s="1" t="s">
        <v>27</v>
      </c>
      <c r="D2316" t="s">
        <v>30</v>
      </c>
      <c r="E2316" t="s">
        <v>388</v>
      </c>
      <c r="F2316" t="s">
        <v>22</v>
      </c>
      <c r="G2316" t="s">
        <v>18</v>
      </c>
      <c r="H2316" s="3">
        <v>6</v>
      </c>
      <c r="I2316" s="3">
        <v>9310</v>
      </c>
      <c r="J2316" s="3">
        <v>55860</v>
      </c>
      <c r="K2316" s="3">
        <v>7000</v>
      </c>
      <c r="L2316" s="3">
        <v>42000</v>
      </c>
      <c r="M2316" s="3">
        <v>13860</v>
      </c>
      <c r="N2316" s="4">
        <v>0.24812030075187969</v>
      </c>
    </row>
    <row r="2317" spans="1:14" x14ac:dyDescent="0.3">
      <c r="A2317" s="6">
        <v>45823</v>
      </c>
      <c r="B2317" s="1" t="s">
        <v>2501</v>
      </c>
      <c r="C2317" s="1" t="s">
        <v>29</v>
      </c>
      <c r="D2317" t="s">
        <v>30</v>
      </c>
      <c r="E2317" t="s">
        <v>436</v>
      </c>
      <c r="F2317" t="s">
        <v>16</v>
      </c>
      <c r="G2317" t="s">
        <v>15</v>
      </c>
      <c r="H2317" s="3">
        <v>6</v>
      </c>
      <c r="I2317" s="3">
        <v>45980</v>
      </c>
      <c r="J2317" s="3">
        <v>275880</v>
      </c>
      <c r="K2317" s="3">
        <v>38000</v>
      </c>
      <c r="L2317" s="3">
        <v>228000</v>
      </c>
      <c r="M2317" s="3">
        <v>47880</v>
      </c>
      <c r="N2317" s="4">
        <v>0.17355371900826447</v>
      </c>
    </row>
    <row r="2318" spans="1:14" x14ac:dyDescent="0.3">
      <c r="A2318" s="6">
        <v>45823</v>
      </c>
      <c r="B2318" s="1" t="s">
        <v>2502</v>
      </c>
      <c r="C2318" s="1" t="s">
        <v>26</v>
      </c>
      <c r="D2318" t="s">
        <v>33</v>
      </c>
      <c r="E2318" t="s">
        <v>186</v>
      </c>
      <c r="F2318" t="s">
        <v>22</v>
      </c>
      <c r="G2318" t="s">
        <v>18</v>
      </c>
      <c r="H2318" s="3">
        <v>4</v>
      </c>
      <c r="I2318" s="3">
        <v>10080</v>
      </c>
      <c r="J2318" s="3">
        <v>40320</v>
      </c>
      <c r="K2318" s="3">
        <v>7000</v>
      </c>
      <c r="L2318" s="3">
        <v>28000</v>
      </c>
      <c r="M2318" s="3">
        <v>12320</v>
      </c>
      <c r="N2318" s="4">
        <v>0.30555555555555558</v>
      </c>
    </row>
    <row r="2319" spans="1:14" x14ac:dyDescent="0.3">
      <c r="A2319" s="6">
        <v>45823</v>
      </c>
      <c r="B2319" s="1" t="s">
        <v>2503</v>
      </c>
      <c r="C2319" s="1" t="s">
        <v>28</v>
      </c>
      <c r="D2319" t="s">
        <v>33</v>
      </c>
      <c r="E2319" t="s">
        <v>134</v>
      </c>
      <c r="F2319" t="s">
        <v>22</v>
      </c>
      <c r="G2319" t="s">
        <v>18</v>
      </c>
      <c r="H2319" s="3">
        <v>9</v>
      </c>
      <c r="I2319" s="3">
        <v>10080</v>
      </c>
      <c r="J2319" s="3">
        <v>90720</v>
      </c>
      <c r="K2319" s="3">
        <v>7000</v>
      </c>
      <c r="L2319" s="3">
        <v>63000</v>
      </c>
      <c r="M2319" s="3">
        <v>27720</v>
      </c>
      <c r="N2319" s="4">
        <v>0.30555555555555558</v>
      </c>
    </row>
    <row r="2320" spans="1:14" x14ac:dyDescent="0.3">
      <c r="A2320" s="6">
        <v>45823</v>
      </c>
      <c r="B2320" s="1" t="s">
        <v>2504</v>
      </c>
      <c r="C2320" s="1" t="s">
        <v>27</v>
      </c>
      <c r="D2320" t="s">
        <v>32</v>
      </c>
      <c r="E2320" t="s">
        <v>400</v>
      </c>
      <c r="F2320" t="s">
        <v>17</v>
      </c>
      <c r="G2320" t="s">
        <v>18</v>
      </c>
      <c r="H2320" s="3">
        <v>9</v>
      </c>
      <c r="I2320" s="3">
        <v>10710</v>
      </c>
      <c r="J2320" s="3">
        <v>96390</v>
      </c>
      <c r="K2320" s="3">
        <v>8500</v>
      </c>
      <c r="L2320" s="3">
        <v>76500</v>
      </c>
      <c r="M2320" s="3">
        <v>19890</v>
      </c>
      <c r="N2320" s="4">
        <v>0.20634920634920634</v>
      </c>
    </row>
    <row r="2321" spans="1:14" x14ac:dyDescent="0.3">
      <c r="A2321" s="6">
        <v>45823</v>
      </c>
      <c r="B2321" s="1" t="s">
        <v>2505</v>
      </c>
      <c r="C2321" s="1" t="s">
        <v>28</v>
      </c>
      <c r="D2321" t="s">
        <v>34</v>
      </c>
      <c r="E2321" t="s">
        <v>304</v>
      </c>
      <c r="F2321" t="s">
        <v>19</v>
      </c>
      <c r="G2321" t="s">
        <v>20</v>
      </c>
      <c r="H2321" s="3">
        <v>3</v>
      </c>
      <c r="I2321" s="3">
        <v>1179</v>
      </c>
      <c r="J2321" s="3">
        <v>3537</v>
      </c>
      <c r="K2321" s="3">
        <v>900</v>
      </c>
      <c r="L2321" s="3">
        <v>2700</v>
      </c>
      <c r="M2321" s="3">
        <v>837</v>
      </c>
      <c r="N2321" s="4">
        <v>0.23664122137404581</v>
      </c>
    </row>
    <row r="2322" spans="1:14" x14ac:dyDescent="0.3">
      <c r="A2322" s="6">
        <v>45823</v>
      </c>
      <c r="B2322" s="1" t="s">
        <v>2506</v>
      </c>
      <c r="C2322" s="1" t="s">
        <v>27</v>
      </c>
      <c r="D2322" t="s">
        <v>33</v>
      </c>
      <c r="E2322" t="s">
        <v>228</v>
      </c>
      <c r="F2322" t="s">
        <v>22</v>
      </c>
      <c r="G2322" t="s">
        <v>18</v>
      </c>
      <c r="H2322" s="3">
        <v>5</v>
      </c>
      <c r="I2322" s="3">
        <v>10150</v>
      </c>
      <c r="J2322" s="3">
        <v>50750</v>
      </c>
      <c r="K2322" s="3">
        <v>7000</v>
      </c>
      <c r="L2322" s="3">
        <v>35000</v>
      </c>
      <c r="M2322" s="3">
        <v>15750</v>
      </c>
      <c r="N2322" s="4">
        <v>0.31034482758620691</v>
      </c>
    </row>
    <row r="2323" spans="1:14" x14ac:dyDescent="0.3">
      <c r="A2323" s="6">
        <v>45823</v>
      </c>
      <c r="B2323" s="1" t="s">
        <v>2507</v>
      </c>
      <c r="C2323" s="1" t="s">
        <v>28</v>
      </c>
      <c r="D2323" t="s">
        <v>30</v>
      </c>
      <c r="E2323" t="s">
        <v>369</v>
      </c>
      <c r="F2323" t="s">
        <v>24</v>
      </c>
      <c r="G2323" t="s">
        <v>25</v>
      </c>
      <c r="H2323" s="3">
        <v>5</v>
      </c>
      <c r="I2323" s="3">
        <v>3125</v>
      </c>
      <c r="J2323" s="3">
        <v>15625</v>
      </c>
      <c r="K2323" s="3">
        <v>2500</v>
      </c>
      <c r="L2323" s="3">
        <v>12500</v>
      </c>
      <c r="M2323" s="3">
        <v>3125</v>
      </c>
      <c r="N2323" s="4">
        <v>0.2</v>
      </c>
    </row>
    <row r="2324" spans="1:14" x14ac:dyDescent="0.3">
      <c r="A2324" s="6">
        <v>45824</v>
      </c>
      <c r="B2324" s="1" t="s">
        <v>2508</v>
      </c>
      <c r="C2324" s="1" t="s">
        <v>28</v>
      </c>
      <c r="D2324" t="s">
        <v>30</v>
      </c>
      <c r="E2324" t="s">
        <v>129</v>
      </c>
      <c r="F2324" t="s">
        <v>24</v>
      </c>
      <c r="G2324" t="s">
        <v>25</v>
      </c>
      <c r="H2324" s="3">
        <v>9</v>
      </c>
      <c r="I2324" s="3">
        <v>3600</v>
      </c>
      <c r="J2324" s="3">
        <v>32400</v>
      </c>
      <c r="K2324" s="3">
        <v>2500</v>
      </c>
      <c r="L2324" s="3">
        <v>22500</v>
      </c>
      <c r="M2324" s="3">
        <v>9900</v>
      </c>
      <c r="N2324" s="4">
        <v>0.30555555555555558</v>
      </c>
    </row>
    <row r="2325" spans="1:14" x14ac:dyDescent="0.3">
      <c r="A2325" s="6">
        <v>45824</v>
      </c>
      <c r="B2325" s="1" t="s">
        <v>2509</v>
      </c>
      <c r="C2325" s="1" t="s">
        <v>28</v>
      </c>
      <c r="D2325" t="s">
        <v>33</v>
      </c>
      <c r="E2325" t="s">
        <v>74</v>
      </c>
      <c r="F2325" t="s">
        <v>23</v>
      </c>
      <c r="G2325" t="s">
        <v>25</v>
      </c>
      <c r="H2325" s="3">
        <v>3</v>
      </c>
      <c r="I2325" s="3">
        <v>4000</v>
      </c>
      <c r="J2325" s="3">
        <v>12000</v>
      </c>
      <c r="K2325" s="3">
        <v>3200</v>
      </c>
      <c r="L2325" s="3">
        <v>9600</v>
      </c>
      <c r="M2325" s="3">
        <v>2400</v>
      </c>
      <c r="N2325" s="4">
        <v>0.2</v>
      </c>
    </row>
    <row r="2326" spans="1:14" x14ac:dyDescent="0.3">
      <c r="A2326" s="6">
        <v>45824</v>
      </c>
      <c r="B2326" s="1" t="s">
        <v>2510</v>
      </c>
      <c r="C2326" s="1" t="s">
        <v>29</v>
      </c>
      <c r="D2326" t="s">
        <v>32</v>
      </c>
      <c r="E2326" t="s">
        <v>204</v>
      </c>
      <c r="F2326" t="s">
        <v>19</v>
      </c>
      <c r="G2326" t="s">
        <v>20</v>
      </c>
      <c r="H2326" s="3">
        <v>6</v>
      </c>
      <c r="I2326" s="3">
        <v>1125</v>
      </c>
      <c r="J2326" s="3">
        <v>6750</v>
      </c>
      <c r="K2326" s="3">
        <v>900</v>
      </c>
      <c r="L2326" s="3">
        <v>5400</v>
      </c>
      <c r="M2326" s="3">
        <v>1350</v>
      </c>
      <c r="N2326" s="4">
        <v>0.2</v>
      </c>
    </row>
    <row r="2327" spans="1:14" x14ac:dyDescent="0.3">
      <c r="A2327" s="6">
        <v>45824</v>
      </c>
      <c r="B2327" s="1" t="s">
        <v>2511</v>
      </c>
      <c r="C2327" s="1" t="s">
        <v>29</v>
      </c>
      <c r="D2327" t="s">
        <v>35</v>
      </c>
      <c r="E2327" t="s">
        <v>45</v>
      </c>
      <c r="F2327" t="s">
        <v>16</v>
      </c>
      <c r="G2327" t="s">
        <v>15</v>
      </c>
      <c r="H2327" s="3">
        <v>5</v>
      </c>
      <c r="I2327" s="3">
        <v>45980</v>
      </c>
      <c r="J2327" s="3">
        <v>229900</v>
      </c>
      <c r="K2327" s="3">
        <v>38000</v>
      </c>
      <c r="L2327" s="3">
        <v>190000</v>
      </c>
      <c r="M2327" s="3">
        <v>39900</v>
      </c>
      <c r="N2327" s="4">
        <v>0.17355371900826447</v>
      </c>
    </row>
    <row r="2328" spans="1:14" x14ac:dyDescent="0.3">
      <c r="A2328" s="6">
        <v>45824</v>
      </c>
      <c r="B2328" s="1" t="s">
        <v>2512</v>
      </c>
      <c r="C2328" s="1" t="s">
        <v>27</v>
      </c>
      <c r="D2328" t="s">
        <v>33</v>
      </c>
      <c r="E2328" t="s">
        <v>81</v>
      </c>
      <c r="F2328" t="s">
        <v>14</v>
      </c>
      <c r="G2328" t="s">
        <v>15</v>
      </c>
      <c r="H2328" s="3">
        <v>7</v>
      </c>
      <c r="I2328" s="3">
        <v>55350</v>
      </c>
      <c r="J2328" s="3">
        <v>387450</v>
      </c>
      <c r="K2328" s="3">
        <v>45000</v>
      </c>
      <c r="L2328" s="3">
        <v>315000</v>
      </c>
      <c r="M2328" s="3">
        <v>72450</v>
      </c>
      <c r="N2328" s="4">
        <v>0.18699186991869918</v>
      </c>
    </row>
    <row r="2329" spans="1:14" x14ac:dyDescent="0.3">
      <c r="A2329" s="6">
        <v>45824</v>
      </c>
      <c r="B2329" s="1" t="s">
        <v>2513</v>
      </c>
      <c r="C2329" s="1" t="s">
        <v>26</v>
      </c>
      <c r="D2329" t="s">
        <v>31</v>
      </c>
      <c r="E2329" t="s">
        <v>41</v>
      </c>
      <c r="F2329" t="s">
        <v>22</v>
      </c>
      <c r="G2329" t="s">
        <v>18</v>
      </c>
      <c r="H2329" s="3">
        <v>4</v>
      </c>
      <c r="I2329" s="3">
        <v>9590</v>
      </c>
      <c r="J2329" s="3">
        <v>38360</v>
      </c>
      <c r="K2329" s="3">
        <v>7000</v>
      </c>
      <c r="L2329" s="3">
        <v>28000</v>
      </c>
      <c r="M2329" s="3">
        <v>10360</v>
      </c>
      <c r="N2329" s="4">
        <v>0.27007299270072993</v>
      </c>
    </row>
    <row r="2330" spans="1:14" x14ac:dyDescent="0.3">
      <c r="A2330" s="6">
        <v>45824</v>
      </c>
      <c r="B2330" s="1" t="s">
        <v>2514</v>
      </c>
      <c r="C2330" s="1" t="s">
        <v>27</v>
      </c>
      <c r="D2330" t="s">
        <v>33</v>
      </c>
      <c r="E2330" t="s">
        <v>236</v>
      </c>
      <c r="F2330" t="s">
        <v>23</v>
      </c>
      <c r="G2330" t="s">
        <v>25</v>
      </c>
      <c r="H2330" s="3">
        <v>4</v>
      </c>
      <c r="I2330" s="3">
        <v>4352</v>
      </c>
      <c r="J2330" s="3">
        <v>17408</v>
      </c>
      <c r="K2330" s="3">
        <v>3200</v>
      </c>
      <c r="L2330" s="3">
        <v>12800</v>
      </c>
      <c r="M2330" s="3">
        <v>4608</v>
      </c>
      <c r="N2330" s="4">
        <v>0.26470588235294118</v>
      </c>
    </row>
    <row r="2331" spans="1:14" x14ac:dyDescent="0.3">
      <c r="A2331" s="6">
        <v>45824</v>
      </c>
      <c r="B2331" s="1" t="s">
        <v>2515</v>
      </c>
      <c r="C2331" s="1" t="s">
        <v>27</v>
      </c>
      <c r="D2331" t="s">
        <v>31</v>
      </c>
      <c r="E2331" t="s">
        <v>327</v>
      </c>
      <c r="F2331" t="s">
        <v>16</v>
      </c>
      <c r="G2331" t="s">
        <v>15</v>
      </c>
      <c r="H2331" s="3">
        <v>7</v>
      </c>
      <c r="I2331" s="3">
        <v>48640</v>
      </c>
      <c r="J2331" s="3">
        <v>340480</v>
      </c>
      <c r="K2331" s="3">
        <v>38000</v>
      </c>
      <c r="L2331" s="3">
        <v>266000</v>
      </c>
      <c r="M2331" s="3">
        <v>74480</v>
      </c>
      <c r="N2331" s="4">
        <v>0.21875</v>
      </c>
    </row>
    <row r="2332" spans="1:14" x14ac:dyDescent="0.3">
      <c r="A2332" s="6">
        <v>45824</v>
      </c>
      <c r="B2332" s="1" t="s">
        <v>2516</v>
      </c>
      <c r="C2332" s="1" t="s">
        <v>26</v>
      </c>
      <c r="D2332" t="s">
        <v>33</v>
      </c>
      <c r="E2332" t="s">
        <v>43</v>
      </c>
      <c r="F2332" t="s">
        <v>22</v>
      </c>
      <c r="G2332" t="s">
        <v>18</v>
      </c>
      <c r="H2332" s="3">
        <v>9</v>
      </c>
      <c r="I2332" s="3">
        <v>8680</v>
      </c>
      <c r="J2332" s="3">
        <v>78120</v>
      </c>
      <c r="K2332" s="3">
        <v>7000</v>
      </c>
      <c r="L2332" s="3">
        <v>63000</v>
      </c>
      <c r="M2332" s="3">
        <v>15120</v>
      </c>
      <c r="N2332" s="4">
        <v>0.19354838709677419</v>
      </c>
    </row>
    <row r="2333" spans="1:14" x14ac:dyDescent="0.3">
      <c r="A2333" s="6">
        <v>45824</v>
      </c>
      <c r="B2333" s="1" t="s">
        <v>2517</v>
      </c>
      <c r="C2333" s="1" t="s">
        <v>26</v>
      </c>
      <c r="D2333" t="s">
        <v>31</v>
      </c>
      <c r="E2333" t="s">
        <v>427</v>
      </c>
      <c r="F2333" t="s">
        <v>14</v>
      </c>
      <c r="G2333" t="s">
        <v>15</v>
      </c>
      <c r="H2333" s="3">
        <v>3</v>
      </c>
      <c r="I2333" s="3">
        <v>61199.999999999993</v>
      </c>
      <c r="J2333" s="3">
        <v>183599.99999999997</v>
      </c>
      <c r="K2333" s="3">
        <v>45000</v>
      </c>
      <c r="L2333" s="3">
        <v>135000</v>
      </c>
      <c r="M2333" s="3">
        <v>48599.999999999971</v>
      </c>
      <c r="N2333" s="4">
        <v>0.26470588235294107</v>
      </c>
    </row>
    <row r="2334" spans="1:14" x14ac:dyDescent="0.3">
      <c r="A2334" s="6">
        <v>45824</v>
      </c>
      <c r="B2334" s="1" t="s">
        <v>2518</v>
      </c>
      <c r="C2334" s="1" t="s">
        <v>28</v>
      </c>
      <c r="D2334" t="s">
        <v>32</v>
      </c>
      <c r="E2334" t="s">
        <v>363</v>
      </c>
      <c r="F2334" t="s">
        <v>22</v>
      </c>
      <c r="G2334" t="s">
        <v>18</v>
      </c>
      <c r="H2334" s="3">
        <v>4</v>
      </c>
      <c r="I2334" s="3">
        <v>9590</v>
      </c>
      <c r="J2334" s="3">
        <v>38360</v>
      </c>
      <c r="K2334" s="3">
        <v>7000</v>
      </c>
      <c r="L2334" s="3">
        <v>28000</v>
      </c>
      <c r="M2334" s="3">
        <v>10360</v>
      </c>
      <c r="N2334" s="4">
        <v>0.27007299270072993</v>
      </c>
    </row>
    <row r="2335" spans="1:14" x14ac:dyDescent="0.3">
      <c r="A2335" s="6">
        <v>45824</v>
      </c>
      <c r="B2335" s="1" t="s">
        <v>2519</v>
      </c>
      <c r="C2335" s="1" t="s">
        <v>27</v>
      </c>
      <c r="D2335" t="s">
        <v>30</v>
      </c>
      <c r="E2335" t="s">
        <v>411</v>
      </c>
      <c r="F2335" t="s">
        <v>16</v>
      </c>
      <c r="G2335" t="s">
        <v>15</v>
      </c>
      <c r="H2335" s="3">
        <v>4</v>
      </c>
      <c r="I2335" s="3">
        <v>53960</v>
      </c>
      <c r="J2335" s="3">
        <v>215840</v>
      </c>
      <c r="K2335" s="3">
        <v>38000</v>
      </c>
      <c r="L2335" s="3">
        <v>152000</v>
      </c>
      <c r="M2335" s="3">
        <v>63840</v>
      </c>
      <c r="N2335" s="4">
        <v>0.29577464788732394</v>
      </c>
    </row>
    <row r="2336" spans="1:14" x14ac:dyDescent="0.3">
      <c r="A2336" s="6">
        <v>45824</v>
      </c>
      <c r="B2336" s="1" t="s">
        <v>2520</v>
      </c>
      <c r="C2336" s="1" t="s">
        <v>28</v>
      </c>
      <c r="D2336" t="s">
        <v>32</v>
      </c>
      <c r="E2336" t="s">
        <v>180</v>
      </c>
      <c r="F2336" t="s">
        <v>16</v>
      </c>
      <c r="G2336" t="s">
        <v>15</v>
      </c>
      <c r="H2336" s="3">
        <v>1</v>
      </c>
      <c r="I2336" s="3">
        <v>52439.999999999993</v>
      </c>
      <c r="J2336" s="3">
        <v>52439.999999999993</v>
      </c>
      <c r="K2336" s="3">
        <v>38000</v>
      </c>
      <c r="L2336" s="3">
        <v>38000</v>
      </c>
      <c r="M2336" s="3">
        <v>14439.999999999993</v>
      </c>
      <c r="N2336" s="4">
        <v>0.2753623188405796</v>
      </c>
    </row>
    <row r="2337" spans="1:14" x14ac:dyDescent="0.3">
      <c r="A2337" s="6">
        <v>45824</v>
      </c>
      <c r="B2337" s="1" t="s">
        <v>2521</v>
      </c>
      <c r="C2337" s="1" t="s">
        <v>29</v>
      </c>
      <c r="D2337" t="s">
        <v>33</v>
      </c>
      <c r="E2337" t="s">
        <v>139</v>
      </c>
      <c r="F2337" t="s">
        <v>23</v>
      </c>
      <c r="G2337" t="s">
        <v>25</v>
      </c>
      <c r="H2337" s="3">
        <v>2</v>
      </c>
      <c r="I2337" s="3">
        <v>3968</v>
      </c>
      <c r="J2337" s="3">
        <v>7936</v>
      </c>
      <c r="K2337" s="3">
        <v>3200</v>
      </c>
      <c r="L2337" s="3">
        <v>6400</v>
      </c>
      <c r="M2337" s="3">
        <v>1536</v>
      </c>
      <c r="N2337" s="4">
        <v>0.19354838709677419</v>
      </c>
    </row>
    <row r="2338" spans="1:14" x14ac:dyDescent="0.3">
      <c r="A2338" s="6">
        <v>45825</v>
      </c>
      <c r="B2338" s="1" t="s">
        <v>2522</v>
      </c>
      <c r="C2338" s="1" t="s">
        <v>26</v>
      </c>
      <c r="D2338" t="s">
        <v>34</v>
      </c>
      <c r="E2338" t="s">
        <v>255</v>
      </c>
      <c r="F2338" t="s">
        <v>23</v>
      </c>
      <c r="G2338" t="s">
        <v>25</v>
      </c>
      <c r="H2338" s="3">
        <v>10</v>
      </c>
      <c r="I2338" s="3">
        <v>4224</v>
      </c>
      <c r="J2338" s="3">
        <v>42240</v>
      </c>
      <c r="K2338" s="3">
        <v>3200</v>
      </c>
      <c r="L2338" s="3">
        <v>32000</v>
      </c>
      <c r="M2338" s="3">
        <v>10240</v>
      </c>
      <c r="N2338" s="4">
        <v>0.24242424242424243</v>
      </c>
    </row>
    <row r="2339" spans="1:14" x14ac:dyDescent="0.3">
      <c r="A2339" s="6">
        <v>45825</v>
      </c>
      <c r="B2339" s="1" t="s">
        <v>2523</v>
      </c>
      <c r="C2339" s="1" t="s">
        <v>26</v>
      </c>
      <c r="D2339" t="s">
        <v>34</v>
      </c>
      <c r="E2339" t="s">
        <v>548</v>
      </c>
      <c r="F2339" t="s">
        <v>22</v>
      </c>
      <c r="G2339" t="s">
        <v>18</v>
      </c>
      <c r="H2339" s="3">
        <v>6</v>
      </c>
      <c r="I2339" s="3">
        <v>8820</v>
      </c>
      <c r="J2339" s="3">
        <v>52920</v>
      </c>
      <c r="K2339" s="3">
        <v>7000</v>
      </c>
      <c r="L2339" s="3">
        <v>42000</v>
      </c>
      <c r="M2339" s="3">
        <v>10920</v>
      </c>
      <c r="N2339" s="4">
        <v>0.20634920634920634</v>
      </c>
    </row>
    <row r="2340" spans="1:14" x14ac:dyDescent="0.3">
      <c r="A2340" s="6">
        <v>45825</v>
      </c>
      <c r="B2340" s="1" t="s">
        <v>2524</v>
      </c>
      <c r="C2340" s="1" t="s">
        <v>27</v>
      </c>
      <c r="D2340" t="s">
        <v>35</v>
      </c>
      <c r="E2340" t="s">
        <v>582</v>
      </c>
      <c r="F2340" t="s">
        <v>23</v>
      </c>
      <c r="G2340" t="s">
        <v>25</v>
      </c>
      <c r="H2340" s="3">
        <v>5</v>
      </c>
      <c r="I2340" s="3">
        <v>4320</v>
      </c>
      <c r="J2340" s="3">
        <v>21600</v>
      </c>
      <c r="K2340" s="3">
        <v>3200</v>
      </c>
      <c r="L2340" s="3">
        <v>16000</v>
      </c>
      <c r="M2340" s="3">
        <v>5600</v>
      </c>
      <c r="N2340" s="4">
        <v>0.25925925925925924</v>
      </c>
    </row>
    <row r="2341" spans="1:14" x14ac:dyDescent="0.3">
      <c r="A2341" s="6">
        <v>45825</v>
      </c>
      <c r="B2341" s="1" t="s">
        <v>2525</v>
      </c>
      <c r="C2341" s="1" t="s">
        <v>28</v>
      </c>
      <c r="D2341" t="s">
        <v>35</v>
      </c>
      <c r="E2341" t="s">
        <v>151</v>
      </c>
      <c r="F2341" t="s">
        <v>19</v>
      </c>
      <c r="G2341" t="s">
        <v>20</v>
      </c>
      <c r="H2341" s="3">
        <v>9</v>
      </c>
      <c r="I2341" s="3">
        <v>1116</v>
      </c>
      <c r="J2341" s="3">
        <v>10044</v>
      </c>
      <c r="K2341" s="3">
        <v>900</v>
      </c>
      <c r="L2341" s="3">
        <v>8100</v>
      </c>
      <c r="M2341" s="3">
        <v>1944</v>
      </c>
      <c r="N2341" s="4">
        <v>0.19354838709677419</v>
      </c>
    </row>
    <row r="2342" spans="1:14" x14ac:dyDescent="0.3">
      <c r="A2342" s="6">
        <v>45825</v>
      </c>
      <c r="B2342" s="1" t="s">
        <v>2526</v>
      </c>
      <c r="C2342" s="1" t="s">
        <v>26</v>
      </c>
      <c r="D2342" t="s">
        <v>35</v>
      </c>
      <c r="E2342" t="s">
        <v>427</v>
      </c>
      <c r="F2342" t="s">
        <v>24</v>
      </c>
      <c r="G2342" t="s">
        <v>25</v>
      </c>
      <c r="H2342" s="3">
        <v>8</v>
      </c>
      <c r="I2342" s="3">
        <v>3375</v>
      </c>
      <c r="J2342" s="3">
        <v>27000</v>
      </c>
      <c r="K2342" s="3">
        <v>2500</v>
      </c>
      <c r="L2342" s="3">
        <v>20000</v>
      </c>
      <c r="M2342" s="3">
        <v>7000</v>
      </c>
      <c r="N2342" s="4">
        <v>0.25925925925925924</v>
      </c>
    </row>
    <row r="2343" spans="1:14" x14ac:dyDescent="0.3">
      <c r="A2343" s="6">
        <v>45825</v>
      </c>
      <c r="B2343" s="1" t="s">
        <v>2527</v>
      </c>
      <c r="C2343" s="1" t="s">
        <v>27</v>
      </c>
      <c r="D2343" t="s">
        <v>33</v>
      </c>
      <c r="E2343" t="s">
        <v>427</v>
      </c>
      <c r="F2343" t="s">
        <v>24</v>
      </c>
      <c r="G2343" t="s">
        <v>25</v>
      </c>
      <c r="H2343" s="3">
        <v>10</v>
      </c>
      <c r="I2343" s="3">
        <v>3425.0000000000005</v>
      </c>
      <c r="J2343" s="3">
        <v>34250.000000000007</v>
      </c>
      <c r="K2343" s="3">
        <v>2500</v>
      </c>
      <c r="L2343" s="3">
        <v>25000</v>
      </c>
      <c r="M2343" s="3">
        <v>9250.0000000000073</v>
      </c>
      <c r="N2343" s="4">
        <v>0.2700729927007301</v>
      </c>
    </row>
    <row r="2344" spans="1:14" x14ac:dyDescent="0.3">
      <c r="A2344" s="6">
        <v>45825</v>
      </c>
      <c r="B2344" s="1" t="s">
        <v>2528</v>
      </c>
      <c r="C2344" s="1" t="s">
        <v>29</v>
      </c>
      <c r="D2344" t="s">
        <v>30</v>
      </c>
      <c r="E2344" t="s">
        <v>349</v>
      </c>
      <c r="F2344" t="s">
        <v>14</v>
      </c>
      <c r="G2344" t="s">
        <v>15</v>
      </c>
      <c r="H2344" s="3">
        <v>8</v>
      </c>
      <c r="I2344" s="3">
        <v>55800</v>
      </c>
      <c r="J2344" s="3">
        <v>446400</v>
      </c>
      <c r="K2344" s="3">
        <v>45000</v>
      </c>
      <c r="L2344" s="3">
        <v>360000</v>
      </c>
      <c r="M2344" s="3">
        <v>86400</v>
      </c>
      <c r="N2344" s="4">
        <v>0.19354838709677419</v>
      </c>
    </row>
    <row r="2345" spans="1:14" x14ac:dyDescent="0.3">
      <c r="A2345" s="6">
        <v>45825</v>
      </c>
      <c r="B2345" s="1" t="s">
        <v>2529</v>
      </c>
      <c r="C2345" s="1" t="s">
        <v>29</v>
      </c>
      <c r="D2345" t="s">
        <v>33</v>
      </c>
      <c r="E2345" t="s">
        <v>506</v>
      </c>
      <c r="F2345" t="s">
        <v>19</v>
      </c>
      <c r="G2345" t="s">
        <v>20</v>
      </c>
      <c r="H2345" s="3">
        <v>5</v>
      </c>
      <c r="I2345" s="3">
        <v>1305</v>
      </c>
      <c r="J2345" s="3">
        <v>6525</v>
      </c>
      <c r="K2345" s="3">
        <v>900</v>
      </c>
      <c r="L2345" s="3">
        <v>4500</v>
      </c>
      <c r="M2345" s="3">
        <v>2025</v>
      </c>
      <c r="N2345" s="4">
        <v>0.31034482758620691</v>
      </c>
    </row>
    <row r="2346" spans="1:14" x14ac:dyDescent="0.3">
      <c r="A2346" s="6">
        <v>45825</v>
      </c>
      <c r="B2346" s="1" t="s">
        <v>2530</v>
      </c>
      <c r="C2346" s="1" t="s">
        <v>29</v>
      </c>
      <c r="D2346" t="s">
        <v>35</v>
      </c>
      <c r="E2346" t="s">
        <v>118</v>
      </c>
      <c r="F2346" t="s">
        <v>22</v>
      </c>
      <c r="G2346" t="s">
        <v>18</v>
      </c>
      <c r="H2346" s="3">
        <v>9</v>
      </c>
      <c r="I2346" s="3">
        <v>9310</v>
      </c>
      <c r="J2346" s="3">
        <v>83790</v>
      </c>
      <c r="K2346" s="3">
        <v>7000</v>
      </c>
      <c r="L2346" s="3">
        <v>63000</v>
      </c>
      <c r="M2346" s="3">
        <v>20790</v>
      </c>
      <c r="N2346" s="4">
        <v>0.24812030075187969</v>
      </c>
    </row>
    <row r="2347" spans="1:14" x14ac:dyDescent="0.3">
      <c r="A2347" s="6">
        <v>45825</v>
      </c>
      <c r="B2347" s="1" t="s">
        <v>2531</v>
      </c>
      <c r="C2347" s="1" t="s">
        <v>29</v>
      </c>
      <c r="D2347" t="s">
        <v>34</v>
      </c>
      <c r="E2347" t="s">
        <v>114</v>
      </c>
      <c r="F2347" t="s">
        <v>16</v>
      </c>
      <c r="G2347" t="s">
        <v>15</v>
      </c>
      <c r="H2347" s="3">
        <v>7</v>
      </c>
      <c r="I2347" s="3">
        <v>53960</v>
      </c>
      <c r="J2347" s="3">
        <v>377720</v>
      </c>
      <c r="K2347" s="3">
        <v>38000</v>
      </c>
      <c r="L2347" s="3">
        <v>266000</v>
      </c>
      <c r="M2347" s="3">
        <v>111720</v>
      </c>
      <c r="N2347" s="4">
        <v>0.29577464788732394</v>
      </c>
    </row>
    <row r="2348" spans="1:14" x14ac:dyDescent="0.3">
      <c r="A2348" s="6">
        <v>45825</v>
      </c>
      <c r="B2348" s="1" t="s">
        <v>2532</v>
      </c>
      <c r="C2348" s="1" t="s">
        <v>26</v>
      </c>
      <c r="D2348" t="s">
        <v>31</v>
      </c>
      <c r="E2348" t="s">
        <v>126</v>
      </c>
      <c r="F2348" t="s">
        <v>23</v>
      </c>
      <c r="G2348" t="s">
        <v>25</v>
      </c>
      <c r="H2348" s="3">
        <v>7</v>
      </c>
      <c r="I2348" s="3">
        <v>4128</v>
      </c>
      <c r="J2348" s="3">
        <v>28896</v>
      </c>
      <c r="K2348" s="3">
        <v>3200</v>
      </c>
      <c r="L2348" s="3">
        <v>22400</v>
      </c>
      <c r="M2348" s="3">
        <v>6496</v>
      </c>
      <c r="N2348" s="4">
        <v>0.22480620155038761</v>
      </c>
    </row>
    <row r="2349" spans="1:14" x14ac:dyDescent="0.3">
      <c r="A2349" s="6">
        <v>45825</v>
      </c>
      <c r="B2349" s="1" t="s">
        <v>2533</v>
      </c>
      <c r="C2349" s="1" t="s">
        <v>29</v>
      </c>
      <c r="D2349" t="s">
        <v>31</v>
      </c>
      <c r="E2349" t="s">
        <v>506</v>
      </c>
      <c r="F2349" t="s">
        <v>23</v>
      </c>
      <c r="G2349" t="s">
        <v>25</v>
      </c>
      <c r="H2349" s="3">
        <v>2</v>
      </c>
      <c r="I2349" s="3">
        <v>4416</v>
      </c>
      <c r="J2349" s="3">
        <v>8832</v>
      </c>
      <c r="K2349" s="3">
        <v>3200</v>
      </c>
      <c r="L2349" s="3">
        <v>6400</v>
      </c>
      <c r="M2349" s="3">
        <v>2432</v>
      </c>
      <c r="N2349" s="4">
        <v>0.27536231884057971</v>
      </c>
    </row>
    <row r="2350" spans="1:14" x14ac:dyDescent="0.3">
      <c r="A2350" s="6">
        <v>45825</v>
      </c>
      <c r="B2350" s="1" t="s">
        <v>2534</v>
      </c>
      <c r="C2350" s="1" t="s">
        <v>27</v>
      </c>
      <c r="D2350" t="s">
        <v>32</v>
      </c>
      <c r="E2350" t="s">
        <v>198</v>
      </c>
      <c r="F2350" t="s">
        <v>21</v>
      </c>
      <c r="G2350" t="s">
        <v>20</v>
      </c>
      <c r="H2350" s="3">
        <v>5</v>
      </c>
      <c r="I2350" s="3">
        <v>750</v>
      </c>
      <c r="J2350" s="3">
        <v>3750</v>
      </c>
      <c r="K2350" s="3">
        <v>600</v>
      </c>
      <c r="L2350" s="3">
        <v>3000</v>
      </c>
      <c r="M2350" s="3">
        <v>750</v>
      </c>
      <c r="N2350" s="4">
        <v>0.2</v>
      </c>
    </row>
    <row r="2351" spans="1:14" x14ac:dyDescent="0.3">
      <c r="A2351" s="6">
        <v>45825</v>
      </c>
      <c r="B2351" s="1" t="s">
        <v>2535</v>
      </c>
      <c r="C2351" s="1" t="s">
        <v>26</v>
      </c>
      <c r="D2351" t="s">
        <v>31</v>
      </c>
      <c r="E2351" t="s">
        <v>47</v>
      </c>
      <c r="F2351" t="s">
        <v>23</v>
      </c>
      <c r="G2351" t="s">
        <v>25</v>
      </c>
      <c r="H2351" s="3">
        <v>5</v>
      </c>
      <c r="I2351" s="3">
        <v>4416</v>
      </c>
      <c r="J2351" s="3">
        <v>22080</v>
      </c>
      <c r="K2351" s="3">
        <v>3200</v>
      </c>
      <c r="L2351" s="3">
        <v>16000</v>
      </c>
      <c r="M2351" s="3">
        <v>6080</v>
      </c>
      <c r="N2351" s="4">
        <v>0.27536231884057971</v>
      </c>
    </row>
    <row r="2352" spans="1:14" x14ac:dyDescent="0.3">
      <c r="A2352" s="6">
        <v>45826</v>
      </c>
      <c r="B2352" s="1" t="s">
        <v>2536</v>
      </c>
      <c r="C2352" s="1" t="s">
        <v>26</v>
      </c>
      <c r="D2352" t="s">
        <v>31</v>
      </c>
      <c r="E2352" t="s">
        <v>145</v>
      </c>
      <c r="F2352" t="s">
        <v>17</v>
      </c>
      <c r="G2352" t="s">
        <v>18</v>
      </c>
      <c r="H2352" s="3">
        <v>5</v>
      </c>
      <c r="I2352" s="3">
        <v>11815.000000000002</v>
      </c>
      <c r="J2352" s="3">
        <v>59075.000000000007</v>
      </c>
      <c r="K2352" s="3">
        <v>8500</v>
      </c>
      <c r="L2352" s="3">
        <v>42500</v>
      </c>
      <c r="M2352" s="3">
        <v>16575.000000000007</v>
      </c>
      <c r="N2352" s="4">
        <v>0.28057553956834541</v>
      </c>
    </row>
    <row r="2353" spans="1:14" x14ac:dyDescent="0.3">
      <c r="A2353" s="6">
        <v>45826</v>
      </c>
      <c r="B2353" s="1" t="s">
        <v>2537</v>
      </c>
      <c r="C2353" s="1" t="s">
        <v>26</v>
      </c>
      <c r="D2353" t="s">
        <v>31</v>
      </c>
      <c r="E2353" t="s">
        <v>427</v>
      </c>
      <c r="F2353" t="s">
        <v>19</v>
      </c>
      <c r="G2353" t="s">
        <v>20</v>
      </c>
      <c r="H2353" s="3">
        <v>10</v>
      </c>
      <c r="I2353" s="3">
        <v>1179</v>
      </c>
      <c r="J2353" s="3">
        <v>11790</v>
      </c>
      <c r="K2353" s="3">
        <v>900</v>
      </c>
      <c r="L2353" s="3">
        <v>9000</v>
      </c>
      <c r="M2353" s="3">
        <v>2790</v>
      </c>
      <c r="N2353" s="4">
        <v>0.23664122137404581</v>
      </c>
    </row>
    <row r="2354" spans="1:14" x14ac:dyDescent="0.3">
      <c r="A2354" s="6">
        <v>45826</v>
      </c>
      <c r="B2354" s="1" t="s">
        <v>2538</v>
      </c>
      <c r="C2354" s="1" t="s">
        <v>27</v>
      </c>
      <c r="D2354" t="s">
        <v>33</v>
      </c>
      <c r="E2354" t="s">
        <v>436</v>
      </c>
      <c r="F2354" t="s">
        <v>22</v>
      </c>
      <c r="G2354" t="s">
        <v>18</v>
      </c>
      <c r="H2354" s="3">
        <v>6</v>
      </c>
      <c r="I2354" s="3">
        <v>8960</v>
      </c>
      <c r="J2354" s="3">
        <v>53760</v>
      </c>
      <c r="K2354" s="3">
        <v>7000</v>
      </c>
      <c r="L2354" s="3">
        <v>42000</v>
      </c>
      <c r="M2354" s="3">
        <v>11760</v>
      </c>
      <c r="N2354" s="4">
        <v>0.21875</v>
      </c>
    </row>
    <row r="2355" spans="1:14" x14ac:dyDescent="0.3">
      <c r="A2355" s="6">
        <v>45826</v>
      </c>
      <c r="B2355" s="1" t="s">
        <v>2539</v>
      </c>
      <c r="C2355" s="1" t="s">
        <v>28</v>
      </c>
      <c r="D2355" t="s">
        <v>35</v>
      </c>
      <c r="E2355" t="s">
        <v>186</v>
      </c>
      <c r="F2355" t="s">
        <v>24</v>
      </c>
      <c r="G2355" t="s">
        <v>25</v>
      </c>
      <c r="H2355" s="3">
        <v>9</v>
      </c>
      <c r="I2355" s="3">
        <v>3300</v>
      </c>
      <c r="J2355" s="3">
        <v>29700</v>
      </c>
      <c r="K2355" s="3">
        <v>2500</v>
      </c>
      <c r="L2355" s="3">
        <v>22500</v>
      </c>
      <c r="M2355" s="3">
        <v>7200</v>
      </c>
      <c r="N2355" s="4">
        <v>0.24242424242424243</v>
      </c>
    </row>
    <row r="2356" spans="1:14" x14ac:dyDescent="0.3">
      <c r="A2356" s="6">
        <v>45826</v>
      </c>
      <c r="B2356" s="1" t="s">
        <v>2540</v>
      </c>
      <c r="C2356" s="1" t="s">
        <v>28</v>
      </c>
      <c r="D2356" t="s">
        <v>30</v>
      </c>
      <c r="E2356" t="s">
        <v>53</v>
      </c>
      <c r="F2356" t="s">
        <v>17</v>
      </c>
      <c r="G2356" t="s">
        <v>18</v>
      </c>
      <c r="H2356" s="3">
        <v>2</v>
      </c>
      <c r="I2356" s="3">
        <v>11985</v>
      </c>
      <c r="J2356" s="3">
        <v>23970</v>
      </c>
      <c r="K2356" s="3">
        <v>8500</v>
      </c>
      <c r="L2356" s="3">
        <v>17000</v>
      </c>
      <c r="M2356" s="3">
        <v>6970</v>
      </c>
      <c r="N2356" s="4">
        <v>0.29078014184397161</v>
      </c>
    </row>
    <row r="2357" spans="1:14" x14ac:dyDescent="0.3">
      <c r="A2357" s="6">
        <v>45826</v>
      </c>
      <c r="B2357" s="1" t="s">
        <v>2541</v>
      </c>
      <c r="C2357" s="1" t="s">
        <v>26</v>
      </c>
      <c r="D2357" t="s">
        <v>34</v>
      </c>
      <c r="E2357" t="s">
        <v>108</v>
      </c>
      <c r="F2357" t="s">
        <v>16</v>
      </c>
      <c r="G2357" t="s">
        <v>15</v>
      </c>
      <c r="H2357" s="3">
        <v>8</v>
      </c>
      <c r="I2357" s="3">
        <v>46740</v>
      </c>
      <c r="J2357" s="3">
        <v>373920</v>
      </c>
      <c r="K2357" s="3">
        <v>38000</v>
      </c>
      <c r="L2357" s="3">
        <v>304000</v>
      </c>
      <c r="M2357" s="3">
        <v>69920</v>
      </c>
      <c r="N2357" s="4">
        <v>0.18699186991869918</v>
      </c>
    </row>
    <row r="2358" spans="1:14" x14ac:dyDescent="0.3">
      <c r="A2358" s="6">
        <v>45826</v>
      </c>
      <c r="B2358" s="1" t="s">
        <v>2542</v>
      </c>
      <c r="C2358" s="1" t="s">
        <v>26</v>
      </c>
      <c r="D2358" t="s">
        <v>30</v>
      </c>
      <c r="E2358" t="s">
        <v>63</v>
      </c>
      <c r="F2358" t="s">
        <v>23</v>
      </c>
      <c r="G2358" t="s">
        <v>25</v>
      </c>
      <c r="H2358" s="3">
        <v>9</v>
      </c>
      <c r="I2358" s="3">
        <v>4576</v>
      </c>
      <c r="J2358" s="3">
        <v>41184</v>
      </c>
      <c r="K2358" s="3">
        <v>3200</v>
      </c>
      <c r="L2358" s="3">
        <v>28800</v>
      </c>
      <c r="M2358" s="3">
        <v>12384</v>
      </c>
      <c r="N2358" s="4">
        <v>0.30069930069930068</v>
      </c>
    </row>
    <row r="2359" spans="1:14" x14ac:dyDescent="0.3">
      <c r="A2359" s="6">
        <v>45826</v>
      </c>
      <c r="B2359" s="1" t="s">
        <v>2543</v>
      </c>
      <c r="C2359" s="1" t="s">
        <v>29</v>
      </c>
      <c r="D2359" t="s">
        <v>31</v>
      </c>
      <c r="E2359" t="s">
        <v>310</v>
      </c>
      <c r="F2359" t="s">
        <v>24</v>
      </c>
      <c r="G2359" t="s">
        <v>25</v>
      </c>
      <c r="H2359" s="3">
        <v>6</v>
      </c>
      <c r="I2359" s="3">
        <v>3050</v>
      </c>
      <c r="J2359" s="3">
        <v>18300</v>
      </c>
      <c r="K2359" s="3">
        <v>2500</v>
      </c>
      <c r="L2359" s="3">
        <v>15000</v>
      </c>
      <c r="M2359" s="3">
        <v>3300</v>
      </c>
      <c r="N2359" s="4">
        <v>0.18032786885245902</v>
      </c>
    </row>
    <row r="2360" spans="1:14" x14ac:dyDescent="0.3">
      <c r="A2360" s="6">
        <v>45826</v>
      </c>
      <c r="B2360" s="1" t="s">
        <v>2544</v>
      </c>
      <c r="C2360" s="1" t="s">
        <v>29</v>
      </c>
      <c r="D2360" t="s">
        <v>32</v>
      </c>
      <c r="E2360" t="s">
        <v>365</v>
      </c>
      <c r="F2360" t="s">
        <v>14</v>
      </c>
      <c r="G2360" t="s">
        <v>15</v>
      </c>
      <c r="H2360" s="3">
        <v>2</v>
      </c>
      <c r="I2360" s="3">
        <v>63900</v>
      </c>
      <c r="J2360" s="3">
        <v>127800</v>
      </c>
      <c r="K2360" s="3">
        <v>45000</v>
      </c>
      <c r="L2360" s="3">
        <v>90000</v>
      </c>
      <c r="M2360" s="3">
        <v>37800</v>
      </c>
      <c r="N2360" s="4">
        <v>0.29577464788732394</v>
      </c>
    </row>
    <row r="2361" spans="1:14" x14ac:dyDescent="0.3">
      <c r="A2361" s="6">
        <v>45826</v>
      </c>
      <c r="B2361" s="1" t="s">
        <v>2545</v>
      </c>
      <c r="C2361" s="1" t="s">
        <v>27</v>
      </c>
      <c r="D2361" t="s">
        <v>30</v>
      </c>
      <c r="E2361" t="s">
        <v>118</v>
      </c>
      <c r="F2361" t="s">
        <v>24</v>
      </c>
      <c r="G2361" t="s">
        <v>25</v>
      </c>
      <c r="H2361" s="3">
        <v>3</v>
      </c>
      <c r="I2361" s="3">
        <v>3100</v>
      </c>
      <c r="J2361" s="3">
        <v>9300</v>
      </c>
      <c r="K2361" s="3">
        <v>2500</v>
      </c>
      <c r="L2361" s="3">
        <v>7500</v>
      </c>
      <c r="M2361" s="3">
        <v>1800</v>
      </c>
      <c r="N2361" s="4">
        <v>0.19354838709677419</v>
      </c>
    </row>
    <row r="2362" spans="1:14" x14ac:dyDescent="0.3">
      <c r="A2362" s="6">
        <v>45826</v>
      </c>
      <c r="B2362" s="1" t="s">
        <v>2546</v>
      </c>
      <c r="C2362" s="1" t="s">
        <v>28</v>
      </c>
      <c r="D2362" t="s">
        <v>30</v>
      </c>
      <c r="E2362" t="s">
        <v>243</v>
      </c>
      <c r="F2362" t="s">
        <v>14</v>
      </c>
      <c r="G2362" t="s">
        <v>15</v>
      </c>
      <c r="H2362" s="3">
        <v>10</v>
      </c>
      <c r="I2362" s="3">
        <v>58950</v>
      </c>
      <c r="J2362" s="3">
        <v>589500</v>
      </c>
      <c r="K2362" s="3">
        <v>45000</v>
      </c>
      <c r="L2362" s="3">
        <v>450000</v>
      </c>
      <c r="M2362" s="3">
        <v>139500</v>
      </c>
      <c r="N2362" s="4">
        <v>0.23664122137404581</v>
      </c>
    </row>
    <row r="2363" spans="1:14" x14ac:dyDescent="0.3">
      <c r="A2363" s="6">
        <v>45826</v>
      </c>
      <c r="B2363" s="1" t="s">
        <v>2547</v>
      </c>
      <c r="C2363" s="1" t="s">
        <v>27</v>
      </c>
      <c r="D2363" t="s">
        <v>34</v>
      </c>
      <c r="E2363" t="s">
        <v>524</v>
      </c>
      <c r="F2363" t="s">
        <v>16</v>
      </c>
      <c r="G2363" t="s">
        <v>15</v>
      </c>
      <c r="H2363" s="3">
        <v>4</v>
      </c>
      <c r="I2363" s="3">
        <v>53200</v>
      </c>
      <c r="J2363" s="3">
        <v>212800</v>
      </c>
      <c r="K2363" s="3">
        <v>38000</v>
      </c>
      <c r="L2363" s="3">
        <v>152000</v>
      </c>
      <c r="M2363" s="3">
        <v>60800</v>
      </c>
      <c r="N2363" s="4">
        <v>0.2857142857142857</v>
      </c>
    </row>
    <row r="2364" spans="1:14" x14ac:dyDescent="0.3">
      <c r="A2364" s="6">
        <v>45826</v>
      </c>
      <c r="B2364" s="1" t="s">
        <v>2548</v>
      </c>
      <c r="C2364" s="1" t="s">
        <v>27</v>
      </c>
      <c r="D2364" t="s">
        <v>32</v>
      </c>
      <c r="E2364" t="s">
        <v>49</v>
      </c>
      <c r="F2364" t="s">
        <v>24</v>
      </c>
      <c r="G2364" t="s">
        <v>25</v>
      </c>
      <c r="H2364" s="3">
        <v>5</v>
      </c>
      <c r="I2364" s="3">
        <v>3200</v>
      </c>
      <c r="J2364" s="3">
        <v>16000</v>
      </c>
      <c r="K2364" s="3">
        <v>2500</v>
      </c>
      <c r="L2364" s="3">
        <v>12500</v>
      </c>
      <c r="M2364" s="3">
        <v>3500</v>
      </c>
      <c r="N2364" s="4">
        <v>0.21875</v>
      </c>
    </row>
    <row r="2365" spans="1:14" x14ac:dyDescent="0.3">
      <c r="A2365" s="6">
        <v>45826</v>
      </c>
      <c r="B2365" s="1" t="s">
        <v>2549</v>
      </c>
      <c r="C2365" s="1" t="s">
        <v>29</v>
      </c>
      <c r="D2365" t="s">
        <v>33</v>
      </c>
      <c r="E2365" t="s">
        <v>400</v>
      </c>
      <c r="F2365" t="s">
        <v>22</v>
      </c>
      <c r="G2365" t="s">
        <v>18</v>
      </c>
      <c r="H2365" s="3">
        <v>8</v>
      </c>
      <c r="I2365" s="3">
        <v>8750</v>
      </c>
      <c r="J2365" s="3">
        <v>70000</v>
      </c>
      <c r="K2365" s="3">
        <v>7000</v>
      </c>
      <c r="L2365" s="3">
        <v>56000</v>
      </c>
      <c r="M2365" s="3">
        <v>14000</v>
      </c>
      <c r="N2365" s="4">
        <v>0.2</v>
      </c>
    </row>
    <row r="2366" spans="1:14" x14ac:dyDescent="0.3">
      <c r="A2366" s="6">
        <v>45827</v>
      </c>
      <c r="B2366" s="1" t="s">
        <v>2550</v>
      </c>
      <c r="C2366" s="1" t="s">
        <v>28</v>
      </c>
      <c r="D2366" t="s">
        <v>34</v>
      </c>
      <c r="E2366" t="s">
        <v>193</v>
      </c>
      <c r="F2366" t="s">
        <v>23</v>
      </c>
      <c r="G2366" t="s">
        <v>25</v>
      </c>
      <c r="H2366" s="3">
        <v>8</v>
      </c>
      <c r="I2366" s="3">
        <v>4352</v>
      </c>
      <c r="J2366" s="3">
        <v>34816</v>
      </c>
      <c r="K2366" s="3">
        <v>3200</v>
      </c>
      <c r="L2366" s="3">
        <v>25600</v>
      </c>
      <c r="M2366" s="3">
        <v>9216</v>
      </c>
      <c r="N2366" s="4">
        <v>0.26470588235294118</v>
      </c>
    </row>
    <row r="2367" spans="1:14" x14ac:dyDescent="0.3">
      <c r="A2367" s="6">
        <v>45827</v>
      </c>
      <c r="B2367" s="1" t="s">
        <v>2551</v>
      </c>
      <c r="C2367" s="1" t="s">
        <v>27</v>
      </c>
      <c r="D2367" t="s">
        <v>35</v>
      </c>
      <c r="E2367" t="s">
        <v>239</v>
      </c>
      <c r="F2367" t="s">
        <v>21</v>
      </c>
      <c r="G2367" t="s">
        <v>20</v>
      </c>
      <c r="H2367" s="3">
        <v>2</v>
      </c>
      <c r="I2367" s="3">
        <v>810</v>
      </c>
      <c r="J2367" s="3">
        <v>1620</v>
      </c>
      <c r="K2367" s="3">
        <v>600</v>
      </c>
      <c r="L2367" s="3">
        <v>1200</v>
      </c>
      <c r="M2367" s="3">
        <v>420</v>
      </c>
      <c r="N2367" s="4">
        <v>0.25925925925925924</v>
      </c>
    </row>
    <row r="2368" spans="1:14" x14ac:dyDescent="0.3">
      <c r="A2368" s="6">
        <v>45827</v>
      </c>
      <c r="B2368" s="1" t="s">
        <v>2552</v>
      </c>
      <c r="C2368" s="1" t="s">
        <v>28</v>
      </c>
      <c r="D2368" t="s">
        <v>31</v>
      </c>
      <c r="E2368" t="s">
        <v>67</v>
      </c>
      <c r="F2368" t="s">
        <v>19</v>
      </c>
      <c r="G2368" t="s">
        <v>20</v>
      </c>
      <c r="H2368" s="3">
        <v>9</v>
      </c>
      <c r="I2368" s="3">
        <v>1278</v>
      </c>
      <c r="J2368" s="3">
        <v>11502</v>
      </c>
      <c r="K2368" s="3">
        <v>900</v>
      </c>
      <c r="L2368" s="3">
        <v>8100</v>
      </c>
      <c r="M2368" s="3">
        <v>3402</v>
      </c>
      <c r="N2368" s="4">
        <v>0.29577464788732394</v>
      </c>
    </row>
    <row r="2369" spans="1:14" x14ac:dyDescent="0.3">
      <c r="A2369" s="6">
        <v>45827</v>
      </c>
      <c r="B2369" s="1" t="s">
        <v>2553</v>
      </c>
      <c r="C2369" s="1" t="s">
        <v>29</v>
      </c>
      <c r="D2369" t="s">
        <v>32</v>
      </c>
      <c r="E2369" t="s">
        <v>436</v>
      </c>
      <c r="F2369" t="s">
        <v>19</v>
      </c>
      <c r="G2369" t="s">
        <v>20</v>
      </c>
      <c r="H2369" s="3">
        <v>1</v>
      </c>
      <c r="I2369" s="3">
        <v>1242</v>
      </c>
      <c r="J2369" s="3">
        <v>1242</v>
      </c>
      <c r="K2369" s="3">
        <v>900</v>
      </c>
      <c r="L2369" s="3">
        <v>900</v>
      </c>
      <c r="M2369" s="3">
        <v>342</v>
      </c>
      <c r="N2369" s="4">
        <v>0.27536231884057971</v>
      </c>
    </row>
    <row r="2370" spans="1:14" x14ac:dyDescent="0.3">
      <c r="A2370" s="6">
        <v>45827</v>
      </c>
      <c r="B2370" s="1" t="s">
        <v>2554</v>
      </c>
      <c r="C2370" s="1" t="s">
        <v>26</v>
      </c>
      <c r="D2370" t="s">
        <v>31</v>
      </c>
      <c r="E2370" t="s">
        <v>280</v>
      </c>
      <c r="F2370" t="s">
        <v>21</v>
      </c>
      <c r="G2370" t="s">
        <v>20</v>
      </c>
      <c r="H2370" s="3">
        <v>9</v>
      </c>
      <c r="I2370" s="3">
        <v>756</v>
      </c>
      <c r="J2370" s="3">
        <v>6804</v>
      </c>
      <c r="K2370" s="3">
        <v>600</v>
      </c>
      <c r="L2370" s="3">
        <v>5400</v>
      </c>
      <c r="M2370" s="3">
        <v>1404</v>
      </c>
      <c r="N2370" s="4">
        <v>0.20634920634920634</v>
      </c>
    </row>
    <row r="2371" spans="1:14" x14ac:dyDescent="0.3">
      <c r="A2371" s="6">
        <v>45827</v>
      </c>
      <c r="B2371" s="1" t="s">
        <v>2555</v>
      </c>
      <c r="C2371" s="1" t="s">
        <v>29</v>
      </c>
      <c r="D2371" t="s">
        <v>34</v>
      </c>
      <c r="E2371" t="s">
        <v>400</v>
      </c>
      <c r="F2371" t="s">
        <v>21</v>
      </c>
      <c r="G2371" t="s">
        <v>20</v>
      </c>
      <c r="H2371" s="3">
        <v>10</v>
      </c>
      <c r="I2371" s="3">
        <v>798</v>
      </c>
      <c r="J2371" s="3">
        <v>7980</v>
      </c>
      <c r="K2371" s="3">
        <v>600</v>
      </c>
      <c r="L2371" s="3">
        <v>6000</v>
      </c>
      <c r="M2371" s="3">
        <v>1980</v>
      </c>
      <c r="N2371" s="4">
        <v>0.24812030075187969</v>
      </c>
    </row>
    <row r="2372" spans="1:14" x14ac:dyDescent="0.3">
      <c r="A2372" s="6">
        <v>45827</v>
      </c>
      <c r="B2372" s="1" t="s">
        <v>2556</v>
      </c>
      <c r="C2372" s="1" t="s">
        <v>29</v>
      </c>
      <c r="D2372" t="s">
        <v>32</v>
      </c>
      <c r="E2372" t="s">
        <v>218</v>
      </c>
      <c r="F2372" t="s">
        <v>16</v>
      </c>
      <c r="G2372" t="s">
        <v>15</v>
      </c>
      <c r="H2372" s="3">
        <v>6</v>
      </c>
      <c r="I2372" s="3">
        <v>45600</v>
      </c>
      <c r="J2372" s="3">
        <v>273600</v>
      </c>
      <c r="K2372" s="3">
        <v>38000</v>
      </c>
      <c r="L2372" s="3">
        <v>228000</v>
      </c>
      <c r="M2372" s="3">
        <v>45600</v>
      </c>
      <c r="N2372" s="4">
        <v>0.16666666666666666</v>
      </c>
    </row>
    <row r="2373" spans="1:14" x14ac:dyDescent="0.3">
      <c r="A2373" s="6">
        <v>45827</v>
      </c>
      <c r="B2373" s="1" t="s">
        <v>2557</v>
      </c>
      <c r="C2373" s="1" t="s">
        <v>29</v>
      </c>
      <c r="D2373" t="s">
        <v>34</v>
      </c>
      <c r="E2373" t="s">
        <v>47</v>
      </c>
      <c r="F2373" t="s">
        <v>21</v>
      </c>
      <c r="G2373" t="s">
        <v>20</v>
      </c>
      <c r="H2373" s="3">
        <v>2</v>
      </c>
      <c r="I2373" s="3">
        <v>852</v>
      </c>
      <c r="J2373" s="3">
        <v>1704</v>
      </c>
      <c r="K2373" s="3">
        <v>600</v>
      </c>
      <c r="L2373" s="3">
        <v>1200</v>
      </c>
      <c r="M2373" s="3">
        <v>504</v>
      </c>
      <c r="N2373" s="4">
        <v>0.29577464788732394</v>
      </c>
    </row>
    <row r="2374" spans="1:14" x14ac:dyDescent="0.3">
      <c r="A2374" s="6">
        <v>45827</v>
      </c>
      <c r="B2374" s="1" t="s">
        <v>2558</v>
      </c>
      <c r="C2374" s="1" t="s">
        <v>28</v>
      </c>
      <c r="D2374" t="s">
        <v>32</v>
      </c>
      <c r="E2374" t="s">
        <v>180</v>
      </c>
      <c r="F2374" t="s">
        <v>24</v>
      </c>
      <c r="G2374" t="s">
        <v>25</v>
      </c>
      <c r="H2374" s="3">
        <v>8</v>
      </c>
      <c r="I2374" s="3">
        <v>3600</v>
      </c>
      <c r="J2374" s="3">
        <v>28800</v>
      </c>
      <c r="K2374" s="3">
        <v>2500</v>
      </c>
      <c r="L2374" s="3">
        <v>20000</v>
      </c>
      <c r="M2374" s="3">
        <v>8800</v>
      </c>
      <c r="N2374" s="4">
        <v>0.30555555555555558</v>
      </c>
    </row>
    <row r="2375" spans="1:14" x14ac:dyDescent="0.3">
      <c r="A2375" s="6">
        <v>45827</v>
      </c>
      <c r="B2375" s="1" t="s">
        <v>2559</v>
      </c>
      <c r="C2375" s="1" t="s">
        <v>27</v>
      </c>
      <c r="D2375" t="s">
        <v>34</v>
      </c>
      <c r="E2375" t="s">
        <v>139</v>
      </c>
      <c r="F2375" t="s">
        <v>23</v>
      </c>
      <c r="G2375" t="s">
        <v>25</v>
      </c>
      <c r="H2375" s="3">
        <v>4</v>
      </c>
      <c r="I2375" s="3">
        <v>4416</v>
      </c>
      <c r="J2375" s="3">
        <v>17664</v>
      </c>
      <c r="K2375" s="3">
        <v>3200</v>
      </c>
      <c r="L2375" s="3">
        <v>12800</v>
      </c>
      <c r="M2375" s="3">
        <v>4864</v>
      </c>
      <c r="N2375" s="4">
        <v>0.27536231884057971</v>
      </c>
    </row>
    <row r="2376" spans="1:14" x14ac:dyDescent="0.3">
      <c r="A2376" s="6">
        <v>45827</v>
      </c>
      <c r="B2376" s="1" t="s">
        <v>2560</v>
      </c>
      <c r="C2376" s="1" t="s">
        <v>28</v>
      </c>
      <c r="D2376" t="s">
        <v>30</v>
      </c>
      <c r="E2376" t="s">
        <v>214</v>
      </c>
      <c r="F2376" t="s">
        <v>24</v>
      </c>
      <c r="G2376" t="s">
        <v>25</v>
      </c>
      <c r="H2376" s="3">
        <v>7</v>
      </c>
      <c r="I2376" s="3">
        <v>3025</v>
      </c>
      <c r="J2376" s="3">
        <v>21175</v>
      </c>
      <c r="K2376" s="3">
        <v>2500</v>
      </c>
      <c r="L2376" s="3">
        <v>17500</v>
      </c>
      <c r="M2376" s="3">
        <v>3675</v>
      </c>
      <c r="N2376" s="4">
        <v>0.17355371900826447</v>
      </c>
    </row>
    <row r="2377" spans="1:14" x14ac:dyDescent="0.3">
      <c r="A2377" s="6">
        <v>45827</v>
      </c>
      <c r="B2377" s="1" t="s">
        <v>2561</v>
      </c>
      <c r="C2377" s="1" t="s">
        <v>29</v>
      </c>
      <c r="D2377" t="s">
        <v>31</v>
      </c>
      <c r="E2377" t="s">
        <v>204</v>
      </c>
      <c r="F2377" t="s">
        <v>17</v>
      </c>
      <c r="G2377" t="s">
        <v>18</v>
      </c>
      <c r="H2377" s="3">
        <v>2</v>
      </c>
      <c r="I2377" s="3">
        <v>12240</v>
      </c>
      <c r="J2377" s="3">
        <v>24480</v>
      </c>
      <c r="K2377" s="3">
        <v>8500</v>
      </c>
      <c r="L2377" s="3">
        <v>17000</v>
      </c>
      <c r="M2377" s="3">
        <v>7480</v>
      </c>
      <c r="N2377" s="4">
        <v>0.30555555555555558</v>
      </c>
    </row>
    <row r="2378" spans="1:14" x14ac:dyDescent="0.3">
      <c r="A2378" s="6">
        <v>45827</v>
      </c>
      <c r="B2378" s="1" t="s">
        <v>2562</v>
      </c>
      <c r="C2378" s="1" t="s">
        <v>27</v>
      </c>
      <c r="D2378" t="s">
        <v>33</v>
      </c>
      <c r="E2378" t="s">
        <v>129</v>
      </c>
      <c r="F2378" t="s">
        <v>24</v>
      </c>
      <c r="G2378" t="s">
        <v>25</v>
      </c>
      <c r="H2378" s="3">
        <v>1</v>
      </c>
      <c r="I2378" s="3">
        <v>3375</v>
      </c>
      <c r="J2378" s="3">
        <v>3375</v>
      </c>
      <c r="K2378" s="3">
        <v>2500</v>
      </c>
      <c r="L2378" s="3">
        <v>2500</v>
      </c>
      <c r="M2378" s="3">
        <v>875</v>
      </c>
      <c r="N2378" s="4">
        <v>0.25925925925925924</v>
      </c>
    </row>
    <row r="2379" spans="1:14" x14ac:dyDescent="0.3">
      <c r="A2379" s="6">
        <v>45827</v>
      </c>
      <c r="B2379" s="1" t="s">
        <v>2563</v>
      </c>
      <c r="C2379" s="1" t="s">
        <v>26</v>
      </c>
      <c r="D2379" t="s">
        <v>33</v>
      </c>
      <c r="E2379" t="s">
        <v>159</v>
      </c>
      <c r="F2379" t="s">
        <v>16</v>
      </c>
      <c r="G2379" t="s">
        <v>15</v>
      </c>
      <c r="H2379" s="3">
        <v>3</v>
      </c>
      <c r="I2379" s="3">
        <v>46740</v>
      </c>
      <c r="J2379" s="3">
        <v>140220</v>
      </c>
      <c r="K2379" s="3">
        <v>38000</v>
      </c>
      <c r="L2379" s="3">
        <v>114000</v>
      </c>
      <c r="M2379" s="3">
        <v>26220</v>
      </c>
      <c r="N2379" s="4">
        <v>0.18699186991869918</v>
      </c>
    </row>
    <row r="2380" spans="1:14" x14ac:dyDescent="0.3">
      <c r="A2380" s="6">
        <v>45828</v>
      </c>
      <c r="B2380" s="1" t="s">
        <v>2564</v>
      </c>
      <c r="C2380" s="1" t="s">
        <v>26</v>
      </c>
      <c r="D2380" t="s">
        <v>30</v>
      </c>
      <c r="E2380" t="s">
        <v>166</v>
      </c>
      <c r="F2380" t="s">
        <v>16</v>
      </c>
      <c r="G2380" t="s">
        <v>15</v>
      </c>
      <c r="H2380" s="3">
        <v>6</v>
      </c>
      <c r="I2380" s="3">
        <v>47120</v>
      </c>
      <c r="J2380" s="3">
        <v>282720</v>
      </c>
      <c r="K2380" s="3">
        <v>38000</v>
      </c>
      <c r="L2380" s="3">
        <v>228000</v>
      </c>
      <c r="M2380" s="3">
        <v>54720</v>
      </c>
      <c r="N2380" s="4">
        <v>0.19354838709677419</v>
      </c>
    </row>
    <row r="2381" spans="1:14" x14ac:dyDescent="0.3">
      <c r="A2381" s="6">
        <v>45828</v>
      </c>
      <c r="B2381" s="1" t="s">
        <v>2565</v>
      </c>
      <c r="C2381" s="1" t="s">
        <v>26</v>
      </c>
      <c r="D2381" t="s">
        <v>35</v>
      </c>
      <c r="E2381" t="s">
        <v>139</v>
      </c>
      <c r="F2381" t="s">
        <v>16</v>
      </c>
      <c r="G2381" t="s">
        <v>15</v>
      </c>
      <c r="H2381" s="3">
        <v>1</v>
      </c>
      <c r="I2381" s="3">
        <v>54720</v>
      </c>
      <c r="J2381" s="3">
        <v>54720</v>
      </c>
      <c r="K2381" s="3">
        <v>38000</v>
      </c>
      <c r="L2381" s="3">
        <v>38000</v>
      </c>
      <c r="M2381" s="3">
        <v>16720</v>
      </c>
      <c r="N2381" s="4">
        <v>0.30555555555555558</v>
      </c>
    </row>
    <row r="2382" spans="1:14" x14ac:dyDescent="0.3">
      <c r="A2382" s="6">
        <v>45828</v>
      </c>
      <c r="B2382" s="1" t="s">
        <v>2566</v>
      </c>
      <c r="C2382" s="1" t="s">
        <v>27</v>
      </c>
      <c r="D2382" t="s">
        <v>31</v>
      </c>
      <c r="E2382" t="s">
        <v>61</v>
      </c>
      <c r="F2382" t="s">
        <v>17</v>
      </c>
      <c r="G2382" t="s">
        <v>18</v>
      </c>
      <c r="H2382" s="3">
        <v>2</v>
      </c>
      <c r="I2382" s="3">
        <v>11220</v>
      </c>
      <c r="J2382" s="3">
        <v>22440</v>
      </c>
      <c r="K2382" s="3">
        <v>8500</v>
      </c>
      <c r="L2382" s="3">
        <v>17000</v>
      </c>
      <c r="M2382" s="3">
        <v>5440</v>
      </c>
      <c r="N2382" s="4">
        <v>0.24242424242424243</v>
      </c>
    </row>
    <row r="2383" spans="1:14" x14ac:dyDescent="0.3">
      <c r="A2383" s="6">
        <v>45828</v>
      </c>
      <c r="B2383" s="1" t="s">
        <v>2567</v>
      </c>
      <c r="C2383" s="1" t="s">
        <v>27</v>
      </c>
      <c r="D2383" t="s">
        <v>33</v>
      </c>
      <c r="E2383" t="s">
        <v>104</v>
      </c>
      <c r="F2383" t="s">
        <v>14</v>
      </c>
      <c r="G2383" t="s">
        <v>15</v>
      </c>
      <c r="H2383" s="3">
        <v>3</v>
      </c>
      <c r="I2383" s="3">
        <v>60750.000000000007</v>
      </c>
      <c r="J2383" s="3">
        <v>182250.00000000003</v>
      </c>
      <c r="K2383" s="3">
        <v>45000</v>
      </c>
      <c r="L2383" s="3">
        <v>135000</v>
      </c>
      <c r="M2383" s="3">
        <v>47250.000000000029</v>
      </c>
      <c r="N2383" s="4">
        <v>0.25925925925925936</v>
      </c>
    </row>
    <row r="2384" spans="1:14" x14ac:dyDescent="0.3">
      <c r="A2384" s="6">
        <v>45828</v>
      </c>
      <c r="B2384" s="1" t="s">
        <v>2568</v>
      </c>
      <c r="C2384" s="1" t="s">
        <v>29</v>
      </c>
      <c r="D2384" t="s">
        <v>30</v>
      </c>
      <c r="E2384" t="s">
        <v>180</v>
      </c>
      <c r="F2384" t="s">
        <v>17</v>
      </c>
      <c r="G2384" t="s">
        <v>18</v>
      </c>
      <c r="H2384" s="3">
        <v>3</v>
      </c>
      <c r="I2384" s="3">
        <v>11050</v>
      </c>
      <c r="J2384" s="3">
        <v>33150</v>
      </c>
      <c r="K2384" s="3">
        <v>8500</v>
      </c>
      <c r="L2384" s="3">
        <v>25500</v>
      </c>
      <c r="M2384" s="3">
        <v>7650</v>
      </c>
      <c r="N2384" s="4">
        <v>0.23076923076923078</v>
      </c>
    </row>
    <row r="2385" spans="1:14" x14ac:dyDescent="0.3">
      <c r="A2385" s="6">
        <v>45828</v>
      </c>
      <c r="B2385" s="1" t="s">
        <v>2569</v>
      </c>
      <c r="C2385" s="1" t="s">
        <v>27</v>
      </c>
      <c r="D2385" t="s">
        <v>30</v>
      </c>
      <c r="E2385" t="s">
        <v>327</v>
      </c>
      <c r="F2385" t="s">
        <v>21</v>
      </c>
      <c r="G2385" t="s">
        <v>20</v>
      </c>
      <c r="H2385" s="3">
        <v>9</v>
      </c>
      <c r="I2385" s="3">
        <v>750</v>
      </c>
      <c r="J2385" s="3">
        <v>6750</v>
      </c>
      <c r="K2385" s="3">
        <v>600</v>
      </c>
      <c r="L2385" s="3">
        <v>5400</v>
      </c>
      <c r="M2385" s="3">
        <v>1350</v>
      </c>
      <c r="N2385" s="4">
        <v>0.2</v>
      </c>
    </row>
    <row r="2386" spans="1:14" x14ac:dyDescent="0.3">
      <c r="A2386" s="6">
        <v>45828</v>
      </c>
      <c r="B2386" s="1" t="s">
        <v>2570</v>
      </c>
      <c r="C2386" s="1" t="s">
        <v>29</v>
      </c>
      <c r="D2386" t="s">
        <v>33</v>
      </c>
      <c r="E2386" t="s">
        <v>94</v>
      </c>
      <c r="F2386" t="s">
        <v>22</v>
      </c>
      <c r="G2386" t="s">
        <v>18</v>
      </c>
      <c r="H2386" s="3">
        <v>8</v>
      </c>
      <c r="I2386" s="3">
        <v>8610</v>
      </c>
      <c r="J2386" s="3">
        <v>68880</v>
      </c>
      <c r="K2386" s="3">
        <v>7000</v>
      </c>
      <c r="L2386" s="3">
        <v>56000</v>
      </c>
      <c r="M2386" s="3">
        <v>12880</v>
      </c>
      <c r="N2386" s="4">
        <v>0.18699186991869918</v>
      </c>
    </row>
    <row r="2387" spans="1:14" x14ac:dyDescent="0.3">
      <c r="A2387" s="6">
        <v>45828</v>
      </c>
      <c r="B2387" s="1" t="s">
        <v>2571</v>
      </c>
      <c r="C2387" s="1" t="s">
        <v>26</v>
      </c>
      <c r="D2387" t="s">
        <v>32</v>
      </c>
      <c r="E2387" t="s">
        <v>131</v>
      </c>
      <c r="F2387" t="s">
        <v>14</v>
      </c>
      <c r="G2387" t="s">
        <v>15</v>
      </c>
      <c r="H2387" s="3">
        <v>1</v>
      </c>
      <c r="I2387" s="3">
        <v>64350</v>
      </c>
      <c r="J2387" s="3">
        <v>64350</v>
      </c>
      <c r="K2387" s="3">
        <v>45000</v>
      </c>
      <c r="L2387" s="3">
        <v>45000</v>
      </c>
      <c r="M2387" s="3">
        <v>19350</v>
      </c>
      <c r="N2387" s="4">
        <v>0.30069930069930068</v>
      </c>
    </row>
    <row r="2388" spans="1:14" x14ac:dyDescent="0.3">
      <c r="A2388" s="6">
        <v>45828</v>
      </c>
      <c r="B2388" s="1" t="s">
        <v>2572</v>
      </c>
      <c r="C2388" s="1" t="s">
        <v>29</v>
      </c>
      <c r="D2388" t="s">
        <v>33</v>
      </c>
      <c r="E2388" t="s">
        <v>186</v>
      </c>
      <c r="F2388" t="s">
        <v>21</v>
      </c>
      <c r="G2388" t="s">
        <v>20</v>
      </c>
      <c r="H2388" s="3">
        <v>6</v>
      </c>
      <c r="I2388" s="3">
        <v>762</v>
      </c>
      <c r="J2388" s="3">
        <v>4572</v>
      </c>
      <c r="K2388" s="3">
        <v>600</v>
      </c>
      <c r="L2388" s="3">
        <v>3600</v>
      </c>
      <c r="M2388" s="3">
        <v>972</v>
      </c>
      <c r="N2388" s="4">
        <v>0.2125984251968504</v>
      </c>
    </row>
    <row r="2389" spans="1:14" x14ac:dyDescent="0.3">
      <c r="A2389" s="6">
        <v>45828</v>
      </c>
      <c r="B2389" s="1" t="s">
        <v>2573</v>
      </c>
      <c r="C2389" s="1" t="s">
        <v>29</v>
      </c>
      <c r="D2389" t="s">
        <v>32</v>
      </c>
      <c r="E2389" t="s">
        <v>43</v>
      </c>
      <c r="F2389" t="s">
        <v>14</v>
      </c>
      <c r="G2389" t="s">
        <v>15</v>
      </c>
      <c r="H2389" s="3">
        <v>2</v>
      </c>
      <c r="I2389" s="3">
        <v>64350</v>
      </c>
      <c r="J2389" s="3">
        <v>128700</v>
      </c>
      <c r="K2389" s="3">
        <v>45000</v>
      </c>
      <c r="L2389" s="3">
        <v>90000</v>
      </c>
      <c r="M2389" s="3">
        <v>38700</v>
      </c>
      <c r="N2389" s="4">
        <v>0.30069930069930068</v>
      </c>
    </row>
    <row r="2390" spans="1:14" x14ac:dyDescent="0.3">
      <c r="A2390" s="6">
        <v>45828</v>
      </c>
      <c r="B2390" s="1" t="s">
        <v>2574</v>
      </c>
      <c r="C2390" s="1" t="s">
        <v>27</v>
      </c>
      <c r="D2390" t="s">
        <v>31</v>
      </c>
      <c r="E2390" t="s">
        <v>442</v>
      </c>
      <c r="F2390" t="s">
        <v>19</v>
      </c>
      <c r="G2390" t="s">
        <v>20</v>
      </c>
      <c r="H2390" s="3">
        <v>1</v>
      </c>
      <c r="I2390" s="3">
        <v>1134</v>
      </c>
      <c r="J2390" s="3">
        <v>1134</v>
      </c>
      <c r="K2390" s="3">
        <v>900</v>
      </c>
      <c r="L2390" s="3">
        <v>900</v>
      </c>
      <c r="M2390" s="3">
        <v>234</v>
      </c>
      <c r="N2390" s="4">
        <v>0.20634920634920634</v>
      </c>
    </row>
    <row r="2391" spans="1:14" x14ac:dyDescent="0.3">
      <c r="A2391" s="6">
        <v>45828</v>
      </c>
      <c r="B2391" s="1" t="s">
        <v>2575</v>
      </c>
      <c r="C2391" s="1" t="s">
        <v>26</v>
      </c>
      <c r="D2391" t="s">
        <v>31</v>
      </c>
      <c r="E2391" t="s">
        <v>102</v>
      </c>
      <c r="F2391" t="s">
        <v>23</v>
      </c>
      <c r="G2391" t="s">
        <v>25</v>
      </c>
      <c r="H2391" s="3">
        <v>3</v>
      </c>
      <c r="I2391" s="3">
        <v>4160</v>
      </c>
      <c r="J2391" s="3">
        <v>12480</v>
      </c>
      <c r="K2391" s="3">
        <v>3200</v>
      </c>
      <c r="L2391" s="3">
        <v>9600</v>
      </c>
      <c r="M2391" s="3">
        <v>2880</v>
      </c>
      <c r="N2391" s="4">
        <v>0.23076923076923078</v>
      </c>
    </row>
    <row r="2392" spans="1:14" x14ac:dyDescent="0.3">
      <c r="A2392" s="6">
        <v>45828</v>
      </c>
      <c r="B2392" s="1" t="s">
        <v>2576</v>
      </c>
      <c r="C2392" s="1" t="s">
        <v>28</v>
      </c>
      <c r="D2392" t="s">
        <v>30</v>
      </c>
      <c r="E2392" t="s">
        <v>400</v>
      </c>
      <c r="F2392" t="s">
        <v>19</v>
      </c>
      <c r="G2392" t="s">
        <v>20</v>
      </c>
      <c r="H2392" s="3">
        <v>5</v>
      </c>
      <c r="I2392" s="3">
        <v>1188</v>
      </c>
      <c r="J2392" s="3">
        <v>5940</v>
      </c>
      <c r="K2392" s="3">
        <v>900</v>
      </c>
      <c r="L2392" s="3">
        <v>4500</v>
      </c>
      <c r="M2392" s="3">
        <v>1440</v>
      </c>
      <c r="N2392" s="4">
        <v>0.24242424242424243</v>
      </c>
    </row>
    <row r="2393" spans="1:14" x14ac:dyDescent="0.3">
      <c r="A2393" s="6">
        <v>45828</v>
      </c>
      <c r="B2393" s="1" t="s">
        <v>2577</v>
      </c>
      <c r="C2393" s="1" t="s">
        <v>27</v>
      </c>
      <c r="D2393" t="s">
        <v>30</v>
      </c>
      <c r="E2393" t="s">
        <v>751</v>
      </c>
      <c r="F2393" t="s">
        <v>17</v>
      </c>
      <c r="G2393" t="s">
        <v>18</v>
      </c>
      <c r="H2393" s="3">
        <v>2</v>
      </c>
      <c r="I2393" s="3">
        <v>10625</v>
      </c>
      <c r="J2393" s="3">
        <v>21250</v>
      </c>
      <c r="K2393" s="3">
        <v>8500</v>
      </c>
      <c r="L2393" s="3">
        <v>17000</v>
      </c>
      <c r="M2393" s="3">
        <v>4250</v>
      </c>
      <c r="N2393" s="4">
        <v>0.2</v>
      </c>
    </row>
    <row r="2394" spans="1:14" x14ac:dyDescent="0.3">
      <c r="A2394" s="6">
        <v>45829</v>
      </c>
      <c r="B2394" s="1" t="s">
        <v>2578</v>
      </c>
      <c r="C2394" s="1" t="s">
        <v>26</v>
      </c>
      <c r="D2394" t="s">
        <v>31</v>
      </c>
      <c r="E2394" t="s">
        <v>220</v>
      </c>
      <c r="F2394" t="s">
        <v>17</v>
      </c>
      <c r="G2394" t="s">
        <v>18</v>
      </c>
      <c r="H2394" s="3">
        <v>6</v>
      </c>
      <c r="I2394" s="3">
        <v>10540</v>
      </c>
      <c r="J2394" s="3">
        <v>63240</v>
      </c>
      <c r="K2394" s="3">
        <v>8500</v>
      </c>
      <c r="L2394" s="3">
        <v>51000</v>
      </c>
      <c r="M2394" s="3">
        <v>12240</v>
      </c>
      <c r="N2394" s="4">
        <v>0.19354838709677419</v>
      </c>
    </row>
    <row r="2395" spans="1:14" x14ac:dyDescent="0.3">
      <c r="A2395" s="6">
        <v>45829</v>
      </c>
      <c r="B2395" s="1" t="s">
        <v>2579</v>
      </c>
      <c r="C2395" s="1" t="s">
        <v>29</v>
      </c>
      <c r="D2395" t="s">
        <v>35</v>
      </c>
      <c r="E2395" t="s">
        <v>220</v>
      </c>
      <c r="F2395" t="s">
        <v>22</v>
      </c>
      <c r="G2395" t="s">
        <v>18</v>
      </c>
      <c r="H2395" s="3">
        <v>1</v>
      </c>
      <c r="I2395" s="3">
        <v>9870</v>
      </c>
      <c r="J2395" s="3">
        <v>9870</v>
      </c>
      <c r="K2395" s="3">
        <v>7000</v>
      </c>
      <c r="L2395" s="3">
        <v>7000</v>
      </c>
      <c r="M2395" s="3">
        <v>2870</v>
      </c>
      <c r="N2395" s="4">
        <v>0.29078014184397161</v>
      </c>
    </row>
    <row r="2396" spans="1:14" x14ac:dyDescent="0.3">
      <c r="A2396" s="6">
        <v>45829</v>
      </c>
      <c r="B2396" s="1" t="s">
        <v>2580</v>
      </c>
      <c r="C2396" s="1" t="s">
        <v>29</v>
      </c>
      <c r="D2396" t="s">
        <v>31</v>
      </c>
      <c r="E2396" t="s">
        <v>226</v>
      </c>
      <c r="F2396" t="s">
        <v>19</v>
      </c>
      <c r="G2396" t="s">
        <v>20</v>
      </c>
      <c r="H2396" s="3">
        <v>10</v>
      </c>
      <c r="I2396" s="3">
        <v>1305</v>
      </c>
      <c r="J2396" s="3">
        <v>13050</v>
      </c>
      <c r="K2396" s="3">
        <v>900</v>
      </c>
      <c r="L2396" s="3">
        <v>9000</v>
      </c>
      <c r="M2396" s="3">
        <v>4050</v>
      </c>
      <c r="N2396" s="4">
        <v>0.31034482758620691</v>
      </c>
    </row>
    <row r="2397" spans="1:14" x14ac:dyDescent="0.3">
      <c r="A2397" s="6">
        <v>45829</v>
      </c>
      <c r="B2397" s="1" t="s">
        <v>2581</v>
      </c>
      <c r="C2397" s="1" t="s">
        <v>27</v>
      </c>
      <c r="D2397" t="s">
        <v>33</v>
      </c>
      <c r="E2397" t="s">
        <v>124</v>
      </c>
      <c r="F2397" t="s">
        <v>23</v>
      </c>
      <c r="G2397" t="s">
        <v>25</v>
      </c>
      <c r="H2397" s="3">
        <v>6</v>
      </c>
      <c r="I2397" s="3">
        <v>4224</v>
      </c>
      <c r="J2397" s="3">
        <v>25344</v>
      </c>
      <c r="K2397" s="3">
        <v>3200</v>
      </c>
      <c r="L2397" s="3">
        <v>19200</v>
      </c>
      <c r="M2397" s="3">
        <v>6144</v>
      </c>
      <c r="N2397" s="4">
        <v>0.24242424242424243</v>
      </c>
    </row>
    <row r="2398" spans="1:14" x14ac:dyDescent="0.3">
      <c r="A2398" s="6">
        <v>45829</v>
      </c>
      <c r="B2398" s="1" t="s">
        <v>2582</v>
      </c>
      <c r="C2398" s="1" t="s">
        <v>26</v>
      </c>
      <c r="D2398" t="s">
        <v>31</v>
      </c>
      <c r="E2398" t="s">
        <v>359</v>
      </c>
      <c r="F2398" t="s">
        <v>24</v>
      </c>
      <c r="G2398" t="s">
        <v>25</v>
      </c>
      <c r="H2398" s="3">
        <v>7</v>
      </c>
      <c r="I2398" s="3">
        <v>3575</v>
      </c>
      <c r="J2398" s="3">
        <v>25025</v>
      </c>
      <c r="K2398" s="3">
        <v>2500</v>
      </c>
      <c r="L2398" s="3">
        <v>17500</v>
      </c>
      <c r="M2398" s="3">
        <v>7525</v>
      </c>
      <c r="N2398" s="4">
        <v>0.30069930069930068</v>
      </c>
    </row>
    <row r="2399" spans="1:14" x14ac:dyDescent="0.3">
      <c r="A2399" s="6">
        <v>45829</v>
      </c>
      <c r="B2399" s="1" t="s">
        <v>2583</v>
      </c>
      <c r="C2399" s="1" t="s">
        <v>29</v>
      </c>
      <c r="D2399" t="s">
        <v>34</v>
      </c>
      <c r="E2399" t="s">
        <v>576</v>
      </c>
      <c r="F2399" t="s">
        <v>16</v>
      </c>
      <c r="G2399" t="s">
        <v>15</v>
      </c>
      <c r="H2399" s="3">
        <v>3</v>
      </c>
      <c r="I2399" s="3">
        <v>47880</v>
      </c>
      <c r="J2399" s="3">
        <v>143640</v>
      </c>
      <c r="K2399" s="3">
        <v>38000</v>
      </c>
      <c r="L2399" s="3">
        <v>114000</v>
      </c>
      <c r="M2399" s="3">
        <v>29640</v>
      </c>
      <c r="N2399" s="4">
        <v>0.20634920634920634</v>
      </c>
    </row>
    <row r="2400" spans="1:14" x14ac:dyDescent="0.3">
      <c r="A2400" s="6">
        <v>45829</v>
      </c>
      <c r="B2400" s="1" t="s">
        <v>2584</v>
      </c>
      <c r="C2400" s="1" t="s">
        <v>27</v>
      </c>
      <c r="D2400" t="s">
        <v>35</v>
      </c>
      <c r="E2400" t="s">
        <v>390</v>
      </c>
      <c r="F2400" t="s">
        <v>21</v>
      </c>
      <c r="G2400" t="s">
        <v>20</v>
      </c>
      <c r="H2400" s="3">
        <v>3</v>
      </c>
      <c r="I2400" s="3">
        <v>768</v>
      </c>
      <c r="J2400" s="3">
        <v>2304</v>
      </c>
      <c r="K2400" s="3">
        <v>600</v>
      </c>
      <c r="L2400" s="3">
        <v>1800</v>
      </c>
      <c r="M2400" s="3">
        <v>504</v>
      </c>
      <c r="N2400" s="4">
        <v>0.21875</v>
      </c>
    </row>
    <row r="2401" spans="1:14" x14ac:dyDescent="0.3">
      <c r="A2401" s="6">
        <v>45829</v>
      </c>
      <c r="B2401" s="1" t="s">
        <v>2585</v>
      </c>
      <c r="C2401" s="1" t="s">
        <v>27</v>
      </c>
      <c r="D2401" t="s">
        <v>35</v>
      </c>
      <c r="E2401" t="s">
        <v>139</v>
      </c>
      <c r="F2401" t="s">
        <v>23</v>
      </c>
      <c r="G2401" t="s">
        <v>25</v>
      </c>
      <c r="H2401" s="3">
        <v>9</v>
      </c>
      <c r="I2401" s="3">
        <v>4256</v>
      </c>
      <c r="J2401" s="3">
        <v>38304</v>
      </c>
      <c r="K2401" s="3">
        <v>3200</v>
      </c>
      <c r="L2401" s="3">
        <v>28800</v>
      </c>
      <c r="M2401" s="3">
        <v>9504</v>
      </c>
      <c r="N2401" s="4">
        <v>0.24812030075187969</v>
      </c>
    </row>
    <row r="2402" spans="1:14" x14ac:dyDescent="0.3">
      <c r="A2402" s="6">
        <v>45829</v>
      </c>
      <c r="B2402" s="1" t="s">
        <v>2586</v>
      </c>
      <c r="C2402" s="1" t="s">
        <v>26</v>
      </c>
      <c r="D2402" t="s">
        <v>33</v>
      </c>
      <c r="E2402" t="s">
        <v>193</v>
      </c>
      <c r="F2402" t="s">
        <v>23</v>
      </c>
      <c r="G2402" t="s">
        <v>25</v>
      </c>
      <c r="H2402" s="3">
        <v>9</v>
      </c>
      <c r="I2402" s="3">
        <v>3936</v>
      </c>
      <c r="J2402" s="3">
        <v>35424</v>
      </c>
      <c r="K2402" s="3">
        <v>3200</v>
      </c>
      <c r="L2402" s="3">
        <v>28800</v>
      </c>
      <c r="M2402" s="3">
        <v>6624</v>
      </c>
      <c r="N2402" s="4">
        <v>0.18699186991869918</v>
      </c>
    </row>
    <row r="2403" spans="1:14" x14ac:dyDescent="0.3">
      <c r="A2403" s="6">
        <v>45829</v>
      </c>
      <c r="B2403" s="1" t="s">
        <v>2587</v>
      </c>
      <c r="C2403" s="1" t="s">
        <v>26</v>
      </c>
      <c r="D2403" t="s">
        <v>30</v>
      </c>
      <c r="E2403" t="s">
        <v>145</v>
      </c>
      <c r="F2403" t="s">
        <v>21</v>
      </c>
      <c r="G2403" t="s">
        <v>20</v>
      </c>
      <c r="H2403" s="3">
        <v>6</v>
      </c>
      <c r="I2403" s="3">
        <v>852</v>
      </c>
      <c r="J2403" s="3">
        <v>5112</v>
      </c>
      <c r="K2403" s="3">
        <v>600</v>
      </c>
      <c r="L2403" s="3">
        <v>3600</v>
      </c>
      <c r="M2403" s="3">
        <v>1512</v>
      </c>
      <c r="N2403" s="4">
        <v>0.29577464788732394</v>
      </c>
    </row>
    <row r="2404" spans="1:14" x14ac:dyDescent="0.3">
      <c r="A2404" s="6">
        <v>45829</v>
      </c>
      <c r="B2404" s="1" t="s">
        <v>2588</v>
      </c>
      <c r="C2404" s="1" t="s">
        <v>29</v>
      </c>
      <c r="D2404" t="s">
        <v>31</v>
      </c>
      <c r="E2404" t="s">
        <v>65</v>
      </c>
      <c r="F2404" t="s">
        <v>21</v>
      </c>
      <c r="G2404" t="s">
        <v>20</v>
      </c>
      <c r="H2404" s="3">
        <v>3</v>
      </c>
      <c r="I2404" s="3">
        <v>732</v>
      </c>
      <c r="J2404" s="3">
        <v>2196</v>
      </c>
      <c r="K2404" s="3">
        <v>600</v>
      </c>
      <c r="L2404" s="3">
        <v>1800</v>
      </c>
      <c r="M2404" s="3">
        <v>396</v>
      </c>
      <c r="N2404" s="4">
        <v>0.18032786885245902</v>
      </c>
    </row>
    <row r="2405" spans="1:14" x14ac:dyDescent="0.3">
      <c r="A2405" s="6">
        <v>45829</v>
      </c>
      <c r="B2405" s="1" t="s">
        <v>2589</v>
      </c>
      <c r="C2405" s="1" t="s">
        <v>28</v>
      </c>
      <c r="D2405" t="s">
        <v>35</v>
      </c>
      <c r="E2405" t="s">
        <v>427</v>
      </c>
      <c r="F2405" t="s">
        <v>17</v>
      </c>
      <c r="G2405" t="s">
        <v>18</v>
      </c>
      <c r="H2405" s="3">
        <v>1</v>
      </c>
      <c r="I2405" s="3">
        <v>11475</v>
      </c>
      <c r="J2405" s="3">
        <v>11475</v>
      </c>
      <c r="K2405" s="3">
        <v>8500</v>
      </c>
      <c r="L2405" s="3">
        <v>8500</v>
      </c>
      <c r="M2405" s="3">
        <v>2975</v>
      </c>
      <c r="N2405" s="4">
        <v>0.25925925925925924</v>
      </c>
    </row>
    <row r="2406" spans="1:14" x14ac:dyDescent="0.3">
      <c r="A2406" s="6">
        <v>45829</v>
      </c>
      <c r="B2406" s="1" t="s">
        <v>2590</v>
      </c>
      <c r="C2406" s="1" t="s">
        <v>29</v>
      </c>
      <c r="D2406" t="s">
        <v>35</v>
      </c>
      <c r="E2406" t="s">
        <v>175</v>
      </c>
      <c r="F2406" t="s">
        <v>16</v>
      </c>
      <c r="G2406" t="s">
        <v>15</v>
      </c>
      <c r="H2406" s="3">
        <v>2</v>
      </c>
      <c r="I2406" s="3">
        <v>53960</v>
      </c>
      <c r="J2406" s="3">
        <v>107920</v>
      </c>
      <c r="K2406" s="3">
        <v>38000</v>
      </c>
      <c r="L2406" s="3">
        <v>76000</v>
      </c>
      <c r="M2406" s="3">
        <v>31920</v>
      </c>
      <c r="N2406" s="4">
        <v>0.29577464788732394</v>
      </c>
    </row>
    <row r="2407" spans="1:14" x14ac:dyDescent="0.3">
      <c r="A2407" s="6">
        <v>45829</v>
      </c>
      <c r="B2407" s="1" t="s">
        <v>2591</v>
      </c>
      <c r="C2407" s="1" t="s">
        <v>26</v>
      </c>
      <c r="D2407" t="s">
        <v>34</v>
      </c>
      <c r="E2407" t="s">
        <v>184</v>
      </c>
      <c r="F2407" t="s">
        <v>24</v>
      </c>
      <c r="G2407" t="s">
        <v>25</v>
      </c>
      <c r="H2407" s="3">
        <v>7</v>
      </c>
      <c r="I2407" s="3">
        <v>3250</v>
      </c>
      <c r="J2407" s="3">
        <v>22750</v>
      </c>
      <c r="K2407" s="3">
        <v>2500</v>
      </c>
      <c r="L2407" s="3">
        <v>17500</v>
      </c>
      <c r="M2407" s="3">
        <v>5250</v>
      </c>
      <c r="N2407" s="4">
        <v>0.23076923076923078</v>
      </c>
    </row>
    <row r="2408" spans="1:14" x14ac:dyDescent="0.3">
      <c r="A2408" s="6">
        <v>45830</v>
      </c>
      <c r="B2408" s="1" t="s">
        <v>2592</v>
      </c>
      <c r="C2408" s="1" t="s">
        <v>27</v>
      </c>
      <c r="D2408" t="s">
        <v>31</v>
      </c>
      <c r="E2408" t="s">
        <v>415</v>
      </c>
      <c r="F2408" t="s">
        <v>21</v>
      </c>
      <c r="G2408" t="s">
        <v>20</v>
      </c>
      <c r="H2408" s="3">
        <v>8</v>
      </c>
      <c r="I2408" s="3">
        <v>738</v>
      </c>
      <c r="J2408" s="3">
        <v>5904</v>
      </c>
      <c r="K2408" s="3">
        <v>600</v>
      </c>
      <c r="L2408" s="3">
        <v>4800</v>
      </c>
      <c r="M2408" s="3">
        <v>1104</v>
      </c>
      <c r="N2408" s="4">
        <v>0.18699186991869918</v>
      </c>
    </row>
    <row r="2409" spans="1:14" x14ac:dyDescent="0.3">
      <c r="A2409" s="6">
        <v>45830</v>
      </c>
      <c r="B2409" s="1" t="s">
        <v>2593</v>
      </c>
      <c r="C2409" s="1" t="s">
        <v>28</v>
      </c>
      <c r="D2409" t="s">
        <v>35</v>
      </c>
      <c r="E2409" t="s">
        <v>243</v>
      </c>
      <c r="F2409" t="s">
        <v>23</v>
      </c>
      <c r="G2409" t="s">
        <v>25</v>
      </c>
      <c r="H2409" s="3">
        <v>8</v>
      </c>
      <c r="I2409" s="3">
        <v>3872</v>
      </c>
      <c r="J2409" s="3">
        <v>30976</v>
      </c>
      <c r="K2409" s="3">
        <v>3200</v>
      </c>
      <c r="L2409" s="3">
        <v>25600</v>
      </c>
      <c r="M2409" s="3">
        <v>5376</v>
      </c>
      <c r="N2409" s="4">
        <v>0.17355371900826447</v>
      </c>
    </row>
    <row r="2410" spans="1:14" x14ac:dyDescent="0.3">
      <c r="A2410" s="6">
        <v>45830</v>
      </c>
      <c r="B2410" s="1" t="s">
        <v>2594</v>
      </c>
      <c r="C2410" s="1" t="s">
        <v>27</v>
      </c>
      <c r="D2410" t="s">
        <v>35</v>
      </c>
      <c r="E2410" t="s">
        <v>231</v>
      </c>
      <c r="F2410" t="s">
        <v>21</v>
      </c>
      <c r="G2410" t="s">
        <v>20</v>
      </c>
      <c r="H2410" s="3">
        <v>9</v>
      </c>
      <c r="I2410" s="3">
        <v>815.99999999999989</v>
      </c>
      <c r="J2410" s="3">
        <v>7343.9999999999991</v>
      </c>
      <c r="K2410" s="3">
        <v>600</v>
      </c>
      <c r="L2410" s="3">
        <v>5400</v>
      </c>
      <c r="M2410" s="3">
        <v>1943.9999999999991</v>
      </c>
      <c r="N2410" s="4">
        <v>0.26470588235294107</v>
      </c>
    </row>
    <row r="2411" spans="1:14" x14ac:dyDescent="0.3">
      <c r="A2411" s="6">
        <v>45830</v>
      </c>
      <c r="B2411" s="1" t="s">
        <v>2595</v>
      </c>
      <c r="C2411" s="1" t="s">
        <v>28</v>
      </c>
      <c r="D2411" t="s">
        <v>35</v>
      </c>
      <c r="E2411" t="s">
        <v>239</v>
      </c>
      <c r="F2411" t="s">
        <v>23</v>
      </c>
      <c r="G2411" t="s">
        <v>25</v>
      </c>
      <c r="H2411" s="3">
        <v>3</v>
      </c>
      <c r="I2411" s="3">
        <v>3840</v>
      </c>
      <c r="J2411" s="3">
        <v>11520</v>
      </c>
      <c r="K2411" s="3">
        <v>3200</v>
      </c>
      <c r="L2411" s="3">
        <v>9600</v>
      </c>
      <c r="M2411" s="3">
        <v>1920</v>
      </c>
      <c r="N2411" s="4">
        <v>0.16666666666666666</v>
      </c>
    </row>
    <row r="2412" spans="1:14" x14ac:dyDescent="0.3">
      <c r="A2412" s="6">
        <v>45830</v>
      </c>
      <c r="B2412" s="1" t="s">
        <v>2596</v>
      </c>
      <c r="C2412" s="1" t="s">
        <v>26</v>
      </c>
      <c r="D2412" t="s">
        <v>32</v>
      </c>
      <c r="E2412" t="s">
        <v>120</v>
      </c>
      <c r="F2412" t="s">
        <v>23</v>
      </c>
      <c r="G2412" t="s">
        <v>25</v>
      </c>
      <c r="H2412" s="3">
        <v>5</v>
      </c>
      <c r="I2412" s="3">
        <v>4000</v>
      </c>
      <c r="J2412" s="3">
        <v>20000</v>
      </c>
      <c r="K2412" s="3">
        <v>3200</v>
      </c>
      <c r="L2412" s="3">
        <v>16000</v>
      </c>
      <c r="M2412" s="3">
        <v>4000</v>
      </c>
      <c r="N2412" s="4">
        <v>0.2</v>
      </c>
    </row>
    <row r="2413" spans="1:14" x14ac:dyDescent="0.3">
      <c r="A2413" s="6">
        <v>45830</v>
      </c>
      <c r="B2413" s="1" t="s">
        <v>2597</v>
      </c>
      <c r="C2413" s="1" t="s">
        <v>28</v>
      </c>
      <c r="D2413" t="s">
        <v>30</v>
      </c>
      <c r="E2413" t="s">
        <v>81</v>
      </c>
      <c r="F2413" t="s">
        <v>17</v>
      </c>
      <c r="G2413" t="s">
        <v>18</v>
      </c>
      <c r="H2413" s="3">
        <v>10</v>
      </c>
      <c r="I2413" s="3">
        <v>12155</v>
      </c>
      <c r="J2413" s="3">
        <v>121550</v>
      </c>
      <c r="K2413" s="3">
        <v>8500</v>
      </c>
      <c r="L2413" s="3">
        <v>85000</v>
      </c>
      <c r="M2413" s="3">
        <v>36550</v>
      </c>
      <c r="N2413" s="4">
        <v>0.30069930069930068</v>
      </c>
    </row>
    <row r="2414" spans="1:14" x14ac:dyDescent="0.3">
      <c r="A2414" s="6">
        <v>45830</v>
      </c>
      <c r="B2414" s="1" t="s">
        <v>2598</v>
      </c>
      <c r="C2414" s="1" t="s">
        <v>29</v>
      </c>
      <c r="D2414" t="s">
        <v>35</v>
      </c>
      <c r="E2414" t="s">
        <v>39</v>
      </c>
      <c r="F2414" t="s">
        <v>22</v>
      </c>
      <c r="G2414" t="s">
        <v>18</v>
      </c>
      <c r="H2414" s="3">
        <v>4</v>
      </c>
      <c r="I2414" s="3">
        <v>9800</v>
      </c>
      <c r="J2414" s="3">
        <v>39200</v>
      </c>
      <c r="K2414" s="3">
        <v>7000</v>
      </c>
      <c r="L2414" s="3">
        <v>28000</v>
      </c>
      <c r="M2414" s="3">
        <v>11200</v>
      </c>
      <c r="N2414" s="4">
        <v>0.2857142857142857</v>
      </c>
    </row>
    <row r="2415" spans="1:14" x14ac:dyDescent="0.3">
      <c r="A2415" s="6">
        <v>45830</v>
      </c>
      <c r="B2415" s="1" t="s">
        <v>2599</v>
      </c>
      <c r="C2415" s="1" t="s">
        <v>26</v>
      </c>
      <c r="D2415" t="s">
        <v>33</v>
      </c>
      <c r="E2415" t="s">
        <v>112</v>
      </c>
      <c r="F2415" t="s">
        <v>23</v>
      </c>
      <c r="G2415" t="s">
        <v>25</v>
      </c>
      <c r="H2415" s="3">
        <v>7</v>
      </c>
      <c r="I2415" s="3">
        <v>4576</v>
      </c>
      <c r="J2415" s="3">
        <v>32032</v>
      </c>
      <c r="K2415" s="3">
        <v>3200</v>
      </c>
      <c r="L2415" s="3">
        <v>22400</v>
      </c>
      <c r="M2415" s="3">
        <v>9632</v>
      </c>
      <c r="N2415" s="4">
        <v>0.30069930069930068</v>
      </c>
    </row>
    <row r="2416" spans="1:14" x14ac:dyDescent="0.3">
      <c r="A2416" s="6">
        <v>45830</v>
      </c>
      <c r="B2416" s="1" t="s">
        <v>2600</v>
      </c>
      <c r="C2416" s="1" t="s">
        <v>27</v>
      </c>
      <c r="D2416" t="s">
        <v>34</v>
      </c>
      <c r="E2416" t="s">
        <v>122</v>
      </c>
      <c r="F2416" t="s">
        <v>23</v>
      </c>
      <c r="G2416" t="s">
        <v>25</v>
      </c>
      <c r="H2416" s="3">
        <v>9</v>
      </c>
      <c r="I2416" s="3">
        <v>4320</v>
      </c>
      <c r="J2416" s="3">
        <v>38880</v>
      </c>
      <c r="K2416" s="3">
        <v>3200</v>
      </c>
      <c r="L2416" s="3">
        <v>28800</v>
      </c>
      <c r="M2416" s="3">
        <v>10080</v>
      </c>
      <c r="N2416" s="4">
        <v>0.25925925925925924</v>
      </c>
    </row>
    <row r="2417" spans="1:14" x14ac:dyDescent="0.3">
      <c r="A2417" s="6">
        <v>45830</v>
      </c>
      <c r="B2417" s="1" t="s">
        <v>2601</v>
      </c>
      <c r="C2417" s="1" t="s">
        <v>26</v>
      </c>
      <c r="D2417" t="s">
        <v>35</v>
      </c>
      <c r="E2417" t="s">
        <v>411</v>
      </c>
      <c r="F2417" t="s">
        <v>24</v>
      </c>
      <c r="G2417" t="s">
        <v>25</v>
      </c>
      <c r="H2417" s="3">
        <v>2</v>
      </c>
      <c r="I2417" s="3">
        <v>3325</v>
      </c>
      <c r="J2417" s="3">
        <v>6650</v>
      </c>
      <c r="K2417" s="3">
        <v>2500</v>
      </c>
      <c r="L2417" s="3">
        <v>5000</v>
      </c>
      <c r="M2417" s="3">
        <v>1650</v>
      </c>
      <c r="N2417" s="4">
        <v>0.24812030075187969</v>
      </c>
    </row>
    <row r="2418" spans="1:14" x14ac:dyDescent="0.3">
      <c r="A2418" s="6">
        <v>45830</v>
      </c>
      <c r="B2418" s="1" t="s">
        <v>2602</v>
      </c>
      <c r="C2418" s="1" t="s">
        <v>29</v>
      </c>
      <c r="D2418" t="s">
        <v>30</v>
      </c>
      <c r="E2418" t="s">
        <v>96</v>
      </c>
      <c r="F2418" t="s">
        <v>22</v>
      </c>
      <c r="G2418" t="s">
        <v>18</v>
      </c>
      <c r="H2418" s="3">
        <v>1</v>
      </c>
      <c r="I2418" s="3">
        <v>8610</v>
      </c>
      <c r="J2418" s="3">
        <v>8610</v>
      </c>
      <c r="K2418" s="3">
        <v>7000</v>
      </c>
      <c r="L2418" s="3">
        <v>7000</v>
      </c>
      <c r="M2418" s="3">
        <v>1610</v>
      </c>
      <c r="N2418" s="4">
        <v>0.18699186991869918</v>
      </c>
    </row>
    <row r="2419" spans="1:14" x14ac:dyDescent="0.3">
      <c r="A2419" s="6">
        <v>45830</v>
      </c>
      <c r="B2419" s="1" t="s">
        <v>2603</v>
      </c>
      <c r="C2419" s="1" t="s">
        <v>29</v>
      </c>
      <c r="D2419" t="s">
        <v>34</v>
      </c>
      <c r="E2419" t="s">
        <v>222</v>
      </c>
      <c r="F2419" t="s">
        <v>19</v>
      </c>
      <c r="G2419" t="s">
        <v>20</v>
      </c>
      <c r="H2419" s="3">
        <v>2</v>
      </c>
      <c r="I2419" s="3">
        <v>1170</v>
      </c>
      <c r="J2419" s="3">
        <v>2340</v>
      </c>
      <c r="K2419" s="3">
        <v>900</v>
      </c>
      <c r="L2419" s="3">
        <v>1800</v>
      </c>
      <c r="M2419" s="3">
        <v>540</v>
      </c>
      <c r="N2419" s="4">
        <v>0.23076923076923078</v>
      </c>
    </row>
    <row r="2420" spans="1:14" x14ac:dyDescent="0.3">
      <c r="A2420" s="6">
        <v>45830</v>
      </c>
      <c r="B2420" s="1" t="s">
        <v>2604</v>
      </c>
      <c r="C2420" s="1" t="s">
        <v>27</v>
      </c>
      <c r="D2420" t="s">
        <v>30</v>
      </c>
      <c r="E2420" t="s">
        <v>169</v>
      </c>
      <c r="F2420" t="s">
        <v>21</v>
      </c>
      <c r="G2420" t="s">
        <v>20</v>
      </c>
      <c r="H2420" s="3">
        <v>9</v>
      </c>
      <c r="I2420" s="3">
        <v>744</v>
      </c>
      <c r="J2420" s="3">
        <v>6696</v>
      </c>
      <c r="K2420" s="3">
        <v>600</v>
      </c>
      <c r="L2420" s="3">
        <v>5400</v>
      </c>
      <c r="M2420" s="3">
        <v>1296</v>
      </c>
      <c r="N2420" s="4">
        <v>0.19354838709677419</v>
      </c>
    </row>
    <row r="2421" spans="1:14" x14ac:dyDescent="0.3">
      <c r="A2421" s="6">
        <v>45830</v>
      </c>
      <c r="B2421" s="1" t="s">
        <v>2605</v>
      </c>
      <c r="C2421" s="1" t="s">
        <v>26</v>
      </c>
      <c r="D2421" t="s">
        <v>31</v>
      </c>
      <c r="E2421" t="s">
        <v>369</v>
      </c>
      <c r="F2421" t="s">
        <v>24</v>
      </c>
      <c r="G2421" t="s">
        <v>25</v>
      </c>
      <c r="H2421" s="3">
        <v>10</v>
      </c>
      <c r="I2421" s="3">
        <v>3050</v>
      </c>
      <c r="J2421" s="3">
        <v>30500</v>
      </c>
      <c r="K2421" s="3">
        <v>2500</v>
      </c>
      <c r="L2421" s="3">
        <v>25000</v>
      </c>
      <c r="M2421" s="3">
        <v>5500</v>
      </c>
      <c r="N2421" s="4">
        <v>0.18032786885245902</v>
      </c>
    </row>
    <row r="2422" spans="1:14" x14ac:dyDescent="0.3">
      <c r="A2422" s="6">
        <v>45831</v>
      </c>
      <c r="B2422" s="1" t="s">
        <v>2606</v>
      </c>
      <c r="C2422" s="1" t="s">
        <v>29</v>
      </c>
      <c r="D2422" t="s">
        <v>31</v>
      </c>
      <c r="E2422" t="s">
        <v>436</v>
      </c>
      <c r="F2422" t="s">
        <v>21</v>
      </c>
      <c r="G2422" t="s">
        <v>20</v>
      </c>
      <c r="H2422" s="3">
        <v>2</v>
      </c>
      <c r="I2422" s="3">
        <v>858</v>
      </c>
      <c r="J2422" s="3">
        <v>1716</v>
      </c>
      <c r="K2422" s="3">
        <v>600</v>
      </c>
      <c r="L2422" s="3">
        <v>1200</v>
      </c>
      <c r="M2422" s="3">
        <v>516</v>
      </c>
      <c r="N2422" s="4">
        <v>0.30069930069930068</v>
      </c>
    </row>
    <row r="2423" spans="1:14" x14ac:dyDescent="0.3">
      <c r="A2423" s="6">
        <v>45831</v>
      </c>
      <c r="B2423" s="1" t="s">
        <v>2607</v>
      </c>
      <c r="C2423" s="1" t="s">
        <v>29</v>
      </c>
      <c r="D2423" t="s">
        <v>35</v>
      </c>
      <c r="E2423" t="s">
        <v>131</v>
      </c>
      <c r="F2423" t="s">
        <v>24</v>
      </c>
      <c r="G2423" t="s">
        <v>25</v>
      </c>
      <c r="H2423" s="3">
        <v>8</v>
      </c>
      <c r="I2423" s="3">
        <v>3350</v>
      </c>
      <c r="J2423" s="3">
        <v>26800</v>
      </c>
      <c r="K2423" s="3">
        <v>2500</v>
      </c>
      <c r="L2423" s="3">
        <v>20000</v>
      </c>
      <c r="M2423" s="3">
        <v>6800</v>
      </c>
      <c r="N2423" s="4">
        <v>0.2537313432835821</v>
      </c>
    </row>
    <row r="2424" spans="1:14" x14ac:dyDescent="0.3">
      <c r="A2424" s="6">
        <v>45831</v>
      </c>
      <c r="B2424" s="1" t="s">
        <v>2608</v>
      </c>
      <c r="C2424" s="1" t="s">
        <v>28</v>
      </c>
      <c r="D2424" t="s">
        <v>31</v>
      </c>
      <c r="E2424" t="s">
        <v>265</v>
      </c>
      <c r="F2424" t="s">
        <v>16</v>
      </c>
      <c r="G2424" t="s">
        <v>15</v>
      </c>
      <c r="H2424" s="3">
        <v>8</v>
      </c>
      <c r="I2424" s="3">
        <v>52439.999999999993</v>
      </c>
      <c r="J2424" s="3">
        <v>419519.99999999994</v>
      </c>
      <c r="K2424" s="3">
        <v>38000</v>
      </c>
      <c r="L2424" s="3">
        <v>304000</v>
      </c>
      <c r="M2424" s="3">
        <v>115519.99999999994</v>
      </c>
      <c r="N2424" s="4">
        <v>0.2753623188405796</v>
      </c>
    </row>
    <row r="2425" spans="1:14" x14ac:dyDescent="0.3">
      <c r="A2425" s="6">
        <v>45831</v>
      </c>
      <c r="B2425" s="1" t="s">
        <v>2609</v>
      </c>
      <c r="C2425" s="1" t="s">
        <v>28</v>
      </c>
      <c r="D2425" t="s">
        <v>34</v>
      </c>
      <c r="E2425" t="s">
        <v>304</v>
      </c>
      <c r="F2425" t="s">
        <v>23</v>
      </c>
      <c r="G2425" t="s">
        <v>25</v>
      </c>
      <c r="H2425" s="3">
        <v>2</v>
      </c>
      <c r="I2425" s="3">
        <v>3904</v>
      </c>
      <c r="J2425" s="3">
        <v>7808</v>
      </c>
      <c r="K2425" s="3">
        <v>3200</v>
      </c>
      <c r="L2425" s="3">
        <v>6400</v>
      </c>
      <c r="M2425" s="3">
        <v>1408</v>
      </c>
      <c r="N2425" s="4">
        <v>0.18032786885245902</v>
      </c>
    </row>
    <row r="2426" spans="1:14" x14ac:dyDescent="0.3">
      <c r="A2426" s="6">
        <v>45831</v>
      </c>
      <c r="B2426" s="1" t="s">
        <v>2610</v>
      </c>
      <c r="C2426" s="1" t="s">
        <v>29</v>
      </c>
      <c r="D2426" t="s">
        <v>30</v>
      </c>
      <c r="E2426" t="s">
        <v>90</v>
      </c>
      <c r="F2426" t="s">
        <v>23</v>
      </c>
      <c r="G2426" t="s">
        <v>25</v>
      </c>
      <c r="H2426" s="3">
        <v>3</v>
      </c>
      <c r="I2426" s="3">
        <v>4096</v>
      </c>
      <c r="J2426" s="3">
        <v>12288</v>
      </c>
      <c r="K2426" s="3">
        <v>3200</v>
      </c>
      <c r="L2426" s="3">
        <v>9600</v>
      </c>
      <c r="M2426" s="3">
        <v>2688</v>
      </c>
      <c r="N2426" s="4">
        <v>0.21875</v>
      </c>
    </row>
    <row r="2427" spans="1:14" x14ac:dyDescent="0.3">
      <c r="A2427" s="6">
        <v>45831</v>
      </c>
      <c r="B2427" s="1" t="s">
        <v>2611</v>
      </c>
      <c r="C2427" s="1" t="s">
        <v>29</v>
      </c>
      <c r="D2427" t="s">
        <v>30</v>
      </c>
      <c r="E2427" t="s">
        <v>263</v>
      </c>
      <c r="F2427" t="s">
        <v>21</v>
      </c>
      <c r="G2427" t="s">
        <v>20</v>
      </c>
      <c r="H2427" s="3">
        <v>2</v>
      </c>
      <c r="I2427" s="3">
        <v>804</v>
      </c>
      <c r="J2427" s="3">
        <v>1608</v>
      </c>
      <c r="K2427" s="3">
        <v>600</v>
      </c>
      <c r="L2427" s="3">
        <v>1200</v>
      </c>
      <c r="M2427" s="3">
        <v>408</v>
      </c>
      <c r="N2427" s="4">
        <v>0.2537313432835821</v>
      </c>
    </row>
    <row r="2428" spans="1:14" x14ac:dyDescent="0.3">
      <c r="A2428" s="6">
        <v>45831</v>
      </c>
      <c r="B2428" s="1" t="s">
        <v>2612</v>
      </c>
      <c r="C2428" s="1" t="s">
        <v>29</v>
      </c>
      <c r="D2428" t="s">
        <v>32</v>
      </c>
      <c r="E2428" t="s">
        <v>186</v>
      </c>
      <c r="F2428" t="s">
        <v>14</v>
      </c>
      <c r="G2428" t="s">
        <v>15</v>
      </c>
      <c r="H2428" s="3">
        <v>2</v>
      </c>
      <c r="I2428" s="3">
        <v>62999.999999999993</v>
      </c>
      <c r="J2428" s="3">
        <v>125999.99999999999</v>
      </c>
      <c r="K2428" s="3">
        <v>45000</v>
      </c>
      <c r="L2428" s="3">
        <v>90000</v>
      </c>
      <c r="M2428" s="3">
        <v>35999.999999999985</v>
      </c>
      <c r="N2428" s="4">
        <v>0.28571428571428564</v>
      </c>
    </row>
    <row r="2429" spans="1:14" x14ac:dyDescent="0.3">
      <c r="A2429" s="6">
        <v>45831</v>
      </c>
      <c r="B2429" s="1" t="s">
        <v>2613</v>
      </c>
      <c r="C2429" s="1" t="s">
        <v>29</v>
      </c>
      <c r="D2429" t="s">
        <v>30</v>
      </c>
      <c r="E2429" t="s">
        <v>49</v>
      </c>
      <c r="F2429" t="s">
        <v>16</v>
      </c>
      <c r="G2429" t="s">
        <v>15</v>
      </c>
      <c r="H2429" s="3">
        <v>10</v>
      </c>
      <c r="I2429" s="3">
        <v>46740</v>
      </c>
      <c r="J2429" s="3">
        <v>467400</v>
      </c>
      <c r="K2429" s="3">
        <v>38000</v>
      </c>
      <c r="L2429" s="3">
        <v>380000</v>
      </c>
      <c r="M2429" s="3">
        <v>87400</v>
      </c>
      <c r="N2429" s="4">
        <v>0.18699186991869918</v>
      </c>
    </row>
    <row r="2430" spans="1:14" x14ac:dyDescent="0.3">
      <c r="A2430" s="6">
        <v>45831</v>
      </c>
      <c r="B2430" s="1" t="s">
        <v>2614</v>
      </c>
      <c r="C2430" s="1" t="s">
        <v>28</v>
      </c>
      <c r="D2430" t="s">
        <v>33</v>
      </c>
      <c r="E2430" t="s">
        <v>139</v>
      </c>
      <c r="F2430" t="s">
        <v>17</v>
      </c>
      <c r="G2430" t="s">
        <v>18</v>
      </c>
      <c r="H2430" s="3">
        <v>10</v>
      </c>
      <c r="I2430" s="3">
        <v>11559.999999999998</v>
      </c>
      <c r="J2430" s="3">
        <v>115599.99999999999</v>
      </c>
      <c r="K2430" s="3">
        <v>8500</v>
      </c>
      <c r="L2430" s="3">
        <v>85000</v>
      </c>
      <c r="M2430" s="3">
        <v>30599.999999999985</v>
      </c>
      <c r="N2430" s="4">
        <v>0.26470588235294107</v>
      </c>
    </row>
    <row r="2431" spans="1:14" x14ac:dyDescent="0.3">
      <c r="A2431" s="6">
        <v>45831</v>
      </c>
      <c r="B2431" s="1" t="s">
        <v>2615</v>
      </c>
      <c r="C2431" s="1" t="s">
        <v>29</v>
      </c>
      <c r="D2431" t="s">
        <v>35</v>
      </c>
      <c r="E2431" t="s">
        <v>155</v>
      </c>
      <c r="F2431" t="s">
        <v>17</v>
      </c>
      <c r="G2431" t="s">
        <v>18</v>
      </c>
      <c r="H2431" s="3">
        <v>7</v>
      </c>
      <c r="I2431" s="3">
        <v>10710</v>
      </c>
      <c r="J2431" s="3">
        <v>74970</v>
      </c>
      <c r="K2431" s="3">
        <v>8500</v>
      </c>
      <c r="L2431" s="3">
        <v>59500</v>
      </c>
      <c r="M2431" s="3">
        <v>15470</v>
      </c>
      <c r="N2431" s="4">
        <v>0.20634920634920634</v>
      </c>
    </row>
    <row r="2432" spans="1:14" x14ac:dyDescent="0.3">
      <c r="A2432" s="6">
        <v>45831</v>
      </c>
      <c r="B2432" s="1" t="s">
        <v>2616</v>
      </c>
      <c r="C2432" s="1" t="s">
        <v>28</v>
      </c>
      <c r="D2432" t="s">
        <v>33</v>
      </c>
      <c r="E2432" t="s">
        <v>196</v>
      </c>
      <c r="F2432" t="s">
        <v>17</v>
      </c>
      <c r="G2432" t="s">
        <v>18</v>
      </c>
      <c r="H2432" s="3">
        <v>2</v>
      </c>
      <c r="I2432" s="3">
        <v>11985</v>
      </c>
      <c r="J2432" s="3">
        <v>23970</v>
      </c>
      <c r="K2432" s="3">
        <v>8500</v>
      </c>
      <c r="L2432" s="3">
        <v>17000</v>
      </c>
      <c r="M2432" s="3">
        <v>6970</v>
      </c>
      <c r="N2432" s="4">
        <v>0.29078014184397161</v>
      </c>
    </row>
    <row r="2433" spans="1:14" x14ac:dyDescent="0.3">
      <c r="A2433" s="6">
        <v>45831</v>
      </c>
      <c r="B2433" s="1" t="s">
        <v>2617</v>
      </c>
      <c r="C2433" s="1" t="s">
        <v>26</v>
      </c>
      <c r="D2433" t="s">
        <v>34</v>
      </c>
      <c r="E2433" t="s">
        <v>226</v>
      </c>
      <c r="F2433" t="s">
        <v>17</v>
      </c>
      <c r="G2433" t="s">
        <v>18</v>
      </c>
      <c r="H2433" s="3">
        <v>8</v>
      </c>
      <c r="I2433" s="3">
        <v>11985</v>
      </c>
      <c r="J2433" s="3">
        <v>95880</v>
      </c>
      <c r="K2433" s="3">
        <v>8500</v>
      </c>
      <c r="L2433" s="3">
        <v>68000</v>
      </c>
      <c r="M2433" s="3">
        <v>27880</v>
      </c>
      <c r="N2433" s="4">
        <v>0.29078014184397161</v>
      </c>
    </row>
    <row r="2434" spans="1:14" x14ac:dyDescent="0.3">
      <c r="A2434" s="6">
        <v>45831</v>
      </c>
      <c r="B2434" s="1" t="s">
        <v>2618</v>
      </c>
      <c r="C2434" s="1" t="s">
        <v>29</v>
      </c>
      <c r="D2434" t="s">
        <v>31</v>
      </c>
      <c r="E2434" t="s">
        <v>447</v>
      </c>
      <c r="F2434" t="s">
        <v>24</v>
      </c>
      <c r="G2434" t="s">
        <v>25</v>
      </c>
      <c r="H2434" s="3">
        <v>4</v>
      </c>
      <c r="I2434" s="3">
        <v>3325</v>
      </c>
      <c r="J2434" s="3">
        <v>13300</v>
      </c>
      <c r="K2434" s="3">
        <v>2500</v>
      </c>
      <c r="L2434" s="3">
        <v>10000</v>
      </c>
      <c r="M2434" s="3">
        <v>3300</v>
      </c>
      <c r="N2434" s="4">
        <v>0.24812030075187969</v>
      </c>
    </row>
    <row r="2435" spans="1:14" x14ac:dyDescent="0.3">
      <c r="A2435" s="6">
        <v>45831</v>
      </c>
      <c r="B2435" s="1" t="s">
        <v>2619</v>
      </c>
      <c r="C2435" s="1" t="s">
        <v>28</v>
      </c>
      <c r="D2435" t="s">
        <v>33</v>
      </c>
      <c r="E2435" t="s">
        <v>427</v>
      </c>
      <c r="F2435" t="s">
        <v>16</v>
      </c>
      <c r="G2435" t="s">
        <v>15</v>
      </c>
      <c r="H2435" s="3">
        <v>1</v>
      </c>
      <c r="I2435" s="3">
        <v>49780</v>
      </c>
      <c r="J2435" s="3">
        <v>49780</v>
      </c>
      <c r="K2435" s="3">
        <v>38000</v>
      </c>
      <c r="L2435" s="3">
        <v>38000</v>
      </c>
      <c r="M2435" s="3">
        <v>11780</v>
      </c>
      <c r="N2435" s="4">
        <v>0.23664122137404581</v>
      </c>
    </row>
    <row r="2436" spans="1:14" x14ac:dyDescent="0.3">
      <c r="A2436" s="6">
        <v>45832</v>
      </c>
      <c r="B2436" s="1" t="s">
        <v>2620</v>
      </c>
      <c r="C2436" s="1" t="s">
        <v>28</v>
      </c>
      <c r="D2436" t="s">
        <v>35</v>
      </c>
      <c r="E2436" t="s">
        <v>184</v>
      </c>
      <c r="F2436" t="s">
        <v>24</v>
      </c>
      <c r="G2436" t="s">
        <v>25</v>
      </c>
      <c r="H2436" s="3">
        <v>5</v>
      </c>
      <c r="I2436" s="3">
        <v>3449.9999999999995</v>
      </c>
      <c r="J2436" s="3">
        <v>17249.999999999996</v>
      </c>
      <c r="K2436" s="3">
        <v>2500</v>
      </c>
      <c r="L2436" s="3">
        <v>12500</v>
      </c>
      <c r="M2436" s="3">
        <v>4749.9999999999964</v>
      </c>
      <c r="N2436" s="4">
        <v>0.27536231884057955</v>
      </c>
    </row>
    <row r="2437" spans="1:14" x14ac:dyDescent="0.3">
      <c r="A2437" s="6">
        <v>45832</v>
      </c>
      <c r="B2437" s="1" t="s">
        <v>2621</v>
      </c>
      <c r="C2437" s="1" t="s">
        <v>27</v>
      </c>
      <c r="D2437" t="s">
        <v>33</v>
      </c>
      <c r="E2437" t="s">
        <v>198</v>
      </c>
      <c r="F2437" t="s">
        <v>14</v>
      </c>
      <c r="G2437" t="s">
        <v>15</v>
      </c>
      <c r="H2437" s="3">
        <v>6</v>
      </c>
      <c r="I2437" s="3">
        <v>57150</v>
      </c>
      <c r="J2437" s="3">
        <v>342900</v>
      </c>
      <c r="K2437" s="3">
        <v>45000</v>
      </c>
      <c r="L2437" s="3">
        <v>270000</v>
      </c>
      <c r="M2437" s="3">
        <v>72900</v>
      </c>
      <c r="N2437" s="4">
        <v>0.2125984251968504</v>
      </c>
    </row>
    <row r="2438" spans="1:14" x14ac:dyDescent="0.3">
      <c r="A2438" s="6">
        <v>45832</v>
      </c>
      <c r="B2438" s="1" t="s">
        <v>2622</v>
      </c>
      <c r="C2438" s="1" t="s">
        <v>26</v>
      </c>
      <c r="D2438" t="s">
        <v>32</v>
      </c>
      <c r="E2438" t="s">
        <v>157</v>
      </c>
      <c r="F2438" t="s">
        <v>19</v>
      </c>
      <c r="G2438" t="s">
        <v>20</v>
      </c>
      <c r="H2438" s="3">
        <v>1</v>
      </c>
      <c r="I2438" s="3">
        <v>1269</v>
      </c>
      <c r="J2438" s="3">
        <v>1269</v>
      </c>
      <c r="K2438" s="3">
        <v>900</v>
      </c>
      <c r="L2438" s="3">
        <v>900</v>
      </c>
      <c r="M2438" s="3">
        <v>369</v>
      </c>
      <c r="N2438" s="4">
        <v>0.29078014184397161</v>
      </c>
    </row>
    <row r="2439" spans="1:14" x14ac:dyDescent="0.3">
      <c r="A2439" s="6">
        <v>45832</v>
      </c>
      <c r="B2439" s="1" t="s">
        <v>2623</v>
      </c>
      <c r="C2439" s="1" t="s">
        <v>29</v>
      </c>
      <c r="D2439" t="s">
        <v>32</v>
      </c>
      <c r="E2439" t="s">
        <v>92</v>
      </c>
      <c r="F2439" t="s">
        <v>23</v>
      </c>
      <c r="G2439" t="s">
        <v>25</v>
      </c>
      <c r="H2439" s="3">
        <v>9</v>
      </c>
      <c r="I2439" s="3">
        <v>4608</v>
      </c>
      <c r="J2439" s="3">
        <v>41472</v>
      </c>
      <c r="K2439" s="3">
        <v>3200</v>
      </c>
      <c r="L2439" s="3">
        <v>28800</v>
      </c>
      <c r="M2439" s="3">
        <v>12672</v>
      </c>
      <c r="N2439" s="4">
        <v>0.30555555555555558</v>
      </c>
    </row>
    <row r="2440" spans="1:14" x14ac:dyDescent="0.3">
      <c r="A2440" s="6">
        <v>45832</v>
      </c>
      <c r="B2440" s="1" t="s">
        <v>2624</v>
      </c>
      <c r="C2440" s="1" t="s">
        <v>28</v>
      </c>
      <c r="D2440" t="s">
        <v>35</v>
      </c>
      <c r="E2440" t="s">
        <v>201</v>
      </c>
      <c r="F2440" t="s">
        <v>14</v>
      </c>
      <c r="G2440" t="s">
        <v>15</v>
      </c>
      <c r="H2440" s="3">
        <v>2</v>
      </c>
      <c r="I2440" s="3">
        <v>54000</v>
      </c>
      <c r="J2440" s="3">
        <v>108000</v>
      </c>
      <c r="K2440" s="3">
        <v>45000</v>
      </c>
      <c r="L2440" s="3">
        <v>90000</v>
      </c>
      <c r="M2440" s="3">
        <v>18000</v>
      </c>
      <c r="N2440" s="4">
        <v>0.16666666666666666</v>
      </c>
    </row>
    <row r="2441" spans="1:14" x14ac:dyDescent="0.3">
      <c r="A2441" s="6">
        <v>45832</v>
      </c>
      <c r="B2441" s="1" t="s">
        <v>2625</v>
      </c>
      <c r="C2441" s="1" t="s">
        <v>27</v>
      </c>
      <c r="D2441" t="s">
        <v>35</v>
      </c>
      <c r="E2441" t="s">
        <v>204</v>
      </c>
      <c r="F2441" t="s">
        <v>19</v>
      </c>
      <c r="G2441" t="s">
        <v>20</v>
      </c>
      <c r="H2441" s="3">
        <v>8</v>
      </c>
      <c r="I2441" s="3">
        <v>1080</v>
      </c>
      <c r="J2441" s="3">
        <v>8640</v>
      </c>
      <c r="K2441" s="3">
        <v>900</v>
      </c>
      <c r="L2441" s="3">
        <v>7200</v>
      </c>
      <c r="M2441" s="3">
        <v>1440</v>
      </c>
      <c r="N2441" s="4">
        <v>0.16666666666666666</v>
      </c>
    </row>
    <row r="2442" spans="1:14" x14ac:dyDescent="0.3">
      <c r="A2442" s="6">
        <v>45832</v>
      </c>
      <c r="B2442" s="1" t="s">
        <v>2626</v>
      </c>
      <c r="C2442" s="1" t="s">
        <v>28</v>
      </c>
      <c r="D2442" t="s">
        <v>32</v>
      </c>
      <c r="E2442" t="s">
        <v>122</v>
      </c>
      <c r="F2442" t="s">
        <v>14</v>
      </c>
      <c r="G2442" t="s">
        <v>15</v>
      </c>
      <c r="H2442" s="3">
        <v>1</v>
      </c>
      <c r="I2442" s="3">
        <v>54450</v>
      </c>
      <c r="J2442" s="3">
        <v>54450</v>
      </c>
      <c r="K2442" s="3">
        <v>45000</v>
      </c>
      <c r="L2442" s="3">
        <v>45000</v>
      </c>
      <c r="M2442" s="3">
        <v>9450</v>
      </c>
      <c r="N2442" s="4">
        <v>0.17355371900826447</v>
      </c>
    </row>
    <row r="2443" spans="1:14" x14ac:dyDescent="0.3">
      <c r="A2443" s="6">
        <v>45832</v>
      </c>
      <c r="B2443" s="1" t="s">
        <v>2627</v>
      </c>
      <c r="C2443" s="1" t="s">
        <v>27</v>
      </c>
      <c r="D2443" t="s">
        <v>35</v>
      </c>
      <c r="E2443" t="s">
        <v>65</v>
      </c>
      <c r="F2443" t="s">
        <v>22</v>
      </c>
      <c r="G2443" t="s">
        <v>18</v>
      </c>
      <c r="H2443" s="3">
        <v>10</v>
      </c>
      <c r="I2443" s="3">
        <v>9380</v>
      </c>
      <c r="J2443" s="3">
        <v>93800</v>
      </c>
      <c r="K2443" s="3">
        <v>7000</v>
      </c>
      <c r="L2443" s="3">
        <v>70000</v>
      </c>
      <c r="M2443" s="3">
        <v>23800</v>
      </c>
      <c r="N2443" s="4">
        <v>0.2537313432835821</v>
      </c>
    </row>
    <row r="2444" spans="1:14" x14ac:dyDescent="0.3">
      <c r="A2444" s="6">
        <v>45832</v>
      </c>
      <c r="B2444" s="1" t="s">
        <v>2628</v>
      </c>
      <c r="C2444" s="1" t="s">
        <v>27</v>
      </c>
      <c r="D2444" t="s">
        <v>33</v>
      </c>
      <c r="E2444" t="s">
        <v>447</v>
      </c>
      <c r="F2444" t="s">
        <v>22</v>
      </c>
      <c r="G2444" t="s">
        <v>18</v>
      </c>
      <c r="H2444" s="3">
        <v>6</v>
      </c>
      <c r="I2444" s="3">
        <v>9520</v>
      </c>
      <c r="J2444" s="3">
        <v>57120</v>
      </c>
      <c r="K2444" s="3">
        <v>7000</v>
      </c>
      <c r="L2444" s="3">
        <v>42000</v>
      </c>
      <c r="M2444" s="3">
        <v>15120</v>
      </c>
      <c r="N2444" s="4">
        <v>0.26470588235294118</v>
      </c>
    </row>
    <row r="2445" spans="1:14" x14ac:dyDescent="0.3">
      <c r="A2445" s="6">
        <v>45832</v>
      </c>
      <c r="B2445" s="1" t="s">
        <v>2629</v>
      </c>
      <c r="C2445" s="1" t="s">
        <v>27</v>
      </c>
      <c r="D2445" t="s">
        <v>30</v>
      </c>
      <c r="E2445" t="s">
        <v>193</v>
      </c>
      <c r="F2445" t="s">
        <v>24</v>
      </c>
      <c r="G2445" t="s">
        <v>25</v>
      </c>
      <c r="H2445" s="3">
        <v>9</v>
      </c>
      <c r="I2445" s="3">
        <v>3575</v>
      </c>
      <c r="J2445" s="3">
        <v>32175</v>
      </c>
      <c r="K2445" s="3">
        <v>2500</v>
      </c>
      <c r="L2445" s="3">
        <v>22500</v>
      </c>
      <c r="M2445" s="3">
        <v>9675</v>
      </c>
      <c r="N2445" s="4">
        <v>0.30069930069930068</v>
      </c>
    </row>
    <row r="2446" spans="1:14" x14ac:dyDescent="0.3">
      <c r="A2446" s="6">
        <v>45832</v>
      </c>
      <c r="B2446" s="1" t="s">
        <v>2630</v>
      </c>
      <c r="C2446" s="1" t="s">
        <v>28</v>
      </c>
      <c r="D2446" t="s">
        <v>34</v>
      </c>
      <c r="E2446" t="s">
        <v>273</v>
      </c>
      <c r="F2446" t="s">
        <v>22</v>
      </c>
      <c r="G2446" t="s">
        <v>18</v>
      </c>
      <c r="H2446" s="3">
        <v>9</v>
      </c>
      <c r="I2446" s="3">
        <v>9310</v>
      </c>
      <c r="J2446" s="3">
        <v>83790</v>
      </c>
      <c r="K2446" s="3">
        <v>7000</v>
      </c>
      <c r="L2446" s="3">
        <v>63000</v>
      </c>
      <c r="M2446" s="3">
        <v>20790</v>
      </c>
      <c r="N2446" s="4">
        <v>0.24812030075187969</v>
      </c>
    </row>
    <row r="2447" spans="1:14" x14ac:dyDescent="0.3">
      <c r="A2447" s="6">
        <v>45832</v>
      </c>
      <c r="B2447" s="1" t="s">
        <v>2631</v>
      </c>
      <c r="C2447" s="1" t="s">
        <v>26</v>
      </c>
      <c r="D2447" t="s">
        <v>31</v>
      </c>
      <c r="E2447" t="s">
        <v>175</v>
      </c>
      <c r="F2447" t="s">
        <v>16</v>
      </c>
      <c r="G2447" t="s">
        <v>15</v>
      </c>
      <c r="H2447" s="3">
        <v>3</v>
      </c>
      <c r="I2447" s="3">
        <v>48640</v>
      </c>
      <c r="J2447" s="3">
        <v>145920</v>
      </c>
      <c r="K2447" s="3">
        <v>38000</v>
      </c>
      <c r="L2447" s="3">
        <v>114000</v>
      </c>
      <c r="M2447" s="3">
        <v>31920</v>
      </c>
      <c r="N2447" s="4">
        <v>0.21875</v>
      </c>
    </row>
    <row r="2448" spans="1:14" x14ac:dyDescent="0.3">
      <c r="A2448" s="6">
        <v>45832</v>
      </c>
      <c r="B2448" s="1" t="s">
        <v>2632</v>
      </c>
      <c r="C2448" s="1" t="s">
        <v>28</v>
      </c>
      <c r="D2448" t="s">
        <v>31</v>
      </c>
      <c r="E2448" t="s">
        <v>37</v>
      </c>
      <c r="F2448" t="s">
        <v>19</v>
      </c>
      <c r="G2448" t="s">
        <v>20</v>
      </c>
      <c r="H2448" s="3">
        <v>8</v>
      </c>
      <c r="I2448" s="3">
        <v>1269</v>
      </c>
      <c r="J2448" s="3">
        <v>10152</v>
      </c>
      <c r="K2448" s="3">
        <v>900</v>
      </c>
      <c r="L2448" s="3">
        <v>7200</v>
      </c>
      <c r="M2448" s="3">
        <v>2952</v>
      </c>
      <c r="N2448" s="4">
        <v>0.29078014184397161</v>
      </c>
    </row>
    <row r="2449" spans="1:14" x14ac:dyDescent="0.3">
      <c r="A2449" s="6">
        <v>45832</v>
      </c>
      <c r="B2449" s="1" t="s">
        <v>2633</v>
      </c>
      <c r="C2449" s="1" t="s">
        <v>28</v>
      </c>
      <c r="D2449" t="s">
        <v>31</v>
      </c>
      <c r="E2449" t="s">
        <v>292</v>
      </c>
      <c r="F2449" t="s">
        <v>17</v>
      </c>
      <c r="G2449" t="s">
        <v>18</v>
      </c>
      <c r="H2449" s="3">
        <v>2</v>
      </c>
      <c r="I2449" s="3">
        <v>12325</v>
      </c>
      <c r="J2449" s="3">
        <v>24650</v>
      </c>
      <c r="K2449" s="3">
        <v>8500</v>
      </c>
      <c r="L2449" s="3">
        <v>17000</v>
      </c>
      <c r="M2449" s="3">
        <v>7650</v>
      </c>
      <c r="N2449" s="4">
        <v>0.31034482758620691</v>
      </c>
    </row>
    <row r="2450" spans="1:14" x14ac:dyDescent="0.3">
      <c r="A2450" s="6">
        <v>45833</v>
      </c>
      <c r="B2450" s="1" t="s">
        <v>2634</v>
      </c>
      <c r="C2450" s="1" t="s">
        <v>29</v>
      </c>
      <c r="D2450" t="s">
        <v>31</v>
      </c>
      <c r="E2450" t="s">
        <v>204</v>
      </c>
      <c r="F2450" t="s">
        <v>19</v>
      </c>
      <c r="G2450" t="s">
        <v>20</v>
      </c>
      <c r="H2450" s="3">
        <v>1</v>
      </c>
      <c r="I2450" s="3">
        <v>1170</v>
      </c>
      <c r="J2450" s="3">
        <v>1170</v>
      </c>
      <c r="K2450" s="3">
        <v>900</v>
      </c>
      <c r="L2450" s="3">
        <v>900</v>
      </c>
      <c r="M2450" s="3">
        <v>270</v>
      </c>
      <c r="N2450" s="4">
        <v>0.23076923076923078</v>
      </c>
    </row>
    <row r="2451" spans="1:14" x14ac:dyDescent="0.3">
      <c r="A2451" s="6">
        <v>45833</v>
      </c>
      <c r="B2451" s="1" t="s">
        <v>2635</v>
      </c>
      <c r="C2451" s="1" t="s">
        <v>28</v>
      </c>
      <c r="D2451" t="s">
        <v>35</v>
      </c>
      <c r="E2451" t="s">
        <v>206</v>
      </c>
      <c r="F2451" t="s">
        <v>16</v>
      </c>
      <c r="G2451" t="s">
        <v>15</v>
      </c>
      <c r="H2451" s="3">
        <v>9</v>
      </c>
      <c r="I2451" s="3">
        <v>54340</v>
      </c>
      <c r="J2451" s="3">
        <v>489060</v>
      </c>
      <c r="K2451" s="3">
        <v>38000</v>
      </c>
      <c r="L2451" s="3">
        <v>342000</v>
      </c>
      <c r="M2451" s="3">
        <v>147060</v>
      </c>
      <c r="N2451" s="4">
        <v>0.30069930069930068</v>
      </c>
    </row>
    <row r="2452" spans="1:14" x14ac:dyDescent="0.3">
      <c r="A2452" s="6">
        <v>45833</v>
      </c>
      <c r="B2452" s="1" t="s">
        <v>2636</v>
      </c>
      <c r="C2452" s="1" t="s">
        <v>28</v>
      </c>
      <c r="D2452" t="s">
        <v>35</v>
      </c>
      <c r="E2452" t="s">
        <v>321</v>
      </c>
      <c r="F2452" t="s">
        <v>17</v>
      </c>
      <c r="G2452" t="s">
        <v>18</v>
      </c>
      <c r="H2452" s="3">
        <v>2</v>
      </c>
      <c r="I2452" s="3">
        <v>11305</v>
      </c>
      <c r="J2452" s="3">
        <v>22610</v>
      </c>
      <c r="K2452" s="3">
        <v>8500</v>
      </c>
      <c r="L2452" s="3">
        <v>17000</v>
      </c>
      <c r="M2452" s="3">
        <v>5610</v>
      </c>
      <c r="N2452" s="4">
        <v>0.24812030075187969</v>
      </c>
    </row>
    <row r="2453" spans="1:14" x14ac:dyDescent="0.3">
      <c r="A2453" s="6">
        <v>45833</v>
      </c>
      <c r="B2453" s="1" t="s">
        <v>2637</v>
      </c>
      <c r="C2453" s="1" t="s">
        <v>29</v>
      </c>
      <c r="D2453" t="s">
        <v>33</v>
      </c>
      <c r="E2453" t="s">
        <v>369</v>
      </c>
      <c r="F2453" t="s">
        <v>21</v>
      </c>
      <c r="G2453" t="s">
        <v>20</v>
      </c>
      <c r="H2453" s="3">
        <v>1</v>
      </c>
      <c r="I2453" s="3">
        <v>792</v>
      </c>
      <c r="J2453" s="3">
        <v>792</v>
      </c>
      <c r="K2453" s="3">
        <v>600</v>
      </c>
      <c r="L2453" s="3">
        <v>600</v>
      </c>
      <c r="M2453" s="3">
        <v>192</v>
      </c>
      <c r="N2453" s="4">
        <v>0.24242424242424243</v>
      </c>
    </row>
    <row r="2454" spans="1:14" x14ac:dyDescent="0.3">
      <c r="A2454" s="6">
        <v>45833</v>
      </c>
      <c r="B2454" s="1" t="s">
        <v>2638</v>
      </c>
      <c r="C2454" s="1" t="s">
        <v>27</v>
      </c>
      <c r="D2454" t="s">
        <v>31</v>
      </c>
      <c r="E2454" t="s">
        <v>69</v>
      </c>
      <c r="F2454" t="s">
        <v>23</v>
      </c>
      <c r="G2454" t="s">
        <v>25</v>
      </c>
      <c r="H2454" s="3">
        <v>3</v>
      </c>
      <c r="I2454" s="3">
        <v>4128</v>
      </c>
      <c r="J2454" s="3">
        <v>12384</v>
      </c>
      <c r="K2454" s="3">
        <v>3200</v>
      </c>
      <c r="L2454" s="3">
        <v>9600</v>
      </c>
      <c r="M2454" s="3">
        <v>2784</v>
      </c>
      <c r="N2454" s="4">
        <v>0.22480620155038761</v>
      </c>
    </row>
    <row r="2455" spans="1:14" x14ac:dyDescent="0.3">
      <c r="A2455" s="6">
        <v>45833</v>
      </c>
      <c r="B2455" s="1" t="s">
        <v>2639</v>
      </c>
      <c r="C2455" s="1" t="s">
        <v>28</v>
      </c>
      <c r="D2455" t="s">
        <v>33</v>
      </c>
      <c r="E2455" t="s">
        <v>49</v>
      </c>
      <c r="F2455" t="s">
        <v>24</v>
      </c>
      <c r="G2455" t="s">
        <v>25</v>
      </c>
      <c r="H2455" s="3">
        <v>2</v>
      </c>
      <c r="I2455" s="3">
        <v>3275</v>
      </c>
      <c r="J2455" s="3">
        <v>6550</v>
      </c>
      <c r="K2455" s="3">
        <v>2500</v>
      </c>
      <c r="L2455" s="3">
        <v>5000</v>
      </c>
      <c r="M2455" s="3">
        <v>1550</v>
      </c>
      <c r="N2455" s="4">
        <v>0.23664122137404581</v>
      </c>
    </row>
    <row r="2456" spans="1:14" x14ac:dyDescent="0.3">
      <c r="A2456" s="6">
        <v>45833</v>
      </c>
      <c r="B2456" s="1" t="s">
        <v>2640</v>
      </c>
      <c r="C2456" s="1" t="s">
        <v>26</v>
      </c>
      <c r="D2456" t="s">
        <v>30</v>
      </c>
      <c r="E2456" t="s">
        <v>336</v>
      </c>
      <c r="F2456" t="s">
        <v>23</v>
      </c>
      <c r="G2456" t="s">
        <v>25</v>
      </c>
      <c r="H2456" s="3">
        <v>8</v>
      </c>
      <c r="I2456" s="3">
        <v>4096</v>
      </c>
      <c r="J2456" s="3">
        <v>32768</v>
      </c>
      <c r="K2456" s="3">
        <v>3200</v>
      </c>
      <c r="L2456" s="3">
        <v>25600</v>
      </c>
      <c r="M2456" s="3">
        <v>7168</v>
      </c>
      <c r="N2456" s="4">
        <v>0.21875</v>
      </c>
    </row>
    <row r="2457" spans="1:14" x14ac:dyDescent="0.3">
      <c r="A2457" s="6">
        <v>45833</v>
      </c>
      <c r="B2457" s="1" t="s">
        <v>2641</v>
      </c>
      <c r="C2457" s="1" t="s">
        <v>27</v>
      </c>
      <c r="D2457" t="s">
        <v>32</v>
      </c>
      <c r="E2457" t="s">
        <v>304</v>
      </c>
      <c r="F2457" t="s">
        <v>19</v>
      </c>
      <c r="G2457" t="s">
        <v>20</v>
      </c>
      <c r="H2457" s="3">
        <v>5</v>
      </c>
      <c r="I2457" s="3">
        <v>1278</v>
      </c>
      <c r="J2457" s="3">
        <v>6390</v>
      </c>
      <c r="K2457" s="3">
        <v>900</v>
      </c>
      <c r="L2457" s="3">
        <v>4500</v>
      </c>
      <c r="M2457" s="3">
        <v>1890</v>
      </c>
      <c r="N2457" s="4">
        <v>0.29577464788732394</v>
      </c>
    </row>
    <row r="2458" spans="1:14" x14ac:dyDescent="0.3">
      <c r="A2458" s="6">
        <v>45833</v>
      </c>
      <c r="B2458" s="1" t="s">
        <v>2642</v>
      </c>
      <c r="C2458" s="1" t="s">
        <v>27</v>
      </c>
      <c r="D2458" t="s">
        <v>31</v>
      </c>
      <c r="E2458" t="s">
        <v>357</v>
      </c>
      <c r="F2458" t="s">
        <v>19</v>
      </c>
      <c r="G2458" t="s">
        <v>20</v>
      </c>
      <c r="H2458" s="3">
        <v>7</v>
      </c>
      <c r="I2458" s="3">
        <v>1143</v>
      </c>
      <c r="J2458" s="3">
        <v>8001</v>
      </c>
      <c r="K2458" s="3">
        <v>900</v>
      </c>
      <c r="L2458" s="3">
        <v>6300</v>
      </c>
      <c r="M2458" s="3">
        <v>1701</v>
      </c>
      <c r="N2458" s="4">
        <v>0.2125984251968504</v>
      </c>
    </row>
    <row r="2459" spans="1:14" x14ac:dyDescent="0.3">
      <c r="A2459" s="6">
        <v>45833</v>
      </c>
      <c r="B2459" s="1" t="s">
        <v>2643</v>
      </c>
      <c r="C2459" s="1" t="s">
        <v>28</v>
      </c>
      <c r="D2459" t="s">
        <v>33</v>
      </c>
      <c r="E2459" t="s">
        <v>134</v>
      </c>
      <c r="F2459" t="s">
        <v>17</v>
      </c>
      <c r="G2459" t="s">
        <v>18</v>
      </c>
      <c r="H2459" s="3">
        <v>1</v>
      </c>
      <c r="I2459" s="3">
        <v>11900</v>
      </c>
      <c r="J2459" s="3">
        <v>11900</v>
      </c>
      <c r="K2459" s="3">
        <v>8500</v>
      </c>
      <c r="L2459" s="3">
        <v>8500</v>
      </c>
      <c r="M2459" s="3">
        <v>3400</v>
      </c>
      <c r="N2459" s="4">
        <v>0.2857142857142857</v>
      </c>
    </row>
    <row r="2460" spans="1:14" x14ac:dyDescent="0.3">
      <c r="A2460" s="6">
        <v>45833</v>
      </c>
      <c r="B2460" s="1" t="s">
        <v>2644</v>
      </c>
      <c r="C2460" s="1" t="s">
        <v>26</v>
      </c>
      <c r="D2460" t="s">
        <v>34</v>
      </c>
      <c r="E2460" t="s">
        <v>155</v>
      </c>
      <c r="F2460" t="s">
        <v>14</v>
      </c>
      <c r="G2460" t="s">
        <v>15</v>
      </c>
      <c r="H2460" s="3">
        <v>7</v>
      </c>
      <c r="I2460" s="3">
        <v>58500</v>
      </c>
      <c r="J2460" s="3">
        <v>409500</v>
      </c>
      <c r="K2460" s="3">
        <v>45000</v>
      </c>
      <c r="L2460" s="3">
        <v>315000</v>
      </c>
      <c r="M2460" s="3">
        <v>94500</v>
      </c>
      <c r="N2460" s="4">
        <v>0.23076923076923078</v>
      </c>
    </row>
    <row r="2461" spans="1:14" x14ac:dyDescent="0.3">
      <c r="A2461" s="6">
        <v>45833</v>
      </c>
      <c r="B2461" s="1" t="s">
        <v>2645</v>
      </c>
      <c r="C2461" s="1" t="s">
        <v>28</v>
      </c>
      <c r="D2461" t="s">
        <v>30</v>
      </c>
      <c r="E2461" t="s">
        <v>310</v>
      </c>
      <c r="F2461" t="s">
        <v>22</v>
      </c>
      <c r="G2461" t="s">
        <v>18</v>
      </c>
      <c r="H2461" s="3">
        <v>7</v>
      </c>
      <c r="I2461" s="3">
        <v>8890</v>
      </c>
      <c r="J2461" s="3">
        <v>62230</v>
      </c>
      <c r="K2461" s="3">
        <v>7000</v>
      </c>
      <c r="L2461" s="3">
        <v>49000</v>
      </c>
      <c r="M2461" s="3">
        <v>13230</v>
      </c>
      <c r="N2461" s="4">
        <v>0.2125984251968504</v>
      </c>
    </row>
    <row r="2462" spans="1:14" x14ac:dyDescent="0.3">
      <c r="A2462" s="6">
        <v>45833</v>
      </c>
      <c r="B2462" s="1" t="s">
        <v>2646</v>
      </c>
      <c r="C2462" s="1" t="s">
        <v>27</v>
      </c>
      <c r="D2462" t="s">
        <v>35</v>
      </c>
      <c r="E2462" t="s">
        <v>124</v>
      </c>
      <c r="F2462" t="s">
        <v>21</v>
      </c>
      <c r="G2462" t="s">
        <v>20</v>
      </c>
      <c r="H2462" s="3">
        <v>10</v>
      </c>
      <c r="I2462" s="3">
        <v>744</v>
      </c>
      <c r="J2462" s="3">
        <v>7440</v>
      </c>
      <c r="K2462" s="3">
        <v>600</v>
      </c>
      <c r="L2462" s="3">
        <v>6000</v>
      </c>
      <c r="M2462" s="3">
        <v>1440</v>
      </c>
      <c r="N2462" s="4">
        <v>0.19354838709677419</v>
      </c>
    </row>
    <row r="2463" spans="1:14" x14ac:dyDescent="0.3">
      <c r="A2463" s="6">
        <v>45833</v>
      </c>
      <c r="B2463" s="1" t="s">
        <v>2647</v>
      </c>
      <c r="C2463" s="1" t="s">
        <v>29</v>
      </c>
      <c r="D2463" t="s">
        <v>32</v>
      </c>
      <c r="E2463" t="s">
        <v>565</v>
      </c>
      <c r="F2463" t="s">
        <v>16</v>
      </c>
      <c r="G2463" t="s">
        <v>15</v>
      </c>
      <c r="H2463" s="3">
        <v>10</v>
      </c>
      <c r="I2463" s="3">
        <v>53960</v>
      </c>
      <c r="J2463" s="3">
        <v>539600</v>
      </c>
      <c r="K2463" s="3">
        <v>38000</v>
      </c>
      <c r="L2463" s="3">
        <v>380000</v>
      </c>
      <c r="M2463" s="3">
        <v>159600</v>
      </c>
      <c r="N2463" s="4">
        <v>0.29577464788732394</v>
      </c>
    </row>
    <row r="2464" spans="1:14" x14ac:dyDescent="0.3">
      <c r="A2464" s="6">
        <v>45834</v>
      </c>
      <c r="B2464" s="1" t="s">
        <v>2648</v>
      </c>
      <c r="C2464" s="1" t="s">
        <v>27</v>
      </c>
      <c r="D2464" t="s">
        <v>35</v>
      </c>
      <c r="E2464" t="s">
        <v>275</v>
      </c>
      <c r="F2464" t="s">
        <v>22</v>
      </c>
      <c r="G2464" t="s">
        <v>18</v>
      </c>
      <c r="H2464" s="3">
        <v>5</v>
      </c>
      <c r="I2464" s="3">
        <v>9730</v>
      </c>
      <c r="J2464" s="3">
        <v>48650</v>
      </c>
      <c r="K2464" s="3">
        <v>7000</v>
      </c>
      <c r="L2464" s="3">
        <v>35000</v>
      </c>
      <c r="M2464" s="3">
        <v>13650</v>
      </c>
      <c r="N2464" s="4">
        <v>0.2805755395683453</v>
      </c>
    </row>
    <row r="2465" spans="1:14" x14ac:dyDescent="0.3">
      <c r="A2465" s="6">
        <v>45834</v>
      </c>
      <c r="B2465" s="1" t="s">
        <v>2649</v>
      </c>
      <c r="C2465" s="1" t="s">
        <v>26</v>
      </c>
      <c r="D2465" t="s">
        <v>35</v>
      </c>
      <c r="E2465" t="s">
        <v>268</v>
      </c>
      <c r="F2465" t="s">
        <v>24</v>
      </c>
      <c r="G2465" t="s">
        <v>25</v>
      </c>
      <c r="H2465" s="3">
        <v>2</v>
      </c>
      <c r="I2465" s="3">
        <v>3150</v>
      </c>
      <c r="J2465" s="3">
        <v>6300</v>
      </c>
      <c r="K2465" s="3">
        <v>2500</v>
      </c>
      <c r="L2465" s="3">
        <v>5000</v>
      </c>
      <c r="M2465" s="3">
        <v>1300</v>
      </c>
      <c r="N2465" s="4">
        <v>0.20634920634920634</v>
      </c>
    </row>
    <row r="2466" spans="1:14" x14ac:dyDescent="0.3">
      <c r="A2466" s="6">
        <v>45834</v>
      </c>
      <c r="B2466" s="1" t="s">
        <v>2650</v>
      </c>
      <c r="C2466" s="1" t="s">
        <v>29</v>
      </c>
      <c r="D2466" t="s">
        <v>31</v>
      </c>
      <c r="E2466" t="s">
        <v>208</v>
      </c>
      <c r="F2466" t="s">
        <v>19</v>
      </c>
      <c r="G2466" t="s">
        <v>20</v>
      </c>
      <c r="H2466" s="3">
        <v>5</v>
      </c>
      <c r="I2466" s="3">
        <v>1179</v>
      </c>
      <c r="J2466" s="3">
        <v>5895</v>
      </c>
      <c r="K2466" s="3">
        <v>900</v>
      </c>
      <c r="L2466" s="3">
        <v>4500</v>
      </c>
      <c r="M2466" s="3">
        <v>1395</v>
      </c>
      <c r="N2466" s="4">
        <v>0.23664122137404581</v>
      </c>
    </row>
    <row r="2467" spans="1:14" x14ac:dyDescent="0.3">
      <c r="A2467" s="6">
        <v>45834</v>
      </c>
      <c r="B2467" s="1" t="s">
        <v>2651</v>
      </c>
      <c r="C2467" s="1" t="s">
        <v>27</v>
      </c>
      <c r="D2467" t="s">
        <v>33</v>
      </c>
      <c r="E2467" t="s">
        <v>78</v>
      </c>
      <c r="F2467" t="s">
        <v>16</v>
      </c>
      <c r="G2467" t="s">
        <v>15</v>
      </c>
      <c r="H2467" s="3">
        <v>2</v>
      </c>
      <c r="I2467" s="3">
        <v>49780</v>
      </c>
      <c r="J2467" s="3">
        <v>99560</v>
      </c>
      <c r="K2467" s="3">
        <v>38000</v>
      </c>
      <c r="L2467" s="3">
        <v>76000</v>
      </c>
      <c r="M2467" s="3">
        <v>23560</v>
      </c>
      <c r="N2467" s="4">
        <v>0.23664122137404581</v>
      </c>
    </row>
    <row r="2468" spans="1:14" x14ac:dyDescent="0.3">
      <c r="A2468" s="6">
        <v>45834</v>
      </c>
      <c r="B2468" s="1" t="s">
        <v>2652</v>
      </c>
      <c r="C2468" s="1" t="s">
        <v>27</v>
      </c>
      <c r="D2468" t="s">
        <v>31</v>
      </c>
      <c r="E2468" t="s">
        <v>129</v>
      </c>
      <c r="F2468" t="s">
        <v>24</v>
      </c>
      <c r="G2468" t="s">
        <v>25</v>
      </c>
      <c r="H2468" s="3">
        <v>9</v>
      </c>
      <c r="I2468" s="3">
        <v>3625</v>
      </c>
      <c r="J2468" s="3">
        <v>32625</v>
      </c>
      <c r="K2468" s="3">
        <v>2500</v>
      </c>
      <c r="L2468" s="3">
        <v>22500</v>
      </c>
      <c r="M2468" s="3">
        <v>10125</v>
      </c>
      <c r="N2468" s="4">
        <v>0.31034482758620691</v>
      </c>
    </row>
    <row r="2469" spans="1:14" x14ac:dyDescent="0.3">
      <c r="A2469" s="6">
        <v>45834</v>
      </c>
      <c r="B2469" s="1" t="s">
        <v>2653</v>
      </c>
      <c r="C2469" s="1" t="s">
        <v>27</v>
      </c>
      <c r="D2469" t="s">
        <v>32</v>
      </c>
      <c r="E2469" t="s">
        <v>151</v>
      </c>
      <c r="F2469" t="s">
        <v>14</v>
      </c>
      <c r="G2469" t="s">
        <v>15</v>
      </c>
      <c r="H2469" s="3">
        <v>2</v>
      </c>
      <c r="I2469" s="3">
        <v>56250</v>
      </c>
      <c r="J2469" s="3">
        <v>112500</v>
      </c>
      <c r="K2469" s="3">
        <v>45000</v>
      </c>
      <c r="L2469" s="3">
        <v>90000</v>
      </c>
      <c r="M2469" s="3">
        <v>22500</v>
      </c>
      <c r="N2469" s="4">
        <v>0.2</v>
      </c>
    </row>
    <row r="2470" spans="1:14" x14ac:dyDescent="0.3">
      <c r="A2470" s="6">
        <v>45834</v>
      </c>
      <c r="B2470" s="1" t="s">
        <v>2654</v>
      </c>
      <c r="C2470" s="1" t="s">
        <v>27</v>
      </c>
      <c r="D2470" t="s">
        <v>34</v>
      </c>
      <c r="E2470" t="s">
        <v>310</v>
      </c>
      <c r="F2470" t="s">
        <v>19</v>
      </c>
      <c r="G2470" t="s">
        <v>20</v>
      </c>
      <c r="H2470" s="3">
        <v>3</v>
      </c>
      <c r="I2470" s="3">
        <v>1224</v>
      </c>
      <c r="J2470" s="3">
        <v>3672</v>
      </c>
      <c r="K2470" s="3">
        <v>900</v>
      </c>
      <c r="L2470" s="3">
        <v>2700</v>
      </c>
      <c r="M2470" s="3">
        <v>972</v>
      </c>
      <c r="N2470" s="4">
        <v>0.26470588235294118</v>
      </c>
    </row>
    <row r="2471" spans="1:14" x14ac:dyDescent="0.3">
      <c r="A2471" s="6">
        <v>45834</v>
      </c>
      <c r="B2471" s="1" t="s">
        <v>2655</v>
      </c>
      <c r="C2471" s="1" t="s">
        <v>28</v>
      </c>
      <c r="D2471" t="s">
        <v>30</v>
      </c>
      <c r="E2471" t="s">
        <v>193</v>
      </c>
      <c r="F2471" t="s">
        <v>21</v>
      </c>
      <c r="G2471" t="s">
        <v>20</v>
      </c>
      <c r="H2471" s="3">
        <v>9</v>
      </c>
      <c r="I2471" s="3">
        <v>774</v>
      </c>
      <c r="J2471" s="3">
        <v>6966</v>
      </c>
      <c r="K2471" s="3">
        <v>600</v>
      </c>
      <c r="L2471" s="3">
        <v>5400</v>
      </c>
      <c r="M2471" s="3">
        <v>1566</v>
      </c>
      <c r="N2471" s="4">
        <v>0.22480620155038761</v>
      </c>
    </row>
    <row r="2472" spans="1:14" x14ac:dyDescent="0.3">
      <c r="A2472" s="6">
        <v>45834</v>
      </c>
      <c r="B2472" s="1" t="s">
        <v>2656</v>
      </c>
      <c r="C2472" s="1" t="s">
        <v>29</v>
      </c>
      <c r="D2472" t="s">
        <v>30</v>
      </c>
      <c r="E2472" t="s">
        <v>57</v>
      </c>
      <c r="F2472" t="s">
        <v>17</v>
      </c>
      <c r="G2472" t="s">
        <v>18</v>
      </c>
      <c r="H2472" s="3">
        <v>3</v>
      </c>
      <c r="I2472" s="3">
        <v>12325</v>
      </c>
      <c r="J2472" s="3">
        <v>36975</v>
      </c>
      <c r="K2472" s="3">
        <v>8500</v>
      </c>
      <c r="L2472" s="3">
        <v>25500</v>
      </c>
      <c r="M2472" s="3">
        <v>11475</v>
      </c>
      <c r="N2472" s="4">
        <v>0.31034482758620691</v>
      </c>
    </row>
    <row r="2473" spans="1:14" x14ac:dyDescent="0.3">
      <c r="A2473" s="6">
        <v>45834</v>
      </c>
      <c r="B2473" s="1" t="s">
        <v>2657</v>
      </c>
      <c r="C2473" s="1" t="s">
        <v>28</v>
      </c>
      <c r="D2473" t="s">
        <v>34</v>
      </c>
      <c r="E2473" t="s">
        <v>273</v>
      </c>
      <c r="F2473" t="s">
        <v>24</v>
      </c>
      <c r="G2473" t="s">
        <v>25</v>
      </c>
      <c r="H2473" s="3">
        <v>9</v>
      </c>
      <c r="I2473" s="3">
        <v>3250</v>
      </c>
      <c r="J2473" s="3">
        <v>29250</v>
      </c>
      <c r="K2473" s="3">
        <v>2500</v>
      </c>
      <c r="L2473" s="3">
        <v>22500</v>
      </c>
      <c r="M2473" s="3">
        <v>6750</v>
      </c>
      <c r="N2473" s="4">
        <v>0.23076923076923078</v>
      </c>
    </row>
    <row r="2474" spans="1:14" x14ac:dyDescent="0.3">
      <c r="A2474" s="6">
        <v>45834</v>
      </c>
      <c r="B2474" s="1" t="s">
        <v>2658</v>
      </c>
      <c r="C2474" s="1" t="s">
        <v>27</v>
      </c>
      <c r="D2474" t="s">
        <v>32</v>
      </c>
      <c r="E2474" t="s">
        <v>129</v>
      </c>
      <c r="F2474" t="s">
        <v>19</v>
      </c>
      <c r="G2474" t="s">
        <v>20</v>
      </c>
      <c r="H2474" s="3">
        <v>7</v>
      </c>
      <c r="I2474" s="3">
        <v>1116</v>
      </c>
      <c r="J2474" s="3">
        <v>7812</v>
      </c>
      <c r="K2474" s="3">
        <v>900</v>
      </c>
      <c r="L2474" s="3">
        <v>6300</v>
      </c>
      <c r="M2474" s="3">
        <v>1512</v>
      </c>
      <c r="N2474" s="4">
        <v>0.19354838709677419</v>
      </c>
    </row>
    <row r="2475" spans="1:14" x14ac:dyDescent="0.3">
      <c r="A2475" s="6">
        <v>45834</v>
      </c>
      <c r="B2475" s="1" t="s">
        <v>2659</v>
      </c>
      <c r="C2475" s="1" t="s">
        <v>27</v>
      </c>
      <c r="D2475" t="s">
        <v>30</v>
      </c>
      <c r="E2475" t="s">
        <v>228</v>
      </c>
      <c r="F2475" t="s">
        <v>22</v>
      </c>
      <c r="G2475" t="s">
        <v>18</v>
      </c>
      <c r="H2475" s="3">
        <v>3</v>
      </c>
      <c r="I2475" s="3">
        <v>8750</v>
      </c>
      <c r="J2475" s="3">
        <v>26250</v>
      </c>
      <c r="K2475" s="3">
        <v>7000</v>
      </c>
      <c r="L2475" s="3">
        <v>21000</v>
      </c>
      <c r="M2475" s="3">
        <v>5250</v>
      </c>
      <c r="N2475" s="4">
        <v>0.2</v>
      </c>
    </row>
    <row r="2476" spans="1:14" x14ac:dyDescent="0.3">
      <c r="A2476" s="6">
        <v>45834</v>
      </c>
      <c r="B2476" s="1" t="s">
        <v>2660</v>
      </c>
      <c r="C2476" s="1" t="s">
        <v>26</v>
      </c>
      <c r="D2476" t="s">
        <v>34</v>
      </c>
      <c r="E2476" t="s">
        <v>137</v>
      </c>
      <c r="F2476" t="s">
        <v>19</v>
      </c>
      <c r="G2476" t="s">
        <v>20</v>
      </c>
      <c r="H2476" s="3">
        <v>9</v>
      </c>
      <c r="I2476" s="3">
        <v>1143</v>
      </c>
      <c r="J2476" s="3">
        <v>10287</v>
      </c>
      <c r="K2476" s="3">
        <v>900</v>
      </c>
      <c r="L2476" s="3">
        <v>8100</v>
      </c>
      <c r="M2476" s="3">
        <v>2187</v>
      </c>
      <c r="N2476" s="4">
        <v>0.2125984251968504</v>
      </c>
    </row>
    <row r="2477" spans="1:14" x14ac:dyDescent="0.3">
      <c r="A2477" s="6">
        <v>45834</v>
      </c>
      <c r="B2477" s="1" t="s">
        <v>2661</v>
      </c>
      <c r="C2477" s="1" t="s">
        <v>27</v>
      </c>
      <c r="D2477" t="s">
        <v>34</v>
      </c>
      <c r="E2477" t="s">
        <v>565</v>
      </c>
      <c r="F2477" t="s">
        <v>14</v>
      </c>
      <c r="G2477" t="s">
        <v>15</v>
      </c>
      <c r="H2477" s="3">
        <v>10</v>
      </c>
      <c r="I2477" s="3">
        <v>57600</v>
      </c>
      <c r="J2477" s="3">
        <v>576000</v>
      </c>
      <c r="K2477" s="3">
        <v>45000</v>
      </c>
      <c r="L2477" s="3">
        <v>450000</v>
      </c>
      <c r="M2477" s="3">
        <v>126000</v>
      </c>
      <c r="N2477" s="4">
        <v>0.21875</v>
      </c>
    </row>
    <row r="2478" spans="1:14" x14ac:dyDescent="0.3">
      <c r="A2478" s="6">
        <v>45835</v>
      </c>
      <c r="B2478" s="1" t="s">
        <v>2662</v>
      </c>
      <c r="C2478" s="1" t="s">
        <v>26</v>
      </c>
      <c r="D2478" t="s">
        <v>33</v>
      </c>
      <c r="E2478" t="s">
        <v>268</v>
      </c>
      <c r="F2478" t="s">
        <v>19</v>
      </c>
      <c r="G2478" t="s">
        <v>20</v>
      </c>
      <c r="H2478" s="3">
        <v>4</v>
      </c>
      <c r="I2478" s="3">
        <v>1215</v>
      </c>
      <c r="J2478" s="3">
        <v>4860</v>
      </c>
      <c r="K2478" s="3">
        <v>900</v>
      </c>
      <c r="L2478" s="3">
        <v>3600</v>
      </c>
      <c r="M2478" s="3">
        <v>1260</v>
      </c>
      <c r="N2478" s="4">
        <v>0.25925925925925924</v>
      </c>
    </row>
    <row r="2479" spans="1:14" x14ac:dyDescent="0.3">
      <c r="A2479" s="6">
        <v>45835</v>
      </c>
      <c r="B2479" s="1" t="s">
        <v>2663</v>
      </c>
      <c r="C2479" s="1" t="s">
        <v>28</v>
      </c>
      <c r="D2479" t="s">
        <v>31</v>
      </c>
      <c r="E2479" t="s">
        <v>180</v>
      </c>
      <c r="F2479" t="s">
        <v>16</v>
      </c>
      <c r="G2479" t="s">
        <v>15</v>
      </c>
      <c r="H2479" s="3">
        <v>4</v>
      </c>
      <c r="I2479" s="3">
        <v>50160</v>
      </c>
      <c r="J2479" s="3">
        <v>200640</v>
      </c>
      <c r="K2479" s="3">
        <v>38000</v>
      </c>
      <c r="L2479" s="3">
        <v>152000</v>
      </c>
      <c r="M2479" s="3">
        <v>48640</v>
      </c>
      <c r="N2479" s="4">
        <v>0.24242424242424243</v>
      </c>
    </row>
    <row r="2480" spans="1:14" x14ac:dyDescent="0.3">
      <c r="A2480" s="6">
        <v>45835</v>
      </c>
      <c r="B2480" s="1" t="s">
        <v>2664</v>
      </c>
      <c r="C2480" s="1" t="s">
        <v>28</v>
      </c>
      <c r="D2480" t="s">
        <v>32</v>
      </c>
      <c r="E2480" t="s">
        <v>381</v>
      </c>
      <c r="F2480" t="s">
        <v>19</v>
      </c>
      <c r="G2480" t="s">
        <v>20</v>
      </c>
      <c r="H2480" s="3">
        <v>5</v>
      </c>
      <c r="I2480" s="3">
        <v>1224</v>
      </c>
      <c r="J2480" s="3">
        <v>6120</v>
      </c>
      <c r="K2480" s="3">
        <v>900</v>
      </c>
      <c r="L2480" s="3">
        <v>4500</v>
      </c>
      <c r="M2480" s="3">
        <v>1620</v>
      </c>
      <c r="N2480" s="4">
        <v>0.26470588235294118</v>
      </c>
    </row>
    <row r="2481" spans="1:14" x14ac:dyDescent="0.3">
      <c r="A2481" s="6">
        <v>45835</v>
      </c>
      <c r="B2481" s="1" t="s">
        <v>2665</v>
      </c>
      <c r="C2481" s="1" t="s">
        <v>28</v>
      </c>
      <c r="D2481" t="s">
        <v>34</v>
      </c>
      <c r="E2481" t="s">
        <v>184</v>
      </c>
      <c r="F2481" t="s">
        <v>21</v>
      </c>
      <c r="G2481" t="s">
        <v>20</v>
      </c>
      <c r="H2481" s="3">
        <v>10</v>
      </c>
      <c r="I2481" s="3">
        <v>774</v>
      </c>
      <c r="J2481" s="3">
        <v>7740</v>
      </c>
      <c r="K2481" s="3">
        <v>600</v>
      </c>
      <c r="L2481" s="3">
        <v>6000</v>
      </c>
      <c r="M2481" s="3">
        <v>1740</v>
      </c>
      <c r="N2481" s="4">
        <v>0.22480620155038761</v>
      </c>
    </row>
    <row r="2482" spans="1:14" x14ac:dyDescent="0.3">
      <c r="A2482" s="6">
        <v>45835</v>
      </c>
      <c r="B2482" s="1" t="s">
        <v>2666</v>
      </c>
      <c r="C2482" s="1" t="s">
        <v>27</v>
      </c>
      <c r="D2482" t="s">
        <v>35</v>
      </c>
      <c r="E2482" t="s">
        <v>129</v>
      </c>
      <c r="F2482" t="s">
        <v>14</v>
      </c>
      <c r="G2482" t="s">
        <v>15</v>
      </c>
      <c r="H2482" s="3">
        <v>7</v>
      </c>
      <c r="I2482" s="3">
        <v>58500</v>
      </c>
      <c r="J2482" s="3">
        <v>409500</v>
      </c>
      <c r="K2482" s="3">
        <v>45000</v>
      </c>
      <c r="L2482" s="3">
        <v>315000</v>
      </c>
      <c r="M2482" s="3">
        <v>94500</v>
      </c>
      <c r="N2482" s="4">
        <v>0.23076923076923078</v>
      </c>
    </row>
    <row r="2483" spans="1:14" x14ac:dyDescent="0.3">
      <c r="A2483" s="6">
        <v>45835</v>
      </c>
      <c r="B2483" s="1" t="s">
        <v>2667</v>
      </c>
      <c r="C2483" s="1" t="s">
        <v>26</v>
      </c>
      <c r="D2483" t="s">
        <v>30</v>
      </c>
      <c r="E2483" t="s">
        <v>317</v>
      </c>
      <c r="F2483" t="s">
        <v>21</v>
      </c>
      <c r="G2483" t="s">
        <v>20</v>
      </c>
      <c r="H2483" s="3">
        <v>5</v>
      </c>
      <c r="I2483" s="3">
        <v>834.00000000000011</v>
      </c>
      <c r="J2483" s="3">
        <v>4170.0000000000009</v>
      </c>
      <c r="K2483" s="3">
        <v>600</v>
      </c>
      <c r="L2483" s="3">
        <v>3000</v>
      </c>
      <c r="M2483" s="3">
        <v>1170.0000000000009</v>
      </c>
      <c r="N2483" s="4">
        <v>0.28057553956834547</v>
      </c>
    </row>
    <row r="2484" spans="1:14" x14ac:dyDescent="0.3">
      <c r="A2484" s="6">
        <v>45835</v>
      </c>
      <c r="B2484" s="1" t="s">
        <v>2668</v>
      </c>
      <c r="C2484" s="1" t="s">
        <v>28</v>
      </c>
      <c r="D2484" t="s">
        <v>32</v>
      </c>
      <c r="E2484" t="s">
        <v>145</v>
      </c>
      <c r="F2484" t="s">
        <v>14</v>
      </c>
      <c r="G2484" t="s">
        <v>15</v>
      </c>
      <c r="H2484" s="3">
        <v>6</v>
      </c>
      <c r="I2484" s="3">
        <v>65250</v>
      </c>
      <c r="J2484" s="3">
        <v>391500</v>
      </c>
      <c r="K2484" s="3">
        <v>45000</v>
      </c>
      <c r="L2484" s="3">
        <v>270000</v>
      </c>
      <c r="M2484" s="3">
        <v>121500</v>
      </c>
      <c r="N2484" s="4">
        <v>0.31034482758620691</v>
      </c>
    </row>
    <row r="2485" spans="1:14" x14ac:dyDescent="0.3">
      <c r="A2485" s="6">
        <v>45835</v>
      </c>
      <c r="B2485" s="1" t="s">
        <v>2669</v>
      </c>
      <c r="C2485" s="1" t="s">
        <v>29</v>
      </c>
      <c r="D2485" t="s">
        <v>34</v>
      </c>
      <c r="E2485" t="s">
        <v>78</v>
      </c>
      <c r="F2485" t="s">
        <v>17</v>
      </c>
      <c r="G2485" t="s">
        <v>18</v>
      </c>
      <c r="H2485" s="3">
        <v>1</v>
      </c>
      <c r="I2485" s="3">
        <v>11815.000000000002</v>
      </c>
      <c r="J2485" s="3">
        <v>11815.000000000002</v>
      </c>
      <c r="K2485" s="3">
        <v>8500</v>
      </c>
      <c r="L2485" s="3">
        <v>8500</v>
      </c>
      <c r="M2485" s="3">
        <v>3315.0000000000018</v>
      </c>
      <c r="N2485" s="4">
        <v>0.28057553956834541</v>
      </c>
    </row>
    <row r="2486" spans="1:14" x14ac:dyDescent="0.3">
      <c r="A2486" s="6">
        <v>45835</v>
      </c>
      <c r="B2486" s="1" t="s">
        <v>2670</v>
      </c>
      <c r="C2486" s="1" t="s">
        <v>27</v>
      </c>
      <c r="D2486" t="s">
        <v>35</v>
      </c>
      <c r="E2486" t="s">
        <v>218</v>
      </c>
      <c r="F2486" t="s">
        <v>14</v>
      </c>
      <c r="G2486" t="s">
        <v>15</v>
      </c>
      <c r="H2486" s="3">
        <v>8</v>
      </c>
      <c r="I2486" s="3">
        <v>61650.000000000007</v>
      </c>
      <c r="J2486" s="3">
        <v>493200.00000000006</v>
      </c>
      <c r="K2486" s="3">
        <v>45000</v>
      </c>
      <c r="L2486" s="3">
        <v>360000</v>
      </c>
      <c r="M2486" s="3">
        <v>133200.00000000006</v>
      </c>
      <c r="N2486" s="4">
        <v>0.27007299270072999</v>
      </c>
    </row>
    <row r="2487" spans="1:14" x14ac:dyDescent="0.3">
      <c r="A2487" s="6">
        <v>45835</v>
      </c>
      <c r="B2487" s="1" t="s">
        <v>2671</v>
      </c>
      <c r="C2487" s="1" t="s">
        <v>29</v>
      </c>
      <c r="D2487" t="s">
        <v>35</v>
      </c>
      <c r="E2487" t="s">
        <v>357</v>
      </c>
      <c r="F2487" t="s">
        <v>21</v>
      </c>
      <c r="G2487" t="s">
        <v>20</v>
      </c>
      <c r="H2487" s="3">
        <v>7</v>
      </c>
      <c r="I2487" s="3">
        <v>756</v>
      </c>
      <c r="J2487" s="3">
        <v>5292</v>
      </c>
      <c r="K2487" s="3">
        <v>600</v>
      </c>
      <c r="L2487" s="3">
        <v>4200</v>
      </c>
      <c r="M2487" s="3">
        <v>1092</v>
      </c>
      <c r="N2487" s="4">
        <v>0.20634920634920634</v>
      </c>
    </row>
    <row r="2488" spans="1:14" x14ac:dyDescent="0.3">
      <c r="A2488" s="6">
        <v>45835</v>
      </c>
      <c r="B2488" s="1" t="s">
        <v>2672</v>
      </c>
      <c r="C2488" s="1" t="s">
        <v>29</v>
      </c>
      <c r="D2488" t="s">
        <v>35</v>
      </c>
      <c r="E2488" t="s">
        <v>186</v>
      </c>
      <c r="F2488" t="s">
        <v>22</v>
      </c>
      <c r="G2488" t="s">
        <v>18</v>
      </c>
      <c r="H2488" s="3">
        <v>1</v>
      </c>
      <c r="I2488" s="3">
        <v>9030</v>
      </c>
      <c r="J2488" s="3">
        <v>9030</v>
      </c>
      <c r="K2488" s="3">
        <v>7000</v>
      </c>
      <c r="L2488" s="3">
        <v>7000</v>
      </c>
      <c r="M2488" s="3">
        <v>2030</v>
      </c>
      <c r="N2488" s="4">
        <v>0.22480620155038761</v>
      </c>
    </row>
    <row r="2489" spans="1:14" x14ac:dyDescent="0.3">
      <c r="A2489" s="6">
        <v>45835</v>
      </c>
      <c r="B2489" s="1" t="s">
        <v>2673</v>
      </c>
      <c r="C2489" s="1" t="s">
        <v>29</v>
      </c>
      <c r="D2489" t="s">
        <v>33</v>
      </c>
      <c r="E2489" t="s">
        <v>184</v>
      </c>
      <c r="F2489" t="s">
        <v>22</v>
      </c>
      <c r="G2489" t="s">
        <v>18</v>
      </c>
      <c r="H2489" s="3">
        <v>5</v>
      </c>
      <c r="I2489" s="3">
        <v>8750</v>
      </c>
      <c r="J2489" s="3">
        <v>43750</v>
      </c>
      <c r="K2489" s="3">
        <v>7000</v>
      </c>
      <c r="L2489" s="3">
        <v>35000</v>
      </c>
      <c r="M2489" s="3">
        <v>8750</v>
      </c>
      <c r="N2489" s="4">
        <v>0.2</v>
      </c>
    </row>
    <row r="2490" spans="1:14" x14ac:dyDescent="0.3">
      <c r="A2490" s="6">
        <v>45835</v>
      </c>
      <c r="B2490" s="1" t="s">
        <v>2674</v>
      </c>
      <c r="C2490" s="1" t="s">
        <v>27</v>
      </c>
      <c r="D2490" t="s">
        <v>32</v>
      </c>
      <c r="E2490" t="s">
        <v>308</v>
      </c>
      <c r="F2490" t="s">
        <v>14</v>
      </c>
      <c r="G2490" t="s">
        <v>15</v>
      </c>
      <c r="H2490" s="3">
        <v>4</v>
      </c>
      <c r="I2490" s="3">
        <v>55800</v>
      </c>
      <c r="J2490" s="3">
        <v>223200</v>
      </c>
      <c r="K2490" s="3">
        <v>45000</v>
      </c>
      <c r="L2490" s="3">
        <v>180000</v>
      </c>
      <c r="M2490" s="3">
        <v>43200</v>
      </c>
      <c r="N2490" s="4">
        <v>0.19354838709677419</v>
      </c>
    </row>
    <row r="2491" spans="1:14" x14ac:dyDescent="0.3">
      <c r="A2491" s="6">
        <v>45835</v>
      </c>
      <c r="B2491" s="1" t="s">
        <v>2675</v>
      </c>
      <c r="C2491" s="1" t="s">
        <v>26</v>
      </c>
      <c r="D2491" t="s">
        <v>33</v>
      </c>
      <c r="E2491" t="s">
        <v>306</v>
      </c>
      <c r="F2491" t="s">
        <v>22</v>
      </c>
      <c r="G2491" t="s">
        <v>18</v>
      </c>
      <c r="H2491" s="3">
        <v>8</v>
      </c>
      <c r="I2491" s="3">
        <v>8890</v>
      </c>
      <c r="J2491" s="3">
        <v>71120</v>
      </c>
      <c r="K2491" s="3">
        <v>7000</v>
      </c>
      <c r="L2491" s="3">
        <v>56000</v>
      </c>
      <c r="M2491" s="3">
        <v>15120</v>
      </c>
      <c r="N2491" s="4">
        <v>0.2125984251968504</v>
      </c>
    </row>
    <row r="2492" spans="1:14" x14ac:dyDescent="0.3">
      <c r="A2492" s="6">
        <v>45836</v>
      </c>
      <c r="B2492" s="1" t="s">
        <v>2676</v>
      </c>
      <c r="C2492" s="1" t="s">
        <v>27</v>
      </c>
      <c r="D2492" t="s">
        <v>35</v>
      </c>
      <c r="E2492" t="s">
        <v>104</v>
      </c>
      <c r="F2492" t="s">
        <v>19</v>
      </c>
      <c r="G2492" t="s">
        <v>20</v>
      </c>
      <c r="H2492" s="3">
        <v>5</v>
      </c>
      <c r="I2492" s="3">
        <v>1215</v>
      </c>
      <c r="J2492" s="3">
        <v>6075</v>
      </c>
      <c r="K2492" s="3">
        <v>900</v>
      </c>
      <c r="L2492" s="3">
        <v>4500</v>
      </c>
      <c r="M2492" s="3">
        <v>1575</v>
      </c>
      <c r="N2492" s="4">
        <v>0.25925925925925924</v>
      </c>
    </row>
    <row r="2493" spans="1:14" x14ac:dyDescent="0.3">
      <c r="A2493" s="6">
        <v>45836</v>
      </c>
      <c r="B2493" s="1" t="s">
        <v>2677</v>
      </c>
      <c r="C2493" s="1" t="s">
        <v>29</v>
      </c>
      <c r="D2493" t="s">
        <v>32</v>
      </c>
      <c r="E2493" t="s">
        <v>306</v>
      </c>
      <c r="F2493" t="s">
        <v>16</v>
      </c>
      <c r="G2493" t="s">
        <v>15</v>
      </c>
      <c r="H2493" s="3">
        <v>4</v>
      </c>
      <c r="I2493" s="3">
        <v>54720</v>
      </c>
      <c r="J2493" s="3">
        <v>218880</v>
      </c>
      <c r="K2493" s="3">
        <v>38000</v>
      </c>
      <c r="L2493" s="3">
        <v>152000</v>
      </c>
      <c r="M2493" s="3">
        <v>66880</v>
      </c>
      <c r="N2493" s="4">
        <v>0.30555555555555558</v>
      </c>
    </row>
    <row r="2494" spans="1:14" x14ac:dyDescent="0.3">
      <c r="A2494" s="6">
        <v>45836</v>
      </c>
      <c r="B2494" s="1" t="s">
        <v>2678</v>
      </c>
      <c r="C2494" s="1" t="s">
        <v>26</v>
      </c>
      <c r="D2494" t="s">
        <v>34</v>
      </c>
      <c r="E2494" t="s">
        <v>263</v>
      </c>
      <c r="F2494" t="s">
        <v>23</v>
      </c>
      <c r="G2494" t="s">
        <v>25</v>
      </c>
      <c r="H2494" s="3">
        <v>1</v>
      </c>
      <c r="I2494" s="3">
        <v>4128</v>
      </c>
      <c r="J2494" s="3">
        <v>4128</v>
      </c>
      <c r="K2494" s="3">
        <v>3200</v>
      </c>
      <c r="L2494" s="3">
        <v>3200</v>
      </c>
      <c r="M2494" s="3">
        <v>928</v>
      </c>
      <c r="N2494" s="4">
        <v>0.22480620155038761</v>
      </c>
    </row>
    <row r="2495" spans="1:14" x14ac:dyDescent="0.3">
      <c r="A2495" s="6">
        <v>45836</v>
      </c>
      <c r="B2495" s="1" t="s">
        <v>2679</v>
      </c>
      <c r="C2495" s="1" t="s">
        <v>29</v>
      </c>
      <c r="D2495" t="s">
        <v>35</v>
      </c>
      <c r="E2495" t="s">
        <v>286</v>
      </c>
      <c r="F2495" t="s">
        <v>22</v>
      </c>
      <c r="G2495" t="s">
        <v>18</v>
      </c>
      <c r="H2495" s="3">
        <v>8</v>
      </c>
      <c r="I2495" s="3">
        <v>9520</v>
      </c>
      <c r="J2495" s="3">
        <v>76160</v>
      </c>
      <c r="K2495" s="3">
        <v>7000</v>
      </c>
      <c r="L2495" s="3">
        <v>56000</v>
      </c>
      <c r="M2495" s="3">
        <v>20160</v>
      </c>
      <c r="N2495" s="4">
        <v>0.26470588235294118</v>
      </c>
    </row>
    <row r="2496" spans="1:14" x14ac:dyDescent="0.3">
      <c r="A2496" s="6">
        <v>45836</v>
      </c>
      <c r="B2496" s="1" t="s">
        <v>2680</v>
      </c>
      <c r="C2496" s="1" t="s">
        <v>28</v>
      </c>
      <c r="D2496" t="s">
        <v>32</v>
      </c>
      <c r="E2496" t="s">
        <v>157</v>
      </c>
      <c r="F2496" t="s">
        <v>16</v>
      </c>
      <c r="G2496" t="s">
        <v>15</v>
      </c>
      <c r="H2496" s="3">
        <v>1</v>
      </c>
      <c r="I2496" s="3">
        <v>52060.000000000007</v>
      </c>
      <c r="J2496" s="3">
        <v>52060.000000000007</v>
      </c>
      <c r="K2496" s="3">
        <v>38000</v>
      </c>
      <c r="L2496" s="3">
        <v>38000</v>
      </c>
      <c r="M2496" s="3">
        <v>14060.000000000007</v>
      </c>
      <c r="N2496" s="4">
        <v>0.27007299270073004</v>
      </c>
    </row>
    <row r="2497" spans="1:14" x14ac:dyDescent="0.3">
      <c r="A2497" s="6">
        <v>45836</v>
      </c>
      <c r="B2497" s="1" t="s">
        <v>2681</v>
      </c>
      <c r="C2497" s="1" t="s">
        <v>29</v>
      </c>
      <c r="D2497" t="s">
        <v>31</v>
      </c>
      <c r="E2497" t="s">
        <v>231</v>
      </c>
      <c r="F2497" t="s">
        <v>24</v>
      </c>
      <c r="G2497" t="s">
        <v>25</v>
      </c>
      <c r="H2497" s="3">
        <v>7</v>
      </c>
      <c r="I2497" s="3">
        <v>3625</v>
      </c>
      <c r="J2497" s="3">
        <v>25375</v>
      </c>
      <c r="K2497" s="3">
        <v>2500</v>
      </c>
      <c r="L2497" s="3">
        <v>17500</v>
      </c>
      <c r="M2497" s="3">
        <v>7875</v>
      </c>
      <c r="N2497" s="4">
        <v>0.31034482758620691</v>
      </c>
    </row>
    <row r="2498" spans="1:14" x14ac:dyDescent="0.3">
      <c r="A2498" s="6">
        <v>45836</v>
      </c>
      <c r="B2498" s="1" t="s">
        <v>2682</v>
      </c>
      <c r="C2498" s="1" t="s">
        <v>29</v>
      </c>
      <c r="D2498" t="s">
        <v>32</v>
      </c>
      <c r="E2498" t="s">
        <v>310</v>
      </c>
      <c r="F2498" t="s">
        <v>24</v>
      </c>
      <c r="G2498" t="s">
        <v>25</v>
      </c>
      <c r="H2498" s="3">
        <v>1</v>
      </c>
      <c r="I2498" s="3">
        <v>3275</v>
      </c>
      <c r="J2498" s="3">
        <v>3275</v>
      </c>
      <c r="K2498" s="3">
        <v>2500</v>
      </c>
      <c r="L2498" s="3">
        <v>2500</v>
      </c>
      <c r="M2498" s="3">
        <v>775</v>
      </c>
      <c r="N2498" s="4">
        <v>0.23664122137404581</v>
      </c>
    </row>
    <row r="2499" spans="1:14" x14ac:dyDescent="0.3">
      <c r="A2499" s="6">
        <v>45836</v>
      </c>
      <c r="B2499" s="1" t="s">
        <v>2683</v>
      </c>
      <c r="C2499" s="1" t="s">
        <v>26</v>
      </c>
      <c r="D2499" t="s">
        <v>34</v>
      </c>
      <c r="E2499" t="s">
        <v>204</v>
      </c>
      <c r="F2499" t="s">
        <v>22</v>
      </c>
      <c r="G2499" t="s">
        <v>18</v>
      </c>
      <c r="H2499" s="3">
        <v>7</v>
      </c>
      <c r="I2499" s="3">
        <v>10080</v>
      </c>
      <c r="J2499" s="3">
        <v>70560</v>
      </c>
      <c r="K2499" s="3">
        <v>7000</v>
      </c>
      <c r="L2499" s="3">
        <v>49000</v>
      </c>
      <c r="M2499" s="3">
        <v>21560</v>
      </c>
      <c r="N2499" s="4">
        <v>0.30555555555555558</v>
      </c>
    </row>
    <row r="2500" spans="1:14" x14ac:dyDescent="0.3">
      <c r="A2500" s="6">
        <v>45836</v>
      </c>
      <c r="B2500" s="1" t="s">
        <v>2684</v>
      </c>
      <c r="C2500" s="1" t="s">
        <v>26</v>
      </c>
      <c r="D2500" t="s">
        <v>31</v>
      </c>
      <c r="E2500" t="s">
        <v>576</v>
      </c>
      <c r="F2500" t="s">
        <v>17</v>
      </c>
      <c r="G2500" t="s">
        <v>18</v>
      </c>
      <c r="H2500" s="3">
        <v>2</v>
      </c>
      <c r="I2500" s="3">
        <v>11559.999999999998</v>
      </c>
      <c r="J2500" s="3">
        <v>23119.999999999996</v>
      </c>
      <c r="K2500" s="3">
        <v>8500</v>
      </c>
      <c r="L2500" s="3">
        <v>17000</v>
      </c>
      <c r="M2500" s="3">
        <v>6119.9999999999964</v>
      </c>
      <c r="N2500" s="4">
        <v>0.26470588235294107</v>
      </c>
    </row>
    <row r="2501" spans="1:14" x14ac:dyDescent="0.3">
      <c r="A2501" s="6">
        <v>45836</v>
      </c>
      <c r="B2501" s="1" t="s">
        <v>2685</v>
      </c>
      <c r="C2501" s="1" t="s">
        <v>29</v>
      </c>
      <c r="D2501" t="s">
        <v>32</v>
      </c>
      <c r="E2501" t="s">
        <v>308</v>
      </c>
      <c r="F2501" t="s">
        <v>16</v>
      </c>
      <c r="G2501" t="s">
        <v>15</v>
      </c>
      <c r="H2501" s="3">
        <v>1</v>
      </c>
      <c r="I2501" s="3">
        <v>47880</v>
      </c>
      <c r="J2501" s="3">
        <v>47880</v>
      </c>
      <c r="K2501" s="3">
        <v>38000</v>
      </c>
      <c r="L2501" s="3">
        <v>38000</v>
      </c>
      <c r="M2501" s="3">
        <v>9880</v>
      </c>
      <c r="N2501" s="4">
        <v>0.20634920634920634</v>
      </c>
    </row>
    <row r="2502" spans="1:14" x14ac:dyDescent="0.3">
      <c r="A2502" s="6">
        <v>45836</v>
      </c>
      <c r="B2502" s="1" t="s">
        <v>2686</v>
      </c>
      <c r="C2502" s="1" t="s">
        <v>26</v>
      </c>
      <c r="D2502" t="s">
        <v>31</v>
      </c>
      <c r="E2502" t="s">
        <v>226</v>
      </c>
      <c r="F2502" t="s">
        <v>14</v>
      </c>
      <c r="G2502" t="s">
        <v>15</v>
      </c>
      <c r="H2502" s="3">
        <v>1</v>
      </c>
      <c r="I2502" s="3">
        <v>55800</v>
      </c>
      <c r="J2502" s="3">
        <v>55800</v>
      </c>
      <c r="K2502" s="3">
        <v>45000</v>
      </c>
      <c r="L2502" s="3">
        <v>45000</v>
      </c>
      <c r="M2502" s="3">
        <v>10800</v>
      </c>
      <c r="N2502" s="4">
        <v>0.19354838709677419</v>
      </c>
    </row>
    <row r="2503" spans="1:14" x14ac:dyDescent="0.3">
      <c r="A2503" s="6">
        <v>45836</v>
      </c>
      <c r="B2503" s="1" t="s">
        <v>2687</v>
      </c>
      <c r="C2503" s="1" t="s">
        <v>27</v>
      </c>
      <c r="D2503" t="s">
        <v>35</v>
      </c>
      <c r="E2503" t="s">
        <v>273</v>
      </c>
      <c r="F2503" t="s">
        <v>16</v>
      </c>
      <c r="G2503" t="s">
        <v>15</v>
      </c>
      <c r="H2503" s="3">
        <v>9</v>
      </c>
      <c r="I2503" s="3">
        <v>47120</v>
      </c>
      <c r="J2503" s="3">
        <v>424080</v>
      </c>
      <c r="K2503" s="3">
        <v>38000</v>
      </c>
      <c r="L2503" s="3">
        <v>342000</v>
      </c>
      <c r="M2503" s="3">
        <v>82080</v>
      </c>
      <c r="N2503" s="4">
        <v>0.19354838709677419</v>
      </c>
    </row>
    <row r="2504" spans="1:14" x14ac:dyDescent="0.3">
      <c r="A2504" s="6">
        <v>45836</v>
      </c>
      <c r="B2504" s="1" t="s">
        <v>2688</v>
      </c>
      <c r="C2504" s="1" t="s">
        <v>27</v>
      </c>
      <c r="D2504" t="s">
        <v>35</v>
      </c>
      <c r="E2504" t="s">
        <v>508</v>
      </c>
      <c r="F2504" t="s">
        <v>19</v>
      </c>
      <c r="G2504" t="s">
        <v>20</v>
      </c>
      <c r="H2504" s="3">
        <v>5</v>
      </c>
      <c r="I2504" s="3">
        <v>1233</v>
      </c>
      <c r="J2504" s="3">
        <v>6165</v>
      </c>
      <c r="K2504" s="3">
        <v>900</v>
      </c>
      <c r="L2504" s="3">
        <v>4500</v>
      </c>
      <c r="M2504" s="3">
        <v>1665</v>
      </c>
      <c r="N2504" s="4">
        <v>0.27007299270072993</v>
      </c>
    </row>
    <row r="2505" spans="1:14" x14ac:dyDescent="0.3">
      <c r="A2505" s="6">
        <v>45836</v>
      </c>
      <c r="B2505" s="1" t="s">
        <v>2689</v>
      </c>
      <c r="C2505" s="1" t="s">
        <v>27</v>
      </c>
      <c r="D2505" t="s">
        <v>32</v>
      </c>
      <c r="E2505" t="s">
        <v>220</v>
      </c>
      <c r="F2505" t="s">
        <v>22</v>
      </c>
      <c r="G2505" t="s">
        <v>18</v>
      </c>
      <c r="H2505" s="3">
        <v>3</v>
      </c>
      <c r="I2505" s="3">
        <v>8470</v>
      </c>
      <c r="J2505" s="3">
        <v>25410</v>
      </c>
      <c r="K2505" s="3">
        <v>7000</v>
      </c>
      <c r="L2505" s="3">
        <v>21000</v>
      </c>
      <c r="M2505" s="3">
        <v>4410</v>
      </c>
      <c r="N2505" s="4">
        <v>0.17355371900826447</v>
      </c>
    </row>
    <row r="2506" spans="1:14" x14ac:dyDescent="0.3">
      <c r="A2506" s="6">
        <v>45837</v>
      </c>
      <c r="B2506" s="1" t="s">
        <v>2690</v>
      </c>
      <c r="C2506" s="1" t="s">
        <v>28</v>
      </c>
      <c r="D2506" t="s">
        <v>30</v>
      </c>
      <c r="E2506" t="s">
        <v>565</v>
      </c>
      <c r="F2506" t="s">
        <v>17</v>
      </c>
      <c r="G2506" t="s">
        <v>18</v>
      </c>
      <c r="H2506" s="3">
        <v>6</v>
      </c>
      <c r="I2506" s="3">
        <v>10370</v>
      </c>
      <c r="J2506" s="3">
        <v>62220</v>
      </c>
      <c r="K2506" s="3">
        <v>8500</v>
      </c>
      <c r="L2506" s="3">
        <v>51000</v>
      </c>
      <c r="M2506" s="3">
        <v>11220</v>
      </c>
      <c r="N2506" s="4">
        <v>0.18032786885245902</v>
      </c>
    </row>
    <row r="2507" spans="1:14" x14ac:dyDescent="0.3">
      <c r="A2507" s="6">
        <v>45837</v>
      </c>
      <c r="B2507" s="1" t="s">
        <v>2691</v>
      </c>
      <c r="C2507" s="1" t="s">
        <v>26</v>
      </c>
      <c r="D2507" t="s">
        <v>35</v>
      </c>
      <c r="E2507" t="s">
        <v>243</v>
      </c>
      <c r="F2507" t="s">
        <v>19</v>
      </c>
      <c r="G2507" t="s">
        <v>20</v>
      </c>
      <c r="H2507" s="3">
        <v>8</v>
      </c>
      <c r="I2507" s="3">
        <v>1080</v>
      </c>
      <c r="J2507" s="3">
        <v>8640</v>
      </c>
      <c r="K2507" s="3">
        <v>900</v>
      </c>
      <c r="L2507" s="3">
        <v>7200</v>
      </c>
      <c r="M2507" s="3">
        <v>1440</v>
      </c>
      <c r="N2507" s="4">
        <v>0.16666666666666666</v>
      </c>
    </row>
    <row r="2508" spans="1:14" x14ac:dyDescent="0.3">
      <c r="A2508" s="6">
        <v>45837</v>
      </c>
      <c r="B2508" s="1" t="s">
        <v>2692</v>
      </c>
      <c r="C2508" s="1" t="s">
        <v>29</v>
      </c>
      <c r="D2508" t="s">
        <v>33</v>
      </c>
      <c r="E2508" t="s">
        <v>751</v>
      </c>
      <c r="F2508" t="s">
        <v>24</v>
      </c>
      <c r="G2508" t="s">
        <v>25</v>
      </c>
      <c r="H2508" s="3">
        <v>7</v>
      </c>
      <c r="I2508" s="3">
        <v>3300</v>
      </c>
      <c r="J2508" s="3">
        <v>23100</v>
      </c>
      <c r="K2508" s="3">
        <v>2500</v>
      </c>
      <c r="L2508" s="3">
        <v>17500</v>
      </c>
      <c r="M2508" s="3">
        <v>5600</v>
      </c>
      <c r="N2508" s="4">
        <v>0.24242424242424243</v>
      </c>
    </row>
    <row r="2509" spans="1:14" x14ac:dyDescent="0.3">
      <c r="A2509" s="6">
        <v>45837</v>
      </c>
      <c r="B2509" s="1" t="s">
        <v>2693</v>
      </c>
      <c r="C2509" s="1" t="s">
        <v>28</v>
      </c>
      <c r="D2509" t="s">
        <v>33</v>
      </c>
      <c r="E2509" t="s">
        <v>100</v>
      </c>
      <c r="F2509" t="s">
        <v>22</v>
      </c>
      <c r="G2509" t="s">
        <v>18</v>
      </c>
      <c r="H2509" s="3">
        <v>8</v>
      </c>
      <c r="I2509" s="3">
        <v>9170</v>
      </c>
      <c r="J2509" s="3">
        <v>73360</v>
      </c>
      <c r="K2509" s="3">
        <v>7000</v>
      </c>
      <c r="L2509" s="3">
        <v>56000</v>
      </c>
      <c r="M2509" s="3">
        <v>17360</v>
      </c>
      <c r="N2509" s="4">
        <v>0.23664122137404581</v>
      </c>
    </row>
    <row r="2510" spans="1:14" x14ac:dyDescent="0.3">
      <c r="A2510" s="6">
        <v>45837</v>
      </c>
      <c r="B2510" s="1" t="s">
        <v>2694</v>
      </c>
      <c r="C2510" s="1" t="s">
        <v>28</v>
      </c>
      <c r="D2510" t="s">
        <v>30</v>
      </c>
      <c r="E2510" t="s">
        <v>153</v>
      </c>
      <c r="F2510" t="s">
        <v>14</v>
      </c>
      <c r="G2510" t="s">
        <v>15</v>
      </c>
      <c r="H2510" s="3">
        <v>4</v>
      </c>
      <c r="I2510" s="3">
        <v>54000</v>
      </c>
      <c r="J2510" s="3">
        <v>216000</v>
      </c>
      <c r="K2510" s="3">
        <v>45000</v>
      </c>
      <c r="L2510" s="3">
        <v>180000</v>
      </c>
      <c r="M2510" s="3">
        <v>36000</v>
      </c>
      <c r="N2510" s="4">
        <v>0.16666666666666666</v>
      </c>
    </row>
    <row r="2511" spans="1:14" x14ac:dyDescent="0.3">
      <c r="A2511" s="6">
        <v>45837</v>
      </c>
      <c r="B2511" s="1" t="s">
        <v>2695</v>
      </c>
      <c r="C2511" s="1" t="s">
        <v>28</v>
      </c>
      <c r="D2511" t="s">
        <v>35</v>
      </c>
      <c r="E2511" t="s">
        <v>151</v>
      </c>
      <c r="F2511" t="s">
        <v>23</v>
      </c>
      <c r="G2511" t="s">
        <v>25</v>
      </c>
      <c r="H2511" s="3">
        <v>4</v>
      </c>
      <c r="I2511" s="3">
        <v>4160</v>
      </c>
      <c r="J2511" s="3">
        <v>16640</v>
      </c>
      <c r="K2511" s="3">
        <v>3200</v>
      </c>
      <c r="L2511" s="3">
        <v>12800</v>
      </c>
      <c r="M2511" s="3">
        <v>3840</v>
      </c>
      <c r="N2511" s="4">
        <v>0.23076923076923078</v>
      </c>
    </row>
    <row r="2512" spans="1:14" x14ac:dyDescent="0.3">
      <c r="A2512" s="6">
        <v>45837</v>
      </c>
      <c r="B2512" s="1" t="s">
        <v>2696</v>
      </c>
      <c r="C2512" s="1" t="s">
        <v>29</v>
      </c>
      <c r="D2512" t="s">
        <v>32</v>
      </c>
      <c r="E2512" t="s">
        <v>163</v>
      </c>
      <c r="F2512" t="s">
        <v>24</v>
      </c>
      <c r="G2512" t="s">
        <v>25</v>
      </c>
      <c r="H2512" s="3">
        <v>6</v>
      </c>
      <c r="I2512" s="3">
        <v>3625</v>
      </c>
      <c r="J2512" s="3">
        <v>21750</v>
      </c>
      <c r="K2512" s="3">
        <v>2500</v>
      </c>
      <c r="L2512" s="3">
        <v>15000</v>
      </c>
      <c r="M2512" s="3">
        <v>6750</v>
      </c>
      <c r="N2512" s="4">
        <v>0.31034482758620691</v>
      </c>
    </row>
    <row r="2513" spans="1:14" x14ac:dyDescent="0.3">
      <c r="A2513" s="6">
        <v>45837</v>
      </c>
      <c r="B2513" s="1" t="s">
        <v>2697</v>
      </c>
      <c r="C2513" s="1" t="s">
        <v>26</v>
      </c>
      <c r="D2513" t="s">
        <v>34</v>
      </c>
      <c r="E2513" t="s">
        <v>317</v>
      </c>
      <c r="F2513" t="s">
        <v>17</v>
      </c>
      <c r="G2513" t="s">
        <v>18</v>
      </c>
      <c r="H2513" s="3">
        <v>1</v>
      </c>
      <c r="I2513" s="3">
        <v>11645</v>
      </c>
      <c r="J2513" s="3">
        <v>11645</v>
      </c>
      <c r="K2513" s="3">
        <v>8500</v>
      </c>
      <c r="L2513" s="3">
        <v>8500</v>
      </c>
      <c r="M2513" s="3">
        <v>3145</v>
      </c>
      <c r="N2513" s="4">
        <v>0.27007299270072993</v>
      </c>
    </row>
    <row r="2514" spans="1:14" x14ac:dyDescent="0.3">
      <c r="A2514" s="6">
        <v>45837</v>
      </c>
      <c r="B2514" s="1" t="s">
        <v>2698</v>
      </c>
      <c r="C2514" s="1" t="s">
        <v>29</v>
      </c>
      <c r="D2514" t="s">
        <v>32</v>
      </c>
      <c r="E2514" t="s">
        <v>935</v>
      </c>
      <c r="F2514" t="s">
        <v>17</v>
      </c>
      <c r="G2514" t="s">
        <v>18</v>
      </c>
      <c r="H2514" s="3">
        <v>5</v>
      </c>
      <c r="I2514" s="3">
        <v>11730</v>
      </c>
      <c r="J2514" s="3">
        <v>58650</v>
      </c>
      <c r="K2514" s="3">
        <v>8500</v>
      </c>
      <c r="L2514" s="3">
        <v>42500</v>
      </c>
      <c r="M2514" s="3">
        <v>16150</v>
      </c>
      <c r="N2514" s="4">
        <v>0.27536231884057971</v>
      </c>
    </row>
    <row r="2515" spans="1:14" x14ac:dyDescent="0.3">
      <c r="A2515" s="6">
        <v>45837</v>
      </c>
      <c r="B2515" s="1" t="s">
        <v>2699</v>
      </c>
      <c r="C2515" s="1" t="s">
        <v>28</v>
      </c>
      <c r="D2515" t="s">
        <v>34</v>
      </c>
      <c r="E2515" t="s">
        <v>218</v>
      </c>
      <c r="F2515" t="s">
        <v>24</v>
      </c>
      <c r="G2515" t="s">
        <v>25</v>
      </c>
      <c r="H2515" s="3">
        <v>9</v>
      </c>
      <c r="I2515" s="3">
        <v>3025</v>
      </c>
      <c r="J2515" s="3">
        <v>27225</v>
      </c>
      <c r="K2515" s="3">
        <v>2500</v>
      </c>
      <c r="L2515" s="3">
        <v>22500</v>
      </c>
      <c r="M2515" s="3">
        <v>4725</v>
      </c>
      <c r="N2515" s="4">
        <v>0.17355371900826447</v>
      </c>
    </row>
    <row r="2516" spans="1:14" x14ac:dyDescent="0.3">
      <c r="A2516" s="6">
        <v>45837</v>
      </c>
      <c r="B2516" s="1" t="s">
        <v>2700</v>
      </c>
      <c r="C2516" s="1" t="s">
        <v>28</v>
      </c>
      <c r="D2516" t="s">
        <v>31</v>
      </c>
      <c r="E2516" t="s">
        <v>161</v>
      </c>
      <c r="F2516" t="s">
        <v>24</v>
      </c>
      <c r="G2516" t="s">
        <v>25</v>
      </c>
      <c r="H2516" s="3">
        <v>1</v>
      </c>
      <c r="I2516" s="3">
        <v>3125</v>
      </c>
      <c r="J2516" s="3">
        <v>3125</v>
      </c>
      <c r="K2516" s="3">
        <v>2500</v>
      </c>
      <c r="L2516" s="3">
        <v>2500</v>
      </c>
      <c r="M2516" s="3">
        <v>625</v>
      </c>
      <c r="N2516" s="4">
        <v>0.2</v>
      </c>
    </row>
    <row r="2517" spans="1:14" x14ac:dyDescent="0.3">
      <c r="A2517" s="6">
        <v>45837</v>
      </c>
      <c r="B2517" s="1" t="s">
        <v>2701</v>
      </c>
      <c r="C2517" s="1" t="s">
        <v>26</v>
      </c>
      <c r="D2517" t="s">
        <v>34</v>
      </c>
      <c r="E2517" t="s">
        <v>83</v>
      </c>
      <c r="F2517" t="s">
        <v>24</v>
      </c>
      <c r="G2517" t="s">
        <v>25</v>
      </c>
      <c r="H2517" s="3">
        <v>6</v>
      </c>
      <c r="I2517" s="3">
        <v>3225</v>
      </c>
      <c r="J2517" s="3">
        <v>19350</v>
      </c>
      <c r="K2517" s="3">
        <v>2500</v>
      </c>
      <c r="L2517" s="3">
        <v>15000</v>
      </c>
      <c r="M2517" s="3">
        <v>4350</v>
      </c>
      <c r="N2517" s="4">
        <v>0.22480620155038761</v>
      </c>
    </row>
    <row r="2518" spans="1:14" x14ac:dyDescent="0.3">
      <c r="A2518" s="6">
        <v>45837</v>
      </c>
      <c r="B2518" s="1" t="s">
        <v>2702</v>
      </c>
      <c r="C2518" s="1" t="s">
        <v>28</v>
      </c>
      <c r="D2518" t="s">
        <v>34</v>
      </c>
      <c r="E2518" t="s">
        <v>90</v>
      </c>
      <c r="F2518" t="s">
        <v>22</v>
      </c>
      <c r="G2518" t="s">
        <v>18</v>
      </c>
      <c r="H2518" s="3">
        <v>8</v>
      </c>
      <c r="I2518" s="3">
        <v>9730</v>
      </c>
      <c r="J2518" s="3">
        <v>77840</v>
      </c>
      <c r="K2518" s="3">
        <v>7000</v>
      </c>
      <c r="L2518" s="3">
        <v>56000</v>
      </c>
      <c r="M2518" s="3">
        <v>21840</v>
      </c>
      <c r="N2518" s="4">
        <v>0.2805755395683453</v>
      </c>
    </row>
    <row r="2519" spans="1:14" x14ac:dyDescent="0.3">
      <c r="A2519" s="6">
        <v>45837</v>
      </c>
      <c r="B2519" s="1" t="s">
        <v>2703</v>
      </c>
      <c r="C2519" s="1" t="s">
        <v>29</v>
      </c>
      <c r="D2519" t="s">
        <v>35</v>
      </c>
      <c r="E2519" t="s">
        <v>189</v>
      </c>
      <c r="F2519" t="s">
        <v>22</v>
      </c>
      <c r="G2519" t="s">
        <v>18</v>
      </c>
      <c r="H2519" s="3">
        <v>8</v>
      </c>
      <c r="I2519" s="3">
        <v>8750</v>
      </c>
      <c r="J2519" s="3">
        <v>70000</v>
      </c>
      <c r="K2519" s="3">
        <v>7000</v>
      </c>
      <c r="L2519" s="3">
        <v>56000</v>
      </c>
      <c r="M2519" s="3">
        <v>14000</v>
      </c>
      <c r="N2519" s="4">
        <v>0.2</v>
      </c>
    </row>
    <row r="2520" spans="1:14" x14ac:dyDescent="0.3">
      <c r="A2520" s="6">
        <v>45838</v>
      </c>
      <c r="B2520" s="1" t="s">
        <v>2704</v>
      </c>
      <c r="C2520" s="1" t="s">
        <v>27</v>
      </c>
      <c r="D2520" t="s">
        <v>30</v>
      </c>
      <c r="E2520" t="s">
        <v>129</v>
      </c>
      <c r="F2520" t="s">
        <v>24</v>
      </c>
      <c r="G2520" t="s">
        <v>25</v>
      </c>
      <c r="H2520" s="3">
        <v>8</v>
      </c>
      <c r="I2520" s="3">
        <v>3425.0000000000005</v>
      </c>
      <c r="J2520" s="3">
        <v>27400.000000000004</v>
      </c>
      <c r="K2520" s="3">
        <v>2500</v>
      </c>
      <c r="L2520" s="3">
        <v>20000</v>
      </c>
      <c r="M2520" s="3">
        <v>7400.0000000000036</v>
      </c>
      <c r="N2520" s="4">
        <v>0.27007299270073004</v>
      </c>
    </row>
    <row r="2521" spans="1:14" x14ac:dyDescent="0.3">
      <c r="A2521" s="6">
        <v>45838</v>
      </c>
      <c r="B2521" s="1" t="s">
        <v>2705</v>
      </c>
      <c r="C2521" s="1" t="s">
        <v>29</v>
      </c>
      <c r="D2521" t="s">
        <v>30</v>
      </c>
      <c r="E2521" t="s">
        <v>807</v>
      </c>
      <c r="F2521" t="s">
        <v>16</v>
      </c>
      <c r="G2521" t="s">
        <v>15</v>
      </c>
      <c r="H2521" s="3">
        <v>8</v>
      </c>
      <c r="I2521" s="3">
        <v>52060.000000000007</v>
      </c>
      <c r="J2521" s="3">
        <v>416480.00000000006</v>
      </c>
      <c r="K2521" s="3">
        <v>38000</v>
      </c>
      <c r="L2521" s="3">
        <v>304000</v>
      </c>
      <c r="M2521" s="3">
        <v>112480.00000000006</v>
      </c>
      <c r="N2521" s="4">
        <v>0.27007299270073004</v>
      </c>
    </row>
    <row r="2522" spans="1:14" x14ac:dyDescent="0.3">
      <c r="A2522" s="6">
        <v>45838</v>
      </c>
      <c r="B2522" s="1" t="s">
        <v>2706</v>
      </c>
      <c r="C2522" s="1" t="s">
        <v>29</v>
      </c>
      <c r="D2522" t="s">
        <v>33</v>
      </c>
      <c r="E2522" t="s">
        <v>349</v>
      </c>
      <c r="F2522" t="s">
        <v>24</v>
      </c>
      <c r="G2522" t="s">
        <v>25</v>
      </c>
      <c r="H2522" s="3">
        <v>8</v>
      </c>
      <c r="I2522" s="3">
        <v>3275</v>
      </c>
      <c r="J2522" s="3">
        <v>26200</v>
      </c>
      <c r="K2522" s="3">
        <v>2500</v>
      </c>
      <c r="L2522" s="3">
        <v>20000</v>
      </c>
      <c r="M2522" s="3">
        <v>6200</v>
      </c>
      <c r="N2522" s="4">
        <v>0.23664122137404581</v>
      </c>
    </row>
    <row r="2523" spans="1:14" x14ac:dyDescent="0.3">
      <c r="A2523" s="6">
        <v>45838</v>
      </c>
      <c r="B2523" s="1" t="s">
        <v>2707</v>
      </c>
      <c r="C2523" s="1" t="s">
        <v>29</v>
      </c>
      <c r="D2523" t="s">
        <v>30</v>
      </c>
      <c r="E2523" t="s">
        <v>118</v>
      </c>
      <c r="F2523" t="s">
        <v>22</v>
      </c>
      <c r="G2523" t="s">
        <v>18</v>
      </c>
      <c r="H2523" s="3">
        <v>3</v>
      </c>
      <c r="I2523" s="3">
        <v>9310</v>
      </c>
      <c r="J2523" s="3">
        <v>27930</v>
      </c>
      <c r="K2523" s="3">
        <v>7000</v>
      </c>
      <c r="L2523" s="3">
        <v>21000</v>
      </c>
      <c r="M2523" s="3">
        <v>6930</v>
      </c>
      <c r="N2523" s="4">
        <v>0.24812030075187969</v>
      </c>
    </row>
    <row r="2524" spans="1:14" x14ac:dyDescent="0.3">
      <c r="A2524" s="6">
        <v>45838</v>
      </c>
      <c r="B2524" s="1" t="s">
        <v>2708</v>
      </c>
      <c r="C2524" s="1" t="s">
        <v>27</v>
      </c>
      <c r="D2524" t="s">
        <v>30</v>
      </c>
      <c r="E2524" t="s">
        <v>506</v>
      </c>
      <c r="F2524" t="s">
        <v>19</v>
      </c>
      <c r="G2524" t="s">
        <v>20</v>
      </c>
      <c r="H2524" s="3">
        <v>2</v>
      </c>
      <c r="I2524" s="3">
        <v>1296</v>
      </c>
      <c r="J2524" s="3">
        <v>2592</v>
      </c>
      <c r="K2524" s="3">
        <v>900</v>
      </c>
      <c r="L2524" s="3">
        <v>1800</v>
      </c>
      <c r="M2524" s="3">
        <v>792</v>
      </c>
      <c r="N2524" s="4">
        <v>0.30555555555555558</v>
      </c>
    </row>
    <row r="2525" spans="1:14" x14ac:dyDescent="0.3">
      <c r="A2525" s="6">
        <v>45838</v>
      </c>
      <c r="B2525" s="1" t="s">
        <v>2709</v>
      </c>
      <c r="C2525" s="1" t="s">
        <v>26</v>
      </c>
      <c r="D2525" t="s">
        <v>35</v>
      </c>
      <c r="E2525" t="s">
        <v>576</v>
      </c>
      <c r="F2525" t="s">
        <v>16</v>
      </c>
      <c r="G2525" t="s">
        <v>15</v>
      </c>
      <c r="H2525" s="3">
        <v>6</v>
      </c>
      <c r="I2525" s="3">
        <v>46360</v>
      </c>
      <c r="J2525" s="3">
        <v>278160</v>
      </c>
      <c r="K2525" s="3">
        <v>38000</v>
      </c>
      <c r="L2525" s="3">
        <v>228000</v>
      </c>
      <c r="M2525" s="3">
        <v>50160</v>
      </c>
      <c r="N2525" s="4">
        <v>0.18032786885245902</v>
      </c>
    </row>
    <row r="2526" spans="1:14" x14ac:dyDescent="0.3">
      <c r="A2526" s="6">
        <v>45838</v>
      </c>
      <c r="B2526" s="1" t="s">
        <v>2710</v>
      </c>
      <c r="C2526" s="1" t="s">
        <v>28</v>
      </c>
      <c r="D2526" t="s">
        <v>33</v>
      </c>
      <c r="E2526" t="s">
        <v>110</v>
      </c>
      <c r="F2526" t="s">
        <v>21</v>
      </c>
      <c r="G2526" t="s">
        <v>20</v>
      </c>
      <c r="H2526" s="3">
        <v>4</v>
      </c>
      <c r="I2526" s="3">
        <v>804</v>
      </c>
      <c r="J2526" s="3">
        <v>3216</v>
      </c>
      <c r="K2526" s="3">
        <v>600</v>
      </c>
      <c r="L2526" s="3">
        <v>2400</v>
      </c>
      <c r="M2526" s="3">
        <v>816</v>
      </c>
      <c r="N2526" s="4">
        <v>0.2537313432835821</v>
      </c>
    </row>
    <row r="2527" spans="1:14" x14ac:dyDescent="0.3">
      <c r="A2527" s="6">
        <v>45838</v>
      </c>
      <c r="B2527" s="1" t="s">
        <v>2711</v>
      </c>
      <c r="C2527" s="1" t="s">
        <v>28</v>
      </c>
      <c r="D2527" t="s">
        <v>31</v>
      </c>
      <c r="E2527" t="s">
        <v>106</v>
      </c>
      <c r="F2527" t="s">
        <v>24</v>
      </c>
      <c r="G2527" t="s">
        <v>25</v>
      </c>
      <c r="H2527" s="3">
        <v>7</v>
      </c>
      <c r="I2527" s="3">
        <v>3600</v>
      </c>
      <c r="J2527" s="3">
        <v>25200</v>
      </c>
      <c r="K2527" s="3">
        <v>2500</v>
      </c>
      <c r="L2527" s="3">
        <v>17500</v>
      </c>
      <c r="M2527" s="3">
        <v>7700</v>
      </c>
      <c r="N2527" s="4">
        <v>0.30555555555555558</v>
      </c>
    </row>
    <row r="2528" spans="1:14" x14ac:dyDescent="0.3">
      <c r="A2528" s="6">
        <v>45838</v>
      </c>
      <c r="B2528" s="1" t="s">
        <v>2712</v>
      </c>
      <c r="C2528" s="1" t="s">
        <v>28</v>
      </c>
      <c r="D2528" t="s">
        <v>31</v>
      </c>
      <c r="E2528" t="s">
        <v>51</v>
      </c>
      <c r="F2528" t="s">
        <v>24</v>
      </c>
      <c r="G2528" t="s">
        <v>25</v>
      </c>
      <c r="H2528" s="3">
        <v>9</v>
      </c>
      <c r="I2528" s="3">
        <v>3500</v>
      </c>
      <c r="J2528" s="3">
        <v>31500</v>
      </c>
      <c r="K2528" s="3">
        <v>2500</v>
      </c>
      <c r="L2528" s="3">
        <v>22500</v>
      </c>
      <c r="M2528" s="3">
        <v>9000</v>
      </c>
      <c r="N2528" s="4">
        <v>0.2857142857142857</v>
      </c>
    </row>
    <row r="2529" spans="1:14" x14ac:dyDescent="0.3">
      <c r="A2529" s="6">
        <v>45838</v>
      </c>
      <c r="B2529" s="1" t="s">
        <v>2713</v>
      </c>
      <c r="C2529" s="1" t="s">
        <v>29</v>
      </c>
      <c r="D2529" t="s">
        <v>35</v>
      </c>
      <c r="E2529" t="s">
        <v>698</v>
      </c>
      <c r="F2529" t="s">
        <v>22</v>
      </c>
      <c r="G2529" t="s">
        <v>18</v>
      </c>
      <c r="H2529" s="3">
        <v>1</v>
      </c>
      <c r="I2529" s="3">
        <v>9940</v>
      </c>
      <c r="J2529" s="3">
        <v>9940</v>
      </c>
      <c r="K2529" s="3">
        <v>7000</v>
      </c>
      <c r="L2529" s="3">
        <v>7000</v>
      </c>
      <c r="M2529" s="3">
        <v>2940</v>
      </c>
      <c r="N2529" s="4">
        <v>0.29577464788732394</v>
      </c>
    </row>
    <row r="2530" spans="1:14" x14ac:dyDescent="0.3">
      <c r="A2530" s="6">
        <v>45838</v>
      </c>
      <c r="B2530" s="1" t="s">
        <v>2714</v>
      </c>
      <c r="C2530" s="1" t="s">
        <v>29</v>
      </c>
      <c r="D2530" t="s">
        <v>32</v>
      </c>
      <c r="E2530" t="s">
        <v>94</v>
      </c>
      <c r="F2530" t="s">
        <v>22</v>
      </c>
      <c r="G2530" t="s">
        <v>18</v>
      </c>
      <c r="H2530" s="3">
        <v>8</v>
      </c>
      <c r="I2530" s="3">
        <v>8610</v>
      </c>
      <c r="J2530" s="3">
        <v>68880</v>
      </c>
      <c r="K2530" s="3">
        <v>7000</v>
      </c>
      <c r="L2530" s="3">
        <v>56000</v>
      </c>
      <c r="M2530" s="3">
        <v>12880</v>
      </c>
      <c r="N2530" s="4">
        <v>0.18699186991869918</v>
      </c>
    </row>
    <row r="2531" spans="1:14" x14ac:dyDescent="0.3">
      <c r="A2531" s="6">
        <v>45838</v>
      </c>
      <c r="B2531" s="1" t="s">
        <v>2715</v>
      </c>
      <c r="C2531" s="1" t="s">
        <v>26</v>
      </c>
      <c r="D2531" t="s">
        <v>32</v>
      </c>
      <c r="E2531" t="s">
        <v>359</v>
      </c>
      <c r="F2531" t="s">
        <v>22</v>
      </c>
      <c r="G2531" t="s">
        <v>18</v>
      </c>
      <c r="H2531" s="3">
        <v>7</v>
      </c>
      <c r="I2531" s="3">
        <v>10010</v>
      </c>
      <c r="J2531" s="3">
        <v>70070</v>
      </c>
      <c r="K2531" s="3">
        <v>7000</v>
      </c>
      <c r="L2531" s="3">
        <v>49000</v>
      </c>
      <c r="M2531" s="3">
        <v>21070</v>
      </c>
      <c r="N2531" s="4">
        <v>0.30069930069930068</v>
      </c>
    </row>
    <row r="2532" spans="1:14" x14ac:dyDescent="0.3">
      <c r="A2532" s="6">
        <v>45838</v>
      </c>
      <c r="B2532" s="1" t="s">
        <v>2716</v>
      </c>
      <c r="C2532" s="1" t="s">
        <v>29</v>
      </c>
      <c r="D2532" t="s">
        <v>30</v>
      </c>
      <c r="E2532" t="s">
        <v>37</v>
      </c>
      <c r="F2532" t="s">
        <v>23</v>
      </c>
      <c r="G2532" t="s">
        <v>25</v>
      </c>
      <c r="H2532" s="3">
        <v>4</v>
      </c>
      <c r="I2532" s="3">
        <v>4032</v>
      </c>
      <c r="J2532" s="3">
        <v>16128</v>
      </c>
      <c r="K2532" s="3">
        <v>3200</v>
      </c>
      <c r="L2532" s="3">
        <v>12800</v>
      </c>
      <c r="M2532" s="3">
        <v>3328</v>
      </c>
      <c r="N2532" s="4">
        <v>0.20634920634920634</v>
      </c>
    </row>
    <row r="2533" spans="1:14" x14ac:dyDescent="0.3">
      <c r="A2533" s="6">
        <v>45838</v>
      </c>
      <c r="B2533" s="1" t="s">
        <v>2717</v>
      </c>
      <c r="C2533" s="1" t="s">
        <v>27</v>
      </c>
      <c r="D2533" t="s">
        <v>33</v>
      </c>
      <c r="E2533" t="s">
        <v>363</v>
      </c>
      <c r="F2533" t="s">
        <v>23</v>
      </c>
      <c r="G2533" t="s">
        <v>25</v>
      </c>
      <c r="H2533" s="3">
        <v>5</v>
      </c>
      <c r="I2533" s="3">
        <v>4000</v>
      </c>
      <c r="J2533" s="3">
        <v>20000</v>
      </c>
      <c r="K2533" s="3">
        <v>3200</v>
      </c>
      <c r="L2533" s="3">
        <v>16000</v>
      </c>
      <c r="M2533" s="3">
        <v>4000</v>
      </c>
      <c r="N2533" s="4">
        <v>0.2</v>
      </c>
    </row>
    <row r="2534" spans="1:14" x14ac:dyDescent="0.3">
      <c r="A2534" s="6">
        <v>45839</v>
      </c>
      <c r="B2534" s="1" t="s">
        <v>2718</v>
      </c>
      <c r="C2534" s="1" t="s">
        <v>27</v>
      </c>
      <c r="D2534" t="s">
        <v>33</v>
      </c>
      <c r="E2534" t="s">
        <v>153</v>
      </c>
      <c r="F2534" t="s">
        <v>16</v>
      </c>
      <c r="G2534" t="s">
        <v>15</v>
      </c>
      <c r="H2534" s="3">
        <v>4</v>
      </c>
      <c r="I2534" s="3">
        <v>49400</v>
      </c>
      <c r="J2534" s="3">
        <v>197600</v>
      </c>
      <c r="K2534" s="3">
        <v>38000</v>
      </c>
      <c r="L2534" s="3">
        <v>152000</v>
      </c>
      <c r="M2534" s="3">
        <v>45600</v>
      </c>
      <c r="N2534" s="4">
        <v>0.23076923076923078</v>
      </c>
    </row>
    <row r="2535" spans="1:14" x14ac:dyDescent="0.3">
      <c r="A2535" s="6">
        <v>45839</v>
      </c>
      <c r="B2535" s="1" t="s">
        <v>2719</v>
      </c>
      <c r="C2535" s="1" t="s">
        <v>27</v>
      </c>
      <c r="D2535" t="s">
        <v>34</v>
      </c>
      <c r="E2535" t="s">
        <v>137</v>
      </c>
      <c r="F2535" t="s">
        <v>24</v>
      </c>
      <c r="G2535" t="s">
        <v>25</v>
      </c>
      <c r="H2535" s="3">
        <v>5</v>
      </c>
      <c r="I2535" s="3">
        <v>3475.0000000000005</v>
      </c>
      <c r="J2535" s="3">
        <v>17375.000000000004</v>
      </c>
      <c r="K2535" s="3">
        <v>2500</v>
      </c>
      <c r="L2535" s="3">
        <v>12500</v>
      </c>
      <c r="M2535" s="3">
        <v>4875.0000000000036</v>
      </c>
      <c r="N2535" s="4">
        <v>0.28057553956834547</v>
      </c>
    </row>
    <row r="2536" spans="1:14" x14ac:dyDescent="0.3">
      <c r="A2536" s="6">
        <v>45839</v>
      </c>
      <c r="B2536" s="1" t="s">
        <v>2720</v>
      </c>
      <c r="C2536" s="1" t="s">
        <v>28</v>
      </c>
      <c r="D2536" t="s">
        <v>31</v>
      </c>
      <c r="E2536" t="s">
        <v>57</v>
      </c>
      <c r="F2536" t="s">
        <v>16</v>
      </c>
      <c r="G2536" t="s">
        <v>15</v>
      </c>
      <c r="H2536" s="3">
        <v>8</v>
      </c>
      <c r="I2536" s="3">
        <v>46740</v>
      </c>
      <c r="J2536" s="3">
        <v>373920</v>
      </c>
      <c r="K2536" s="3">
        <v>38000</v>
      </c>
      <c r="L2536" s="3">
        <v>304000</v>
      </c>
      <c r="M2536" s="3">
        <v>69920</v>
      </c>
      <c r="N2536" s="4">
        <v>0.18699186991869918</v>
      </c>
    </row>
    <row r="2537" spans="1:14" x14ac:dyDescent="0.3">
      <c r="A2537" s="6">
        <v>45839</v>
      </c>
      <c r="B2537" s="1" t="s">
        <v>2721</v>
      </c>
      <c r="C2537" s="1" t="s">
        <v>29</v>
      </c>
      <c r="D2537" t="s">
        <v>35</v>
      </c>
      <c r="E2537" t="s">
        <v>220</v>
      </c>
      <c r="F2537" t="s">
        <v>22</v>
      </c>
      <c r="G2537" t="s">
        <v>18</v>
      </c>
      <c r="H2537" s="3">
        <v>6</v>
      </c>
      <c r="I2537" s="3">
        <v>8750</v>
      </c>
      <c r="J2537" s="3">
        <v>52500</v>
      </c>
      <c r="K2537" s="3">
        <v>7000</v>
      </c>
      <c r="L2537" s="3">
        <v>42000</v>
      </c>
      <c r="M2537" s="3">
        <v>10500</v>
      </c>
      <c r="N2537" s="4">
        <v>0.2</v>
      </c>
    </row>
    <row r="2538" spans="1:14" x14ac:dyDescent="0.3">
      <c r="A2538" s="6">
        <v>45839</v>
      </c>
      <c r="B2538" s="1" t="s">
        <v>2722</v>
      </c>
      <c r="C2538" s="1" t="s">
        <v>27</v>
      </c>
      <c r="D2538" t="s">
        <v>32</v>
      </c>
      <c r="E2538" t="s">
        <v>85</v>
      </c>
      <c r="F2538" t="s">
        <v>14</v>
      </c>
      <c r="G2538" t="s">
        <v>15</v>
      </c>
      <c r="H2538" s="3">
        <v>6</v>
      </c>
      <c r="I2538" s="3">
        <v>65250</v>
      </c>
      <c r="J2538" s="3">
        <v>391500</v>
      </c>
      <c r="K2538" s="3">
        <v>45000</v>
      </c>
      <c r="L2538" s="3">
        <v>270000</v>
      </c>
      <c r="M2538" s="3">
        <v>121500</v>
      </c>
      <c r="N2538" s="4">
        <v>0.31034482758620691</v>
      </c>
    </row>
    <row r="2539" spans="1:14" x14ac:dyDescent="0.3">
      <c r="A2539" s="6">
        <v>45839</v>
      </c>
      <c r="B2539" s="1" t="s">
        <v>2723</v>
      </c>
      <c r="C2539" s="1" t="s">
        <v>29</v>
      </c>
      <c r="D2539" t="s">
        <v>34</v>
      </c>
      <c r="E2539" t="s">
        <v>204</v>
      </c>
      <c r="F2539" t="s">
        <v>23</v>
      </c>
      <c r="G2539" t="s">
        <v>25</v>
      </c>
      <c r="H2539" s="3">
        <v>9</v>
      </c>
      <c r="I2539" s="3">
        <v>4544</v>
      </c>
      <c r="J2539" s="3">
        <v>40896</v>
      </c>
      <c r="K2539" s="3">
        <v>3200</v>
      </c>
      <c r="L2539" s="3">
        <v>28800</v>
      </c>
      <c r="M2539" s="3">
        <v>12096</v>
      </c>
      <c r="N2539" s="4">
        <v>0.29577464788732394</v>
      </c>
    </row>
    <row r="2540" spans="1:14" x14ac:dyDescent="0.3">
      <c r="A2540" s="6">
        <v>45839</v>
      </c>
      <c r="B2540" s="1" t="s">
        <v>2724</v>
      </c>
      <c r="C2540" s="1" t="s">
        <v>28</v>
      </c>
      <c r="D2540" t="s">
        <v>31</v>
      </c>
      <c r="E2540" t="s">
        <v>201</v>
      </c>
      <c r="F2540" t="s">
        <v>14</v>
      </c>
      <c r="G2540" t="s">
        <v>15</v>
      </c>
      <c r="H2540" s="3">
        <v>8</v>
      </c>
      <c r="I2540" s="3">
        <v>60300</v>
      </c>
      <c r="J2540" s="3">
        <v>482400</v>
      </c>
      <c r="K2540" s="3">
        <v>45000</v>
      </c>
      <c r="L2540" s="3">
        <v>360000</v>
      </c>
      <c r="M2540" s="3">
        <v>122400</v>
      </c>
      <c r="N2540" s="4">
        <v>0.2537313432835821</v>
      </c>
    </row>
    <row r="2541" spans="1:14" x14ac:dyDescent="0.3">
      <c r="A2541" s="6">
        <v>45839</v>
      </c>
      <c r="B2541" s="1" t="s">
        <v>2725</v>
      </c>
      <c r="C2541" s="1" t="s">
        <v>28</v>
      </c>
      <c r="D2541" t="s">
        <v>35</v>
      </c>
      <c r="E2541" t="s">
        <v>381</v>
      </c>
      <c r="F2541" t="s">
        <v>16</v>
      </c>
      <c r="G2541" t="s">
        <v>15</v>
      </c>
      <c r="H2541" s="3">
        <v>10</v>
      </c>
      <c r="I2541" s="3">
        <v>45600</v>
      </c>
      <c r="J2541" s="3">
        <v>456000</v>
      </c>
      <c r="K2541" s="3">
        <v>38000</v>
      </c>
      <c r="L2541" s="3">
        <v>380000</v>
      </c>
      <c r="M2541" s="3">
        <v>76000</v>
      </c>
      <c r="N2541" s="4">
        <v>0.16666666666666666</v>
      </c>
    </row>
    <row r="2542" spans="1:14" x14ac:dyDescent="0.3">
      <c r="A2542" s="6">
        <v>45839</v>
      </c>
      <c r="B2542" s="1" t="s">
        <v>2726</v>
      </c>
      <c r="C2542" s="1" t="s">
        <v>28</v>
      </c>
      <c r="D2542" t="s">
        <v>32</v>
      </c>
      <c r="E2542" t="s">
        <v>265</v>
      </c>
      <c r="F2542" t="s">
        <v>24</v>
      </c>
      <c r="G2542" t="s">
        <v>25</v>
      </c>
      <c r="H2542" s="3">
        <v>5</v>
      </c>
      <c r="I2542" s="3">
        <v>3250</v>
      </c>
      <c r="J2542" s="3">
        <v>16250</v>
      </c>
      <c r="K2542" s="3">
        <v>2500</v>
      </c>
      <c r="L2542" s="3">
        <v>12500</v>
      </c>
      <c r="M2542" s="3">
        <v>3750</v>
      </c>
      <c r="N2542" s="4">
        <v>0.23076923076923078</v>
      </c>
    </row>
    <row r="2543" spans="1:14" x14ac:dyDescent="0.3">
      <c r="A2543" s="6">
        <v>45839</v>
      </c>
      <c r="B2543" s="1" t="s">
        <v>2727</v>
      </c>
      <c r="C2543" s="1" t="s">
        <v>26</v>
      </c>
      <c r="D2543" t="s">
        <v>32</v>
      </c>
      <c r="E2543" t="s">
        <v>206</v>
      </c>
      <c r="F2543" t="s">
        <v>21</v>
      </c>
      <c r="G2543" t="s">
        <v>20</v>
      </c>
      <c r="H2543" s="3">
        <v>8</v>
      </c>
      <c r="I2543" s="3">
        <v>804</v>
      </c>
      <c r="J2543" s="3">
        <v>6432</v>
      </c>
      <c r="K2543" s="3">
        <v>600</v>
      </c>
      <c r="L2543" s="3">
        <v>4800</v>
      </c>
      <c r="M2543" s="3">
        <v>1632</v>
      </c>
      <c r="N2543" s="4">
        <v>0.2537313432835821</v>
      </c>
    </row>
    <row r="2544" spans="1:14" x14ac:dyDescent="0.3">
      <c r="A2544" s="6">
        <v>45839</v>
      </c>
      <c r="B2544" s="1" t="s">
        <v>2728</v>
      </c>
      <c r="C2544" s="1" t="s">
        <v>28</v>
      </c>
      <c r="D2544" t="s">
        <v>30</v>
      </c>
      <c r="E2544" t="s">
        <v>201</v>
      </c>
      <c r="F2544" t="s">
        <v>19</v>
      </c>
      <c r="G2544" t="s">
        <v>20</v>
      </c>
      <c r="H2544" s="3">
        <v>7</v>
      </c>
      <c r="I2544" s="3">
        <v>1134</v>
      </c>
      <c r="J2544" s="3">
        <v>7938</v>
      </c>
      <c r="K2544" s="3">
        <v>900</v>
      </c>
      <c r="L2544" s="3">
        <v>6300</v>
      </c>
      <c r="M2544" s="3">
        <v>1638</v>
      </c>
      <c r="N2544" s="4">
        <v>0.20634920634920634</v>
      </c>
    </row>
    <row r="2545" spans="1:14" x14ac:dyDescent="0.3">
      <c r="A2545" s="6">
        <v>45839</v>
      </c>
      <c r="B2545" s="1" t="s">
        <v>2729</v>
      </c>
      <c r="C2545" s="1" t="s">
        <v>29</v>
      </c>
      <c r="D2545" t="s">
        <v>34</v>
      </c>
      <c r="E2545" t="s">
        <v>407</v>
      </c>
      <c r="F2545" t="s">
        <v>22</v>
      </c>
      <c r="G2545" t="s">
        <v>18</v>
      </c>
      <c r="H2545" s="3">
        <v>9</v>
      </c>
      <c r="I2545" s="3">
        <v>9800</v>
      </c>
      <c r="J2545" s="3">
        <v>88200</v>
      </c>
      <c r="K2545" s="3">
        <v>7000</v>
      </c>
      <c r="L2545" s="3">
        <v>63000</v>
      </c>
      <c r="M2545" s="3">
        <v>25200</v>
      </c>
      <c r="N2545" s="4">
        <v>0.2857142857142857</v>
      </c>
    </row>
    <row r="2546" spans="1:14" x14ac:dyDescent="0.3">
      <c r="A2546" s="6">
        <v>45839</v>
      </c>
      <c r="B2546" s="1" t="s">
        <v>2730</v>
      </c>
      <c r="C2546" s="1" t="s">
        <v>29</v>
      </c>
      <c r="D2546" t="s">
        <v>34</v>
      </c>
      <c r="E2546" t="s">
        <v>236</v>
      </c>
      <c r="F2546" t="s">
        <v>24</v>
      </c>
      <c r="G2546" t="s">
        <v>25</v>
      </c>
      <c r="H2546" s="3">
        <v>9</v>
      </c>
      <c r="I2546" s="3">
        <v>3600</v>
      </c>
      <c r="J2546" s="3">
        <v>32400</v>
      </c>
      <c r="K2546" s="3">
        <v>2500</v>
      </c>
      <c r="L2546" s="3">
        <v>22500</v>
      </c>
      <c r="M2546" s="3">
        <v>9900</v>
      </c>
      <c r="N2546" s="4">
        <v>0.30555555555555558</v>
      </c>
    </row>
    <row r="2547" spans="1:14" x14ac:dyDescent="0.3">
      <c r="A2547" s="6">
        <v>45839</v>
      </c>
      <c r="B2547" s="1" t="s">
        <v>2731</v>
      </c>
      <c r="C2547" s="1" t="s">
        <v>26</v>
      </c>
      <c r="D2547" t="s">
        <v>35</v>
      </c>
      <c r="E2547" t="s">
        <v>96</v>
      </c>
      <c r="F2547" t="s">
        <v>19</v>
      </c>
      <c r="G2547" t="s">
        <v>20</v>
      </c>
      <c r="H2547" s="3">
        <v>8</v>
      </c>
      <c r="I2547" s="3">
        <v>1134</v>
      </c>
      <c r="J2547" s="3">
        <v>9072</v>
      </c>
      <c r="K2547" s="3">
        <v>900</v>
      </c>
      <c r="L2547" s="3">
        <v>7200</v>
      </c>
      <c r="M2547" s="3">
        <v>1872</v>
      </c>
      <c r="N2547" s="4">
        <v>0.20634920634920634</v>
      </c>
    </row>
    <row r="2548" spans="1:14" x14ac:dyDescent="0.3">
      <c r="A2548" s="6">
        <v>45840</v>
      </c>
      <c r="B2548" s="1" t="s">
        <v>2732</v>
      </c>
      <c r="C2548" s="1" t="s">
        <v>29</v>
      </c>
      <c r="D2548" t="s">
        <v>34</v>
      </c>
      <c r="E2548" t="s">
        <v>163</v>
      </c>
      <c r="F2548" t="s">
        <v>14</v>
      </c>
      <c r="G2548" t="s">
        <v>15</v>
      </c>
      <c r="H2548" s="3">
        <v>1</v>
      </c>
      <c r="I2548" s="3">
        <v>56250</v>
      </c>
      <c r="J2548" s="3">
        <v>56250</v>
      </c>
      <c r="K2548" s="3">
        <v>45000</v>
      </c>
      <c r="L2548" s="3">
        <v>45000</v>
      </c>
      <c r="M2548" s="3">
        <v>11250</v>
      </c>
      <c r="N2548" s="4">
        <v>0.2</v>
      </c>
    </row>
    <row r="2549" spans="1:14" x14ac:dyDescent="0.3">
      <c r="A2549" s="6">
        <v>45840</v>
      </c>
      <c r="B2549" s="1" t="s">
        <v>2733</v>
      </c>
      <c r="C2549" s="1" t="s">
        <v>26</v>
      </c>
      <c r="D2549" t="s">
        <v>33</v>
      </c>
      <c r="E2549" t="s">
        <v>218</v>
      </c>
      <c r="F2549" t="s">
        <v>17</v>
      </c>
      <c r="G2549" t="s">
        <v>18</v>
      </c>
      <c r="H2549" s="3">
        <v>6</v>
      </c>
      <c r="I2549" s="3">
        <v>10285</v>
      </c>
      <c r="J2549" s="3">
        <v>61710</v>
      </c>
      <c r="K2549" s="3">
        <v>8500</v>
      </c>
      <c r="L2549" s="3">
        <v>51000</v>
      </c>
      <c r="M2549" s="3">
        <v>10710</v>
      </c>
      <c r="N2549" s="4">
        <v>0.17355371900826447</v>
      </c>
    </row>
    <row r="2550" spans="1:14" x14ac:dyDescent="0.3">
      <c r="A2550" s="6">
        <v>45840</v>
      </c>
      <c r="B2550" s="1" t="s">
        <v>2734</v>
      </c>
      <c r="C2550" s="1" t="s">
        <v>29</v>
      </c>
      <c r="D2550" t="s">
        <v>35</v>
      </c>
      <c r="E2550" t="s">
        <v>415</v>
      </c>
      <c r="F2550" t="s">
        <v>14</v>
      </c>
      <c r="G2550" t="s">
        <v>15</v>
      </c>
      <c r="H2550" s="3">
        <v>9</v>
      </c>
      <c r="I2550" s="3">
        <v>55350</v>
      </c>
      <c r="J2550" s="3">
        <v>498150</v>
      </c>
      <c r="K2550" s="3">
        <v>45000</v>
      </c>
      <c r="L2550" s="3">
        <v>405000</v>
      </c>
      <c r="M2550" s="3">
        <v>93150</v>
      </c>
      <c r="N2550" s="4">
        <v>0.18699186991869918</v>
      </c>
    </row>
    <row r="2551" spans="1:14" x14ac:dyDescent="0.3">
      <c r="A2551" s="6">
        <v>45840</v>
      </c>
      <c r="B2551" s="1" t="s">
        <v>2735</v>
      </c>
      <c r="C2551" s="1" t="s">
        <v>28</v>
      </c>
      <c r="D2551" t="s">
        <v>33</v>
      </c>
      <c r="E2551" t="s">
        <v>116</v>
      </c>
      <c r="F2551" t="s">
        <v>21</v>
      </c>
      <c r="G2551" t="s">
        <v>20</v>
      </c>
      <c r="H2551" s="3">
        <v>2</v>
      </c>
      <c r="I2551" s="3">
        <v>786</v>
      </c>
      <c r="J2551" s="3">
        <v>1572</v>
      </c>
      <c r="K2551" s="3">
        <v>600</v>
      </c>
      <c r="L2551" s="3">
        <v>1200</v>
      </c>
      <c r="M2551" s="3">
        <v>372</v>
      </c>
      <c r="N2551" s="4">
        <v>0.23664122137404581</v>
      </c>
    </row>
    <row r="2552" spans="1:14" x14ac:dyDescent="0.3">
      <c r="A2552" s="6">
        <v>45840</v>
      </c>
      <c r="B2552" s="1" t="s">
        <v>2736</v>
      </c>
      <c r="C2552" s="1" t="s">
        <v>28</v>
      </c>
      <c r="D2552" t="s">
        <v>34</v>
      </c>
      <c r="E2552" t="s">
        <v>206</v>
      </c>
      <c r="F2552" t="s">
        <v>19</v>
      </c>
      <c r="G2552" t="s">
        <v>20</v>
      </c>
      <c r="H2552" s="3">
        <v>1</v>
      </c>
      <c r="I2552" s="3">
        <v>1152</v>
      </c>
      <c r="J2552" s="3">
        <v>1152</v>
      </c>
      <c r="K2552" s="3">
        <v>900</v>
      </c>
      <c r="L2552" s="3">
        <v>900</v>
      </c>
      <c r="M2552" s="3">
        <v>252</v>
      </c>
      <c r="N2552" s="4">
        <v>0.21875</v>
      </c>
    </row>
    <row r="2553" spans="1:14" x14ac:dyDescent="0.3">
      <c r="A2553" s="6">
        <v>45840</v>
      </c>
      <c r="B2553" s="1" t="s">
        <v>2737</v>
      </c>
      <c r="C2553" s="1" t="s">
        <v>29</v>
      </c>
      <c r="D2553" t="s">
        <v>33</v>
      </c>
      <c r="E2553" t="s">
        <v>506</v>
      </c>
      <c r="F2553" t="s">
        <v>19</v>
      </c>
      <c r="G2553" t="s">
        <v>20</v>
      </c>
      <c r="H2553" s="3">
        <v>7</v>
      </c>
      <c r="I2553" s="3">
        <v>1269</v>
      </c>
      <c r="J2553" s="3">
        <v>8883</v>
      </c>
      <c r="K2553" s="3">
        <v>900</v>
      </c>
      <c r="L2553" s="3">
        <v>6300</v>
      </c>
      <c r="M2553" s="3">
        <v>2583</v>
      </c>
      <c r="N2553" s="4">
        <v>0.29078014184397161</v>
      </c>
    </row>
    <row r="2554" spans="1:14" x14ac:dyDescent="0.3">
      <c r="A2554" s="6">
        <v>45840</v>
      </c>
      <c r="B2554" s="1" t="s">
        <v>2738</v>
      </c>
      <c r="C2554" s="1" t="s">
        <v>29</v>
      </c>
      <c r="D2554" t="s">
        <v>34</v>
      </c>
      <c r="E2554" t="s">
        <v>112</v>
      </c>
      <c r="F2554" t="s">
        <v>21</v>
      </c>
      <c r="G2554" t="s">
        <v>20</v>
      </c>
      <c r="H2554" s="3">
        <v>6</v>
      </c>
      <c r="I2554" s="3">
        <v>858</v>
      </c>
      <c r="J2554" s="3">
        <v>5148</v>
      </c>
      <c r="K2554" s="3">
        <v>600</v>
      </c>
      <c r="L2554" s="3">
        <v>3600</v>
      </c>
      <c r="M2554" s="3">
        <v>1548</v>
      </c>
      <c r="N2554" s="4">
        <v>0.30069930069930068</v>
      </c>
    </row>
    <row r="2555" spans="1:14" x14ac:dyDescent="0.3">
      <c r="A2555" s="6">
        <v>45840</v>
      </c>
      <c r="B2555" s="1" t="s">
        <v>2739</v>
      </c>
      <c r="C2555" s="1" t="s">
        <v>28</v>
      </c>
      <c r="D2555" t="s">
        <v>34</v>
      </c>
      <c r="E2555" t="s">
        <v>45</v>
      </c>
      <c r="F2555" t="s">
        <v>14</v>
      </c>
      <c r="G2555" t="s">
        <v>15</v>
      </c>
      <c r="H2555" s="3">
        <v>5</v>
      </c>
      <c r="I2555" s="3">
        <v>55350</v>
      </c>
      <c r="J2555" s="3">
        <v>276750</v>
      </c>
      <c r="K2555" s="3">
        <v>45000</v>
      </c>
      <c r="L2555" s="3">
        <v>225000</v>
      </c>
      <c r="M2555" s="3">
        <v>51750</v>
      </c>
      <c r="N2555" s="4">
        <v>0.18699186991869918</v>
      </c>
    </row>
    <row r="2556" spans="1:14" x14ac:dyDescent="0.3">
      <c r="A2556" s="6">
        <v>45840</v>
      </c>
      <c r="B2556" s="1" t="s">
        <v>2740</v>
      </c>
      <c r="C2556" s="1" t="s">
        <v>27</v>
      </c>
      <c r="D2556" t="s">
        <v>34</v>
      </c>
      <c r="E2556" t="s">
        <v>41</v>
      </c>
      <c r="F2556" t="s">
        <v>24</v>
      </c>
      <c r="G2556" t="s">
        <v>25</v>
      </c>
      <c r="H2556" s="3">
        <v>9</v>
      </c>
      <c r="I2556" s="3">
        <v>3399.9999999999995</v>
      </c>
      <c r="J2556" s="3">
        <v>30599.999999999996</v>
      </c>
      <c r="K2556" s="3">
        <v>2500</v>
      </c>
      <c r="L2556" s="3">
        <v>22500</v>
      </c>
      <c r="M2556" s="3">
        <v>8099.9999999999964</v>
      </c>
      <c r="N2556" s="4">
        <v>0.26470588235294107</v>
      </c>
    </row>
    <row r="2557" spans="1:14" x14ac:dyDescent="0.3">
      <c r="A2557" s="6">
        <v>45840</v>
      </c>
      <c r="B2557" s="1" t="s">
        <v>2741</v>
      </c>
      <c r="C2557" s="1" t="s">
        <v>27</v>
      </c>
      <c r="D2557" t="s">
        <v>31</v>
      </c>
      <c r="E2557" t="s">
        <v>427</v>
      </c>
      <c r="F2557" t="s">
        <v>21</v>
      </c>
      <c r="G2557" t="s">
        <v>20</v>
      </c>
      <c r="H2557" s="3">
        <v>6</v>
      </c>
      <c r="I2557" s="3">
        <v>810</v>
      </c>
      <c r="J2557" s="3">
        <v>4860</v>
      </c>
      <c r="K2557" s="3">
        <v>600</v>
      </c>
      <c r="L2557" s="3">
        <v>3600</v>
      </c>
      <c r="M2557" s="3">
        <v>1260</v>
      </c>
      <c r="N2557" s="4">
        <v>0.25925925925925924</v>
      </c>
    </row>
    <row r="2558" spans="1:14" x14ac:dyDescent="0.3">
      <c r="A2558" s="6">
        <v>45840</v>
      </c>
      <c r="B2558" s="1" t="s">
        <v>2742</v>
      </c>
      <c r="C2558" s="1" t="s">
        <v>28</v>
      </c>
      <c r="D2558" t="s">
        <v>31</v>
      </c>
      <c r="E2558" t="s">
        <v>231</v>
      </c>
      <c r="F2558" t="s">
        <v>23</v>
      </c>
      <c r="G2558" t="s">
        <v>25</v>
      </c>
      <c r="H2558" s="3">
        <v>1</v>
      </c>
      <c r="I2558" s="3">
        <v>4384</v>
      </c>
      <c r="J2558" s="3">
        <v>4384</v>
      </c>
      <c r="K2558" s="3">
        <v>3200</v>
      </c>
      <c r="L2558" s="3">
        <v>3200</v>
      </c>
      <c r="M2558" s="3">
        <v>1184</v>
      </c>
      <c r="N2558" s="4">
        <v>0.27007299270072993</v>
      </c>
    </row>
    <row r="2559" spans="1:14" x14ac:dyDescent="0.3">
      <c r="A2559" s="6">
        <v>45840</v>
      </c>
      <c r="B2559" s="1" t="s">
        <v>2743</v>
      </c>
      <c r="C2559" s="1" t="s">
        <v>26</v>
      </c>
      <c r="D2559" t="s">
        <v>34</v>
      </c>
      <c r="E2559" t="s">
        <v>222</v>
      </c>
      <c r="F2559" t="s">
        <v>17</v>
      </c>
      <c r="G2559" t="s">
        <v>18</v>
      </c>
      <c r="H2559" s="3">
        <v>9</v>
      </c>
      <c r="I2559" s="3">
        <v>12240</v>
      </c>
      <c r="J2559" s="3">
        <v>110160</v>
      </c>
      <c r="K2559" s="3">
        <v>8500</v>
      </c>
      <c r="L2559" s="3">
        <v>76500</v>
      </c>
      <c r="M2559" s="3">
        <v>33660</v>
      </c>
      <c r="N2559" s="4">
        <v>0.30555555555555558</v>
      </c>
    </row>
    <row r="2560" spans="1:14" x14ac:dyDescent="0.3">
      <c r="A2560" s="6">
        <v>45840</v>
      </c>
      <c r="B2560" s="1" t="s">
        <v>2744</v>
      </c>
      <c r="C2560" s="1" t="s">
        <v>26</v>
      </c>
      <c r="D2560" t="s">
        <v>34</v>
      </c>
      <c r="E2560" t="s">
        <v>94</v>
      </c>
      <c r="F2560" t="s">
        <v>16</v>
      </c>
      <c r="G2560" t="s">
        <v>15</v>
      </c>
      <c r="H2560" s="3">
        <v>10</v>
      </c>
      <c r="I2560" s="3">
        <v>53200</v>
      </c>
      <c r="J2560" s="3">
        <v>532000</v>
      </c>
      <c r="K2560" s="3">
        <v>38000</v>
      </c>
      <c r="L2560" s="3">
        <v>380000</v>
      </c>
      <c r="M2560" s="3">
        <v>152000</v>
      </c>
      <c r="N2560" s="4">
        <v>0.2857142857142857</v>
      </c>
    </row>
    <row r="2561" spans="1:14" x14ac:dyDescent="0.3">
      <c r="A2561" s="6">
        <v>45840</v>
      </c>
      <c r="B2561" s="1" t="s">
        <v>2745</v>
      </c>
      <c r="C2561" s="1" t="s">
        <v>26</v>
      </c>
      <c r="D2561" t="s">
        <v>35</v>
      </c>
      <c r="E2561" t="s">
        <v>41</v>
      </c>
      <c r="F2561" t="s">
        <v>14</v>
      </c>
      <c r="G2561" t="s">
        <v>15</v>
      </c>
      <c r="H2561" s="3">
        <v>2</v>
      </c>
      <c r="I2561" s="3">
        <v>57600</v>
      </c>
      <c r="J2561" s="3">
        <v>115200</v>
      </c>
      <c r="K2561" s="3">
        <v>45000</v>
      </c>
      <c r="L2561" s="3">
        <v>90000</v>
      </c>
      <c r="M2561" s="3">
        <v>25200</v>
      </c>
      <c r="N2561" s="4">
        <v>0.21875</v>
      </c>
    </row>
    <row r="2562" spans="1:14" x14ac:dyDescent="0.3">
      <c r="A2562" s="6">
        <v>45841</v>
      </c>
      <c r="B2562" s="1" t="s">
        <v>2746</v>
      </c>
      <c r="C2562" s="1" t="s">
        <v>29</v>
      </c>
      <c r="D2562" t="s">
        <v>34</v>
      </c>
      <c r="E2562" t="s">
        <v>126</v>
      </c>
      <c r="F2562" t="s">
        <v>24</v>
      </c>
      <c r="G2562" t="s">
        <v>25</v>
      </c>
      <c r="H2562" s="3">
        <v>5</v>
      </c>
      <c r="I2562" s="3">
        <v>3025</v>
      </c>
      <c r="J2562" s="3">
        <v>15125</v>
      </c>
      <c r="K2562" s="3">
        <v>2500</v>
      </c>
      <c r="L2562" s="3">
        <v>12500</v>
      </c>
      <c r="M2562" s="3">
        <v>2625</v>
      </c>
      <c r="N2562" s="4">
        <v>0.17355371900826447</v>
      </c>
    </row>
    <row r="2563" spans="1:14" x14ac:dyDescent="0.3">
      <c r="A2563" s="6">
        <v>45841</v>
      </c>
      <c r="B2563" s="1" t="s">
        <v>2747</v>
      </c>
      <c r="C2563" s="1" t="s">
        <v>26</v>
      </c>
      <c r="D2563" t="s">
        <v>33</v>
      </c>
      <c r="E2563" t="s">
        <v>698</v>
      </c>
      <c r="F2563" t="s">
        <v>14</v>
      </c>
      <c r="G2563" t="s">
        <v>15</v>
      </c>
      <c r="H2563" s="3">
        <v>2</v>
      </c>
      <c r="I2563" s="3">
        <v>54000</v>
      </c>
      <c r="J2563" s="3">
        <v>108000</v>
      </c>
      <c r="K2563" s="3">
        <v>45000</v>
      </c>
      <c r="L2563" s="3">
        <v>90000</v>
      </c>
      <c r="M2563" s="3">
        <v>18000</v>
      </c>
      <c r="N2563" s="4">
        <v>0.16666666666666666</v>
      </c>
    </row>
    <row r="2564" spans="1:14" x14ac:dyDescent="0.3">
      <c r="A2564" s="6">
        <v>45841</v>
      </c>
      <c r="B2564" s="1" t="s">
        <v>2748</v>
      </c>
      <c r="C2564" s="1" t="s">
        <v>26</v>
      </c>
      <c r="D2564" t="s">
        <v>30</v>
      </c>
      <c r="E2564" t="s">
        <v>208</v>
      </c>
      <c r="F2564" t="s">
        <v>14</v>
      </c>
      <c r="G2564" t="s">
        <v>15</v>
      </c>
      <c r="H2564" s="3">
        <v>7</v>
      </c>
      <c r="I2564" s="3">
        <v>57150</v>
      </c>
      <c r="J2564" s="3">
        <v>400050</v>
      </c>
      <c r="K2564" s="3">
        <v>45000</v>
      </c>
      <c r="L2564" s="3">
        <v>315000</v>
      </c>
      <c r="M2564" s="3">
        <v>85050</v>
      </c>
      <c r="N2564" s="4">
        <v>0.2125984251968504</v>
      </c>
    </row>
    <row r="2565" spans="1:14" x14ac:dyDescent="0.3">
      <c r="A2565" s="6">
        <v>45841</v>
      </c>
      <c r="B2565" s="1" t="s">
        <v>2749</v>
      </c>
      <c r="C2565" s="1" t="s">
        <v>28</v>
      </c>
      <c r="D2565" t="s">
        <v>32</v>
      </c>
      <c r="E2565" t="s">
        <v>319</v>
      </c>
      <c r="F2565" t="s">
        <v>24</v>
      </c>
      <c r="G2565" t="s">
        <v>25</v>
      </c>
      <c r="H2565" s="3">
        <v>7</v>
      </c>
      <c r="I2565" s="3">
        <v>3475.0000000000005</v>
      </c>
      <c r="J2565" s="3">
        <v>24325.000000000004</v>
      </c>
      <c r="K2565" s="3">
        <v>2500</v>
      </c>
      <c r="L2565" s="3">
        <v>17500</v>
      </c>
      <c r="M2565" s="3">
        <v>6825.0000000000036</v>
      </c>
      <c r="N2565" s="4">
        <v>0.28057553956834541</v>
      </c>
    </row>
    <row r="2566" spans="1:14" x14ac:dyDescent="0.3">
      <c r="A2566" s="6">
        <v>45841</v>
      </c>
      <c r="B2566" s="1" t="s">
        <v>2750</v>
      </c>
      <c r="C2566" s="1" t="s">
        <v>29</v>
      </c>
      <c r="D2566" t="s">
        <v>34</v>
      </c>
      <c r="E2566" t="s">
        <v>263</v>
      </c>
      <c r="F2566" t="s">
        <v>23</v>
      </c>
      <c r="G2566" t="s">
        <v>25</v>
      </c>
      <c r="H2566" s="3">
        <v>5</v>
      </c>
      <c r="I2566" s="3">
        <v>4320</v>
      </c>
      <c r="J2566" s="3">
        <v>21600</v>
      </c>
      <c r="K2566" s="3">
        <v>3200</v>
      </c>
      <c r="L2566" s="3">
        <v>16000</v>
      </c>
      <c r="M2566" s="3">
        <v>5600</v>
      </c>
      <c r="N2566" s="4">
        <v>0.25925925925925924</v>
      </c>
    </row>
    <row r="2567" spans="1:14" x14ac:dyDescent="0.3">
      <c r="A2567" s="6">
        <v>45841</v>
      </c>
      <c r="B2567" s="1" t="s">
        <v>2751</v>
      </c>
      <c r="C2567" s="1" t="s">
        <v>27</v>
      </c>
      <c r="D2567" t="s">
        <v>30</v>
      </c>
      <c r="E2567" t="s">
        <v>131</v>
      </c>
      <c r="F2567" t="s">
        <v>14</v>
      </c>
      <c r="G2567" t="s">
        <v>15</v>
      </c>
      <c r="H2567" s="3">
        <v>8</v>
      </c>
      <c r="I2567" s="3">
        <v>64350</v>
      </c>
      <c r="J2567" s="3">
        <v>514800</v>
      </c>
      <c r="K2567" s="3">
        <v>45000</v>
      </c>
      <c r="L2567" s="3">
        <v>360000</v>
      </c>
      <c r="M2567" s="3">
        <v>154800</v>
      </c>
      <c r="N2567" s="4">
        <v>0.30069930069930068</v>
      </c>
    </row>
    <row r="2568" spans="1:14" x14ac:dyDescent="0.3">
      <c r="A2568" s="6">
        <v>45841</v>
      </c>
      <c r="B2568" s="1" t="s">
        <v>2752</v>
      </c>
      <c r="C2568" s="1" t="s">
        <v>26</v>
      </c>
      <c r="D2568" t="s">
        <v>31</v>
      </c>
      <c r="E2568" t="s">
        <v>524</v>
      </c>
      <c r="F2568" t="s">
        <v>16</v>
      </c>
      <c r="G2568" t="s">
        <v>15</v>
      </c>
      <c r="H2568" s="3">
        <v>3</v>
      </c>
      <c r="I2568" s="3">
        <v>53200</v>
      </c>
      <c r="J2568" s="3">
        <v>159600</v>
      </c>
      <c r="K2568" s="3">
        <v>38000</v>
      </c>
      <c r="L2568" s="3">
        <v>114000</v>
      </c>
      <c r="M2568" s="3">
        <v>45600</v>
      </c>
      <c r="N2568" s="4">
        <v>0.2857142857142857</v>
      </c>
    </row>
    <row r="2569" spans="1:14" x14ac:dyDescent="0.3">
      <c r="A2569" s="6">
        <v>45841</v>
      </c>
      <c r="B2569" s="1" t="s">
        <v>2753</v>
      </c>
      <c r="C2569" s="1" t="s">
        <v>27</v>
      </c>
      <c r="D2569" t="s">
        <v>33</v>
      </c>
      <c r="E2569" t="s">
        <v>359</v>
      </c>
      <c r="F2569" t="s">
        <v>19</v>
      </c>
      <c r="G2569" t="s">
        <v>20</v>
      </c>
      <c r="H2569" s="3">
        <v>4</v>
      </c>
      <c r="I2569" s="3">
        <v>1089</v>
      </c>
      <c r="J2569" s="3">
        <v>4356</v>
      </c>
      <c r="K2569" s="3">
        <v>900</v>
      </c>
      <c r="L2569" s="3">
        <v>3600</v>
      </c>
      <c r="M2569" s="3">
        <v>756</v>
      </c>
      <c r="N2569" s="4">
        <v>0.17355371900826447</v>
      </c>
    </row>
    <row r="2570" spans="1:14" x14ac:dyDescent="0.3">
      <c r="A2570" s="6">
        <v>45841</v>
      </c>
      <c r="B2570" s="1" t="s">
        <v>2754</v>
      </c>
      <c r="C2570" s="1" t="s">
        <v>27</v>
      </c>
      <c r="D2570" t="s">
        <v>31</v>
      </c>
      <c r="E2570" t="s">
        <v>208</v>
      </c>
      <c r="F2570" t="s">
        <v>17</v>
      </c>
      <c r="G2570" t="s">
        <v>18</v>
      </c>
      <c r="H2570" s="3">
        <v>4</v>
      </c>
      <c r="I2570" s="3">
        <v>12155</v>
      </c>
      <c r="J2570" s="3">
        <v>48620</v>
      </c>
      <c r="K2570" s="3">
        <v>8500</v>
      </c>
      <c r="L2570" s="3">
        <v>34000</v>
      </c>
      <c r="M2570" s="3">
        <v>14620</v>
      </c>
      <c r="N2570" s="4">
        <v>0.30069930069930068</v>
      </c>
    </row>
    <row r="2571" spans="1:14" x14ac:dyDescent="0.3">
      <c r="A2571" s="6">
        <v>45841</v>
      </c>
      <c r="B2571" s="1" t="s">
        <v>2755</v>
      </c>
      <c r="C2571" s="1" t="s">
        <v>29</v>
      </c>
      <c r="D2571" t="s">
        <v>33</v>
      </c>
      <c r="E2571" t="s">
        <v>76</v>
      </c>
      <c r="F2571" t="s">
        <v>21</v>
      </c>
      <c r="G2571" t="s">
        <v>20</v>
      </c>
      <c r="H2571" s="3">
        <v>3</v>
      </c>
      <c r="I2571" s="3">
        <v>774</v>
      </c>
      <c r="J2571" s="3">
        <v>2322</v>
      </c>
      <c r="K2571" s="3">
        <v>600</v>
      </c>
      <c r="L2571" s="3">
        <v>1800</v>
      </c>
      <c r="M2571" s="3">
        <v>522</v>
      </c>
      <c r="N2571" s="4">
        <v>0.22480620155038761</v>
      </c>
    </row>
    <row r="2572" spans="1:14" x14ac:dyDescent="0.3">
      <c r="A2572" s="6">
        <v>45841</v>
      </c>
      <c r="B2572" s="1" t="s">
        <v>2756</v>
      </c>
      <c r="C2572" s="1" t="s">
        <v>27</v>
      </c>
      <c r="D2572" t="s">
        <v>30</v>
      </c>
      <c r="E2572" t="s">
        <v>411</v>
      </c>
      <c r="F2572" t="s">
        <v>16</v>
      </c>
      <c r="G2572" t="s">
        <v>15</v>
      </c>
      <c r="H2572" s="3">
        <v>1</v>
      </c>
      <c r="I2572" s="3">
        <v>51300</v>
      </c>
      <c r="J2572" s="3">
        <v>51300</v>
      </c>
      <c r="K2572" s="3">
        <v>38000</v>
      </c>
      <c r="L2572" s="3">
        <v>38000</v>
      </c>
      <c r="M2572" s="3">
        <v>13300</v>
      </c>
      <c r="N2572" s="4">
        <v>0.25925925925925924</v>
      </c>
    </row>
    <row r="2573" spans="1:14" x14ac:dyDescent="0.3">
      <c r="A2573" s="6">
        <v>45841</v>
      </c>
      <c r="B2573" s="1" t="s">
        <v>2757</v>
      </c>
      <c r="C2573" s="1" t="s">
        <v>26</v>
      </c>
      <c r="D2573" t="s">
        <v>32</v>
      </c>
      <c r="E2573" t="s">
        <v>255</v>
      </c>
      <c r="F2573" t="s">
        <v>22</v>
      </c>
      <c r="G2573" t="s">
        <v>18</v>
      </c>
      <c r="H2573" s="3">
        <v>3</v>
      </c>
      <c r="I2573" s="3">
        <v>9450</v>
      </c>
      <c r="J2573" s="3">
        <v>28350</v>
      </c>
      <c r="K2573" s="3">
        <v>7000</v>
      </c>
      <c r="L2573" s="3">
        <v>21000</v>
      </c>
      <c r="M2573" s="3">
        <v>7350</v>
      </c>
      <c r="N2573" s="4">
        <v>0.25925925925925924</v>
      </c>
    </row>
    <row r="2574" spans="1:14" x14ac:dyDescent="0.3">
      <c r="A2574" s="6">
        <v>45841</v>
      </c>
      <c r="B2574" s="1" t="s">
        <v>2758</v>
      </c>
      <c r="C2574" s="1" t="s">
        <v>29</v>
      </c>
      <c r="D2574" t="s">
        <v>31</v>
      </c>
      <c r="E2574" t="s">
        <v>424</v>
      </c>
      <c r="F2574" t="s">
        <v>17</v>
      </c>
      <c r="G2574" t="s">
        <v>18</v>
      </c>
      <c r="H2574" s="3">
        <v>7</v>
      </c>
      <c r="I2574" s="3">
        <v>11900</v>
      </c>
      <c r="J2574" s="3">
        <v>83300</v>
      </c>
      <c r="K2574" s="3">
        <v>8500</v>
      </c>
      <c r="L2574" s="3">
        <v>59500</v>
      </c>
      <c r="M2574" s="3">
        <v>23800</v>
      </c>
      <c r="N2574" s="4">
        <v>0.2857142857142857</v>
      </c>
    </row>
    <row r="2575" spans="1:14" x14ac:dyDescent="0.3">
      <c r="A2575" s="6">
        <v>45841</v>
      </c>
      <c r="B2575" s="1" t="s">
        <v>2759</v>
      </c>
      <c r="C2575" s="1" t="s">
        <v>29</v>
      </c>
      <c r="D2575" t="s">
        <v>34</v>
      </c>
      <c r="E2575" t="s">
        <v>142</v>
      </c>
      <c r="F2575" t="s">
        <v>16</v>
      </c>
      <c r="G2575" t="s">
        <v>15</v>
      </c>
      <c r="H2575" s="3">
        <v>2</v>
      </c>
      <c r="I2575" s="3">
        <v>55100</v>
      </c>
      <c r="J2575" s="3">
        <v>110200</v>
      </c>
      <c r="K2575" s="3">
        <v>38000</v>
      </c>
      <c r="L2575" s="3">
        <v>76000</v>
      </c>
      <c r="M2575" s="3">
        <v>34200</v>
      </c>
      <c r="N2575" s="4">
        <v>0.31034482758620691</v>
      </c>
    </row>
    <row r="2576" spans="1:14" x14ac:dyDescent="0.3">
      <c r="A2576" s="6">
        <v>45842</v>
      </c>
      <c r="B2576" s="1" t="s">
        <v>2760</v>
      </c>
      <c r="C2576" s="1" t="s">
        <v>28</v>
      </c>
      <c r="D2576" t="s">
        <v>32</v>
      </c>
      <c r="E2576" t="s">
        <v>98</v>
      </c>
      <c r="F2576" t="s">
        <v>19</v>
      </c>
      <c r="G2576" t="s">
        <v>20</v>
      </c>
      <c r="H2576" s="3">
        <v>8</v>
      </c>
      <c r="I2576" s="3">
        <v>1224</v>
      </c>
      <c r="J2576" s="3">
        <v>9792</v>
      </c>
      <c r="K2576" s="3">
        <v>900</v>
      </c>
      <c r="L2576" s="3">
        <v>7200</v>
      </c>
      <c r="M2576" s="3">
        <v>2592</v>
      </c>
      <c r="N2576" s="4">
        <v>0.26470588235294118</v>
      </c>
    </row>
    <row r="2577" spans="1:14" x14ac:dyDescent="0.3">
      <c r="A2577" s="6">
        <v>45842</v>
      </c>
      <c r="B2577" s="1" t="s">
        <v>2761</v>
      </c>
      <c r="C2577" s="1" t="s">
        <v>27</v>
      </c>
      <c r="D2577" t="s">
        <v>35</v>
      </c>
      <c r="E2577" t="s">
        <v>508</v>
      </c>
      <c r="F2577" t="s">
        <v>21</v>
      </c>
      <c r="G2577" t="s">
        <v>20</v>
      </c>
      <c r="H2577" s="3">
        <v>10</v>
      </c>
      <c r="I2577" s="3">
        <v>732</v>
      </c>
      <c r="J2577" s="3">
        <v>7320</v>
      </c>
      <c r="K2577" s="3">
        <v>600</v>
      </c>
      <c r="L2577" s="3">
        <v>6000</v>
      </c>
      <c r="M2577" s="3">
        <v>1320</v>
      </c>
      <c r="N2577" s="4">
        <v>0.18032786885245902</v>
      </c>
    </row>
    <row r="2578" spans="1:14" x14ac:dyDescent="0.3">
      <c r="A2578" s="6">
        <v>45842</v>
      </c>
      <c r="B2578" s="1" t="s">
        <v>2762</v>
      </c>
      <c r="C2578" s="1" t="s">
        <v>29</v>
      </c>
      <c r="D2578" t="s">
        <v>31</v>
      </c>
      <c r="E2578" t="s">
        <v>427</v>
      </c>
      <c r="F2578" t="s">
        <v>17</v>
      </c>
      <c r="G2578" t="s">
        <v>18</v>
      </c>
      <c r="H2578" s="3">
        <v>1</v>
      </c>
      <c r="I2578" s="3">
        <v>11475</v>
      </c>
      <c r="J2578" s="3">
        <v>11475</v>
      </c>
      <c r="K2578" s="3">
        <v>8500</v>
      </c>
      <c r="L2578" s="3">
        <v>8500</v>
      </c>
      <c r="M2578" s="3">
        <v>2975</v>
      </c>
      <c r="N2578" s="4">
        <v>0.25925925925925924</v>
      </c>
    </row>
    <row r="2579" spans="1:14" x14ac:dyDescent="0.3">
      <c r="A2579" s="6">
        <v>45842</v>
      </c>
      <c r="B2579" s="1" t="s">
        <v>2763</v>
      </c>
      <c r="C2579" s="1" t="s">
        <v>26</v>
      </c>
      <c r="D2579" t="s">
        <v>30</v>
      </c>
      <c r="E2579" t="s">
        <v>308</v>
      </c>
      <c r="F2579" t="s">
        <v>23</v>
      </c>
      <c r="G2579" t="s">
        <v>25</v>
      </c>
      <c r="H2579" s="3">
        <v>7</v>
      </c>
      <c r="I2579" s="3">
        <v>4320</v>
      </c>
      <c r="J2579" s="3">
        <v>30240</v>
      </c>
      <c r="K2579" s="3">
        <v>3200</v>
      </c>
      <c r="L2579" s="3">
        <v>22400</v>
      </c>
      <c r="M2579" s="3">
        <v>7840</v>
      </c>
      <c r="N2579" s="4">
        <v>0.25925925925925924</v>
      </c>
    </row>
    <row r="2580" spans="1:14" x14ac:dyDescent="0.3">
      <c r="A2580" s="6">
        <v>45842</v>
      </c>
      <c r="B2580" s="1" t="s">
        <v>2764</v>
      </c>
      <c r="C2580" s="1" t="s">
        <v>29</v>
      </c>
      <c r="D2580" t="s">
        <v>32</v>
      </c>
      <c r="E2580" t="s">
        <v>453</v>
      </c>
      <c r="F2580" t="s">
        <v>22</v>
      </c>
      <c r="G2580" t="s">
        <v>18</v>
      </c>
      <c r="H2580" s="3">
        <v>2</v>
      </c>
      <c r="I2580" s="3">
        <v>9380</v>
      </c>
      <c r="J2580" s="3">
        <v>18760</v>
      </c>
      <c r="K2580" s="3">
        <v>7000</v>
      </c>
      <c r="L2580" s="3">
        <v>14000</v>
      </c>
      <c r="M2580" s="3">
        <v>4760</v>
      </c>
      <c r="N2580" s="4">
        <v>0.2537313432835821</v>
      </c>
    </row>
    <row r="2581" spans="1:14" x14ac:dyDescent="0.3">
      <c r="A2581" s="6">
        <v>45842</v>
      </c>
      <c r="B2581" s="1" t="s">
        <v>2765</v>
      </c>
      <c r="C2581" s="1" t="s">
        <v>26</v>
      </c>
      <c r="D2581" t="s">
        <v>35</v>
      </c>
      <c r="E2581" t="s">
        <v>90</v>
      </c>
      <c r="F2581" t="s">
        <v>19</v>
      </c>
      <c r="G2581" t="s">
        <v>20</v>
      </c>
      <c r="H2581" s="3">
        <v>8</v>
      </c>
      <c r="I2581" s="3">
        <v>1287</v>
      </c>
      <c r="J2581" s="3">
        <v>10296</v>
      </c>
      <c r="K2581" s="3">
        <v>900</v>
      </c>
      <c r="L2581" s="3">
        <v>7200</v>
      </c>
      <c r="M2581" s="3">
        <v>3096</v>
      </c>
      <c r="N2581" s="4">
        <v>0.30069930069930068</v>
      </c>
    </row>
    <row r="2582" spans="1:14" x14ac:dyDescent="0.3">
      <c r="A2582" s="6">
        <v>45842</v>
      </c>
      <c r="B2582" s="1" t="s">
        <v>2766</v>
      </c>
      <c r="C2582" s="1" t="s">
        <v>29</v>
      </c>
      <c r="D2582" t="s">
        <v>35</v>
      </c>
      <c r="E2582" t="s">
        <v>538</v>
      </c>
      <c r="F2582" t="s">
        <v>19</v>
      </c>
      <c r="G2582" t="s">
        <v>20</v>
      </c>
      <c r="H2582" s="3">
        <v>1</v>
      </c>
      <c r="I2582" s="3">
        <v>1134</v>
      </c>
      <c r="J2582" s="3">
        <v>1134</v>
      </c>
      <c r="K2582" s="3">
        <v>900</v>
      </c>
      <c r="L2582" s="3">
        <v>900</v>
      </c>
      <c r="M2582" s="3">
        <v>234</v>
      </c>
      <c r="N2582" s="4">
        <v>0.20634920634920634</v>
      </c>
    </row>
    <row r="2583" spans="1:14" x14ac:dyDescent="0.3">
      <c r="A2583" s="6">
        <v>45842</v>
      </c>
      <c r="B2583" s="1" t="s">
        <v>2767</v>
      </c>
      <c r="C2583" s="1" t="s">
        <v>28</v>
      </c>
      <c r="D2583" t="s">
        <v>35</v>
      </c>
      <c r="E2583" t="s">
        <v>369</v>
      </c>
      <c r="F2583" t="s">
        <v>23</v>
      </c>
      <c r="G2583" t="s">
        <v>25</v>
      </c>
      <c r="H2583" s="3">
        <v>3</v>
      </c>
      <c r="I2583" s="3">
        <v>3968</v>
      </c>
      <c r="J2583" s="3">
        <v>11904</v>
      </c>
      <c r="K2583" s="3">
        <v>3200</v>
      </c>
      <c r="L2583" s="3">
        <v>9600</v>
      </c>
      <c r="M2583" s="3">
        <v>2304</v>
      </c>
      <c r="N2583" s="4">
        <v>0.19354838709677419</v>
      </c>
    </row>
    <row r="2584" spans="1:14" x14ac:dyDescent="0.3">
      <c r="A2584" s="6">
        <v>45842</v>
      </c>
      <c r="B2584" s="1" t="s">
        <v>2768</v>
      </c>
      <c r="C2584" s="1" t="s">
        <v>27</v>
      </c>
      <c r="D2584" t="s">
        <v>35</v>
      </c>
      <c r="E2584" t="s">
        <v>114</v>
      </c>
      <c r="F2584" t="s">
        <v>17</v>
      </c>
      <c r="G2584" t="s">
        <v>18</v>
      </c>
      <c r="H2584" s="3">
        <v>7</v>
      </c>
      <c r="I2584" s="3">
        <v>10710</v>
      </c>
      <c r="J2584" s="3">
        <v>74970</v>
      </c>
      <c r="K2584" s="3">
        <v>8500</v>
      </c>
      <c r="L2584" s="3">
        <v>59500</v>
      </c>
      <c r="M2584" s="3">
        <v>15470</v>
      </c>
      <c r="N2584" s="4">
        <v>0.20634920634920634</v>
      </c>
    </row>
    <row r="2585" spans="1:14" x14ac:dyDescent="0.3">
      <c r="A2585" s="6">
        <v>45842</v>
      </c>
      <c r="B2585" s="1" t="s">
        <v>2769</v>
      </c>
      <c r="C2585" s="1" t="s">
        <v>26</v>
      </c>
      <c r="D2585" t="s">
        <v>32</v>
      </c>
      <c r="E2585" t="s">
        <v>409</v>
      </c>
      <c r="F2585" t="s">
        <v>23</v>
      </c>
      <c r="G2585" t="s">
        <v>25</v>
      </c>
      <c r="H2585" s="3">
        <v>4</v>
      </c>
      <c r="I2585" s="3">
        <v>4416</v>
      </c>
      <c r="J2585" s="3">
        <v>17664</v>
      </c>
      <c r="K2585" s="3">
        <v>3200</v>
      </c>
      <c r="L2585" s="3">
        <v>12800</v>
      </c>
      <c r="M2585" s="3">
        <v>4864</v>
      </c>
      <c r="N2585" s="4">
        <v>0.27536231884057971</v>
      </c>
    </row>
    <row r="2586" spans="1:14" x14ac:dyDescent="0.3">
      <c r="A2586" s="6">
        <v>45842</v>
      </c>
      <c r="B2586" s="1" t="s">
        <v>2770</v>
      </c>
      <c r="C2586" s="1" t="s">
        <v>28</v>
      </c>
      <c r="D2586" t="s">
        <v>33</v>
      </c>
      <c r="E2586" t="s">
        <v>108</v>
      </c>
      <c r="F2586" t="s">
        <v>16</v>
      </c>
      <c r="G2586" t="s">
        <v>15</v>
      </c>
      <c r="H2586" s="3">
        <v>3</v>
      </c>
      <c r="I2586" s="3">
        <v>54720</v>
      </c>
      <c r="J2586" s="3">
        <v>164160</v>
      </c>
      <c r="K2586" s="3">
        <v>38000</v>
      </c>
      <c r="L2586" s="3">
        <v>114000</v>
      </c>
      <c r="M2586" s="3">
        <v>50160</v>
      </c>
      <c r="N2586" s="4">
        <v>0.30555555555555558</v>
      </c>
    </row>
    <row r="2587" spans="1:14" x14ac:dyDescent="0.3">
      <c r="A2587" s="6">
        <v>45842</v>
      </c>
      <c r="B2587" s="1" t="s">
        <v>2771</v>
      </c>
      <c r="C2587" s="1" t="s">
        <v>26</v>
      </c>
      <c r="D2587" t="s">
        <v>33</v>
      </c>
      <c r="E2587" t="s">
        <v>365</v>
      </c>
      <c r="F2587" t="s">
        <v>19</v>
      </c>
      <c r="G2587" t="s">
        <v>20</v>
      </c>
      <c r="H2587" s="3">
        <v>1</v>
      </c>
      <c r="I2587" s="3">
        <v>1215</v>
      </c>
      <c r="J2587" s="3">
        <v>1215</v>
      </c>
      <c r="K2587" s="3">
        <v>900</v>
      </c>
      <c r="L2587" s="3">
        <v>900</v>
      </c>
      <c r="M2587" s="3">
        <v>315</v>
      </c>
      <c r="N2587" s="4">
        <v>0.25925925925925924</v>
      </c>
    </row>
    <row r="2588" spans="1:14" x14ac:dyDescent="0.3">
      <c r="A2588" s="6">
        <v>45842</v>
      </c>
      <c r="B2588" s="1" t="s">
        <v>2772</v>
      </c>
      <c r="C2588" s="1" t="s">
        <v>26</v>
      </c>
      <c r="D2588" t="s">
        <v>35</v>
      </c>
      <c r="E2588" t="s">
        <v>55</v>
      </c>
      <c r="F2588" t="s">
        <v>14</v>
      </c>
      <c r="G2588" t="s">
        <v>15</v>
      </c>
      <c r="H2588" s="3">
        <v>4</v>
      </c>
      <c r="I2588" s="3">
        <v>62099.999999999993</v>
      </c>
      <c r="J2588" s="3">
        <v>248399.99999999997</v>
      </c>
      <c r="K2588" s="3">
        <v>45000</v>
      </c>
      <c r="L2588" s="3">
        <v>180000</v>
      </c>
      <c r="M2588" s="3">
        <v>68399.999999999971</v>
      </c>
      <c r="N2588" s="4">
        <v>0.2753623188405796</v>
      </c>
    </row>
    <row r="2589" spans="1:14" x14ac:dyDescent="0.3">
      <c r="A2589" s="6">
        <v>45842</v>
      </c>
      <c r="B2589" s="1" t="s">
        <v>2773</v>
      </c>
      <c r="C2589" s="1" t="s">
        <v>26</v>
      </c>
      <c r="D2589" t="s">
        <v>34</v>
      </c>
      <c r="E2589" t="s">
        <v>147</v>
      </c>
      <c r="F2589" t="s">
        <v>17</v>
      </c>
      <c r="G2589" t="s">
        <v>18</v>
      </c>
      <c r="H2589" s="3">
        <v>9</v>
      </c>
      <c r="I2589" s="3">
        <v>10200</v>
      </c>
      <c r="J2589" s="3">
        <v>91800</v>
      </c>
      <c r="K2589" s="3">
        <v>8500</v>
      </c>
      <c r="L2589" s="3">
        <v>76500</v>
      </c>
      <c r="M2589" s="3">
        <v>15300</v>
      </c>
      <c r="N2589" s="4">
        <v>0.16666666666666666</v>
      </c>
    </row>
    <row r="2590" spans="1:14" x14ac:dyDescent="0.3">
      <c r="A2590" s="6">
        <v>45843</v>
      </c>
      <c r="B2590" s="1" t="s">
        <v>2774</v>
      </c>
      <c r="C2590" s="1" t="s">
        <v>29</v>
      </c>
      <c r="D2590" t="s">
        <v>35</v>
      </c>
      <c r="E2590" t="s">
        <v>114</v>
      </c>
      <c r="F2590" t="s">
        <v>16</v>
      </c>
      <c r="G2590" t="s">
        <v>15</v>
      </c>
      <c r="H2590" s="3">
        <v>1</v>
      </c>
      <c r="I2590" s="3">
        <v>47500</v>
      </c>
      <c r="J2590" s="3">
        <v>47500</v>
      </c>
      <c r="K2590" s="3">
        <v>38000</v>
      </c>
      <c r="L2590" s="3">
        <v>38000</v>
      </c>
      <c r="M2590" s="3">
        <v>9500</v>
      </c>
      <c r="N2590" s="4">
        <v>0.2</v>
      </c>
    </row>
    <row r="2591" spans="1:14" x14ac:dyDescent="0.3">
      <c r="A2591" s="6">
        <v>45843</v>
      </c>
      <c r="B2591" s="1" t="s">
        <v>2775</v>
      </c>
      <c r="C2591" s="1" t="s">
        <v>27</v>
      </c>
      <c r="D2591" t="s">
        <v>34</v>
      </c>
      <c r="E2591" t="s">
        <v>935</v>
      </c>
      <c r="F2591" t="s">
        <v>19</v>
      </c>
      <c r="G2591" t="s">
        <v>20</v>
      </c>
      <c r="H2591" s="3">
        <v>1</v>
      </c>
      <c r="I2591" s="3">
        <v>1161</v>
      </c>
      <c r="J2591" s="3">
        <v>1161</v>
      </c>
      <c r="K2591" s="3">
        <v>900</v>
      </c>
      <c r="L2591" s="3">
        <v>900</v>
      </c>
      <c r="M2591" s="3">
        <v>261</v>
      </c>
      <c r="N2591" s="4">
        <v>0.22480620155038761</v>
      </c>
    </row>
    <row r="2592" spans="1:14" x14ac:dyDescent="0.3">
      <c r="A2592" s="6">
        <v>45843</v>
      </c>
      <c r="B2592" s="1" t="s">
        <v>2776</v>
      </c>
      <c r="C2592" s="1" t="s">
        <v>27</v>
      </c>
      <c r="D2592" t="s">
        <v>34</v>
      </c>
      <c r="E2592" t="s">
        <v>139</v>
      </c>
      <c r="F2592" t="s">
        <v>19</v>
      </c>
      <c r="G2592" t="s">
        <v>20</v>
      </c>
      <c r="H2592" s="3">
        <v>4</v>
      </c>
      <c r="I2592" s="3">
        <v>1269</v>
      </c>
      <c r="J2592" s="3">
        <v>5076</v>
      </c>
      <c r="K2592" s="3">
        <v>900</v>
      </c>
      <c r="L2592" s="3">
        <v>3600</v>
      </c>
      <c r="M2592" s="3">
        <v>1476</v>
      </c>
      <c r="N2592" s="4">
        <v>0.29078014184397161</v>
      </c>
    </row>
    <row r="2593" spans="1:14" x14ac:dyDescent="0.3">
      <c r="A2593" s="6">
        <v>45843</v>
      </c>
      <c r="B2593" s="1" t="s">
        <v>2777</v>
      </c>
      <c r="C2593" s="1" t="s">
        <v>26</v>
      </c>
      <c r="D2593" t="s">
        <v>32</v>
      </c>
      <c r="E2593" t="s">
        <v>198</v>
      </c>
      <c r="F2593" t="s">
        <v>14</v>
      </c>
      <c r="G2593" t="s">
        <v>15</v>
      </c>
      <c r="H2593" s="3">
        <v>7</v>
      </c>
      <c r="I2593" s="3">
        <v>64800</v>
      </c>
      <c r="J2593" s="3">
        <v>453600</v>
      </c>
      <c r="K2593" s="3">
        <v>45000</v>
      </c>
      <c r="L2593" s="3">
        <v>315000</v>
      </c>
      <c r="M2593" s="3">
        <v>138600</v>
      </c>
      <c r="N2593" s="4">
        <v>0.30555555555555558</v>
      </c>
    </row>
    <row r="2594" spans="1:14" x14ac:dyDescent="0.3">
      <c r="A2594" s="6">
        <v>45843</v>
      </c>
      <c r="B2594" s="1" t="s">
        <v>2778</v>
      </c>
      <c r="C2594" s="1" t="s">
        <v>29</v>
      </c>
      <c r="D2594" t="s">
        <v>32</v>
      </c>
      <c r="E2594" t="s">
        <v>351</v>
      </c>
      <c r="F2594" t="s">
        <v>16</v>
      </c>
      <c r="G2594" t="s">
        <v>15</v>
      </c>
      <c r="H2594" s="3">
        <v>10</v>
      </c>
      <c r="I2594" s="3">
        <v>52439.999999999993</v>
      </c>
      <c r="J2594" s="3">
        <v>524399.99999999988</v>
      </c>
      <c r="K2594" s="3">
        <v>38000</v>
      </c>
      <c r="L2594" s="3">
        <v>380000</v>
      </c>
      <c r="M2594" s="3">
        <v>144399.99999999988</v>
      </c>
      <c r="N2594" s="4">
        <v>0.27536231884057955</v>
      </c>
    </row>
    <row r="2595" spans="1:14" x14ac:dyDescent="0.3">
      <c r="A2595" s="6">
        <v>45843</v>
      </c>
      <c r="B2595" s="1" t="s">
        <v>2779</v>
      </c>
      <c r="C2595" s="1" t="s">
        <v>27</v>
      </c>
      <c r="D2595" t="s">
        <v>34</v>
      </c>
      <c r="E2595" t="s">
        <v>149</v>
      </c>
      <c r="F2595" t="s">
        <v>23</v>
      </c>
      <c r="G2595" t="s">
        <v>25</v>
      </c>
      <c r="H2595" s="3">
        <v>6</v>
      </c>
      <c r="I2595" s="3">
        <v>4416</v>
      </c>
      <c r="J2595" s="3">
        <v>26496</v>
      </c>
      <c r="K2595" s="3">
        <v>3200</v>
      </c>
      <c r="L2595" s="3">
        <v>19200</v>
      </c>
      <c r="M2595" s="3">
        <v>7296</v>
      </c>
      <c r="N2595" s="4">
        <v>0.27536231884057971</v>
      </c>
    </row>
    <row r="2596" spans="1:14" x14ac:dyDescent="0.3">
      <c r="A2596" s="6">
        <v>45843</v>
      </c>
      <c r="B2596" s="1" t="s">
        <v>2780</v>
      </c>
      <c r="C2596" s="1" t="s">
        <v>28</v>
      </c>
      <c r="D2596" t="s">
        <v>34</v>
      </c>
      <c r="E2596" t="s">
        <v>65</v>
      </c>
      <c r="F2596" t="s">
        <v>14</v>
      </c>
      <c r="G2596" t="s">
        <v>15</v>
      </c>
      <c r="H2596" s="3">
        <v>3</v>
      </c>
      <c r="I2596" s="3">
        <v>59400</v>
      </c>
      <c r="J2596" s="3">
        <v>178200</v>
      </c>
      <c r="K2596" s="3">
        <v>45000</v>
      </c>
      <c r="L2596" s="3">
        <v>135000</v>
      </c>
      <c r="M2596" s="3">
        <v>43200</v>
      </c>
      <c r="N2596" s="4">
        <v>0.24242424242424243</v>
      </c>
    </row>
    <row r="2597" spans="1:14" x14ac:dyDescent="0.3">
      <c r="A2597" s="6">
        <v>45843</v>
      </c>
      <c r="B2597" s="1" t="s">
        <v>2781</v>
      </c>
      <c r="C2597" s="1" t="s">
        <v>27</v>
      </c>
      <c r="D2597" t="s">
        <v>34</v>
      </c>
      <c r="E2597" t="s">
        <v>365</v>
      </c>
      <c r="F2597" t="s">
        <v>21</v>
      </c>
      <c r="G2597" t="s">
        <v>20</v>
      </c>
      <c r="H2597" s="3">
        <v>1</v>
      </c>
      <c r="I2597" s="3">
        <v>774</v>
      </c>
      <c r="J2597" s="3">
        <v>774</v>
      </c>
      <c r="K2597" s="3">
        <v>600</v>
      </c>
      <c r="L2597" s="3">
        <v>600</v>
      </c>
      <c r="M2597" s="3">
        <v>174</v>
      </c>
      <c r="N2597" s="4">
        <v>0.22480620155038761</v>
      </c>
    </row>
    <row r="2598" spans="1:14" x14ac:dyDescent="0.3">
      <c r="A2598" s="6">
        <v>45843</v>
      </c>
      <c r="B2598" s="1" t="s">
        <v>2782</v>
      </c>
      <c r="C2598" s="1" t="s">
        <v>28</v>
      </c>
      <c r="D2598" t="s">
        <v>31</v>
      </c>
      <c r="E2598" t="s">
        <v>226</v>
      </c>
      <c r="F2598" t="s">
        <v>16</v>
      </c>
      <c r="G2598" t="s">
        <v>15</v>
      </c>
      <c r="H2598" s="3">
        <v>10</v>
      </c>
      <c r="I2598" s="3">
        <v>52060.000000000007</v>
      </c>
      <c r="J2598" s="3">
        <v>520600.00000000006</v>
      </c>
      <c r="K2598" s="3">
        <v>38000</v>
      </c>
      <c r="L2598" s="3">
        <v>380000</v>
      </c>
      <c r="M2598" s="3">
        <v>140600.00000000006</v>
      </c>
      <c r="N2598" s="4">
        <v>0.27007299270072999</v>
      </c>
    </row>
    <row r="2599" spans="1:14" x14ac:dyDescent="0.3">
      <c r="A2599" s="6">
        <v>45843</v>
      </c>
      <c r="B2599" s="1" t="s">
        <v>2783</v>
      </c>
      <c r="C2599" s="1" t="s">
        <v>28</v>
      </c>
      <c r="D2599" t="s">
        <v>33</v>
      </c>
      <c r="E2599" t="s">
        <v>67</v>
      </c>
      <c r="F2599" t="s">
        <v>24</v>
      </c>
      <c r="G2599" t="s">
        <v>25</v>
      </c>
      <c r="H2599" s="3">
        <v>5</v>
      </c>
      <c r="I2599" s="3">
        <v>3575</v>
      </c>
      <c r="J2599" s="3">
        <v>17875</v>
      </c>
      <c r="K2599" s="3">
        <v>2500</v>
      </c>
      <c r="L2599" s="3">
        <v>12500</v>
      </c>
      <c r="M2599" s="3">
        <v>5375</v>
      </c>
      <c r="N2599" s="4">
        <v>0.30069930069930068</v>
      </c>
    </row>
    <row r="2600" spans="1:14" x14ac:dyDescent="0.3">
      <c r="A2600" s="6">
        <v>45843</v>
      </c>
      <c r="B2600" s="1" t="s">
        <v>2784</v>
      </c>
      <c r="C2600" s="1" t="s">
        <v>27</v>
      </c>
      <c r="D2600" t="s">
        <v>33</v>
      </c>
      <c r="E2600" t="s">
        <v>137</v>
      </c>
      <c r="F2600" t="s">
        <v>19</v>
      </c>
      <c r="G2600" t="s">
        <v>20</v>
      </c>
      <c r="H2600" s="3">
        <v>7</v>
      </c>
      <c r="I2600" s="3">
        <v>1224</v>
      </c>
      <c r="J2600" s="3">
        <v>8568</v>
      </c>
      <c r="K2600" s="3">
        <v>900</v>
      </c>
      <c r="L2600" s="3">
        <v>6300</v>
      </c>
      <c r="M2600" s="3">
        <v>2268</v>
      </c>
      <c r="N2600" s="4">
        <v>0.26470588235294118</v>
      </c>
    </row>
    <row r="2601" spans="1:14" x14ac:dyDescent="0.3">
      <c r="A2601" s="6">
        <v>45843</v>
      </c>
      <c r="B2601" s="1" t="s">
        <v>2785</v>
      </c>
      <c r="C2601" s="1" t="s">
        <v>27</v>
      </c>
      <c r="D2601" t="s">
        <v>31</v>
      </c>
      <c r="E2601" t="s">
        <v>126</v>
      </c>
      <c r="F2601" t="s">
        <v>16</v>
      </c>
      <c r="G2601" t="s">
        <v>15</v>
      </c>
      <c r="H2601" s="3">
        <v>4</v>
      </c>
      <c r="I2601" s="3">
        <v>53580</v>
      </c>
      <c r="J2601" s="3">
        <v>214320</v>
      </c>
      <c r="K2601" s="3">
        <v>38000</v>
      </c>
      <c r="L2601" s="3">
        <v>152000</v>
      </c>
      <c r="M2601" s="3">
        <v>62320</v>
      </c>
      <c r="N2601" s="4">
        <v>0.29078014184397161</v>
      </c>
    </row>
    <row r="2602" spans="1:14" x14ac:dyDescent="0.3">
      <c r="A2602" s="6">
        <v>45843</v>
      </c>
      <c r="B2602" s="1" t="s">
        <v>2786</v>
      </c>
      <c r="C2602" s="1" t="s">
        <v>27</v>
      </c>
      <c r="D2602" t="s">
        <v>30</v>
      </c>
      <c r="E2602" t="s">
        <v>201</v>
      </c>
      <c r="F2602" t="s">
        <v>16</v>
      </c>
      <c r="G2602" t="s">
        <v>15</v>
      </c>
      <c r="H2602" s="3">
        <v>10</v>
      </c>
      <c r="I2602" s="3">
        <v>49780</v>
      </c>
      <c r="J2602" s="3">
        <v>497800</v>
      </c>
      <c r="K2602" s="3">
        <v>38000</v>
      </c>
      <c r="L2602" s="3">
        <v>380000</v>
      </c>
      <c r="M2602" s="3">
        <v>117800</v>
      </c>
      <c r="N2602" s="4">
        <v>0.23664122137404581</v>
      </c>
    </row>
    <row r="2603" spans="1:14" x14ac:dyDescent="0.3">
      <c r="A2603" s="6">
        <v>45843</v>
      </c>
      <c r="B2603" s="1" t="s">
        <v>2787</v>
      </c>
      <c r="C2603" s="1" t="s">
        <v>29</v>
      </c>
      <c r="D2603" t="s">
        <v>34</v>
      </c>
      <c r="E2603" t="s">
        <v>49</v>
      </c>
      <c r="F2603" t="s">
        <v>24</v>
      </c>
      <c r="G2603" t="s">
        <v>25</v>
      </c>
      <c r="H2603" s="3">
        <v>8</v>
      </c>
      <c r="I2603" s="3">
        <v>3075</v>
      </c>
      <c r="J2603" s="3">
        <v>24600</v>
      </c>
      <c r="K2603" s="3">
        <v>2500</v>
      </c>
      <c r="L2603" s="3">
        <v>20000</v>
      </c>
      <c r="M2603" s="3">
        <v>4600</v>
      </c>
      <c r="N2603" s="4">
        <v>0.18699186991869918</v>
      </c>
    </row>
    <row r="2604" spans="1:14" x14ac:dyDescent="0.3">
      <c r="A2604" s="6">
        <v>45844</v>
      </c>
      <c r="B2604" s="1" t="s">
        <v>2788</v>
      </c>
      <c r="C2604" s="1" t="s">
        <v>26</v>
      </c>
      <c r="D2604" t="s">
        <v>31</v>
      </c>
      <c r="E2604" t="s">
        <v>538</v>
      </c>
      <c r="F2604" t="s">
        <v>24</v>
      </c>
      <c r="G2604" t="s">
        <v>25</v>
      </c>
      <c r="H2604" s="3">
        <v>4</v>
      </c>
      <c r="I2604" s="3">
        <v>3175</v>
      </c>
      <c r="J2604" s="3">
        <v>12700</v>
      </c>
      <c r="K2604" s="3">
        <v>2500</v>
      </c>
      <c r="L2604" s="3">
        <v>10000</v>
      </c>
      <c r="M2604" s="3">
        <v>2700</v>
      </c>
      <c r="N2604" s="4">
        <v>0.2125984251968504</v>
      </c>
    </row>
    <row r="2605" spans="1:14" x14ac:dyDescent="0.3">
      <c r="A2605" s="6">
        <v>45844</v>
      </c>
      <c r="B2605" s="1" t="s">
        <v>2789</v>
      </c>
      <c r="C2605" s="1" t="s">
        <v>27</v>
      </c>
      <c r="D2605" t="s">
        <v>31</v>
      </c>
      <c r="E2605" t="s">
        <v>166</v>
      </c>
      <c r="F2605" t="s">
        <v>19</v>
      </c>
      <c r="G2605" t="s">
        <v>20</v>
      </c>
      <c r="H2605" s="3">
        <v>6</v>
      </c>
      <c r="I2605" s="3">
        <v>1305</v>
      </c>
      <c r="J2605" s="3">
        <v>7830</v>
      </c>
      <c r="K2605" s="3">
        <v>900</v>
      </c>
      <c r="L2605" s="3">
        <v>5400</v>
      </c>
      <c r="M2605" s="3">
        <v>2430</v>
      </c>
      <c r="N2605" s="4">
        <v>0.31034482758620691</v>
      </c>
    </row>
    <row r="2606" spans="1:14" x14ac:dyDescent="0.3">
      <c r="A2606" s="6">
        <v>45844</v>
      </c>
      <c r="B2606" s="1" t="s">
        <v>2790</v>
      </c>
      <c r="C2606" s="1" t="s">
        <v>27</v>
      </c>
      <c r="D2606" t="s">
        <v>35</v>
      </c>
      <c r="E2606" t="s">
        <v>98</v>
      </c>
      <c r="F2606" t="s">
        <v>23</v>
      </c>
      <c r="G2606" t="s">
        <v>25</v>
      </c>
      <c r="H2606" s="3">
        <v>9</v>
      </c>
      <c r="I2606" s="3">
        <v>4576</v>
      </c>
      <c r="J2606" s="3">
        <v>41184</v>
      </c>
      <c r="K2606" s="3">
        <v>3200</v>
      </c>
      <c r="L2606" s="3">
        <v>28800</v>
      </c>
      <c r="M2606" s="3">
        <v>12384</v>
      </c>
      <c r="N2606" s="4">
        <v>0.30069930069930068</v>
      </c>
    </row>
    <row r="2607" spans="1:14" x14ac:dyDescent="0.3">
      <c r="A2607" s="6">
        <v>45844</v>
      </c>
      <c r="B2607" s="1" t="s">
        <v>2791</v>
      </c>
      <c r="C2607" s="1" t="s">
        <v>26</v>
      </c>
      <c r="D2607" t="s">
        <v>31</v>
      </c>
      <c r="E2607" t="s">
        <v>81</v>
      </c>
      <c r="F2607" t="s">
        <v>24</v>
      </c>
      <c r="G2607" t="s">
        <v>25</v>
      </c>
      <c r="H2607" s="3">
        <v>9</v>
      </c>
      <c r="I2607" s="3">
        <v>3600</v>
      </c>
      <c r="J2607" s="3">
        <v>32400</v>
      </c>
      <c r="K2607" s="3">
        <v>2500</v>
      </c>
      <c r="L2607" s="3">
        <v>22500</v>
      </c>
      <c r="M2607" s="3">
        <v>9900</v>
      </c>
      <c r="N2607" s="4">
        <v>0.30555555555555558</v>
      </c>
    </row>
    <row r="2608" spans="1:14" x14ac:dyDescent="0.3">
      <c r="A2608" s="6">
        <v>45844</v>
      </c>
      <c r="B2608" s="1" t="s">
        <v>2792</v>
      </c>
      <c r="C2608" s="1" t="s">
        <v>29</v>
      </c>
      <c r="D2608" t="s">
        <v>31</v>
      </c>
      <c r="E2608" t="s">
        <v>351</v>
      </c>
      <c r="F2608" t="s">
        <v>17</v>
      </c>
      <c r="G2608" t="s">
        <v>18</v>
      </c>
      <c r="H2608" s="3">
        <v>5</v>
      </c>
      <c r="I2608" s="3">
        <v>11305</v>
      </c>
      <c r="J2608" s="3">
        <v>56525</v>
      </c>
      <c r="K2608" s="3">
        <v>8500</v>
      </c>
      <c r="L2608" s="3">
        <v>42500</v>
      </c>
      <c r="M2608" s="3">
        <v>14025</v>
      </c>
      <c r="N2608" s="4">
        <v>0.24812030075187969</v>
      </c>
    </row>
    <row r="2609" spans="1:14" x14ac:dyDescent="0.3">
      <c r="A2609" s="6">
        <v>45844</v>
      </c>
      <c r="B2609" s="1" t="s">
        <v>2793</v>
      </c>
      <c r="C2609" s="1" t="s">
        <v>27</v>
      </c>
      <c r="D2609" t="s">
        <v>35</v>
      </c>
      <c r="E2609" t="s">
        <v>292</v>
      </c>
      <c r="F2609" t="s">
        <v>22</v>
      </c>
      <c r="G2609" t="s">
        <v>18</v>
      </c>
      <c r="H2609" s="3">
        <v>6</v>
      </c>
      <c r="I2609" s="3">
        <v>9450</v>
      </c>
      <c r="J2609" s="3">
        <v>56700</v>
      </c>
      <c r="K2609" s="3">
        <v>7000</v>
      </c>
      <c r="L2609" s="3">
        <v>42000</v>
      </c>
      <c r="M2609" s="3">
        <v>14700</v>
      </c>
      <c r="N2609" s="4">
        <v>0.25925925925925924</v>
      </c>
    </row>
    <row r="2610" spans="1:14" x14ac:dyDescent="0.3">
      <c r="A2610" s="6">
        <v>45844</v>
      </c>
      <c r="B2610" s="1" t="s">
        <v>2794</v>
      </c>
      <c r="C2610" s="1" t="s">
        <v>26</v>
      </c>
      <c r="D2610" t="s">
        <v>34</v>
      </c>
      <c r="E2610" t="s">
        <v>108</v>
      </c>
      <c r="F2610" t="s">
        <v>19</v>
      </c>
      <c r="G2610" t="s">
        <v>20</v>
      </c>
      <c r="H2610" s="3">
        <v>2</v>
      </c>
      <c r="I2610" s="3">
        <v>1116</v>
      </c>
      <c r="J2610" s="3">
        <v>2232</v>
      </c>
      <c r="K2610" s="3">
        <v>900</v>
      </c>
      <c r="L2610" s="3">
        <v>1800</v>
      </c>
      <c r="M2610" s="3">
        <v>432</v>
      </c>
      <c r="N2610" s="4">
        <v>0.19354838709677419</v>
      </c>
    </row>
    <row r="2611" spans="1:14" x14ac:dyDescent="0.3">
      <c r="A2611" s="6">
        <v>45844</v>
      </c>
      <c r="B2611" s="1" t="s">
        <v>2795</v>
      </c>
      <c r="C2611" s="1" t="s">
        <v>29</v>
      </c>
      <c r="D2611" t="s">
        <v>30</v>
      </c>
      <c r="E2611" t="s">
        <v>147</v>
      </c>
      <c r="F2611" t="s">
        <v>22</v>
      </c>
      <c r="G2611" t="s">
        <v>18</v>
      </c>
      <c r="H2611" s="3">
        <v>5</v>
      </c>
      <c r="I2611" s="3">
        <v>9100</v>
      </c>
      <c r="J2611" s="3">
        <v>45500</v>
      </c>
      <c r="K2611" s="3">
        <v>7000</v>
      </c>
      <c r="L2611" s="3">
        <v>35000</v>
      </c>
      <c r="M2611" s="3">
        <v>10500</v>
      </c>
      <c r="N2611" s="4">
        <v>0.23076923076923078</v>
      </c>
    </row>
    <row r="2612" spans="1:14" x14ac:dyDescent="0.3">
      <c r="A2612" s="6">
        <v>45844</v>
      </c>
      <c r="B2612" s="1" t="s">
        <v>2796</v>
      </c>
      <c r="C2612" s="1" t="s">
        <v>29</v>
      </c>
      <c r="D2612" t="s">
        <v>30</v>
      </c>
      <c r="E2612" t="s">
        <v>157</v>
      </c>
      <c r="F2612" t="s">
        <v>17</v>
      </c>
      <c r="G2612" t="s">
        <v>18</v>
      </c>
      <c r="H2612" s="3">
        <v>6</v>
      </c>
      <c r="I2612" s="3">
        <v>11900</v>
      </c>
      <c r="J2612" s="3">
        <v>71400</v>
      </c>
      <c r="K2612" s="3">
        <v>8500</v>
      </c>
      <c r="L2612" s="3">
        <v>51000</v>
      </c>
      <c r="M2612" s="3">
        <v>20400</v>
      </c>
      <c r="N2612" s="4">
        <v>0.2857142857142857</v>
      </c>
    </row>
    <row r="2613" spans="1:14" x14ac:dyDescent="0.3">
      <c r="A2613" s="6">
        <v>45844</v>
      </c>
      <c r="B2613" s="1" t="s">
        <v>2797</v>
      </c>
      <c r="C2613" s="1" t="s">
        <v>27</v>
      </c>
      <c r="D2613" t="s">
        <v>31</v>
      </c>
      <c r="E2613" t="s">
        <v>310</v>
      </c>
      <c r="F2613" t="s">
        <v>21</v>
      </c>
      <c r="G2613" t="s">
        <v>20</v>
      </c>
      <c r="H2613" s="3">
        <v>8</v>
      </c>
      <c r="I2613" s="3">
        <v>786</v>
      </c>
      <c r="J2613" s="3">
        <v>6288</v>
      </c>
      <c r="K2613" s="3">
        <v>600</v>
      </c>
      <c r="L2613" s="3">
        <v>4800</v>
      </c>
      <c r="M2613" s="3">
        <v>1488</v>
      </c>
      <c r="N2613" s="4">
        <v>0.23664122137404581</v>
      </c>
    </row>
    <row r="2614" spans="1:14" x14ac:dyDescent="0.3">
      <c r="A2614" s="6">
        <v>45844</v>
      </c>
      <c r="B2614" s="1" t="s">
        <v>2798</v>
      </c>
      <c r="C2614" s="1" t="s">
        <v>29</v>
      </c>
      <c r="D2614" t="s">
        <v>31</v>
      </c>
      <c r="E2614" t="s">
        <v>69</v>
      </c>
      <c r="F2614" t="s">
        <v>23</v>
      </c>
      <c r="G2614" t="s">
        <v>25</v>
      </c>
      <c r="H2614" s="3">
        <v>8</v>
      </c>
      <c r="I2614" s="3">
        <v>3968</v>
      </c>
      <c r="J2614" s="3">
        <v>31744</v>
      </c>
      <c r="K2614" s="3">
        <v>3200</v>
      </c>
      <c r="L2614" s="3">
        <v>25600</v>
      </c>
      <c r="M2614" s="3">
        <v>6144</v>
      </c>
      <c r="N2614" s="4">
        <v>0.19354838709677419</v>
      </c>
    </row>
    <row r="2615" spans="1:14" x14ac:dyDescent="0.3">
      <c r="A2615" s="6">
        <v>45844</v>
      </c>
      <c r="B2615" s="1" t="s">
        <v>2799</v>
      </c>
      <c r="C2615" s="1" t="s">
        <v>29</v>
      </c>
      <c r="D2615" t="s">
        <v>32</v>
      </c>
      <c r="E2615" t="s">
        <v>126</v>
      </c>
      <c r="F2615" t="s">
        <v>14</v>
      </c>
      <c r="G2615" t="s">
        <v>15</v>
      </c>
      <c r="H2615" s="3">
        <v>10</v>
      </c>
      <c r="I2615" s="3">
        <v>57150</v>
      </c>
      <c r="J2615" s="3">
        <v>571500</v>
      </c>
      <c r="K2615" s="3">
        <v>45000</v>
      </c>
      <c r="L2615" s="3">
        <v>450000</v>
      </c>
      <c r="M2615" s="3">
        <v>121500</v>
      </c>
      <c r="N2615" s="4">
        <v>0.2125984251968504</v>
      </c>
    </row>
    <row r="2616" spans="1:14" x14ac:dyDescent="0.3">
      <c r="A2616" s="6">
        <v>45844</v>
      </c>
      <c r="B2616" s="1" t="s">
        <v>2800</v>
      </c>
      <c r="C2616" s="1" t="s">
        <v>29</v>
      </c>
      <c r="D2616" t="s">
        <v>30</v>
      </c>
      <c r="E2616" t="s">
        <v>355</v>
      </c>
      <c r="F2616" t="s">
        <v>21</v>
      </c>
      <c r="G2616" t="s">
        <v>20</v>
      </c>
      <c r="H2616" s="3">
        <v>5</v>
      </c>
      <c r="I2616" s="3">
        <v>870</v>
      </c>
      <c r="J2616" s="3">
        <v>4350</v>
      </c>
      <c r="K2616" s="3">
        <v>600</v>
      </c>
      <c r="L2616" s="3">
        <v>3000</v>
      </c>
      <c r="M2616" s="3">
        <v>1350</v>
      </c>
      <c r="N2616" s="4">
        <v>0.31034482758620691</v>
      </c>
    </row>
    <row r="2617" spans="1:14" x14ac:dyDescent="0.3">
      <c r="A2617" s="6">
        <v>45844</v>
      </c>
      <c r="B2617" s="1" t="s">
        <v>2801</v>
      </c>
      <c r="C2617" s="1" t="s">
        <v>27</v>
      </c>
      <c r="D2617" t="s">
        <v>30</v>
      </c>
      <c r="E2617" t="s">
        <v>184</v>
      </c>
      <c r="F2617" t="s">
        <v>21</v>
      </c>
      <c r="G2617" t="s">
        <v>20</v>
      </c>
      <c r="H2617" s="3">
        <v>10</v>
      </c>
      <c r="I2617" s="3">
        <v>858</v>
      </c>
      <c r="J2617" s="3">
        <v>8580</v>
      </c>
      <c r="K2617" s="3">
        <v>600</v>
      </c>
      <c r="L2617" s="3">
        <v>6000</v>
      </c>
      <c r="M2617" s="3">
        <v>2580</v>
      </c>
      <c r="N2617" s="4">
        <v>0.30069930069930068</v>
      </c>
    </row>
    <row r="2618" spans="1:14" x14ac:dyDescent="0.3">
      <c r="A2618" s="6">
        <v>45845</v>
      </c>
      <c r="B2618" s="1" t="s">
        <v>2802</v>
      </c>
      <c r="C2618" s="1" t="s">
        <v>28</v>
      </c>
      <c r="D2618" t="s">
        <v>31</v>
      </c>
      <c r="E2618" t="s">
        <v>90</v>
      </c>
      <c r="F2618" t="s">
        <v>23</v>
      </c>
      <c r="G2618" t="s">
        <v>25</v>
      </c>
      <c r="H2618" s="3">
        <v>2</v>
      </c>
      <c r="I2618" s="3">
        <v>4096</v>
      </c>
      <c r="J2618" s="3">
        <v>8192</v>
      </c>
      <c r="K2618" s="3">
        <v>3200</v>
      </c>
      <c r="L2618" s="3">
        <v>6400</v>
      </c>
      <c r="M2618" s="3">
        <v>1792</v>
      </c>
      <c r="N2618" s="4">
        <v>0.21875</v>
      </c>
    </row>
    <row r="2619" spans="1:14" x14ac:dyDescent="0.3">
      <c r="A2619" s="6">
        <v>45845</v>
      </c>
      <c r="B2619" s="1" t="s">
        <v>2803</v>
      </c>
      <c r="C2619" s="1" t="s">
        <v>28</v>
      </c>
      <c r="D2619" t="s">
        <v>30</v>
      </c>
      <c r="E2619" t="s">
        <v>189</v>
      </c>
      <c r="F2619" t="s">
        <v>17</v>
      </c>
      <c r="G2619" t="s">
        <v>18</v>
      </c>
      <c r="H2619" s="3">
        <v>4</v>
      </c>
      <c r="I2619" s="3">
        <v>10540</v>
      </c>
      <c r="J2619" s="3">
        <v>42160</v>
      </c>
      <c r="K2619" s="3">
        <v>8500</v>
      </c>
      <c r="L2619" s="3">
        <v>34000</v>
      </c>
      <c r="M2619" s="3">
        <v>8160</v>
      </c>
      <c r="N2619" s="4">
        <v>0.19354838709677419</v>
      </c>
    </row>
    <row r="2620" spans="1:14" x14ac:dyDescent="0.3">
      <c r="A2620" s="6">
        <v>45845</v>
      </c>
      <c r="B2620" s="1" t="s">
        <v>2804</v>
      </c>
      <c r="C2620" s="1" t="s">
        <v>28</v>
      </c>
      <c r="D2620" t="s">
        <v>35</v>
      </c>
      <c r="E2620" t="s">
        <v>102</v>
      </c>
      <c r="F2620" t="s">
        <v>21</v>
      </c>
      <c r="G2620" t="s">
        <v>20</v>
      </c>
      <c r="H2620" s="3">
        <v>8</v>
      </c>
      <c r="I2620" s="3">
        <v>768</v>
      </c>
      <c r="J2620" s="3">
        <v>6144</v>
      </c>
      <c r="K2620" s="3">
        <v>600</v>
      </c>
      <c r="L2620" s="3">
        <v>4800</v>
      </c>
      <c r="M2620" s="3">
        <v>1344</v>
      </c>
      <c r="N2620" s="4">
        <v>0.21875</v>
      </c>
    </row>
    <row r="2621" spans="1:14" x14ac:dyDescent="0.3">
      <c r="A2621" s="6">
        <v>45845</v>
      </c>
      <c r="B2621" s="1" t="s">
        <v>2805</v>
      </c>
      <c r="C2621" s="1" t="s">
        <v>29</v>
      </c>
      <c r="D2621" t="s">
        <v>30</v>
      </c>
      <c r="E2621" t="s">
        <v>63</v>
      </c>
      <c r="F2621" t="s">
        <v>19</v>
      </c>
      <c r="G2621" t="s">
        <v>20</v>
      </c>
      <c r="H2621" s="3">
        <v>3</v>
      </c>
      <c r="I2621" s="3">
        <v>1269</v>
      </c>
      <c r="J2621" s="3">
        <v>3807</v>
      </c>
      <c r="K2621" s="3">
        <v>900</v>
      </c>
      <c r="L2621" s="3">
        <v>2700</v>
      </c>
      <c r="M2621" s="3">
        <v>1107</v>
      </c>
      <c r="N2621" s="4">
        <v>0.29078014184397161</v>
      </c>
    </row>
    <row r="2622" spans="1:14" x14ac:dyDescent="0.3">
      <c r="A2622" s="6">
        <v>45845</v>
      </c>
      <c r="B2622" s="1" t="s">
        <v>2806</v>
      </c>
      <c r="C2622" s="1" t="s">
        <v>28</v>
      </c>
      <c r="D2622" t="s">
        <v>34</v>
      </c>
      <c r="E2622" t="s">
        <v>302</v>
      </c>
      <c r="F2622" t="s">
        <v>17</v>
      </c>
      <c r="G2622" t="s">
        <v>18</v>
      </c>
      <c r="H2622" s="3">
        <v>7</v>
      </c>
      <c r="I2622" s="3">
        <v>12070</v>
      </c>
      <c r="J2622" s="3">
        <v>84490</v>
      </c>
      <c r="K2622" s="3">
        <v>8500</v>
      </c>
      <c r="L2622" s="3">
        <v>59500</v>
      </c>
      <c r="M2622" s="3">
        <v>24990</v>
      </c>
      <c r="N2622" s="4">
        <v>0.29577464788732394</v>
      </c>
    </row>
    <row r="2623" spans="1:14" x14ac:dyDescent="0.3">
      <c r="A2623" s="6">
        <v>45845</v>
      </c>
      <c r="B2623" s="1" t="s">
        <v>2807</v>
      </c>
      <c r="C2623" s="1" t="s">
        <v>26</v>
      </c>
      <c r="D2623" t="s">
        <v>31</v>
      </c>
      <c r="E2623" t="s">
        <v>424</v>
      </c>
      <c r="F2623" t="s">
        <v>14</v>
      </c>
      <c r="G2623" t="s">
        <v>15</v>
      </c>
      <c r="H2623" s="3">
        <v>4</v>
      </c>
      <c r="I2623" s="3">
        <v>63450</v>
      </c>
      <c r="J2623" s="3">
        <v>253800</v>
      </c>
      <c r="K2623" s="3">
        <v>45000</v>
      </c>
      <c r="L2623" s="3">
        <v>180000</v>
      </c>
      <c r="M2623" s="3">
        <v>73800</v>
      </c>
      <c r="N2623" s="4">
        <v>0.29078014184397161</v>
      </c>
    </row>
    <row r="2624" spans="1:14" x14ac:dyDescent="0.3">
      <c r="A2624" s="6">
        <v>45845</v>
      </c>
      <c r="B2624" s="1" t="s">
        <v>2808</v>
      </c>
      <c r="C2624" s="1" t="s">
        <v>26</v>
      </c>
      <c r="D2624" t="s">
        <v>30</v>
      </c>
      <c r="E2624" t="s">
        <v>411</v>
      </c>
      <c r="F2624" t="s">
        <v>21</v>
      </c>
      <c r="G2624" t="s">
        <v>20</v>
      </c>
      <c r="H2624" s="3">
        <v>1</v>
      </c>
      <c r="I2624" s="3">
        <v>798</v>
      </c>
      <c r="J2624" s="3">
        <v>798</v>
      </c>
      <c r="K2624" s="3">
        <v>600</v>
      </c>
      <c r="L2624" s="3">
        <v>600</v>
      </c>
      <c r="M2624" s="3">
        <v>198</v>
      </c>
      <c r="N2624" s="4">
        <v>0.24812030075187969</v>
      </c>
    </row>
    <row r="2625" spans="1:14" x14ac:dyDescent="0.3">
      <c r="A2625" s="6">
        <v>45845</v>
      </c>
      <c r="B2625" s="1" t="s">
        <v>2809</v>
      </c>
      <c r="C2625" s="1" t="s">
        <v>29</v>
      </c>
      <c r="D2625" t="s">
        <v>30</v>
      </c>
      <c r="E2625" t="s">
        <v>53</v>
      </c>
      <c r="F2625" t="s">
        <v>22</v>
      </c>
      <c r="G2625" t="s">
        <v>18</v>
      </c>
      <c r="H2625" s="3">
        <v>3</v>
      </c>
      <c r="I2625" s="3">
        <v>10080</v>
      </c>
      <c r="J2625" s="3">
        <v>30240</v>
      </c>
      <c r="K2625" s="3">
        <v>7000</v>
      </c>
      <c r="L2625" s="3">
        <v>21000</v>
      </c>
      <c r="M2625" s="3">
        <v>9240</v>
      </c>
      <c r="N2625" s="4">
        <v>0.30555555555555558</v>
      </c>
    </row>
    <row r="2626" spans="1:14" x14ac:dyDescent="0.3">
      <c r="A2626" s="6">
        <v>45845</v>
      </c>
      <c r="B2626" s="1" t="s">
        <v>2810</v>
      </c>
      <c r="C2626" s="1" t="s">
        <v>29</v>
      </c>
      <c r="D2626" t="s">
        <v>34</v>
      </c>
      <c r="E2626" t="s">
        <v>39</v>
      </c>
      <c r="F2626" t="s">
        <v>16</v>
      </c>
      <c r="G2626" t="s">
        <v>15</v>
      </c>
      <c r="H2626" s="3">
        <v>7</v>
      </c>
      <c r="I2626" s="3">
        <v>51300</v>
      </c>
      <c r="J2626" s="3">
        <v>359100</v>
      </c>
      <c r="K2626" s="3">
        <v>38000</v>
      </c>
      <c r="L2626" s="3">
        <v>266000</v>
      </c>
      <c r="M2626" s="3">
        <v>93100</v>
      </c>
      <c r="N2626" s="4">
        <v>0.25925925925925924</v>
      </c>
    </row>
    <row r="2627" spans="1:14" x14ac:dyDescent="0.3">
      <c r="A2627" s="6">
        <v>45845</v>
      </c>
      <c r="B2627" s="1" t="s">
        <v>2811</v>
      </c>
      <c r="C2627" s="1" t="s">
        <v>29</v>
      </c>
      <c r="D2627" t="s">
        <v>33</v>
      </c>
      <c r="E2627" t="s">
        <v>228</v>
      </c>
      <c r="F2627" t="s">
        <v>22</v>
      </c>
      <c r="G2627" t="s">
        <v>18</v>
      </c>
      <c r="H2627" s="3">
        <v>10</v>
      </c>
      <c r="I2627" s="3">
        <v>8680</v>
      </c>
      <c r="J2627" s="3">
        <v>86800</v>
      </c>
      <c r="K2627" s="3">
        <v>7000</v>
      </c>
      <c r="L2627" s="3">
        <v>70000</v>
      </c>
      <c r="M2627" s="3">
        <v>16800</v>
      </c>
      <c r="N2627" s="4">
        <v>0.19354838709677419</v>
      </c>
    </row>
    <row r="2628" spans="1:14" x14ac:dyDescent="0.3">
      <c r="A2628" s="6">
        <v>45845</v>
      </c>
      <c r="B2628" s="1" t="s">
        <v>2812</v>
      </c>
      <c r="C2628" s="1" t="s">
        <v>29</v>
      </c>
      <c r="D2628" t="s">
        <v>31</v>
      </c>
      <c r="E2628" t="s">
        <v>147</v>
      </c>
      <c r="F2628" t="s">
        <v>22</v>
      </c>
      <c r="G2628" t="s">
        <v>18</v>
      </c>
      <c r="H2628" s="3">
        <v>8</v>
      </c>
      <c r="I2628" s="3">
        <v>10010</v>
      </c>
      <c r="J2628" s="3">
        <v>80080</v>
      </c>
      <c r="K2628" s="3">
        <v>7000</v>
      </c>
      <c r="L2628" s="3">
        <v>56000</v>
      </c>
      <c r="M2628" s="3">
        <v>24080</v>
      </c>
      <c r="N2628" s="4">
        <v>0.30069930069930068</v>
      </c>
    </row>
    <row r="2629" spans="1:14" x14ac:dyDescent="0.3">
      <c r="A2629" s="6">
        <v>45845</v>
      </c>
      <c r="B2629" s="1" t="s">
        <v>2813</v>
      </c>
      <c r="C2629" s="1" t="s">
        <v>27</v>
      </c>
      <c r="D2629" t="s">
        <v>30</v>
      </c>
      <c r="E2629" t="s">
        <v>233</v>
      </c>
      <c r="F2629" t="s">
        <v>14</v>
      </c>
      <c r="G2629" t="s">
        <v>15</v>
      </c>
      <c r="H2629" s="3">
        <v>4</v>
      </c>
      <c r="I2629" s="3">
        <v>54000</v>
      </c>
      <c r="J2629" s="3">
        <v>216000</v>
      </c>
      <c r="K2629" s="3">
        <v>45000</v>
      </c>
      <c r="L2629" s="3">
        <v>180000</v>
      </c>
      <c r="M2629" s="3">
        <v>36000</v>
      </c>
      <c r="N2629" s="4">
        <v>0.16666666666666666</v>
      </c>
    </row>
    <row r="2630" spans="1:14" x14ac:dyDescent="0.3">
      <c r="A2630" s="6">
        <v>45845</v>
      </c>
      <c r="B2630" s="1" t="s">
        <v>2814</v>
      </c>
      <c r="C2630" s="1" t="s">
        <v>28</v>
      </c>
      <c r="D2630" t="s">
        <v>32</v>
      </c>
      <c r="E2630" t="s">
        <v>112</v>
      </c>
      <c r="F2630" t="s">
        <v>22</v>
      </c>
      <c r="G2630" t="s">
        <v>18</v>
      </c>
      <c r="H2630" s="3">
        <v>6</v>
      </c>
      <c r="I2630" s="3">
        <v>8680</v>
      </c>
      <c r="J2630" s="3">
        <v>52080</v>
      </c>
      <c r="K2630" s="3">
        <v>7000</v>
      </c>
      <c r="L2630" s="3">
        <v>42000</v>
      </c>
      <c r="M2630" s="3">
        <v>10080</v>
      </c>
      <c r="N2630" s="4">
        <v>0.19354838709677419</v>
      </c>
    </row>
    <row r="2631" spans="1:14" x14ac:dyDescent="0.3">
      <c r="A2631" s="6">
        <v>45845</v>
      </c>
      <c r="B2631" s="1" t="s">
        <v>2815</v>
      </c>
      <c r="C2631" s="1" t="s">
        <v>28</v>
      </c>
      <c r="D2631" t="s">
        <v>30</v>
      </c>
      <c r="E2631" t="s">
        <v>180</v>
      </c>
      <c r="F2631" t="s">
        <v>24</v>
      </c>
      <c r="G2631" t="s">
        <v>25</v>
      </c>
      <c r="H2631" s="3">
        <v>3</v>
      </c>
      <c r="I2631" s="3">
        <v>3225</v>
      </c>
      <c r="J2631" s="3">
        <v>9675</v>
      </c>
      <c r="K2631" s="3">
        <v>2500</v>
      </c>
      <c r="L2631" s="3">
        <v>7500</v>
      </c>
      <c r="M2631" s="3">
        <v>2175</v>
      </c>
      <c r="N2631" s="4">
        <v>0.22480620155038761</v>
      </c>
    </row>
    <row r="2632" spans="1:14" x14ac:dyDescent="0.3">
      <c r="A2632" s="6">
        <v>45846</v>
      </c>
      <c r="B2632" s="1" t="s">
        <v>2816</v>
      </c>
      <c r="C2632" s="1" t="s">
        <v>27</v>
      </c>
      <c r="D2632" t="s">
        <v>33</v>
      </c>
      <c r="E2632" t="s">
        <v>329</v>
      </c>
      <c r="F2632" t="s">
        <v>23</v>
      </c>
      <c r="G2632" t="s">
        <v>25</v>
      </c>
      <c r="H2632" s="3">
        <v>6</v>
      </c>
      <c r="I2632" s="3">
        <v>4640</v>
      </c>
      <c r="J2632" s="3">
        <v>27840</v>
      </c>
      <c r="K2632" s="3">
        <v>3200</v>
      </c>
      <c r="L2632" s="3">
        <v>19200</v>
      </c>
      <c r="M2632" s="3">
        <v>8640</v>
      </c>
      <c r="N2632" s="4">
        <v>0.31034482758620691</v>
      </c>
    </row>
    <row r="2633" spans="1:14" x14ac:dyDescent="0.3">
      <c r="A2633" s="6">
        <v>45846</v>
      </c>
      <c r="B2633" s="1" t="s">
        <v>2817</v>
      </c>
      <c r="C2633" s="1" t="s">
        <v>29</v>
      </c>
      <c r="D2633" t="s">
        <v>32</v>
      </c>
      <c r="E2633" t="s">
        <v>186</v>
      </c>
      <c r="F2633" t="s">
        <v>14</v>
      </c>
      <c r="G2633" t="s">
        <v>15</v>
      </c>
      <c r="H2633" s="3">
        <v>7</v>
      </c>
      <c r="I2633" s="3">
        <v>63450</v>
      </c>
      <c r="J2633" s="3">
        <v>444150</v>
      </c>
      <c r="K2633" s="3">
        <v>45000</v>
      </c>
      <c r="L2633" s="3">
        <v>315000</v>
      </c>
      <c r="M2633" s="3">
        <v>129150</v>
      </c>
      <c r="N2633" s="4">
        <v>0.29078014184397161</v>
      </c>
    </row>
    <row r="2634" spans="1:14" x14ac:dyDescent="0.3">
      <c r="A2634" s="6">
        <v>45846</v>
      </c>
      <c r="B2634" s="1" t="s">
        <v>2818</v>
      </c>
      <c r="C2634" s="1" t="s">
        <v>26</v>
      </c>
      <c r="D2634" t="s">
        <v>34</v>
      </c>
      <c r="E2634" t="s">
        <v>506</v>
      </c>
      <c r="F2634" t="s">
        <v>14</v>
      </c>
      <c r="G2634" t="s">
        <v>15</v>
      </c>
      <c r="H2634" s="3">
        <v>4</v>
      </c>
      <c r="I2634" s="3">
        <v>55800</v>
      </c>
      <c r="J2634" s="3">
        <v>223200</v>
      </c>
      <c r="K2634" s="3">
        <v>45000</v>
      </c>
      <c r="L2634" s="3">
        <v>180000</v>
      </c>
      <c r="M2634" s="3">
        <v>43200</v>
      </c>
      <c r="N2634" s="4">
        <v>0.19354838709677419</v>
      </c>
    </row>
    <row r="2635" spans="1:14" x14ac:dyDescent="0.3">
      <c r="A2635" s="6">
        <v>45846</v>
      </c>
      <c r="B2635" s="1" t="s">
        <v>2819</v>
      </c>
      <c r="C2635" s="1" t="s">
        <v>26</v>
      </c>
      <c r="D2635" t="s">
        <v>32</v>
      </c>
      <c r="E2635" t="s">
        <v>263</v>
      </c>
      <c r="F2635" t="s">
        <v>21</v>
      </c>
      <c r="G2635" t="s">
        <v>20</v>
      </c>
      <c r="H2635" s="3">
        <v>2</v>
      </c>
      <c r="I2635" s="3">
        <v>815.99999999999989</v>
      </c>
      <c r="J2635" s="3">
        <v>1631.9999999999998</v>
      </c>
      <c r="K2635" s="3">
        <v>600</v>
      </c>
      <c r="L2635" s="3">
        <v>1200</v>
      </c>
      <c r="M2635" s="3">
        <v>431.99999999999977</v>
      </c>
      <c r="N2635" s="4">
        <v>0.26470588235294107</v>
      </c>
    </row>
    <row r="2636" spans="1:14" x14ac:dyDescent="0.3">
      <c r="A2636" s="6">
        <v>45846</v>
      </c>
      <c r="B2636" s="1" t="s">
        <v>2820</v>
      </c>
      <c r="C2636" s="1" t="s">
        <v>26</v>
      </c>
      <c r="D2636" t="s">
        <v>30</v>
      </c>
      <c r="E2636" t="s">
        <v>74</v>
      </c>
      <c r="F2636" t="s">
        <v>19</v>
      </c>
      <c r="G2636" t="s">
        <v>20</v>
      </c>
      <c r="H2636" s="3">
        <v>10</v>
      </c>
      <c r="I2636" s="3">
        <v>1233</v>
      </c>
      <c r="J2636" s="3">
        <v>12330</v>
      </c>
      <c r="K2636" s="3">
        <v>900</v>
      </c>
      <c r="L2636" s="3">
        <v>9000</v>
      </c>
      <c r="M2636" s="3">
        <v>3330</v>
      </c>
      <c r="N2636" s="4">
        <v>0.27007299270072993</v>
      </c>
    </row>
    <row r="2637" spans="1:14" x14ac:dyDescent="0.3">
      <c r="A2637" s="6">
        <v>45846</v>
      </c>
      <c r="B2637" s="1" t="s">
        <v>2821</v>
      </c>
      <c r="C2637" s="1" t="s">
        <v>28</v>
      </c>
      <c r="D2637" t="s">
        <v>35</v>
      </c>
      <c r="E2637" t="s">
        <v>574</v>
      </c>
      <c r="F2637" t="s">
        <v>16</v>
      </c>
      <c r="G2637" t="s">
        <v>15</v>
      </c>
      <c r="H2637" s="3">
        <v>8</v>
      </c>
      <c r="I2637" s="3">
        <v>50540</v>
      </c>
      <c r="J2637" s="3">
        <v>404320</v>
      </c>
      <c r="K2637" s="3">
        <v>38000</v>
      </c>
      <c r="L2637" s="3">
        <v>304000</v>
      </c>
      <c r="M2637" s="3">
        <v>100320</v>
      </c>
      <c r="N2637" s="4">
        <v>0.24812030075187969</v>
      </c>
    </row>
    <row r="2638" spans="1:14" x14ac:dyDescent="0.3">
      <c r="A2638" s="6">
        <v>45846</v>
      </c>
      <c r="B2638" s="1" t="s">
        <v>2822</v>
      </c>
      <c r="C2638" s="1" t="s">
        <v>28</v>
      </c>
      <c r="D2638" t="s">
        <v>34</v>
      </c>
      <c r="E2638" t="s">
        <v>145</v>
      </c>
      <c r="F2638" t="s">
        <v>14</v>
      </c>
      <c r="G2638" t="s">
        <v>15</v>
      </c>
      <c r="H2638" s="3">
        <v>8</v>
      </c>
      <c r="I2638" s="3">
        <v>63450</v>
      </c>
      <c r="J2638" s="3">
        <v>507600</v>
      </c>
      <c r="K2638" s="3">
        <v>45000</v>
      </c>
      <c r="L2638" s="3">
        <v>360000</v>
      </c>
      <c r="M2638" s="3">
        <v>147600</v>
      </c>
      <c r="N2638" s="4">
        <v>0.29078014184397161</v>
      </c>
    </row>
    <row r="2639" spans="1:14" x14ac:dyDescent="0.3">
      <c r="A2639" s="6">
        <v>45846</v>
      </c>
      <c r="B2639" s="1" t="s">
        <v>2823</v>
      </c>
      <c r="C2639" s="1" t="s">
        <v>29</v>
      </c>
      <c r="D2639" t="s">
        <v>31</v>
      </c>
      <c r="E2639" t="s">
        <v>204</v>
      </c>
      <c r="F2639" t="s">
        <v>14</v>
      </c>
      <c r="G2639" t="s">
        <v>15</v>
      </c>
      <c r="H2639" s="3">
        <v>8</v>
      </c>
      <c r="I2639" s="3">
        <v>55800</v>
      </c>
      <c r="J2639" s="3">
        <v>446400</v>
      </c>
      <c r="K2639" s="3">
        <v>45000</v>
      </c>
      <c r="L2639" s="3">
        <v>360000</v>
      </c>
      <c r="M2639" s="3">
        <v>86400</v>
      </c>
      <c r="N2639" s="4">
        <v>0.19354838709677419</v>
      </c>
    </row>
    <row r="2640" spans="1:14" x14ac:dyDescent="0.3">
      <c r="A2640" s="6">
        <v>45846</v>
      </c>
      <c r="B2640" s="1" t="s">
        <v>2824</v>
      </c>
      <c r="C2640" s="1" t="s">
        <v>27</v>
      </c>
      <c r="D2640" t="s">
        <v>33</v>
      </c>
      <c r="E2640" t="s">
        <v>55</v>
      </c>
      <c r="F2640" t="s">
        <v>21</v>
      </c>
      <c r="G2640" t="s">
        <v>20</v>
      </c>
      <c r="H2640" s="3">
        <v>7</v>
      </c>
      <c r="I2640" s="3">
        <v>864</v>
      </c>
      <c r="J2640" s="3">
        <v>6048</v>
      </c>
      <c r="K2640" s="3">
        <v>600</v>
      </c>
      <c r="L2640" s="3">
        <v>4200</v>
      </c>
      <c r="M2640" s="3">
        <v>1848</v>
      </c>
      <c r="N2640" s="4">
        <v>0.30555555555555558</v>
      </c>
    </row>
    <row r="2641" spans="1:14" x14ac:dyDescent="0.3">
      <c r="A2641" s="6">
        <v>45846</v>
      </c>
      <c r="B2641" s="1" t="s">
        <v>2825</v>
      </c>
      <c r="C2641" s="1" t="s">
        <v>28</v>
      </c>
      <c r="D2641" t="s">
        <v>32</v>
      </c>
      <c r="E2641" t="s">
        <v>145</v>
      </c>
      <c r="F2641" t="s">
        <v>24</v>
      </c>
      <c r="G2641" t="s">
        <v>25</v>
      </c>
      <c r="H2641" s="3">
        <v>1</v>
      </c>
      <c r="I2641" s="3">
        <v>3200</v>
      </c>
      <c r="J2641" s="3">
        <v>3200</v>
      </c>
      <c r="K2641" s="3">
        <v>2500</v>
      </c>
      <c r="L2641" s="3">
        <v>2500</v>
      </c>
      <c r="M2641" s="3">
        <v>700</v>
      </c>
      <c r="N2641" s="4">
        <v>0.21875</v>
      </c>
    </row>
    <row r="2642" spans="1:14" x14ac:dyDescent="0.3">
      <c r="A2642" s="6">
        <v>45846</v>
      </c>
      <c r="B2642" s="1" t="s">
        <v>2826</v>
      </c>
      <c r="C2642" s="1" t="s">
        <v>26</v>
      </c>
      <c r="D2642" t="s">
        <v>31</v>
      </c>
      <c r="E2642" t="s">
        <v>424</v>
      </c>
      <c r="F2642" t="s">
        <v>19</v>
      </c>
      <c r="G2642" t="s">
        <v>20</v>
      </c>
      <c r="H2642" s="3">
        <v>4</v>
      </c>
      <c r="I2642" s="3">
        <v>1098</v>
      </c>
      <c r="J2642" s="3">
        <v>4392</v>
      </c>
      <c r="K2642" s="3">
        <v>900</v>
      </c>
      <c r="L2642" s="3">
        <v>3600</v>
      </c>
      <c r="M2642" s="3">
        <v>792</v>
      </c>
      <c r="N2642" s="4">
        <v>0.18032786885245902</v>
      </c>
    </row>
    <row r="2643" spans="1:14" x14ac:dyDescent="0.3">
      <c r="A2643" s="6">
        <v>45846</v>
      </c>
      <c r="B2643" s="1" t="s">
        <v>2827</v>
      </c>
      <c r="C2643" s="1" t="s">
        <v>26</v>
      </c>
      <c r="D2643" t="s">
        <v>30</v>
      </c>
      <c r="E2643" t="s">
        <v>208</v>
      </c>
      <c r="F2643" t="s">
        <v>24</v>
      </c>
      <c r="G2643" t="s">
        <v>25</v>
      </c>
      <c r="H2643" s="3">
        <v>8</v>
      </c>
      <c r="I2643" s="3">
        <v>3200</v>
      </c>
      <c r="J2643" s="3">
        <v>25600</v>
      </c>
      <c r="K2643" s="3">
        <v>2500</v>
      </c>
      <c r="L2643" s="3">
        <v>20000</v>
      </c>
      <c r="M2643" s="3">
        <v>5600</v>
      </c>
      <c r="N2643" s="4">
        <v>0.21875</v>
      </c>
    </row>
    <row r="2644" spans="1:14" x14ac:dyDescent="0.3">
      <c r="A2644" s="6">
        <v>45846</v>
      </c>
      <c r="B2644" s="1" t="s">
        <v>2828</v>
      </c>
      <c r="C2644" s="1" t="s">
        <v>27</v>
      </c>
      <c r="D2644" t="s">
        <v>35</v>
      </c>
      <c r="E2644" t="s">
        <v>220</v>
      </c>
      <c r="F2644" t="s">
        <v>16</v>
      </c>
      <c r="G2644" t="s">
        <v>15</v>
      </c>
      <c r="H2644" s="3">
        <v>2</v>
      </c>
      <c r="I2644" s="3">
        <v>45980</v>
      </c>
      <c r="J2644" s="3">
        <v>91960</v>
      </c>
      <c r="K2644" s="3">
        <v>38000</v>
      </c>
      <c r="L2644" s="3">
        <v>76000</v>
      </c>
      <c r="M2644" s="3">
        <v>15960</v>
      </c>
      <c r="N2644" s="4">
        <v>0.17355371900826447</v>
      </c>
    </row>
    <row r="2645" spans="1:14" x14ac:dyDescent="0.3">
      <c r="A2645" s="6">
        <v>45846</v>
      </c>
      <c r="B2645" s="1" t="s">
        <v>2829</v>
      </c>
      <c r="C2645" s="1" t="s">
        <v>28</v>
      </c>
      <c r="D2645" t="s">
        <v>33</v>
      </c>
      <c r="E2645" t="s">
        <v>180</v>
      </c>
      <c r="F2645" t="s">
        <v>14</v>
      </c>
      <c r="G2645" t="s">
        <v>15</v>
      </c>
      <c r="H2645" s="3">
        <v>2</v>
      </c>
      <c r="I2645" s="3">
        <v>61650.000000000007</v>
      </c>
      <c r="J2645" s="3">
        <v>123300.00000000001</v>
      </c>
      <c r="K2645" s="3">
        <v>45000</v>
      </c>
      <c r="L2645" s="3">
        <v>90000</v>
      </c>
      <c r="M2645" s="3">
        <v>33300.000000000015</v>
      </c>
      <c r="N2645" s="4">
        <v>0.27007299270072999</v>
      </c>
    </row>
    <row r="2646" spans="1:14" x14ac:dyDescent="0.3">
      <c r="A2646" s="6">
        <v>45847</v>
      </c>
      <c r="B2646" s="1" t="s">
        <v>2830</v>
      </c>
      <c r="C2646" s="1" t="s">
        <v>29</v>
      </c>
      <c r="D2646" t="s">
        <v>30</v>
      </c>
      <c r="E2646" t="s">
        <v>98</v>
      </c>
      <c r="F2646" t="s">
        <v>14</v>
      </c>
      <c r="G2646" t="s">
        <v>15</v>
      </c>
      <c r="H2646" s="3">
        <v>5</v>
      </c>
      <c r="I2646" s="3">
        <v>54000</v>
      </c>
      <c r="J2646" s="3">
        <v>270000</v>
      </c>
      <c r="K2646" s="3">
        <v>45000</v>
      </c>
      <c r="L2646" s="3">
        <v>225000</v>
      </c>
      <c r="M2646" s="3">
        <v>45000</v>
      </c>
      <c r="N2646" s="4">
        <v>0.16666666666666666</v>
      </c>
    </row>
    <row r="2647" spans="1:14" x14ac:dyDescent="0.3">
      <c r="A2647" s="6">
        <v>45847</v>
      </c>
      <c r="B2647" s="1" t="s">
        <v>2831</v>
      </c>
      <c r="C2647" s="1" t="s">
        <v>27</v>
      </c>
      <c r="D2647" t="s">
        <v>35</v>
      </c>
      <c r="E2647" t="s">
        <v>112</v>
      </c>
      <c r="F2647" t="s">
        <v>19</v>
      </c>
      <c r="G2647" t="s">
        <v>20</v>
      </c>
      <c r="H2647" s="3">
        <v>1</v>
      </c>
      <c r="I2647" s="3">
        <v>1080</v>
      </c>
      <c r="J2647" s="3">
        <v>1080</v>
      </c>
      <c r="K2647" s="3">
        <v>900</v>
      </c>
      <c r="L2647" s="3">
        <v>900</v>
      </c>
      <c r="M2647" s="3">
        <v>180</v>
      </c>
      <c r="N2647" s="4">
        <v>0.16666666666666666</v>
      </c>
    </row>
    <row r="2648" spans="1:14" x14ac:dyDescent="0.3">
      <c r="A2648" s="6">
        <v>45847</v>
      </c>
      <c r="B2648" s="1" t="s">
        <v>2832</v>
      </c>
      <c r="C2648" s="1" t="s">
        <v>26</v>
      </c>
      <c r="D2648" t="s">
        <v>30</v>
      </c>
      <c r="E2648" t="s">
        <v>100</v>
      </c>
      <c r="F2648" t="s">
        <v>16</v>
      </c>
      <c r="G2648" t="s">
        <v>15</v>
      </c>
      <c r="H2648" s="3">
        <v>4</v>
      </c>
      <c r="I2648" s="3">
        <v>47120</v>
      </c>
      <c r="J2648" s="3">
        <v>188480</v>
      </c>
      <c r="K2648" s="3">
        <v>38000</v>
      </c>
      <c r="L2648" s="3">
        <v>152000</v>
      </c>
      <c r="M2648" s="3">
        <v>36480</v>
      </c>
      <c r="N2648" s="4">
        <v>0.19354838709677419</v>
      </c>
    </row>
    <row r="2649" spans="1:14" x14ac:dyDescent="0.3">
      <c r="A2649" s="6">
        <v>45847</v>
      </c>
      <c r="B2649" s="1" t="s">
        <v>2833</v>
      </c>
      <c r="C2649" s="1" t="s">
        <v>29</v>
      </c>
      <c r="D2649" t="s">
        <v>33</v>
      </c>
      <c r="E2649" t="s">
        <v>427</v>
      </c>
      <c r="F2649" t="s">
        <v>16</v>
      </c>
      <c r="G2649" t="s">
        <v>15</v>
      </c>
      <c r="H2649" s="3">
        <v>1</v>
      </c>
      <c r="I2649" s="3">
        <v>52439.999999999993</v>
      </c>
      <c r="J2649" s="3">
        <v>52439.999999999993</v>
      </c>
      <c r="K2649" s="3">
        <v>38000</v>
      </c>
      <c r="L2649" s="3">
        <v>38000</v>
      </c>
      <c r="M2649" s="3">
        <v>14439.999999999993</v>
      </c>
      <c r="N2649" s="4">
        <v>0.2753623188405796</v>
      </c>
    </row>
    <row r="2650" spans="1:14" x14ac:dyDescent="0.3">
      <c r="A2650" s="6">
        <v>45847</v>
      </c>
      <c r="B2650" s="1" t="s">
        <v>2834</v>
      </c>
      <c r="C2650" s="1" t="s">
        <v>28</v>
      </c>
      <c r="D2650" t="s">
        <v>32</v>
      </c>
      <c r="E2650" t="s">
        <v>442</v>
      </c>
      <c r="F2650" t="s">
        <v>23</v>
      </c>
      <c r="G2650" t="s">
        <v>25</v>
      </c>
      <c r="H2650" s="3">
        <v>4</v>
      </c>
      <c r="I2650" s="3">
        <v>4544</v>
      </c>
      <c r="J2650" s="3">
        <v>18176</v>
      </c>
      <c r="K2650" s="3">
        <v>3200</v>
      </c>
      <c r="L2650" s="3">
        <v>12800</v>
      </c>
      <c r="M2650" s="3">
        <v>5376</v>
      </c>
      <c r="N2650" s="4">
        <v>0.29577464788732394</v>
      </c>
    </row>
    <row r="2651" spans="1:14" x14ac:dyDescent="0.3">
      <c r="A2651" s="6">
        <v>45847</v>
      </c>
      <c r="B2651" s="1" t="s">
        <v>2835</v>
      </c>
      <c r="C2651" s="1" t="s">
        <v>28</v>
      </c>
      <c r="D2651" t="s">
        <v>35</v>
      </c>
      <c r="E2651" t="s">
        <v>431</v>
      </c>
      <c r="F2651" t="s">
        <v>24</v>
      </c>
      <c r="G2651" t="s">
        <v>25</v>
      </c>
      <c r="H2651" s="3">
        <v>4</v>
      </c>
      <c r="I2651" s="3">
        <v>3150</v>
      </c>
      <c r="J2651" s="3">
        <v>12600</v>
      </c>
      <c r="K2651" s="3">
        <v>2500</v>
      </c>
      <c r="L2651" s="3">
        <v>10000</v>
      </c>
      <c r="M2651" s="3">
        <v>2600</v>
      </c>
      <c r="N2651" s="4">
        <v>0.20634920634920634</v>
      </c>
    </row>
    <row r="2652" spans="1:14" x14ac:dyDescent="0.3">
      <c r="A2652" s="6">
        <v>45847</v>
      </c>
      <c r="B2652" s="1" t="s">
        <v>2836</v>
      </c>
      <c r="C2652" s="1" t="s">
        <v>28</v>
      </c>
      <c r="D2652" t="s">
        <v>31</v>
      </c>
      <c r="E2652" t="s">
        <v>390</v>
      </c>
      <c r="F2652" t="s">
        <v>14</v>
      </c>
      <c r="G2652" t="s">
        <v>15</v>
      </c>
      <c r="H2652" s="3">
        <v>1</v>
      </c>
      <c r="I2652" s="3">
        <v>59400</v>
      </c>
      <c r="J2652" s="3">
        <v>59400</v>
      </c>
      <c r="K2652" s="3">
        <v>45000</v>
      </c>
      <c r="L2652" s="3">
        <v>45000</v>
      </c>
      <c r="M2652" s="3">
        <v>14400</v>
      </c>
      <c r="N2652" s="4">
        <v>0.24242424242424243</v>
      </c>
    </row>
    <row r="2653" spans="1:14" x14ac:dyDescent="0.3">
      <c r="A2653" s="6">
        <v>45847</v>
      </c>
      <c r="B2653" s="1" t="s">
        <v>2837</v>
      </c>
      <c r="C2653" s="1" t="s">
        <v>26</v>
      </c>
      <c r="D2653" t="s">
        <v>34</v>
      </c>
      <c r="E2653" t="s">
        <v>286</v>
      </c>
      <c r="F2653" t="s">
        <v>22</v>
      </c>
      <c r="G2653" t="s">
        <v>18</v>
      </c>
      <c r="H2653" s="3">
        <v>8</v>
      </c>
      <c r="I2653" s="3">
        <v>9380</v>
      </c>
      <c r="J2653" s="3">
        <v>75040</v>
      </c>
      <c r="K2653" s="3">
        <v>7000</v>
      </c>
      <c r="L2653" s="3">
        <v>56000</v>
      </c>
      <c r="M2653" s="3">
        <v>19040</v>
      </c>
      <c r="N2653" s="4">
        <v>0.2537313432835821</v>
      </c>
    </row>
    <row r="2654" spans="1:14" x14ac:dyDescent="0.3">
      <c r="A2654" s="6">
        <v>45847</v>
      </c>
      <c r="B2654" s="1" t="s">
        <v>2838</v>
      </c>
      <c r="C2654" s="1" t="s">
        <v>29</v>
      </c>
      <c r="D2654" t="s">
        <v>35</v>
      </c>
      <c r="E2654" t="s">
        <v>169</v>
      </c>
      <c r="F2654" t="s">
        <v>24</v>
      </c>
      <c r="G2654" t="s">
        <v>25</v>
      </c>
      <c r="H2654" s="3">
        <v>7</v>
      </c>
      <c r="I2654" s="3">
        <v>3275</v>
      </c>
      <c r="J2654" s="3">
        <v>22925</v>
      </c>
      <c r="K2654" s="3">
        <v>2500</v>
      </c>
      <c r="L2654" s="3">
        <v>17500</v>
      </c>
      <c r="M2654" s="3">
        <v>5425</v>
      </c>
      <c r="N2654" s="4">
        <v>0.23664122137404581</v>
      </c>
    </row>
    <row r="2655" spans="1:14" x14ac:dyDescent="0.3">
      <c r="A2655" s="6">
        <v>45847</v>
      </c>
      <c r="B2655" s="1" t="s">
        <v>2839</v>
      </c>
      <c r="C2655" s="1" t="s">
        <v>28</v>
      </c>
      <c r="D2655" t="s">
        <v>30</v>
      </c>
      <c r="E2655" t="s">
        <v>180</v>
      </c>
      <c r="F2655" t="s">
        <v>22</v>
      </c>
      <c r="G2655" t="s">
        <v>18</v>
      </c>
      <c r="H2655" s="3">
        <v>6</v>
      </c>
      <c r="I2655" s="3">
        <v>9940</v>
      </c>
      <c r="J2655" s="3">
        <v>59640</v>
      </c>
      <c r="K2655" s="3">
        <v>7000</v>
      </c>
      <c r="L2655" s="3">
        <v>42000</v>
      </c>
      <c r="M2655" s="3">
        <v>17640</v>
      </c>
      <c r="N2655" s="4">
        <v>0.29577464788732394</v>
      </c>
    </row>
    <row r="2656" spans="1:14" x14ac:dyDescent="0.3">
      <c r="A2656" s="6">
        <v>45847</v>
      </c>
      <c r="B2656" s="1" t="s">
        <v>2840</v>
      </c>
      <c r="C2656" s="1" t="s">
        <v>29</v>
      </c>
      <c r="D2656" t="s">
        <v>31</v>
      </c>
      <c r="E2656" t="s">
        <v>55</v>
      </c>
      <c r="F2656" t="s">
        <v>23</v>
      </c>
      <c r="G2656" t="s">
        <v>25</v>
      </c>
      <c r="H2656" s="3">
        <v>3</v>
      </c>
      <c r="I2656" s="3">
        <v>4224</v>
      </c>
      <c r="J2656" s="3">
        <v>12672</v>
      </c>
      <c r="K2656" s="3">
        <v>3200</v>
      </c>
      <c r="L2656" s="3">
        <v>9600</v>
      </c>
      <c r="M2656" s="3">
        <v>3072</v>
      </c>
      <c r="N2656" s="4">
        <v>0.24242424242424243</v>
      </c>
    </row>
    <row r="2657" spans="1:14" x14ac:dyDescent="0.3">
      <c r="A2657" s="6">
        <v>45847</v>
      </c>
      <c r="B2657" s="1" t="s">
        <v>2841</v>
      </c>
      <c r="C2657" s="1" t="s">
        <v>28</v>
      </c>
      <c r="D2657" t="s">
        <v>31</v>
      </c>
      <c r="E2657" t="s">
        <v>268</v>
      </c>
      <c r="F2657" t="s">
        <v>19</v>
      </c>
      <c r="G2657" t="s">
        <v>20</v>
      </c>
      <c r="H2657" s="3">
        <v>7</v>
      </c>
      <c r="I2657" s="3">
        <v>1197</v>
      </c>
      <c r="J2657" s="3">
        <v>8379</v>
      </c>
      <c r="K2657" s="3">
        <v>900</v>
      </c>
      <c r="L2657" s="3">
        <v>6300</v>
      </c>
      <c r="M2657" s="3">
        <v>2079</v>
      </c>
      <c r="N2657" s="4">
        <v>0.24812030075187969</v>
      </c>
    </row>
    <row r="2658" spans="1:14" x14ac:dyDescent="0.3">
      <c r="A2658" s="6">
        <v>45847</v>
      </c>
      <c r="B2658" s="1" t="s">
        <v>2842</v>
      </c>
      <c r="C2658" s="1" t="s">
        <v>28</v>
      </c>
      <c r="D2658" t="s">
        <v>30</v>
      </c>
      <c r="E2658" t="s">
        <v>161</v>
      </c>
      <c r="F2658" t="s">
        <v>23</v>
      </c>
      <c r="G2658" t="s">
        <v>25</v>
      </c>
      <c r="H2658" s="3">
        <v>10</v>
      </c>
      <c r="I2658" s="3">
        <v>4064</v>
      </c>
      <c r="J2658" s="3">
        <v>40640</v>
      </c>
      <c r="K2658" s="3">
        <v>3200</v>
      </c>
      <c r="L2658" s="3">
        <v>32000</v>
      </c>
      <c r="M2658" s="3">
        <v>8640</v>
      </c>
      <c r="N2658" s="4">
        <v>0.2125984251968504</v>
      </c>
    </row>
    <row r="2659" spans="1:14" x14ac:dyDescent="0.3">
      <c r="A2659" s="6">
        <v>45847</v>
      </c>
      <c r="B2659" s="1" t="s">
        <v>2843</v>
      </c>
      <c r="C2659" s="1" t="s">
        <v>26</v>
      </c>
      <c r="D2659" t="s">
        <v>35</v>
      </c>
      <c r="E2659" t="s">
        <v>582</v>
      </c>
      <c r="F2659" t="s">
        <v>24</v>
      </c>
      <c r="G2659" t="s">
        <v>25</v>
      </c>
      <c r="H2659" s="3">
        <v>4</v>
      </c>
      <c r="I2659" s="3">
        <v>3399.9999999999995</v>
      </c>
      <c r="J2659" s="3">
        <v>13599.999999999998</v>
      </c>
      <c r="K2659" s="3">
        <v>2500</v>
      </c>
      <c r="L2659" s="3">
        <v>10000</v>
      </c>
      <c r="M2659" s="3">
        <v>3599.9999999999982</v>
      </c>
      <c r="N2659" s="4">
        <v>0.26470588235294107</v>
      </c>
    </row>
    <row r="2660" spans="1:14" x14ac:dyDescent="0.3">
      <c r="A2660" s="6">
        <v>45848</v>
      </c>
      <c r="B2660" s="1" t="s">
        <v>2844</v>
      </c>
      <c r="C2660" s="1" t="s">
        <v>28</v>
      </c>
      <c r="D2660" t="s">
        <v>30</v>
      </c>
      <c r="E2660" t="s">
        <v>236</v>
      </c>
      <c r="F2660" t="s">
        <v>19</v>
      </c>
      <c r="G2660" t="s">
        <v>20</v>
      </c>
      <c r="H2660" s="3">
        <v>3</v>
      </c>
      <c r="I2660" s="3">
        <v>1251</v>
      </c>
      <c r="J2660" s="3">
        <v>3753</v>
      </c>
      <c r="K2660" s="3">
        <v>900</v>
      </c>
      <c r="L2660" s="3">
        <v>2700</v>
      </c>
      <c r="M2660" s="3">
        <v>1053</v>
      </c>
      <c r="N2660" s="4">
        <v>0.2805755395683453</v>
      </c>
    </row>
    <row r="2661" spans="1:14" x14ac:dyDescent="0.3">
      <c r="A2661" s="6">
        <v>45848</v>
      </c>
      <c r="B2661" s="1" t="s">
        <v>2845</v>
      </c>
      <c r="C2661" s="1" t="s">
        <v>26</v>
      </c>
      <c r="D2661" t="s">
        <v>31</v>
      </c>
      <c r="E2661" t="s">
        <v>310</v>
      </c>
      <c r="F2661" t="s">
        <v>14</v>
      </c>
      <c r="G2661" t="s">
        <v>15</v>
      </c>
      <c r="H2661" s="3">
        <v>7</v>
      </c>
      <c r="I2661" s="3">
        <v>56700</v>
      </c>
      <c r="J2661" s="3">
        <v>396900</v>
      </c>
      <c r="K2661" s="3">
        <v>45000</v>
      </c>
      <c r="L2661" s="3">
        <v>315000</v>
      </c>
      <c r="M2661" s="3">
        <v>81900</v>
      </c>
      <c r="N2661" s="4">
        <v>0.20634920634920634</v>
      </c>
    </row>
    <row r="2662" spans="1:14" x14ac:dyDescent="0.3">
      <c r="A2662" s="6">
        <v>45848</v>
      </c>
      <c r="B2662" s="1" t="s">
        <v>2846</v>
      </c>
      <c r="C2662" s="1" t="s">
        <v>28</v>
      </c>
      <c r="D2662" t="s">
        <v>34</v>
      </c>
      <c r="E2662" t="s">
        <v>106</v>
      </c>
      <c r="F2662" t="s">
        <v>22</v>
      </c>
      <c r="G2662" t="s">
        <v>18</v>
      </c>
      <c r="H2662" s="3">
        <v>1</v>
      </c>
      <c r="I2662" s="3">
        <v>9030</v>
      </c>
      <c r="J2662" s="3">
        <v>9030</v>
      </c>
      <c r="K2662" s="3">
        <v>7000</v>
      </c>
      <c r="L2662" s="3">
        <v>7000</v>
      </c>
      <c r="M2662" s="3">
        <v>2030</v>
      </c>
      <c r="N2662" s="4">
        <v>0.22480620155038761</v>
      </c>
    </row>
    <row r="2663" spans="1:14" x14ac:dyDescent="0.3">
      <c r="A2663" s="6">
        <v>45848</v>
      </c>
      <c r="B2663" s="1" t="s">
        <v>2847</v>
      </c>
      <c r="C2663" s="1" t="s">
        <v>28</v>
      </c>
      <c r="D2663" t="s">
        <v>33</v>
      </c>
      <c r="E2663" t="s">
        <v>538</v>
      </c>
      <c r="F2663" t="s">
        <v>22</v>
      </c>
      <c r="G2663" t="s">
        <v>18</v>
      </c>
      <c r="H2663" s="3">
        <v>5</v>
      </c>
      <c r="I2663" s="3">
        <v>10080</v>
      </c>
      <c r="J2663" s="3">
        <v>50400</v>
      </c>
      <c r="K2663" s="3">
        <v>7000</v>
      </c>
      <c r="L2663" s="3">
        <v>35000</v>
      </c>
      <c r="M2663" s="3">
        <v>15400</v>
      </c>
      <c r="N2663" s="4">
        <v>0.30555555555555558</v>
      </c>
    </row>
    <row r="2664" spans="1:14" x14ac:dyDescent="0.3">
      <c r="A2664" s="6">
        <v>45848</v>
      </c>
      <c r="B2664" s="1" t="s">
        <v>2848</v>
      </c>
      <c r="C2664" s="1" t="s">
        <v>26</v>
      </c>
      <c r="D2664" t="s">
        <v>32</v>
      </c>
      <c r="E2664" t="s">
        <v>407</v>
      </c>
      <c r="F2664" t="s">
        <v>24</v>
      </c>
      <c r="G2664" t="s">
        <v>25</v>
      </c>
      <c r="H2664" s="3">
        <v>9</v>
      </c>
      <c r="I2664" s="3">
        <v>3250</v>
      </c>
      <c r="J2664" s="3">
        <v>29250</v>
      </c>
      <c r="K2664" s="3">
        <v>2500</v>
      </c>
      <c r="L2664" s="3">
        <v>22500</v>
      </c>
      <c r="M2664" s="3">
        <v>6750</v>
      </c>
      <c r="N2664" s="4">
        <v>0.23076923076923078</v>
      </c>
    </row>
    <row r="2665" spans="1:14" x14ac:dyDescent="0.3">
      <c r="A2665" s="6">
        <v>45848</v>
      </c>
      <c r="B2665" s="1" t="s">
        <v>2849</v>
      </c>
      <c r="C2665" s="1" t="s">
        <v>27</v>
      </c>
      <c r="D2665" t="s">
        <v>30</v>
      </c>
      <c r="E2665" t="s">
        <v>265</v>
      </c>
      <c r="F2665" t="s">
        <v>17</v>
      </c>
      <c r="G2665" t="s">
        <v>18</v>
      </c>
      <c r="H2665" s="3">
        <v>8</v>
      </c>
      <c r="I2665" s="3">
        <v>10625</v>
      </c>
      <c r="J2665" s="3">
        <v>85000</v>
      </c>
      <c r="K2665" s="3">
        <v>8500</v>
      </c>
      <c r="L2665" s="3">
        <v>68000</v>
      </c>
      <c r="M2665" s="3">
        <v>17000</v>
      </c>
      <c r="N2665" s="4">
        <v>0.2</v>
      </c>
    </row>
    <row r="2666" spans="1:14" x14ac:dyDescent="0.3">
      <c r="A2666" s="6">
        <v>45848</v>
      </c>
      <c r="B2666" s="1" t="s">
        <v>2850</v>
      </c>
      <c r="C2666" s="1" t="s">
        <v>26</v>
      </c>
      <c r="D2666" t="s">
        <v>31</v>
      </c>
      <c r="E2666" t="s">
        <v>161</v>
      </c>
      <c r="F2666" t="s">
        <v>17</v>
      </c>
      <c r="G2666" t="s">
        <v>18</v>
      </c>
      <c r="H2666" s="3">
        <v>4</v>
      </c>
      <c r="I2666" s="3">
        <v>11050</v>
      </c>
      <c r="J2666" s="3">
        <v>44200</v>
      </c>
      <c r="K2666" s="3">
        <v>8500</v>
      </c>
      <c r="L2666" s="3">
        <v>34000</v>
      </c>
      <c r="M2666" s="3">
        <v>10200</v>
      </c>
      <c r="N2666" s="4">
        <v>0.23076923076923078</v>
      </c>
    </row>
    <row r="2667" spans="1:14" x14ac:dyDescent="0.3">
      <c r="A2667" s="6">
        <v>45848</v>
      </c>
      <c r="B2667" s="1" t="s">
        <v>2851</v>
      </c>
      <c r="C2667" s="1" t="s">
        <v>29</v>
      </c>
      <c r="D2667" t="s">
        <v>30</v>
      </c>
      <c r="E2667" t="s">
        <v>39</v>
      </c>
      <c r="F2667" t="s">
        <v>24</v>
      </c>
      <c r="G2667" t="s">
        <v>25</v>
      </c>
      <c r="H2667" s="3">
        <v>1</v>
      </c>
      <c r="I2667" s="3">
        <v>3300</v>
      </c>
      <c r="J2667" s="3">
        <v>3300</v>
      </c>
      <c r="K2667" s="3">
        <v>2500</v>
      </c>
      <c r="L2667" s="3">
        <v>2500</v>
      </c>
      <c r="M2667" s="3">
        <v>800</v>
      </c>
      <c r="N2667" s="4">
        <v>0.24242424242424243</v>
      </c>
    </row>
    <row r="2668" spans="1:14" x14ac:dyDescent="0.3">
      <c r="A2668" s="6">
        <v>45848</v>
      </c>
      <c r="B2668" s="1" t="s">
        <v>2852</v>
      </c>
      <c r="C2668" s="1" t="s">
        <v>28</v>
      </c>
      <c r="D2668" t="s">
        <v>33</v>
      </c>
      <c r="E2668" t="s">
        <v>157</v>
      </c>
      <c r="F2668" t="s">
        <v>17</v>
      </c>
      <c r="G2668" t="s">
        <v>18</v>
      </c>
      <c r="H2668" s="3">
        <v>5</v>
      </c>
      <c r="I2668" s="3">
        <v>11305</v>
      </c>
      <c r="J2668" s="3">
        <v>56525</v>
      </c>
      <c r="K2668" s="3">
        <v>8500</v>
      </c>
      <c r="L2668" s="3">
        <v>42500</v>
      </c>
      <c r="M2668" s="3">
        <v>14025</v>
      </c>
      <c r="N2668" s="4">
        <v>0.24812030075187969</v>
      </c>
    </row>
    <row r="2669" spans="1:14" x14ac:dyDescent="0.3">
      <c r="A2669" s="6">
        <v>45848</v>
      </c>
      <c r="B2669" s="1" t="s">
        <v>2853</v>
      </c>
      <c r="C2669" s="1" t="s">
        <v>28</v>
      </c>
      <c r="D2669" t="s">
        <v>35</v>
      </c>
      <c r="E2669" t="s">
        <v>576</v>
      </c>
      <c r="F2669" t="s">
        <v>16</v>
      </c>
      <c r="G2669" t="s">
        <v>15</v>
      </c>
      <c r="H2669" s="3">
        <v>10</v>
      </c>
      <c r="I2669" s="3">
        <v>46740</v>
      </c>
      <c r="J2669" s="3">
        <v>467400</v>
      </c>
      <c r="K2669" s="3">
        <v>38000</v>
      </c>
      <c r="L2669" s="3">
        <v>380000</v>
      </c>
      <c r="M2669" s="3">
        <v>87400</v>
      </c>
      <c r="N2669" s="4">
        <v>0.18699186991869918</v>
      </c>
    </row>
    <row r="2670" spans="1:14" x14ac:dyDescent="0.3">
      <c r="A2670" s="6">
        <v>45848</v>
      </c>
      <c r="B2670" s="1" t="s">
        <v>2854</v>
      </c>
      <c r="C2670" s="1" t="s">
        <v>27</v>
      </c>
      <c r="D2670" t="s">
        <v>32</v>
      </c>
      <c r="E2670" t="s">
        <v>106</v>
      </c>
      <c r="F2670" t="s">
        <v>21</v>
      </c>
      <c r="G2670" t="s">
        <v>20</v>
      </c>
      <c r="H2670" s="3">
        <v>6</v>
      </c>
      <c r="I2670" s="3">
        <v>827.99999999999989</v>
      </c>
      <c r="J2670" s="3">
        <v>4967.9999999999991</v>
      </c>
      <c r="K2670" s="3">
        <v>600</v>
      </c>
      <c r="L2670" s="3">
        <v>3600</v>
      </c>
      <c r="M2670" s="3">
        <v>1367.9999999999991</v>
      </c>
      <c r="N2670" s="4">
        <v>0.2753623188405796</v>
      </c>
    </row>
    <row r="2671" spans="1:14" x14ac:dyDescent="0.3">
      <c r="A2671" s="6">
        <v>45848</v>
      </c>
      <c r="B2671" s="1" t="s">
        <v>2855</v>
      </c>
      <c r="C2671" s="1" t="s">
        <v>29</v>
      </c>
      <c r="D2671" t="s">
        <v>31</v>
      </c>
      <c r="E2671" t="s">
        <v>216</v>
      </c>
      <c r="F2671" t="s">
        <v>16</v>
      </c>
      <c r="G2671" t="s">
        <v>15</v>
      </c>
      <c r="H2671" s="3">
        <v>9</v>
      </c>
      <c r="I2671" s="3">
        <v>52820.000000000007</v>
      </c>
      <c r="J2671" s="3">
        <v>475380.00000000006</v>
      </c>
      <c r="K2671" s="3">
        <v>38000</v>
      </c>
      <c r="L2671" s="3">
        <v>342000</v>
      </c>
      <c r="M2671" s="3">
        <v>133380.00000000006</v>
      </c>
      <c r="N2671" s="4">
        <v>0.28057553956834541</v>
      </c>
    </row>
    <row r="2672" spans="1:14" x14ac:dyDescent="0.3">
      <c r="A2672" s="6">
        <v>45848</v>
      </c>
      <c r="B2672" s="1" t="s">
        <v>2856</v>
      </c>
      <c r="C2672" s="1" t="s">
        <v>29</v>
      </c>
      <c r="D2672" t="s">
        <v>30</v>
      </c>
      <c r="E2672" t="s">
        <v>184</v>
      </c>
      <c r="F2672" t="s">
        <v>19</v>
      </c>
      <c r="G2672" t="s">
        <v>20</v>
      </c>
      <c r="H2672" s="3">
        <v>3</v>
      </c>
      <c r="I2672" s="3">
        <v>1233</v>
      </c>
      <c r="J2672" s="3">
        <v>3699</v>
      </c>
      <c r="K2672" s="3">
        <v>900</v>
      </c>
      <c r="L2672" s="3">
        <v>2700</v>
      </c>
      <c r="M2672" s="3">
        <v>999</v>
      </c>
      <c r="N2672" s="4">
        <v>0.27007299270072993</v>
      </c>
    </row>
    <row r="2673" spans="1:14" x14ac:dyDescent="0.3">
      <c r="A2673" s="6">
        <v>45848</v>
      </c>
      <c r="B2673" s="1" t="s">
        <v>2857</v>
      </c>
      <c r="C2673" s="1" t="s">
        <v>28</v>
      </c>
      <c r="D2673" t="s">
        <v>33</v>
      </c>
      <c r="E2673" t="s">
        <v>431</v>
      </c>
      <c r="F2673" t="s">
        <v>16</v>
      </c>
      <c r="G2673" t="s">
        <v>15</v>
      </c>
      <c r="H2673" s="3">
        <v>6</v>
      </c>
      <c r="I2673" s="3">
        <v>45600</v>
      </c>
      <c r="J2673" s="3">
        <v>273600</v>
      </c>
      <c r="K2673" s="3">
        <v>38000</v>
      </c>
      <c r="L2673" s="3">
        <v>228000</v>
      </c>
      <c r="M2673" s="3">
        <v>45600</v>
      </c>
      <c r="N2673" s="4">
        <v>0.16666666666666666</v>
      </c>
    </row>
    <row r="2674" spans="1:14" x14ac:dyDescent="0.3">
      <c r="A2674" s="6">
        <v>45849</v>
      </c>
      <c r="B2674" s="1" t="s">
        <v>2858</v>
      </c>
      <c r="C2674" s="1" t="s">
        <v>27</v>
      </c>
      <c r="D2674" t="s">
        <v>32</v>
      </c>
      <c r="E2674" t="s">
        <v>508</v>
      </c>
      <c r="F2674" t="s">
        <v>19</v>
      </c>
      <c r="G2674" t="s">
        <v>20</v>
      </c>
      <c r="H2674" s="3">
        <v>10</v>
      </c>
      <c r="I2674" s="3">
        <v>1116</v>
      </c>
      <c r="J2674" s="3">
        <v>11160</v>
      </c>
      <c r="K2674" s="3">
        <v>900</v>
      </c>
      <c r="L2674" s="3">
        <v>9000</v>
      </c>
      <c r="M2674" s="3">
        <v>2160</v>
      </c>
      <c r="N2674" s="4">
        <v>0.19354838709677419</v>
      </c>
    </row>
    <row r="2675" spans="1:14" x14ac:dyDescent="0.3">
      <c r="A2675" s="6">
        <v>45849</v>
      </c>
      <c r="B2675" s="1" t="s">
        <v>2859</v>
      </c>
      <c r="C2675" s="1" t="s">
        <v>29</v>
      </c>
      <c r="D2675" t="s">
        <v>35</v>
      </c>
      <c r="E2675" t="s">
        <v>193</v>
      </c>
      <c r="F2675" t="s">
        <v>23</v>
      </c>
      <c r="G2675" t="s">
        <v>25</v>
      </c>
      <c r="H2675" s="3">
        <v>4</v>
      </c>
      <c r="I2675" s="3">
        <v>3840</v>
      </c>
      <c r="J2675" s="3">
        <v>15360</v>
      </c>
      <c r="K2675" s="3">
        <v>3200</v>
      </c>
      <c r="L2675" s="3">
        <v>12800</v>
      </c>
      <c r="M2675" s="3">
        <v>2560</v>
      </c>
      <c r="N2675" s="4">
        <v>0.16666666666666666</v>
      </c>
    </row>
    <row r="2676" spans="1:14" x14ac:dyDescent="0.3">
      <c r="A2676" s="6">
        <v>45849</v>
      </c>
      <c r="B2676" s="1" t="s">
        <v>2860</v>
      </c>
      <c r="C2676" s="1" t="s">
        <v>26</v>
      </c>
      <c r="D2676" t="s">
        <v>30</v>
      </c>
      <c r="E2676" t="s">
        <v>415</v>
      </c>
      <c r="F2676" t="s">
        <v>21</v>
      </c>
      <c r="G2676" t="s">
        <v>20</v>
      </c>
      <c r="H2676" s="3">
        <v>10</v>
      </c>
      <c r="I2676" s="3">
        <v>774</v>
      </c>
      <c r="J2676" s="3">
        <v>7740</v>
      </c>
      <c r="K2676" s="3">
        <v>600</v>
      </c>
      <c r="L2676" s="3">
        <v>6000</v>
      </c>
      <c r="M2676" s="3">
        <v>1740</v>
      </c>
      <c r="N2676" s="4">
        <v>0.22480620155038761</v>
      </c>
    </row>
    <row r="2677" spans="1:14" x14ac:dyDescent="0.3">
      <c r="A2677" s="6">
        <v>45849</v>
      </c>
      <c r="B2677" s="1" t="s">
        <v>2861</v>
      </c>
      <c r="C2677" s="1" t="s">
        <v>28</v>
      </c>
      <c r="D2677" t="s">
        <v>33</v>
      </c>
      <c r="E2677" t="s">
        <v>427</v>
      </c>
      <c r="F2677" t="s">
        <v>21</v>
      </c>
      <c r="G2677" t="s">
        <v>20</v>
      </c>
      <c r="H2677" s="3">
        <v>10</v>
      </c>
      <c r="I2677" s="3">
        <v>864</v>
      </c>
      <c r="J2677" s="3">
        <v>8640</v>
      </c>
      <c r="K2677" s="3">
        <v>600</v>
      </c>
      <c r="L2677" s="3">
        <v>6000</v>
      </c>
      <c r="M2677" s="3">
        <v>2640</v>
      </c>
      <c r="N2677" s="4">
        <v>0.30555555555555558</v>
      </c>
    </row>
    <row r="2678" spans="1:14" x14ac:dyDescent="0.3">
      <c r="A2678" s="6">
        <v>45849</v>
      </c>
      <c r="B2678" s="1" t="s">
        <v>2862</v>
      </c>
      <c r="C2678" s="1" t="s">
        <v>26</v>
      </c>
      <c r="D2678" t="s">
        <v>33</v>
      </c>
      <c r="E2678" t="s">
        <v>935</v>
      </c>
      <c r="F2678" t="s">
        <v>14</v>
      </c>
      <c r="G2678" t="s">
        <v>15</v>
      </c>
      <c r="H2678" s="3">
        <v>5</v>
      </c>
      <c r="I2678" s="3">
        <v>59850</v>
      </c>
      <c r="J2678" s="3">
        <v>299250</v>
      </c>
      <c r="K2678" s="3">
        <v>45000</v>
      </c>
      <c r="L2678" s="3">
        <v>225000</v>
      </c>
      <c r="M2678" s="3">
        <v>74250</v>
      </c>
      <c r="N2678" s="4">
        <v>0.24812030075187969</v>
      </c>
    </row>
    <row r="2679" spans="1:14" x14ac:dyDescent="0.3">
      <c r="A2679" s="6">
        <v>45849</v>
      </c>
      <c r="B2679" s="1" t="s">
        <v>2863</v>
      </c>
      <c r="C2679" s="1" t="s">
        <v>27</v>
      </c>
      <c r="D2679" t="s">
        <v>32</v>
      </c>
      <c r="E2679" t="s">
        <v>698</v>
      </c>
      <c r="F2679" t="s">
        <v>23</v>
      </c>
      <c r="G2679" t="s">
        <v>25</v>
      </c>
      <c r="H2679" s="3">
        <v>5</v>
      </c>
      <c r="I2679" s="3">
        <v>4064</v>
      </c>
      <c r="J2679" s="3">
        <v>20320</v>
      </c>
      <c r="K2679" s="3">
        <v>3200</v>
      </c>
      <c r="L2679" s="3">
        <v>16000</v>
      </c>
      <c r="M2679" s="3">
        <v>4320</v>
      </c>
      <c r="N2679" s="4">
        <v>0.2125984251968504</v>
      </c>
    </row>
    <row r="2680" spans="1:14" x14ac:dyDescent="0.3">
      <c r="A2680" s="6">
        <v>45849</v>
      </c>
      <c r="B2680" s="1" t="s">
        <v>2864</v>
      </c>
      <c r="C2680" s="1" t="s">
        <v>26</v>
      </c>
      <c r="D2680" t="s">
        <v>34</v>
      </c>
      <c r="E2680" t="s">
        <v>124</v>
      </c>
      <c r="F2680" t="s">
        <v>21</v>
      </c>
      <c r="G2680" t="s">
        <v>20</v>
      </c>
      <c r="H2680" s="3">
        <v>6</v>
      </c>
      <c r="I2680" s="3">
        <v>768</v>
      </c>
      <c r="J2680" s="3">
        <v>4608</v>
      </c>
      <c r="K2680" s="3">
        <v>600</v>
      </c>
      <c r="L2680" s="3">
        <v>3600</v>
      </c>
      <c r="M2680" s="3">
        <v>1008</v>
      </c>
      <c r="N2680" s="4">
        <v>0.21875</v>
      </c>
    </row>
    <row r="2681" spans="1:14" x14ac:dyDescent="0.3">
      <c r="A2681" s="6">
        <v>45849</v>
      </c>
      <c r="B2681" s="1" t="s">
        <v>2865</v>
      </c>
      <c r="C2681" s="1" t="s">
        <v>27</v>
      </c>
      <c r="D2681" t="s">
        <v>33</v>
      </c>
      <c r="E2681" t="s">
        <v>336</v>
      </c>
      <c r="F2681" t="s">
        <v>14</v>
      </c>
      <c r="G2681" t="s">
        <v>15</v>
      </c>
      <c r="H2681" s="3">
        <v>6</v>
      </c>
      <c r="I2681" s="3">
        <v>59400</v>
      </c>
      <c r="J2681" s="3">
        <v>356400</v>
      </c>
      <c r="K2681" s="3">
        <v>45000</v>
      </c>
      <c r="L2681" s="3">
        <v>270000</v>
      </c>
      <c r="M2681" s="3">
        <v>86400</v>
      </c>
      <c r="N2681" s="4">
        <v>0.24242424242424243</v>
      </c>
    </row>
    <row r="2682" spans="1:14" x14ac:dyDescent="0.3">
      <c r="A2682" s="6">
        <v>45849</v>
      </c>
      <c r="B2682" s="1" t="s">
        <v>2866</v>
      </c>
      <c r="C2682" s="1" t="s">
        <v>27</v>
      </c>
      <c r="D2682" t="s">
        <v>34</v>
      </c>
      <c r="E2682" t="s">
        <v>369</v>
      </c>
      <c r="F2682" t="s">
        <v>16</v>
      </c>
      <c r="G2682" t="s">
        <v>15</v>
      </c>
      <c r="H2682" s="3">
        <v>9</v>
      </c>
      <c r="I2682" s="3">
        <v>47120</v>
      </c>
      <c r="J2682" s="3">
        <v>424080</v>
      </c>
      <c r="K2682" s="3">
        <v>38000</v>
      </c>
      <c r="L2682" s="3">
        <v>342000</v>
      </c>
      <c r="M2682" s="3">
        <v>82080</v>
      </c>
      <c r="N2682" s="4">
        <v>0.19354838709677419</v>
      </c>
    </row>
    <row r="2683" spans="1:14" x14ac:dyDescent="0.3">
      <c r="A2683" s="6">
        <v>45849</v>
      </c>
      <c r="B2683" s="1" t="s">
        <v>2867</v>
      </c>
      <c r="C2683" s="1" t="s">
        <v>27</v>
      </c>
      <c r="D2683" t="s">
        <v>35</v>
      </c>
      <c r="E2683" t="s">
        <v>57</v>
      </c>
      <c r="F2683" t="s">
        <v>24</v>
      </c>
      <c r="G2683" t="s">
        <v>25</v>
      </c>
      <c r="H2683" s="3">
        <v>6</v>
      </c>
      <c r="I2683" s="3">
        <v>3250</v>
      </c>
      <c r="J2683" s="3">
        <v>19500</v>
      </c>
      <c r="K2683" s="3">
        <v>2500</v>
      </c>
      <c r="L2683" s="3">
        <v>15000</v>
      </c>
      <c r="M2683" s="3">
        <v>4500</v>
      </c>
      <c r="N2683" s="4">
        <v>0.23076923076923078</v>
      </c>
    </row>
    <row r="2684" spans="1:14" x14ac:dyDescent="0.3">
      <c r="A2684" s="6">
        <v>45849</v>
      </c>
      <c r="B2684" s="1" t="s">
        <v>2868</v>
      </c>
      <c r="C2684" s="1" t="s">
        <v>27</v>
      </c>
      <c r="D2684" t="s">
        <v>34</v>
      </c>
      <c r="E2684" t="s">
        <v>145</v>
      </c>
      <c r="F2684" t="s">
        <v>24</v>
      </c>
      <c r="G2684" t="s">
        <v>25</v>
      </c>
      <c r="H2684" s="3">
        <v>2</v>
      </c>
      <c r="I2684" s="3">
        <v>3375</v>
      </c>
      <c r="J2684" s="3">
        <v>6750</v>
      </c>
      <c r="K2684" s="3">
        <v>2500</v>
      </c>
      <c r="L2684" s="3">
        <v>5000</v>
      </c>
      <c r="M2684" s="3">
        <v>1750</v>
      </c>
      <c r="N2684" s="4">
        <v>0.25925925925925924</v>
      </c>
    </row>
    <row r="2685" spans="1:14" x14ac:dyDescent="0.3">
      <c r="A2685" s="6">
        <v>45849</v>
      </c>
      <c r="B2685" s="1" t="s">
        <v>2869</v>
      </c>
      <c r="C2685" s="1" t="s">
        <v>27</v>
      </c>
      <c r="D2685" t="s">
        <v>32</v>
      </c>
      <c r="E2685" t="s">
        <v>151</v>
      </c>
      <c r="F2685" t="s">
        <v>23</v>
      </c>
      <c r="G2685" t="s">
        <v>25</v>
      </c>
      <c r="H2685" s="3">
        <v>10</v>
      </c>
      <c r="I2685" s="3">
        <v>4320</v>
      </c>
      <c r="J2685" s="3">
        <v>43200</v>
      </c>
      <c r="K2685" s="3">
        <v>3200</v>
      </c>
      <c r="L2685" s="3">
        <v>32000</v>
      </c>
      <c r="M2685" s="3">
        <v>11200</v>
      </c>
      <c r="N2685" s="4">
        <v>0.25925925925925924</v>
      </c>
    </row>
    <row r="2686" spans="1:14" x14ac:dyDescent="0.3">
      <c r="A2686" s="6">
        <v>45849</v>
      </c>
      <c r="B2686" s="1" t="s">
        <v>2870</v>
      </c>
      <c r="C2686" s="1" t="s">
        <v>27</v>
      </c>
      <c r="D2686" t="s">
        <v>35</v>
      </c>
      <c r="E2686" t="s">
        <v>268</v>
      </c>
      <c r="F2686" t="s">
        <v>22</v>
      </c>
      <c r="G2686" t="s">
        <v>18</v>
      </c>
      <c r="H2686" s="3">
        <v>5</v>
      </c>
      <c r="I2686" s="3">
        <v>10150</v>
      </c>
      <c r="J2686" s="3">
        <v>50750</v>
      </c>
      <c r="K2686" s="3">
        <v>7000</v>
      </c>
      <c r="L2686" s="3">
        <v>35000</v>
      </c>
      <c r="M2686" s="3">
        <v>15750</v>
      </c>
      <c r="N2686" s="4">
        <v>0.31034482758620691</v>
      </c>
    </row>
    <row r="2687" spans="1:14" x14ac:dyDescent="0.3">
      <c r="A2687" s="6">
        <v>45849</v>
      </c>
      <c r="B2687" s="1" t="s">
        <v>2871</v>
      </c>
      <c r="C2687" s="1" t="s">
        <v>29</v>
      </c>
      <c r="D2687" t="s">
        <v>30</v>
      </c>
      <c r="E2687" t="s">
        <v>283</v>
      </c>
      <c r="F2687" t="s">
        <v>19</v>
      </c>
      <c r="G2687" t="s">
        <v>20</v>
      </c>
      <c r="H2687" s="3">
        <v>2</v>
      </c>
      <c r="I2687" s="3">
        <v>1224</v>
      </c>
      <c r="J2687" s="3">
        <v>2448</v>
      </c>
      <c r="K2687" s="3">
        <v>900</v>
      </c>
      <c r="L2687" s="3">
        <v>1800</v>
      </c>
      <c r="M2687" s="3">
        <v>648</v>
      </c>
      <c r="N2687" s="4">
        <v>0.26470588235294118</v>
      </c>
    </row>
    <row r="2688" spans="1:14" x14ac:dyDescent="0.3">
      <c r="A2688" s="6">
        <v>45850</v>
      </c>
      <c r="B2688" s="1" t="s">
        <v>2872</v>
      </c>
      <c r="C2688" s="1" t="s">
        <v>27</v>
      </c>
      <c r="D2688" t="s">
        <v>30</v>
      </c>
      <c r="E2688" t="s">
        <v>357</v>
      </c>
      <c r="F2688" t="s">
        <v>16</v>
      </c>
      <c r="G2688" t="s">
        <v>15</v>
      </c>
      <c r="H2688" s="3">
        <v>7</v>
      </c>
      <c r="I2688" s="3">
        <v>49400</v>
      </c>
      <c r="J2688" s="3">
        <v>345800</v>
      </c>
      <c r="K2688" s="3">
        <v>38000</v>
      </c>
      <c r="L2688" s="3">
        <v>266000</v>
      </c>
      <c r="M2688" s="3">
        <v>79800</v>
      </c>
      <c r="N2688" s="4">
        <v>0.23076923076923078</v>
      </c>
    </row>
    <row r="2689" spans="1:14" x14ac:dyDescent="0.3">
      <c r="A2689" s="6">
        <v>45850</v>
      </c>
      <c r="B2689" s="1" t="s">
        <v>2873</v>
      </c>
      <c r="C2689" s="1" t="s">
        <v>28</v>
      </c>
      <c r="D2689" t="s">
        <v>32</v>
      </c>
      <c r="E2689" t="s">
        <v>106</v>
      </c>
      <c r="F2689" t="s">
        <v>23</v>
      </c>
      <c r="G2689" t="s">
        <v>25</v>
      </c>
      <c r="H2689" s="3">
        <v>5</v>
      </c>
      <c r="I2689" s="3">
        <v>4384</v>
      </c>
      <c r="J2689" s="3">
        <v>21920</v>
      </c>
      <c r="K2689" s="3">
        <v>3200</v>
      </c>
      <c r="L2689" s="3">
        <v>16000</v>
      </c>
      <c r="M2689" s="3">
        <v>5920</v>
      </c>
      <c r="N2689" s="4">
        <v>0.27007299270072993</v>
      </c>
    </row>
    <row r="2690" spans="1:14" x14ac:dyDescent="0.3">
      <c r="A2690" s="6">
        <v>45850</v>
      </c>
      <c r="B2690" s="1" t="s">
        <v>2874</v>
      </c>
      <c r="C2690" s="1" t="s">
        <v>27</v>
      </c>
      <c r="D2690" t="s">
        <v>31</v>
      </c>
      <c r="E2690" t="s">
        <v>134</v>
      </c>
      <c r="F2690" t="s">
        <v>21</v>
      </c>
      <c r="G2690" t="s">
        <v>20</v>
      </c>
      <c r="H2690" s="3">
        <v>10</v>
      </c>
      <c r="I2690" s="3">
        <v>732</v>
      </c>
      <c r="J2690" s="3">
        <v>7320</v>
      </c>
      <c r="K2690" s="3">
        <v>600</v>
      </c>
      <c r="L2690" s="3">
        <v>6000</v>
      </c>
      <c r="M2690" s="3">
        <v>1320</v>
      </c>
      <c r="N2690" s="4">
        <v>0.18032786885245902</v>
      </c>
    </row>
    <row r="2691" spans="1:14" x14ac:dyDescent="0.3">
      <c r="A2691" s="6">
        <v>45850</v>
      </c>
      <c r="B2691" s="1" t="s">
        <v>2875</v>
      </c>
      <c r="C2691" s="1" t="s">
        <v>29</v>
      </c>
      <c r="D2691" t="s">
        <v>31</v>
      </c>
      <c r="E2691" t="s">
        <v>155</v>
      </c>
      <c r="F2691" t="s">
        <v>22</v>
      </c>
      <c r="G2691" t="s">
        <v>18</v>
      </c>
      <c r="H2691" s="3">
        <v>3</v>
      </c>
      <c r="I2691" s="3">
        <v>8470</v>
      </c>
      <c r="J2691" s="3">
        <v>25410</v>
      </c>
      <c r="K2691" s="3">
        <v>7000</v>
      </c>
      <c r="L2691" s="3">
        <v>21000</v>
      </c>
      <c r="M2691" s="3">
        <v>4410</v>
      </c>
      <c r="N2691" s="4">
        <v>0.17355371900826447</v>
      </c>
    </row>
    <row r="2692" spans="1:14" x14ac:dyDescent="0.3">
      <c r="A2692" s="6">
        <v>45850</v>
      </c>
      <c r="B2692" s="1" t="s">
        <v>2876</v>
      </c>
      <c r="C2692" s="1" t="s">
        <v>27</v>
      </c>
      <c r="D2692" t="s">
        <v>35</v>
      </c>
      <c r="E2692" t="s">
        <v>85</v>
      </c>
      <c r="F2692" t="s">
        <v>22</v>
      </c>
      <c r="G2692" t="s">
        <v>18</v>
      </c>
      <c r="H2692" s="3">
        <v>10</v>
      </c>
      <c r="I2692" s="3">
        <v>9730</v>
      </c>
      <c r="J2692" s="3">
        <v>97300</v>
      </c>
      <c r="K2692" s="3">
        <v>7000</v>
      </c>
      <c r="L2692" s="3">
        <v>70000</v>
      </c>
      <c r="M2692" s="3">
        <v>27300</v>
      </c>
      <c r="N2692" s="4">
        <v>0.2805755395683453</v>
      </c>
    </row>
    <row r="2693" spans="1:14" x14ac:dyDescent="0.3">
      <c r="A2693" s="6">
        <v>45850</v>
      </c>
      <c r="B2693" s="1" t="s">
        <v>2877</v>
      </c>
      <c r="C2693" s="1" t="s">
        <v>27</v>
      </c>
      <c r="D2693" t="s">
        <v>32</v>
      </c>
      <c r="E2693" t="s">
        <v>400</v>
      </c>
      <c r="F2693" t="s">
        <v>23</v>
      </c>
      <c r="G2693" t="s">
        <v>25</v>
      </c>
      <c r="H2693" s="3">
        <v>4</v>
      </c>
      <c r="I2693" s="3">
        <v>3840</v>
      </c>
      <c r="J2693" s="3">
        <v>15360</v>
      </c>
      <c r="K2693" s="3">
        <v>3200</v>
      </c>
      <c r="L2693" s="3">
        <v>12800</v>
      </c>
      <c r="M2693" s="3">
        <v>2560</v>
      </c>
      <c r="N2693" s="4">
        <v>0.16666666666666666</v>
      </c>
    </row>
    <row r="2694" spans="1:14" x14ac:dyDescent="0.3">
      <c r="A2694" s="6">
        <v>45850</v>
      </c>
      <c r="B2694" s="1" t="s">
        <v>2878</v>
      </c>
      <c r="C2694" s="1" t="s">
        <v>29</v>
      </c>
      <c r="D2694" t="s">
        <v>35</v>
      </c>
      <c r="E2694" t="s">
        <v>39</v>
      </c>
      <c r="F2694" t="s">
        <v>16</v>
      </c>
      <c r="G2694" t="s">
        <v>15</v>
      </c>
      <c r="H2694" s="3">
        <v>8</v>
      </c>
      <c r="I2694" s="3">
        <v>50920</v>
      </c>
      <c r="J2694" s="3">
        <v>407360</v>
      </c>
      <c r="K2694" s="3">
        <v>38000</v>
      </c>
      <c r="L2694" s="3">
        <v>304000</v>
      </c>
      <c r="M2694" s="3">
        <v>103360</v>
      </c>
      <c r="N2694" s="4">
        <v>0.2537313432835821</v>
      </c>
    </row>
    <row r="2695" spans="1:14" x14ac:dyDescent="0.3">
      <c r="A2695" s="6">
        <v>45850</v>
      </c>
      <c r="B2695" s="1" t="s">
        <v>2879</v>
      </c>
      <c r="C2695" s="1" t="s">
        <v>29</v>
      </c>
      <c r="D2695" t="s">
        <v>31</v>
      </c>
      <c r="E2695" t="s">
        <v>283</v>
      </c>
      <c r="F2695" t="s">
        <v>16</v>
      </c>
      <c r="G2695" t="s">
        <v>15</v>
      </c>
      <c r="H2695" s="3">
        <v>7</v>
      </c>
      <c r="I2695" s="3">
        <v>53580</v>
      </c>
      <c r="J2695" s="3">
        <v>375060</v>
      </c>
      <c r="K2695" s="3">
        <v>38000</v>
      </c>
      <c r="L2695" s="3">
        <v>266000</v>
      </c>
      <c r="M2695" s="3">
        <v>109060</v>
      </c>
      <c r="N2695" s="4">
        <v>0.29078014184397161</v>
      </c>
    </row>
    <row r="2696" spans="1:14" x14ac:dyDescent="0.3">
      <c r="A2696" s="6">
        <v>45850</v>
      </c>
      <c r="B2696" s="1" t="s">
        <v>2880</v>
      </c>
      <c r="C2696" s="1" t="s">
        <v>29</v>
      </c>
      <c r="D2696" t="s">
        <v>31</v>
      </c>
      <c r="E2696" t="s">
        <v>308</v>
      </c>
      <c r="F2696" t="s">
        <v>23</v>
      </c>
      <c r="G2696" t="s">
        <v>25</v>
      </c>
      <c r="H2696" s="3">
        <v>1</v>
      </c>
      <c r="I2696" s="3">
        <v>4544</v>
      </c>
      <c r="J2696" s="3">
        <v>4544</v>
      </c>
      <c r="K2696" s="3">
        <v>3200</v>
      </c>
      <c r="L2696" s="3">
        <v>3200</v>
      </c>
      <c r="M2696" s="3">
        <v>1344</v>
      </c>
      <c r="N2696" s="4">
        <v>0.29577464788732394</v>
      </c>
    </row>
    <row r="2697" spans="1:14" x14ac:dyDescent="0.3">
      <c r="A2697" s="6">
        <v>45850</v>
      </c>
      <c r="B2697" s="1" t="s">
        <v>2881</v>
      </c>
      <c r="C2697" s="1" t="s">
        <v>28</v>
      </c>
      <c r="D2697" t="s">
        <v>34</v>
      </c>
      <c r="E2697" t="s">
        <v>116</v>
      </c>
      <c r="F2697" t="s">
        <v>17</v>
      </c>
      <c r="G2697" t="s">
        <v>18</v>
      </c>
      <c r="H2697" s="3">
        <v>9</v>
      </c>
      <c r="I2697" s="3">
        <v>12070</v>
      </c>
      <c r="J2697" s="3">
        <v>108630</v>
      </c>
      <c r="K2697" s="3">
        <v>8500</v>
      </c>
      <c r="L2697" s="3">
        <v>76500</v>
      </c>
      <c r="M2697" s="3">
        <v>32130</v>
      </c>
      <c r="N2697" s="4">
        <v>0.29577464788732394</v>
      </c>
    </row>
    <row r="2698" spans="1:14" x14ac:dyDescent="0.3">
      <c r="A2698" s="6">
        <v>45850</v>
      </c>
      <c r="B2698" s="1" t="s">
        <v>2882</v>
      </c>
      <c r="C2698" s="1" t="s">
        <v>26</v>
      </c>
      <c r="D2698" t="s">
        <v>30</v>
      </c>
      <c r="E2698" t="s">
        <v>390</v>
      </c>
      <c r="F2698" t="s">
        <v>23</v>
      </c>
      <c r="G2698" t="s">
        <v>25</v>
      </c>
      <c r="H2698" s="3">
        <v>9</v>
      </c>
      <c r="I2698" s="3">
        <v>4384</v>
      </c>
      <c r="J2698" s="3">
        <v>39456</v>
      </c>
      <c r="K2698" s="3">
        <v>3200</v>
      </c>
      <c r="L2698" s="3">
        <v>28800</v>
      </c>
      <c r="M2698" s="3">
        <v>10656</v>
      </c>
      <c r="N2698" s="4">
        <v>0.27007299270072993</v>
      </c>
    </row>
    <row r="2699" spans="1:14" x14ac:dyDescent="0.3">
      <c r="A2699" s="6">
        <v>45850</v>
      </c>
      <c r="B2699" s="1" t="s">
        <v>2883</v>
      </c>
      <c r="C2699" s="1" t="s">
        <v>28</v>
      </c>
      <c r="D2699" t="s">
        <v>30</v>
      </c>
      <c r="E2699" t="s">
        <v>308</v>
      </c>
      <c r="F2699" t="s">
        <v>19</v>
      </c>
      <c r="G2699" t="s">
        <v>20</v>
      </c>
      <c r="H2699" s="3">
        <v>5</v>
      </c>
      <c r="I2699" s="3">
        <v>1089</v>
      </c>
      <c r="J2699" s="3">
        <v>5445</v>
      </c>
      <c r="K2699" s="3">
        <v>900</v>
      </c>
      <c r="L2699" s="3">
        <v>4500</v>
      </c>
      <c r="M2699" s="3">
        <v>945</v>
      </c>
      <c r="N2699" s="4">
        <v>0.17355371900826447</v>
      </c>
    </row>
    <row r="2700" spans="1:14" x14ac:dyDescent="0.3">
      <c r="A2700" s="6">
        <v>45850</v>
      </c>
      <c r="B2700" s="1" t="s">
        <v>2884</v>
      </c>
      <c r="C2700" s="1" t="s">
        <v>27</v>
      </c>
      <c r="D2700" t="s">
        <v>31</v>
      </c>
      <c r="E2700" t="s">
        <v>145</v>
      </c>
      <c r="F2700" t="s">
        <v>22</v>
      </c>
      <c r="G2700" t="s">
        <v>18</v>
      </c>
      <c r="H2700" s="3">
        <v>7</v>
      </c>
      <c r="I2700" s="3">
        <v>10150</v>
      </c>
      <c r="J2700" s="3">
        <v>71050</v>
      </c>
      <c r="K2700" s="3">
        <v>7000</v>
      </c>
      <c r="L2700" s="3">
        <v>49000</v>
      </c>
      <c r="M2700" s="3">
        <v>22050</v>
      </c>
      <c r="N2700" s="4">
        <v>0.31034482758620691</v>
      </c>
    </row>
    <row r="2701" spans="1:14" x14ac:dyDescent="0.3">
      <c r="A2701" s="6">
        <v>45850</v>
      </c>
      <c r="B2701" s="1" t="s">
        <v>2885</v>
      </c>
      <c r="C2701" s="1" t="s">
        <v>28</v>
      </c>
      <c r="D2701" t="s">
        <v>30</v>
      </c>
      <c r="E2701" t="s">
        <v>85</v>
      </c>
      <c r="F2701" t="s">
        <v>22</v>
      </c>
      <c r="G2701" t="s">
        <v>18</v>
      </c>
      <c r="H2701" s="3">
        <v>2</v>
      </c>
      <c r="I2701" s="3">
        <v>9240</v>
      </c>
      <c r="J2701" s="3">
        <v>18480</v>
      </c>
      <c r="K2701" s="3">
        <v>7000</v>
      </c>
      <c r="L2701" s="3">
        <v>14000</v>
      </c>
      <c r="M2701" s="3">
        <v>4480</v>
      </c>
      <c r="N2701" s="4">
        <v>0.24242424242424243</v>
      </c>
    </row>
    <row r="2702" spans="1:14" x14ac:dyDescent="0.3">
      <c r="A2702" s="6">
        <v>45851</v>
      </c>
      <c r="B2702" s="1" t="s">
        <v>2886</v>
      </c>
      <c r="C2702" s="1" t="s">
        <v>27</v>
      </c>
      <c r="D2702" t="s">
        <v>31</v>
      </c>
      <c r="E2702" t="s">
        <v>400</v>
      </c>
      <c r="F2702" t="s">
        <v>24</v>
      </c>
      <c r="G2702" t="s">
        <v>25</v>
      </c>
      <c r="H2702" s="3">
        <v>4</v>
      </c>
      <c r="I2702" s="3">
        <v>3300</v>
      </c>
      <c r="J2702" s="3">
        <v>13200</v>
      </c>
      <c r="K2702" s="3">
        <v>2500</v>
      </c>
      <c r="L2702" s="3">
        <v>10000</v>
      </c>
      <c r="M2702" s="3">
        <v>3200</v>
      </c>
      <c r="N2702" s="4">
        <v>0.24242424242424243</v>
      </c>
    </row>
    <row r="2703" spans="1:14" x14ac:dyDescent="0.3">
      <c r="A2703" s="6">
        <v>45851</v>
      </c>
      <c r="B2703" s="1" t="s">
        <v>2887</v>
      </c>
      <c r="C2703" s="1" t="s">
        <v>26</v>
      </c>
      <c r="D2703" t="s">
        <v>30</v>
      </c>
      <c r="E2703" t="s">
        <v>78</v>
      </c>
      <c r="F2703" t="s">
        <v>19</v>
      </c>
      <c r="G2703" t="s">
        <v>20</v>
      </c>
      <c r="H2703" s="3">
        <v>4</v>
      </c>
      <c r="I2703" s="3">
        <v>1224</v>
      </c>
      <c r="J2703" s="3">
        <v>4896</v>
      </c>
      <c r="K2703" s="3">
        <v>900</v>
      </c>
      <c r="L2703" s="3">
        <v>3600</v>
      </c>
      <c r="M2703" s="3">
        <v>1296</v>
      </c>
      <c r="N2703" s="4">
        <v>0.26470588235294118</v>
      </c>
    </row>
    <row r="2704" spans="1:14" x14ac:dyDescent="0.3">
      <c r="A2704" s="6">
        <v>45851</v>
      </c>
      <c r="B2704" s="1" t="s">
        <v>2888</v>
      </c>
      <c r="C2704" s="1" t="s">
        <v>28</v>
      </c>
      <c r="D2704" t="s">
        <v>33</v>
      </c>
      <c r="E2704" t="s">
        <v>39</v>
      </c>
      <c r="F2704" t="s">
        <v>24</v>
      </c>
      <c r="G2704" t="s">
        <v>25</v>
      </c>
      <c r="H2704" s="3">
        <v>9</v>
      </c>
      <c r="I2704" s="3">
        <v>3150</v>
      </c>
      <c r="J2704" s="3">
        <v>28350</v>
      </c>
      <c r="K2704" s="3">
        <v>2500</v>
      </c>
      <c r="L2704" s="3">
        <v>22500</v>
      </c>
      <c r="M2704" s="3">
        <v>5850</v>
      </c>
      <c r="N2704" s="4">
        <v>0.20634920634920634</v>
      </c>
    </row>
    <row r="2705" spans="1:14" x14ac:dyDescent="0.3">
      <c r="A2705" s="6">
        <v>45851</v>
      </c>
      <c r="B2705" s="1" t="s">
        <v>2889</v>
      </c>
      <c r="C2705" s="1" t="s">
        <v>27</v>
      </c>
      <c r="D2705" t="s">
        <v>35</v>
      </c>
      <c r="E2705" t="s">
        <v>120</v>
      </c>
      <c r="F2705" t="s">
        <v>14</v>
      </c>
      <c r="G2705" t="s">
        <v>15</v>
      </c>
      <c r="H2705" s="3">
        <v>10</v>
      </c>
      <c r="I2705" s="3">
        <v>57600</v>
      </c>
      <c r="J2705" s="3">
        <v>576000</v>
      </c>
      <c r="K2705" s="3">
        <v>45000</v>
      </c>
      <c r="L2705" s="3">
        <v>450000</v>
      </c>
      <c r="M2705" s="3">
        <v>126000</v>
      </c>
      <c r="N2705" s="4">
        <v>0.21875</v>
      </c>
    </row>
    <row r="2706" spans="1:14" x14ac:dyDescent="0.3">
      <c r="A2706" s="6">
        <v>45851</v>
      </c>
      <c r="B2706" s="1" t="s">
        <v>2890</v>
      </c>
      <c r="C2706" s="1" t="s">
        <v>26</v>
      </c>
      <c r="D2706" t="s">
        <v>33</v>
      </c>
      <c r="E2706" t="s">
        <v>92</v>
      </c>
      <c r="F2706" t="s">
        <v>22</v>
      </c>
      <c r="G2706" t="s">
        <v>18</v>
      </c>
      <c r="H2706" s="3">
        <v>6</v>
      </c>
      <c r="I2706" s="3">
        <v>9100</v>
      </c>
      <c r="J2706" s="3">
        <v>54600</v>
      </c>
      <c r="K2706" s="3">
        <v>7000</v>
      </c>
      <c r="L2706" s="3">
        <v>42000</v>
      </c>
      <c r="M2706" s="3">
        <v>12600</v>
      </c>
      <c r="N2706" s="4">
        <v>0.23076923076923078</v>
      </c>
    </row>
    <row r="2707" spans="1:14" x14ac:dyDescent="0.3">
      <c r="A2707" s="6">
        <v>45851</v>
      </c>
      <c r="B2707" s="1" t="s">
        <v>2891</v>
      </c>
      <c r="C2707" s="1" t="s">
        <v>28</v>
      </c>
      <c r="D2707" t="s">
        <v>30</v>
      </c>
      <c r="E2707" t="s">
        <v>122</v>
      </c>
      <c r="F2707" t="s">
        <v>21</v>
      </c>
      <c r="G2707" t="s">
        <v>20</v>
      </c>
      <c r="H2707" s="3">
        <v>2</v>
      </c>
      <c r="I2707" s="3">
        <v>786</v>
      </c>
      <c r="J2707" s="3">
        <v>1572</v>
      </c>
      <c r="K2707" s="3">
        <v>600</v>
      </c>
      <c r="L2707" s="3">
        <v>1200</v>
      </c>
      <c r="M2707" s="3">
        <v>372</v>
      </c>
      <c r="N2707" s="4">
        <v>0.23664122137404581</v>
      </c>
    </row>
    <row r="2708" spans="1:14" x14ac:dyDescent="0.3">
      <c r="A2708" s="6">
        <v>45851</v>
      </c>
      <c r="B2708" s="1" t="s">
        <v>2892</v>
      </c>
      <c r="C2708" s="1" t="s">
        <v>27</v>
      </c>
      <c r="D2708" t="s">
        <v>32</v>
      </c>
      <c r="E2708" t="s">
        <v>118</v>
      </c>
      <c r="F2708" t="s">
        <v>17</v>
      </c>
      <c r="G2708" t="s">
        <v>18</v>
      </c>
      <c r="H2708" s="3">
        <v>2</v>
      </c>
      <c r="I2708" s="3">
        <v>10625</v>
      </c>
      <c r="J2708" s="3">
        <v>21250</v>
      </c>
      <c r="K2708" s="3">
        <v>8500</v>
      </c>
      <c r="L2708" s="3">
        <v>17000</v>
      </c>
      <c r="M2708" s="3">
        <v>4250</v>
      </c>
      <c r="N2708" s="4">
        <v>0.2</v>
      </c>
    </row>
    <row r="2709" spans="1:14" x14ac:dyDescent="0.3">
      <c r="A2709" s="6">
        <v>45851</v>
      </c>
      <c r="B2709" s="1" t="s">
        <v>2893</v>
      </c>
      <c r="C2709" s="1" t="s">
        <v>26</v>
      </c>
      <c r="D2709" t="s">
        <v>32</v>
      </c>
      <c r="E2709" t="s">
        <v>506</v>
      </c>
      <c r="F2709" t="s">
        <v>24</v>
      </c>
      <c r="G2709" t="s">
        <v>25</v>
      </c>
      <c r="H2709" s="3">
        <v>9</v>
      </c>
      <c r="I2709" s="3">
        <v>3625</v>
      </c>
      <c r="J2709" s="3">
        <v>32625</v>
      </c>
      <c r="K2709" s="3">
        <v>2500</v>
      </c>
      <c r="L2709" s="3">
        <v>22500</v>
      </c>
      <c r="M2709" s="3">
        <v>10125</v>
      </c>
      <c r="N2709" s="4">
        <v>0.31034482758620691</v>
      </c>
    </row>
    <row r="2710" spans="1:14" x14ac:dyDescent="0.3">
      <c r="A2710" s="6">
        <v>45851</v>
      </c>
      <c r="B2710" s="1" t="s">
        <v>2894</v>
      </c>
      <c r="C2710" s="1" t="s">
        <v>29</v>
      </c>
      <c r="D2710" t="s">
        <v>31</v>
      </c>
      <c r="E2710" t="s">
        <v>149</v>
      </c>
      <c r="F2710" t="s">
        <v>22</v>
      </c>
      <c r="G2710" t="s">
        <v>18</v>
      </c>
      <c r="H2710" s="3">
        <v>4</v>
      </c>
      <c r="I2710" s="3">
        <v>8750</v>
      </c>
      <c r="J2710" s="3">
        <v>35000</v>
      </c>
      <c r="K2710" s="3">
        <v>7000</v>
      </c>
      <c r="L2710" s="3">
        <v>28000</v>
      </c>
      <c r="M2710" s="3">
        <v>7000</v>
      </c>
      <c r="N2710" s="4">
        <v>0.2</v>
      </c>
    </row>
    <row r="2711" spans="1:14" x14ac:dyDescent="0.3">
      <c r="A2711" s="6">
        <v>45851</v>
      </c>
      <c r="B2711" s="1" t="s">
        <v>2895</v>
      </c>
      <c r="C2711" s="1" t="s">
        <v>29</v>
      </c>
      <c r="D2711" t="s">
        <v>30</v>
      </c>
      <c r="E2711" t="s">
        <v>381</v>
      </c>
      <c r="F2711" t="s">
        <v>22</v>
      </c>
      <c r="G2711" t="s">
        <v>18</v>
      </c>
      <c r="H2711" s="3">
        <v>8</v>
      </c>
      <c r="I2711" s="3">
        <v>8400</v>
      </c>
      <c r="J2711" s="3">
        <v>67200</v>
      </c>
      <c r="K2711" s="3">
        <v>7000</v>
      </c>
      <c r="L2711" s="3">
        <v>56000</v>
      </c>
      <c r="M2711" s="3">
        <v>11200</v>
      </c>
      <c r="N2711" s="4">
        <v>0.16666666666666666</v>
      </c>
    </row>
    <row r="2712" spans="1:14" x14ac:dyDescent="0.3">
      <c r="A2712" s="6">
        <v>45851</v>
      </c>
      <c r="B2712" s="1" t="s">
        <v>2896</v>
      </c>
      <c r="C2712" s="1" t="s">
        <v>27</v>
      </c>
      <c r="D2712" t="s">
        <v>30</v>
      </c>
      <c r="E2712" t="s">
        <v>538</v>
      </c>
      <c r="F2712" t="s">
        <v>24</v>
      </c>
      <c r="G2712" t="s">
        <v>25</v>
      </c>
      <c r="H2712" s="3">
        <v>3</v>
      </c>
      <c r="I2712" s="3">
        <v>3050</v>
      </c>
      <c r="J2712" s="3">
        <v>9150</v>
      </c>
      <c r="K2712" s="3">
        <v>2500</v>
      </c>
      <c r="L2712" s="3">
        <v>7500</v>
      </c>
      <c r="M2712" s="3">
        <v>1650</v>
      </c>
      <c r="N2712" s="4">
        <v>0.18032786885245902</v>
      </c>
    </row>
    <row r="2713" spans="1:14" x14ac:dyDescent="0.3">
      <c r="A2713" s="6">
        <v>45851</v>
      </c>
      <c r="B2713" s="1" t="s">
        <v>2897</v>
      </c>
      <c r="C2713" s="1" t="s">
        <v>27</v>
      </c>
      <c r="D2713" t="s">
        <v>33</v>
      </c>
      <c r="E2713" t="s">
        <v>147</v>
      </c>
      <c r="F2713" t="s">
        <v>19</v>
      </c>
      <c r="G2713" t="s">
        <v>20</v>
      </c>
      <c r="H2713" s="3">
        <v>4</v>
      </c>
      <c r="I2713" s="3">
        <v>1197</v>
      </c>
      <c r="J2713" s="3">
        <v>4788</v>
      </c>
      <c r="K2713" s="3">
        <v>900</v>
      </c>
      <c r="L2713" s="3">
        <v>3600</v>
      </c>
      <c r="M2713" s="3">
        <v>1188</v>
      </c>
      <c r="N2713" s="4">
        <v>0.24812030075187969</v>
      </c>
    </row>
    <row r="2714" spans="1:14" x14ac:dyDescent="0.3">
      <c r="A2714" s="6">
        <v>45851</v>
      </c>
      <c r="B2714" s="1" t="s">
        <v>2898</v>
      </c>
      <c r="C2714" s="1" t="s">
        <v>27</v>
      </c>
      <c r="D2714" t="s">
        <v>35</v>
      </c>
      <c r="E2714" t="s">
        <v>145</v>
      </c>
      <c r="F2714" t="s">
        <v>24</v>
      </c>
      <c r="G2714" t="s">
        <v>25</v>
      </c>
      <c r="H2714" s="3">
        <v>1</v>
      </c>
      <c r="I2714" s="3">
        <v>3575</v>
      </c>
      <c r="J2714" s="3">
        <v>3575</v>
      </c>
      <c r="K2714" s="3">
        <v>2500</v>
      </c>
      <c r="L2714" s="3">
        <v>2500</v>
      </c>
      <c r="M2714" s="3">
        <v>1075</v>
      </c>
      <c r="N2714" s="4">
        <v>0.30069930069930068</v>
      </c>
    </row>
    <row r="2715" spans="1:14" x14ac:dyDescent="0.3">
      <c r="A2715" s="6">
        <v>45851</v>
      </c>
      <c r="B2715" s="1" t="s">
        <v>2899</v>
      </c>
      <c r="C2715" s="1" t="s">
        <v>26</v>
      </c>
      <c r="D2715" t="s">
        <v>30</v>
      </c>
      <c r="E2715" t="s">
        <v>415</v>
      </c>
      <c r="F2715" t="s">
        <v>23</v>
      </c>
      <c r="G2715" t="s">
        <v>25</v>
      </c>
      <c r="H2715" s="3">
        <v>5</v>
      </c>
      <c r="I2715" s="3">
        <v>4480</v>
      </c>
      <c r="J2715" s="3">
        <v>22400</v>
      </c>
      <c r="K2715" s="3">
        <v>3200</v>
      </c>
      <c r="L2715" s="3">
        <v>16000</v>
      </c>
      <c r="M2715" s="3">
        <v>6400</v>
      </c>
      <c r="N2715" s="4">
        <v>0.2857142857142857</v>
      </c>
    </row>
    <row r="2716" spans="1:14" x14ac:dyDescent="0.3">
      <c r="A2716" s="6">
        <v>45852</v>
      </c>
      <c r="B2716" s="1" t="s">
        <v>2900</v>
      </c>
      <c r="C2716" s="1" t="s">
        <v>29</v>
      </c>
      <c r="D2716" t="s">
        <v>32</v>
      </c>
      <c r="E2716" t="s">
        <v>388</v>
      </c>
      <c r="F2716" t="s">
        <v>21</v>
      </c>
      <c r="G2716" t="s">
        <v>20</v>
      </c>
      <c r="H2716" s="3">
        <v>1</v>
      </c>
      <c r="I2716" s="3">
        <v>840</v>
      </c>
      <c r="J2716" s="3">
        <v>840</v>
      </c>
      <c r="K2716" s="3">
        <v>600</v>
      </c>
      <c r="L2716" s="3">
        <v>600</v>
      </c>
      <c r="M2716" s="3">
        <v>240</v>
      </c>
      <c r="N2716" s="4">
        <v>0.2857142857142857</v>
      </c>
    </row>
    <row r="2717" spans="1:14" x14ac:dyDescent="0.3">
      <c r="A2717" s="6">
        <v>45852</v>
      </c>
      <c r="B2717" s="1" t="s">
        <v>2901</v>
      </c>
      <c r="C2717" s="1" t="s">
        <v>29</v>
      </c>
      <c r="D2717" t="s">
        <v>34</v>
      </c>
      <c r="E2717" t="s">
        <v>45</v>
      </c>
      <c r="F2717" t="s">
        <v>17</v>
      </c>
      <c r="G2717" t="s">
        <v>18</v>
      </c>
      <c r="H2717" s="3">
        <v>3</v>
      </c>
      <c r="I2717" s="3">
        <v>10540</v>
      </c>
      <c r="J2717" s="3">
        <v>31620</v>
      </c>
      <c r="K2717" s="3">
        <v>8500</v>
      </c>
      <c r="L2717" s="3">
        <v>25500</v>
      </c>
      <c r="M2717" s="3">
        <v>6120</v>
      </c>
      <c r="N2717" s="4">
        <v>0.19354838709677419</v>
      </c>
    </row>
    <row r="2718" spans="1:14" x14ac:dyDescent="0.3">
      <c r="A2718" s="6">
        <v>45852</v>
      </c>
      <c r="B2718" s="1" t="s">
        <v>2902</v>
      </c>
      <c r="C2718" s="1" t="s">
        <v>29</v>
      </c>
      <c r="D2718" t="s">
        <v>31</v>
      </c>
      <c r="E2718" t="s">
        <v>76</v>
      </c>
      <c r="F2718" t="s">
        <v>21</v>
      </c>
      <c r="G2718" t="s">
        <v>20</v>
      </c>
      <c r="H2718" s="3">
        <v>10</v>
      </c>
      <c r="I2718" s="3">
        <v>786</v>
      </c>
      <c r="J2718" s="3">
        <v>7860</v>
      </c>
      <c r="K2718" s="3">
        <v>600</v>
      </c>
      <c r="L2718" s="3">
        <v>6000</v>
      </c>
      <c r="M2718" s="3">
        <v>1860</v>
      </c>
      <c r="N2718" s="4">
        <v>0.23664122137404581</v>
      </c>
    </row>
    <row r="2719" spans="1:14" x14ac:dyDescent="0.3">
      <c r="A2719" s="6">
        <v>45852</v>
      </c>
      <c r="B2719" s="1" t="s">
        <v>2903</v>
      </c>
      <c r="C2719" s="1" t="s">
        <v>29</v>
      </c>
      <c r="D2719" t="s">
        <v>30</v>
      </c>
      <c r="E2719" t="s">
        <v>201</v>
      </c>
      <c r="F2719" t="s">
        <v>14</v>
      </c>
      <c r="G2719" t="s">
        <v>15</v>
      </c>
      <c r="H2719" s="3">
        <v>2</v>
      </c>
      <c r="I2719" s="3">
        <v>55350</v>
      </c>
      <c r="J2719" s="3">
        <v>110700</v>
      </c>
      <c r="K2719" s="3">
        <v>45000</v>
      </c>
      <c r="L2719" s="3">
        <v>90000</v>
      </c>
      <c r="M2719" s="3">
        <v>20700</v>
      </c>
      <c r="N2719" s="4">
        <v>0.18699186991869918</v>
      </c>
    </row>
    <row r="2720" spans="1:14" x14ac:dyDescent="0.3">
      <c r="A2720" s="6">
        <v>45852</v>
      </c>
      <c r="B2720" s="1" t="s">
        <v>2904</v>
      </c>
      <c r="C2720" s="1" t="s">
        <v>29</v>
      </c>
      <c r="D2720" t="s">
        <v>32</v>
      </c>
      <c r="E2720" t="s">
        <v>538</v>
      </c>
      <c r="F2720" t="s">
        <v>23</v>
      </c>
      <c r="G2720" t="s">
        <v>25</v>
      </c>
      <c r="H2720" s="3">
        <v>8</v>
      </c>
      <c r="I2720" s="3">
        <v>3968</v>
      </c>
      <c r="J2720" s="3">
        <v>31744</v>
      </c>
      <c r="K2720" s="3">
        <v>3200</v>
      </c>
      <c r="L2720" s="3">
        <v>25600</v>
      </c>
      <c r="M2720" s="3">
        <v>6144</v>
      </c>
      <c r="N2720" s="4">
        <v>0.19354838709677419</v>
      </c>
    </row>
    <row r="2721" spans="1:14" x14ac:dyDescent="0.3">
      <c r="A2721" s="6">
        <v>45852</v>
      </c>
      <c r="B2721" s="1" t="s">
        <v>2905</v>
      </c>
      <c r="C2721" s="1" t="s">
        <v>27</v>
      </c>
      <c r="D2721" t="s">
        <v>31</v>
      </c>
      <c r="E2721" t="s">
        <v>149</v>
      </c>
      <c r="F2721" t="s">
        <v>17</v>
      </c>
      <c r="G2721" t="s">
        <v>18</v>
      </c>
      <c r="H2721" s="3">
        <v>5</v>
      </c>
      <c r="I2721" s="3">
        <v>10370</v>
      </c>
      <c r="J2721" s="3">
        <v>51850</v>
      </c>
      <c r="K2721" s="3">
        <v>8500</v>
      </c>
      <c r="L2721" s="3">
        <v>42500</v>
      </c>
      <c r="M2721" s="3">
        <v>9350</v>
      </c>
      <c r="N2721" s="4">
        <v>0.18032786885245902</v>
      </c>
    </row>
    <row r="2722" spans="1:14" x14ac:dyDescent="0.3">
      <c r="A2722" s="6">
        <v>45852</v>
      </c>
      <c r="B2722" s="1" t="s">
        <v>2906</v>
      </c>
      <c r="C2722" s="1" t="s">
        <v>27</v>
      </c>
      <c r="D2722" t="s">
        <v>30</v>
      </c>
      <c r="E2722" t="s">
        <v>424</v>
      </c>
      <c r="F2722" t="s">
        <v>23</v>
      </c>
      <c r="G2722" t="s">
        <v>25</v>
      </c>
      <c r="H2722" s="3">
        <v>10</v>
      </c>
      <c r="I2722" s="3">
        <v>4640</v>
      </c>
      <c r="J2722" s="3">
        <v>46400</v>
      </c>
      <c r="K2722" s="3">
        <v>3200</v>
      </c>
      <c r="L2722" s="3">
        <v>32000</v>
      </c>
      <c r="M2722" s="3">
        <v>14400</v>
      </c>
      <c r="N2722" s="4">
        <v>0.31034482758620691</v>
      </c>
    </row>
    <row r="2723" spans="1:14" x14ac:dyDescent="0.3">
      <c r="A2723" s="6">
        <v>45852</v>
      </c>
      <c r="B2723" s="1" t="s">
        <v>2907</v>
      </c>
      <c r="C2723" s="1" t="s">
        <v>27</v>
      </c>
      <c r="D2723" t="s">
        <v>32</v>
      </c>
      <c r="E2723" t="s">
        <v>83</v>
      </c>
      <c r="F2723" t="s">
        <v>22</v>
      </c>
      <c r="G2723" t="s">
        <v>18</v>
      </c>
      <c r="H2723" s="3">
        <v>9</v>
      </c>
      <c r="I2723" s="3">
        <v>8890</v>
      </c>
      <c r="J2723" s="3">
        <v>80010</v>
      </c>
      <c r="K2723" s="3">
        <v>7000</v>
      </c>
      <c r="L2723" s="3">
        <v>63000</v>
      </c>
      <c r="M2723" s="3">
        <v>17010</v>
      </c>
      <c r="N2723" s="4">
        <v>0.2125984251968504</v>
      </c>
    </row>
    <row r="2724" spans="1:14" x14ac:dyDescent="0.3">
      <c r="A2724" s="6">
        <v>45852</v>
      </c>
      <c r="B2724" s="1" t="s">
        <v>2908</v>
      </c>
      <c r="C2724" s="1" t="s">
        <v>29</v>
      </c>
      <c r="D2724" t="s">
        <v>33</v>
      </c>
      <c r="E2724" t="s">
        <v>524</v>
      </c>
      <c r="F2724" t="s">
        <v>24</v>
      </c>
      <c r="G2724" t="s">
        <v>25</v>
      </c>
      <c r="H2724" s="3">
        <v>7</v>
      </c>
      <c r="I2724" s="3">
        <v>3375</v>
      </c>
      <c r="J2724" s="3">
        <v>23625</v>
      </c>
      <c r="K2724" s="3">
        <v>2500</v>
      </c>
      <c r="L2724" s="3">
        <v>17500</v>
      </c>
      <c r="M2724" s="3">
        <v>6125</v>
      </c>
      <c r="N2724" s="4">
        <v>0.25925925925925924</v>
      </c>
    </row>
    <row r="2725" spans="1:14" x14ac:dyDescent="0.3">
      <c r="A2725" s="6">
        <v>45852</v>
      </c>
      <c r="B2725" s="1" t="s">
        <v>2909</v>
      </c>
      <c r="C2725" s="1" t="s">
        <v>27</v>
      </c>
      <c r="D2725" t="s">
        <v>35</v>
      </c>
      <c r="E2725" t="s">
        <v>220</v>
      </c>
      <c r="F2725" t="s">
        <v>22</v>
      </c>
      <c r="G2725" t="s">
        <v>18</v>
      </c>
      <c r="H2725" s="3">
        <v>6</v>
      </c>
      <c r="I2725" s="3">
        <v>9310</v>
      </c>
      <c r="J2725" s="3">
        <v>55860</v>
      </c>
      <c r="K2725" s="3">
        <v>7000</v>
      </c>
      <c r="L2725" s="3">
        <v>42000</v>
      </c>
      <c r="M2725" s="3">
        <v>13860</v>
      </c>
      <c r="N2725" s="4">
        <v>0.24812030075187969</v>
      </c>
    </row>
    <row r="2726" spans="1:14" x14ac:dyDescent="0.3">
      <c r="A2726" s="6">
        <v>45852</v>
      </c>
      <c r="B2726" s="1" t="s">
        <v>2910</v>
      </c>
      <c r="C2726" s="1" t="s">
        <v>26</v>
      </c>
      <c r="D2726" t="s">
        <v>32</v>
      </c>
      <c r="E2726" t="s">
        <v>431</v>
      </c>
      <c r="F2726" t="s">
        <v>21</v>
      </c>
      <c r="G2726" t="s">
        <v>20</v>
      </c>
      <c r="H2726" s="3">
        <v>6</v>
      </c>
      <c r="I2726" s="3">
        <v>864</v>
      </c>
      <c r="J2726" s="3">
        <v>5184</v>
      </c>
      <c r="K2726" s="3">
        <v>600</v>
      </c>
      <c r="L2726" s="3">
        <v>3600</v>
      </c>
      <c r="M2726" s="3">
        <v>1584</v>
      </c>
      <c r="N2726" s="4">
        <v>0.30555555555555558</v>
      </c>
    </row>
    <row r="2727" spans="1:14" x14ac:dyDescent="0.3">
      <c r="A2727" s="6">
        <v>45852</v>
      </c>
      <c r="B2727" s="1" t="s">
        <v>2911</v>
      </c>
      <c r="C2727" s="1" t="s">
        <v>26</v>
      </c>
      <c r="D2727" t="s">
        <v>32</v>
      </c>
      <c r="E2727" t="s">
        <v>400</v>
      </c>
      <c r="F2727" t="s">
        <v>23</v>
      </c>
      <c r="G2727" t="s">
        <v>25</v>
      </c>
      <c r="H2727" s="3">
        <v>5</v>
      </c>
      <c r="I2727" s="3">
        <v>4064</v>
      </c>
      <c r="J2727" s="3">
        <v>20320</v>
      </c>
      <c r="K2727" s="3">
        <v>3200</v>
      </c>
      <c r="L2727" s="3">
        <v>16000</v>
      </c>
      <c r="M2727" s="3">
        <v>4320</v>
      </c>
      <c r="N2727" s="4">
        <v>0.2125984251968504</v>
      </c>
    </row>
    <row r="2728" spans="1:14" x14ac:dyDescent="0.3">
      <c r="A2728" s="6">
        <v>45852</v>
      </c>
      <c r="B2728" s="1" t="s">
        <v>2912</v>
      </c>
      <c r="C2728" s="1" t="s">
        <v>28</v>
      </c>
      <c r="D2728" t="s">
        <v>31</v>
      </c>
      <c r="E2728" t="s">
        <v>57</v>
      </c>
      <c r="F2728" t="s">
        <v>19</v>
      </c>
      <c r="G2728" t="s">
        <v>20</v>
      </c>
      <c r="H2728" s="3">
        <v>5</v>
      </c>
      <c r="I2728" s="3">
        <v>1098</v>
      </c>
      <c r="J2728" s="3">
        <v>5490</v>
      </c>
      <c r="K2728" s="3">
        <v>900</v>
      </c>
      <c r="L2728" s="3">
        <v>4500</v>
      </c>
      <c r="M2728" s="3">
        <v>990</v>
      </c>
      <c r="N2728" s="4">
        <v>0.18032786885245902</v>
      </c>
    </row>
    <row r="2729" spans="1:14" x14ac:dyDescent="0.3">
      <c r="A2729" s="6">
        <v>45852</v>
      </c>
      <c r="B2729" s="1" t="s">
        <v>2913</v>
      </c>
      <c r="C2729" s="1" t="s">
        <v>29</v>
      </c>
      <c r="D2729" t="s">
        <v>34</v>
      </c>
      <c r="E2729" t="s">
        <v>81</v>
      </c>
      <c r="F2729" t="s">
        <v>23</v>
      </c>
      <c r="G2729" t="s">
        <v>25</v>
      </c>
      <c r="H2729" s="3">
        <v>5</v>
      </c>
      <c r="I2729" s="3">
        <v>4640</v>
      </c>
      <c r="J2729" s="3">
        <v>23200</v>
      </c>
      <c r="K2729" s="3">
        <v>3200</v>
      </c>
      <c r="L2729" s="3">
        <v>16000</v>
      </c>
      <c r="M2729" s="3">
        <v>7200</v>
      </c>
      <c r="N2729" s="4">
        <v>0.31034482758620691</v>
      </c>
    </row>
    <row r="2730" spans="1:14" x14ac:dyDescent="0.3">
      <c r="A2730" s="6">
        <v>45853</v>
      </c>
      <c r="B2730" s="1" t="s">
        <v>2914</v>
      </c>
      <c r="C2730" s="1" t="s">
        <v>27</v>
      </c>
      <c r="D2730" t="s">
        <v>35</v>
      </c>
      <c r="E2730" t="s">
        <v>214</v>
      </c>
      <c r="F2730" t="s">
        <v>22</v>
      </c>
      <c r="G2730" t="s">
        <v>18</v>
      </c>
      <c r="H2730" s="3">
        <v>8</v>
      </c>
      <c r="I2730" s="3">
        <v>9520</v>
      </c>
      <c r="J2730" s="3">
        <v>76160</v>
      </c>
      <c r="K2730" s="3">
        <v>7000</v>
      </c>
      <c r="L2730" s="3">
        <v>56000</v>
      </c>
      <c r="M2730" s="3">
        <v>20160</v>
      </c>
      <c r="N2730" s="4">
        <v>0.26470588235294118</v>
      </c>
    </row>
    <row r="2731" spans="1:14" x14ac:dyDescent="0.3">
      <c r="A2731" s="6">
        <v>45853</v>
      </c>
      <c r="B2731" s="1" t="s">
        <v>2915</v>
      </c>
      <c r="C2731" s="1" t="s">
        <v>28</v>
      </c>
      <c r="D2731" t="s">
        <v>30</v>
      </c>
      <c r="E2731" t="s">
        <v>198</v>
      </c>
      <c r="F2731" t="s">
        <v>24</v>
      </c>
      <c r="G2731" t="s">
        <v>25</v>
      </c>
      <c r="H2731" s="3">
        <v>4</v>
      </c>
      <c r="I2731" s="3">
        <v>3550</v>
      </c>
      <c r="J2731" s="3">
        <v>14200</v>
      </c>
      <c r="K2731" s="3">
        <v>2500</v>
      </c>
      <c r="L2731" s="3">
        <v>10000</v>
      </c>
      <c r="M2731" s="3">
        <v>4200</v>
      </c>
      <c r="N2731" s="4">
        <v>0.29577464788732394</v>
      </c>
    </row>
    <row r="2732" spans="1:14" x14ac:dyDescent="0.3">
      <c r="A2732" s="6">
        <v>45853</v>
      </c>
      <c r="B2732" s="1" t="s">
        <v>2916</v>
      </c>
      <c r="C2732" s="1" t="s">
        <v>28</v>
      </c>
      <c r="D2732" t="s">
        <v>34</v>
      </c>
      <c r="E2732" t="s">
        <v>41</v>
      </c>
      <c r="F2732" t="s">
        <v>16</v>
      </c>
      <c r="G2732" t="s">
        <v>15</v>
      </c>
      <c r="H2732" s="3">
        <v>3</v>
      </c>
      <c r="I2732" s="3">
        <v>51300</v>
      </c>
      <c r="J2732" s="3">
        <v>153900</v>
      </c>
      <c r="K2732" s="3">
        <v>38000</v>
      </c>
      <c r="L2732" s="3">
        <v>114000</v>
      </c>
      <c r="M2732" s="3">
        <v>39900</v>
      </c>
      <c r="N2732" s="4">
        <v>0.25925925925925924</v>
      </c>
    </row>
    <row r="2733" spans="1:14" x14ac:dyDescent="0.3">
      <c r="A2733" s="6">
        <v>45853</v>
      </c>
      <c r="B2733" s="1" t="s">
        <v>2917</v>
      </c>
      <c r="C2733" s="1" t="s">
        <v>29</v>
      </c>
      <c r="D2733" t="s">
        <v>33</v>
      </c>
      <c r="E2733" t="s">
        <v>355</v>
      </c>
      <c r="F2733" t="s">
        <v>21</v>
      </c>
      <c r="G2733" t="s">
        <v>20</v>
      </c>
      <c r="H2733" s="3">
        <v>5</v>
      </c>
      <c r="I2733" s="3">
        <v>792</v>
      </c>
      <c r="J2733" s="3">
        <v>3960</v>
      </c>
      <c r="K2733" s="3">
        <v>600</v>
      </c>
      <c r="L2733" s="3">
        <v>3000</v>
      </c>
      <c r="M2733" s="3">
        <v>960</v>
      </c>
      <c r="N2733" s="4">
        <v>0.24242424242424243</v>
      </c>
    </row>
    <row r="2734" spans="1:14" x14ac:dyDescent="0.3">
      <c r="A2734" s="6">
        <v>45853</v>
      </c>
      <c r="B2734" s="1" t="s">
        <v>2918</v>
      </c>
      <c r="C2734" s="1" t="s">
        <v>26</v>
      </c>
      <c r="D2734" t="s">
        <v>30</v>
      </c>
      <c r="E2734" t="s">
        <v>233</v>
      </c>
      <c r="F2734" t="s">
        <v>19</v>
      </c>
      <c r="G2734" t="s">
        <v>20</v>
      </c>
      <c r="H2734" s="3">
        <v>2</v>
      </c>
      <c r="I2734" s="3">
        <v>1278</v>
      </c>
      <c r="J2734" s="3">
        <v>2556</v>
      </c>
      <c r="K2734" s="3">
        <v>900</v>
      </c>
      <c r="L2734" s="3">
        <v>1800</v>
      </c>
      <c r="M2734" s="3">
        <v>756</v>
      </c>
      <c r="N2734" s="4">
        <v>0.29577464788732394</v>
      </c>
    </row>
    <row r="2735" spans="1:14" x14ac:dyDescent="0.3">
      <c r="A2735" s="6">
        <v>45853</v>
      </c>
      <c r="B2735" s="1" t="s">
        <v>2919</v>
      </c>
      <c r="C2735" s="1" t="s">
        <v>27</v>
      </c>
      <c r="D2735" t="s">
        <v>34</v>
      </c>
      <c r="E2735" t="s">
        <v>57</v>
      </c>
      <c r="F2735" t="s">
        <v>16</v>
      </c>
      <c r="G2735" t="s">
        <v>15</v>
      </c>
      <c r="H2735" s="3">
        <v>10</v>
      </c>
      <c r="I2735" s="3">
        <v>50540</v>
      </c>
      <c r="J2735" s="3">
        <v>505400</v>
      </c>
      <c r="K2735" s="3">
        <v>38000</v>
      </c>
      <c r="L2735" s="3">
        <v>380000</v>
      </c>
      <c r="M2735" s="3">
        <v>125400</v>
      </c>
      <c r="N2735" s="4">
        <v>0.24812030075187969</v>
      </c>
    </row>
    <row r="2736" spans="1:14" x14ac:dyDescent="0.3">
      <c r="A2736" s="6">
        <v>45853</v>
      </c>
      <c r="B2736" s="1" t="s">
        <v>2920</v>
      </c>
      <c r="C2736" s="1" t="s">
        <v>29</v>
      </c>
      <c r="D2736" t="s">
        <v>35</v>
      </c>
      <c r="E2736" t="s">
        <v>355</v>
      </c>
      <c r="F2736" t="s">
        <v>24</v>
      </c>
      <c r="G2736" t="s">
        <v>25</v>
      </c>
      <c r="H2736" s="3">
        <v>10</v>
      </c>
      <c r="I2736" s="3">
        <v>3500</v>
      </c>
      <c r="J2736" s="3">
        <v>35000</v>
      </c>
      <c r="K2736" s="3">
        <v>2500</v>
      </c>
      <c r="L2736" s="3">
        <v>25000</v>
      </c>
      <c r="M2736" s="3">
        <v>10000</v>
      </c>
      <c r="N2736" s="4">
        <v>0.2857142857142857</v>
      </c>
    </row>
    <row r="2737" spans="1:14" x14ac:dyDescent="0.3">
      <c r="A2737" s="6">
        <v>45853</v>
      </c>
      <c r="B2737" s="1" t="s">
        <v>2921</v>
      </c>
      <c r="C2737" s="1" t="s">
        <v>29</v>
      </c>
      <c r="D2737" t="s">
        <v>34</v>
      </c>
      <c r="E2737" t="s">
        <v>45</v>
      </c>
      <c r="F2737" t="s">
        <v>19</v>
      </c>
      <c r="G2737" t="s">
        <v>20</v>
      </c>
      <c r="H2737" s="3">
        <v>10</v>
      </c>
      <c r="I2737" s="3">
        <v>1179</v>
      </c>
      <c r="J2737" s="3">
        <v>11790</v>
      </c>
      <c r="K2737" s="3">
        <v>900</v>
      </c>
      <c r="L2737" s="3">
        <v>9000</v>
      </c>
      <c r="M2737" s="3">
        <v>2790</v>
      </c>
      <c r="N2737" s="4">
        <v>0.23664122137404581</v>
      </c>
    </row>
    <row r="2738" spans="1:14" x14ac:dyDescent="0.3">
      <c r="A2738" s="6">
        <v>45853</v>
      </c>
      <c r="B2738" s="1" t="s">
        <v>2922</v>
      </c>
      <c r="C2738" s="1" t="s">
        <v>27</v>
      </c>
      <c r="D2738" t="s">
        <v>31</v>
      </c>
      <c r="E2738" t="s">
        <v>582</v>
      </c>
      <c r="F2738" t="s">
        <v>19</v>
      </c>
      <c r="G2738" t="s">
        <v>20</v>
      </c>
      <c r="H2738" s="3">
        <v>7</v>
      </c>
      <c r="I2738" s="3">
        <v>1206</v>
      </c>
      <c r="J2738" s="3">
        <v>8442</v>
      </c>
      <c r="K2738" s="3">
        <v>900</v>
      </c>
      <c r="L2738" s="3">
        <v>6300</v>
      </c>
      <c r="M2738" s="3">
        <v>2142</v>
      </c>
      <c r="N2738" s="4">
        <v>0.2537313432835821</v>
      </c>
    </row>
    <row r="2739" spans="1:14" x14ac:dyDescent="0.3">
      <c r="A2739" s="6">
        <v>45853</v>
      </c>
      <c r="B2739" s="1" t="s">
        <v>2923</v>
      </c>
      <c r="C2739" s="1" t="s">
        <v>29</v>
      </c>
      <c r="D2739" t="s">
        <v>31</v>
      </c>
      <c r="E2739" t="s">
        <v>45</v>
      </c>
      <c r="F2739" t="s">
        <v>23</v>
      </c>
      <c r="G2739" t="s">
        <v>25</v>
      </c>
      <c r="H2739" s="3">
        <v>8</v>
      </c>
      <c r="I2739" s="3">
        <v>4256</v>
      </c>
      <c r="J2739" s="3">
        <v>34048</v>
      </c>
      <c r="K2739" s="3">
        <v>3200</v>
      </c>
      <c r="L2739" s="3">
        <v>25600</v>
      </c>
      <c r="M2739" s="3">
        <v>8448</v>
      </c>
      <c r="N2739" s="4">
        <v>0.24812030075187969</v>
      </c>
    </row>
    <row r="2740" spans="1:14" x14ac:dyDescent="0.3">
      <c r="A2740" s="6">
        <v>45853</v>
      </c>
      <c r="B2740" s="1" t="s">
        <v>2924</v>
      </c>
      <c r="C2740" s="1" t="s">
        <v>29</v>
      </c>
      <c r="D2740" t="s">
        <v>33</v>
      </c>
      <c r="E2740" t="s">
        <v>565</v>
      </c>
      <c r="F2740" t="s">
        <v>21</v>
      </c>
      <c r="G2740" t="s">
        <v>20</v>
      </c>
      <c r="H2740" s="3">
        <v>9</v>
      </c>
      <c r="I2740" s="3">
        <v>762</v>
      </c>
      <c r="J2740" s="3">
        <v>6858</v>
      </c>
      <c r="K2740" s="3">
        <v>600</v>
      </c>
      <c r="L2740" s="3">
        <v>5400</v>
      </c>
      <c r="M2740" s="3">
        <v>1458</v>
      </c>
      <c r="N2740" s="4">
        <v>0.2125984251968504</v>
      </c>
    </row>
    <row r="2741" spans="1:14" x14ac:dyDescent="0.3">
      <c r="A2741" s="6">
        <v>45853</v>
      </c>
      <c r="B2741" s="1" t="s">
        <v>2925</v>
      </c>
      <c r="C2741" s="1" t="s">
        <v>27</v>
      </c>
      <c r="D2741" t="s">
        <v>35</v>
      </c>
      <c r="E2741" t="s">
        <v>74</v>
      </c>
      <c r="F2741" t="s">
        <v>21</v>
      </c>
      <c r="G2741" t="s">
        <v>20</v>
      </c>
      <c r="H2741" s="3">
        <v>9</v>
      </c>
      <c r="I2741" s="3">
        <v>762</v>
      </c>
      <c r="J2741" s="3">
        <v>6858</v>
      </c>
      <c r="K2741" s="3">
        <v>600</v>
      </c>
      <c r="L2741" s="3">
        <v>5400</v>
      </c>
      <c r="M2741" s="3">
        <v>1458</v>
      </c>
      <c r="N2741" s="4">
        <v>0.2125984251968504</v>
      </c>
    </row>
    <row r="2742" spans="1:14" x14ac:dyDescent="0.3">
      <c r="A2742" s="6">
        <v>45853</v>
      </c>
      <c r="B2742" s="1" t="s">
        <v>2926</v>
      </c>
      <c r="C2742" s="1" t="s">
        <v>29</v>
      </c>
      <c r="D2742" t="s">
        <v>34</v>
      </c>
      <c r="E2742" t="s">
        <v>120</v>
      </c>
      <c r="F2742" t="s">
        <v>14</v>
      </c>
      <c r="G2742" t="s">
        <v>15</v>
      </c>
      <c r="H2742" s="3">
        <v>4</v>
      </c>
      <c r="I2742" s="3">
        <v>58950</v>
      </c>
      <c r="J2742" s="3">
        <v>235800</v>
      </c>
      <c r="K2742" s="3">
        <v>45000</v>
      </c>
      <c r="L2742" s="3">
        <v>180000</v>
      </c>
      <c r="M2742" s="3">
        <v>55800</v>
      </c>
      <c r="N2742" s="4">
        <v>0.23664122137404581</v>
      </c>
    </row>
    <row r="2743" spans="1:14" x14ac:dyDescent="0.3">
      <c r="A2743" s="6">
        <v>45853</v>
      </c>
      <c r="B2743" s="1" t="s">
        <v>2927</v>
      </c>
      <c r="C2743" s="1" t="s">
        <v>26</v>
      </c>
      <c r="D2743" t="s">
        <v>34</v>
      </c>
      <c r="E2743" t="s">
        <v>576</v>
      </c>
      <c r="F2743" t="s">
        <v>24</v>
      </c>
      <c r="G2743" t="s">
        <v>25</v>
      </c>
      <c r="H2743" s="3">
        <v>10</v>
      </c>
      <c r="I2743" s="3">
        <v>3375</v>
      </c>
      <c r="J2743" s="3">
        <v>33750</v>
      </c>
      <c r="K2743" s="3">
        <v>2500</v>
      </c>
      <c r="L2743" s="3">
        <v>25000</v>
      </c>
      <c r="M2743" s="3">
        <v>8750</v>
      </c>
      <c r="N2743" s="4">
        <v>0.25925925925925924</v>
      </c>
    </row>
    <row r="2744" spans="1:14" x14ac:dyDescent="0.3">
      <c r="A2744" s="6">
        <v>45854</v>
      </c>
      <c r="B2744" s="1" t="s">
        <v>2928</v>
      </c>
      <c r="C2744" s="1" t="s">
        <v>26</v>
      </c>
      <c r="D2744" t="s">
        <v>31</v>
      </c>
      <c r="E2744" t="s">
        <v>204</v>
      </c>
      <c r="F2744" t="s">
        <v>24</v>
      </c>
      <c r="G2744" t="s">
        <v>25</v>
      </c>
      <c r="H2744" s="3">
        <v>2</v>
      </c>
      <c r="I2744" s="3">
        <v>3475.0000000000005</v>
      </c>
      <c r="J2744" s="3">
        <v>6950.0000000000009</v>
      </c>
      <c r="K2744" s="3">
        <v>2500</v>
      </c>
      <c r="L2744" s="3">
        <v>5000</v>
      </c>
      <c r="M2744" s="3">
        <v>1950.0000000000009</v>
      </c>
      <c r="N2744" s="4">
        <v>0.28057553956834541</v>
      </c>
    </row>
    <row r="2745" spans="1:14" x14ac:dyDescent="0.3">
      <c r="A2745" s="6">
        <v>45854</v>
      </c>
      <c r="B2745" s="1" t="s">
        <v>2929</v>
      </c>
      <c r="C2745" s="1" t="s">
        <v>26</v>
      </c>
      <c r="D2745" t="s">
        <v>33</v>
      </c>
      <c r="E2745" t="s">
        <v>39</v>
      </c>
      <c r="F2745" t="s">
        <v>17</v>
      </c>
      <c r="G2745" t="s">
        <v>18</v>
      </c>
      <c r="H2745" s="3">
        <v>2</v>
      </c>
      <c r="I2745" s="3">
        <v>11135</v>
      </c>
      <c r="J2745" s="3">
        <v>22270</v>
      </c>
      <c r="K2745" s="3">
        <v>8500</v>
      </c>
      <c r="L2745" s="3">
        <v>17000</v>
      </c>
      <c r="M2745" s="3">
        <v>5270</v>
      </c>
      <c r="N2745" s="4">
        <v>0.23664122137404581</v>
      </c>
    </row>
    <row r="2746" spans="1:14" x14ac:dyDescent="0.3">
      <c r="A2746" s="6">
        <v>45854</v>
      </c>
      <c r="B2746" s="1" t="s">
        <v>2930</v>
      </c>
      <c r="C2746" s="1" t="s">
        <v>29</v>
      </c>
      <c r="D2746" t="s">
        <v>33</v>
      </c>
      <c r="E2746" t="s">
        <v>357</v>
      </c>
      <c r="F2746" t="s">
        <v>23</v>
      </c>
      <c r="G2746" t="s">
        <v>25</v>
      </c>
      <c r="H2746" s="3">
        <v>2</v>
      </c>
      <c r="I2746" s="3">
        <v>4320</v>
      </c>
      <c r="J2746" s="3">
        <v>8640</v>
      </c>
      <c r="K2746" s="3">
        <v>3200</v>
      </c>
      <c r="L2746" s="3">
        <v>6400</v>
      </c>
      <c r="M2746" s="3">
        <v>2240</v>
      </c>
      <c r="N2746" s="4">
        <v>0.25925925925925924</v>
      </c>
    </row>
    <row r="2747" spans="1:14" x14ac:dyDescent="0.3">
      <c r="A2747" s="6">
        <v>45854</v>
      </c>
      <c r="B2747" s="1" t="s">
        <v>2931</v>
      </c>
      <c r="C2747" s="1" t="s">
        <v>27</v>
      </c>
      <c r="D2747" t="s">
        <v>34</v>
      </c>
      <c r="E2747" t="s">
        <v>220</v>
      </c>
      <c r="F2747" t="s">
        <v>23</v>
      </c>
      <c r="G2747" t="s">
        <v>25</v>
      </c>
      <c r="H2747" s="3">
        <v>7</v>
      </c>
      <c r="I2747" s="3">
        <v>4256</v>
      </c>
      <c r="J2747" s="3">
        <v>29792</v>
      </c>
      <c r="K2747" s="3">
        <v>3200</v>
      </c>
      <c r="L2747" s="3">
        <v>22400</v>
      </c>
      <c r="M2747" s="3">
        <v>7392</v>
      </c>
      <c r="N2747" s="4">
        <v>0.24812030075187969</v>
      </c>
    </row>
    <row r="2748" spans="1:14" x14ac:dyDescent="0.3">
      <c r="A2748" s="6">
        <v>45854</v>
      </c>
      <c r="B2748" s="1" t="s">
        <v>2932</v>
      </c>
      <c r="C2748" s="1" t="s">
        <v>28</v>
      </c>
      <c r="D2748" t="s">
        <v>31</v>
      </c>
      <c r="E2748" t="s">
        <v>96</v>
      </c>
      <c r="F2748" t="s">
        <v>16</v>
      </c>
      <c r="G2748" t="s">
        <v>15</v>
      </c>
      <c r="H2748" s="3">
        <v>10</v>
      </c>
      <c r="I2748" s="3">
        <v>49780</v>
      </c>
      <c r="J2748" s="3">
        <v>497800</v>
      </c>
      <c r="K2748" s="3">
        <v>38000</v>
      </c>
      <c r="L2748" s="3">
        <v>380000</v>
      </c>
      <c r="M2748" s="3">
        <v>117800</v>
      </c>
      <c r="N2748" s="4">
        <v>0.23664122137404581</v>
      </c>
    </row>
    <row r="2749" spans="1:14" x14ac:dyDescent="0.3">
      <c r="A2749" s="6">
        <v>45854</v>
      </c>
      <c r="B2749" s="1" t="s">
        <v>2933</v>
      </c>
      <c r="C2749" s="1" t="s">
        <v>27</v>
      </c>
      <c r="D2749" t="s">
        <v>33</v>
      </c>
      <c r="E2749" t="s">
        <v>255</v>
      </c>
      <c r="F2749" t="s">
        <v>24</v>
      </c>
      <c r="G2749" t="s">
        <v>25</v>
      </c>
      <c r="H2749" s="3">
        <v>4</v>
      </c>
      <c r="I2749" s="3">
        <v>3250</v>
      </c>
      <c r="J2749" s="3">
        <v>13000</v>
      </c>
      <c r="K2749" s="3">
        <v>2500</v>
      </c>
      <c r="L2749" s="3">
        <v>10000</v>
      </c>
      <c r="M2749" s="3">
        <v>3000</v>
      </c>
      <c r="N2749" s="4">
        <v>0.23076923076923078</v>
      </c>
    </row>
    <row r="2750" spans="1:14" x14ac:dyDescent="0.3">
      <c r="A2750" s="6">
        <v>45854</v>
      </c>
      <c r="B2750" s="1" t="s">
        <v>2934</v>
      </c>
      <c r="C2750" s="1" t="s">
        <v>29</v>
      </c>
      <c r="D2750" t="s">
        <v>33</v>
      </c>
      <c r="E2750" t="s">
        <v>415</v>
      </c>
      <c r="F2750" t="s">
        <v>23</v>
      </c>
      <c r="G2750" t="s">
        <v>25</v>
      </c>
      <c r="H2750" s="3">
        <v>6</v>
      </c>
      <c r="I2750" s="3">
        <v>4480</v>
      </c>
      <c r="J2750" s="3">
        <v>26880</v>
      </c>
      <c r="K2750" s="3">
        <v>3200</v>
      </c>
      <c r="L2750" s="3">
        <v>19200</v>
      </c>
      <c r="M2750" s="3">
        <v>7680</v>
      </c>
      <c r="N2750" s="4">
        <v>0.2857142857142857</v>
      </c>
    </row>
    <row r="2751" spans="1:14" x14ac:dyDescent="0.3">
      <c r="A2751" s="6">
        <v>45854</v>
      </c>
      <c r="B2751" s="1" t="s">
        <v>2935</v>
      </c>
      <c r="C2751" s="1" t="s">
        <v>29</v>
      </c>
      <c r="D2751" t="s">
        <v>32</v>
      </c>
      <c r="E2751" t="s">
        <v>189</v>
      </c>
      <c r="F2751" t="s">
        <v>16</v>
      </c>
      <c r="G2751" t="s">
        <v>15</v>
      </c>
      <c r="H2751" s="3">
        <v>5</v>
      </c>
      <c r="I2751" s="3">
        <v>49780</v>
      </c>
      <c r="J2751" s="3">
        <v>248900</v>
      </c>
      <c r="K2751" s="3">
        <v>38000</v>
      </c>
      <c r="L2751" s="3">
        <v>190000</v>
      </c>
      <c r="M2751" s="3">
        <v>58900</v>
      </c>
      <c r="N2751" s="4">
        <v>0.23664122137404581</v>
      </c>
    </row>
    <row r="2752" spans="1:14" x14ac:dyDescent="0.3">
      <c r="A2752" s="6">
        <v>45854</v>
      </c>
      <c r="B2752" s="1" t="s">
        <v>2936</v>
      </c>
      <c r="C2752" s="1" t="s">
        <v>28</v>
      </c>
      <c r="D2752" t="s">
        <v>31</v>
      </c>
      <c r="E2752" t="s">
        <v>55</v>
      </c>
      <c r="F2752" t="s">
        <v>19</v>
      </c>
      <c r="G2752" t="s">
        <v>20</v>
      </c>
      <c r="H2752" s="3">
        <v>8</v>
      </c>
      <c r="I2752" s="3">
        <v>1251</v>
      </c>
      <c r="J2752" s="3">
        <v>10008</v>
      </c>
      <c r="K2752" s="3">
        <v>900</v>
      </c>
      <c r="L2752" s="3">
        <v>7200</v>
      </c>
      <c r="M2752" s="3">
        <v>2808</v>
      </c>
      <c r="N2752" s="4">
        <v>0.2805755395683453</v>
      </c>
    </row>
    <row r="2753" spans="1:14" x14ac:dyDescent="0.3">
      <c r="A2753" s="6">
        <v>45854</v>
      </c>
      <c r="B2753" s="1" t="s">
        <v>2937</v>
      </c>
      <c r="C2753" s="1" t="s">
        <v>28</v>
      </c>
      <c r="D2753" t="s">
        <v>33</v>
      </c>
      <c r="E2753" t="s">
        <v>415</v>
      </c>
      <c r="F2753" t="s">
        <v>19</v>
      </c>
      <c r="G2753" t="s">
        <v>20</v>
      </c>
      <c r="H2753" s="3">
        <v>1</v>
      </c>
      <c r="I2753" s="3">
        <v>1197</v>
      </c>
      <c r="J2753" s="3">
        <v>1197</v>
      </c>
      <c r="K2753" s="3">
        <v>900</v>
      </c>
      <c r="L2753" s="3">
        <v>900</v>
      </c>
      <c r="M2753" s="3">
        <v>297</v>
      </c>
      <c r="N2753" s="4">
        <v>0.24812030075187969</v>
      </c>
    </row>
    <row r="2754" spans="1:14" x14ac:dyDescent="0.3">
      <c r="A2754" s="6">
        <v>45854</v>
      </c>
      <c r="B2754" s="1" t="s">
        <v>2938</v>
      </c>
      <c r="C2754" s="1" t="s">
        <v>27</v>
      </c>
      <c r="D2754" t="s">
        <v>31</v>
      </c>
      <c r="E2754" t="s">
        <v>124</v>
      </c>
      <c r="F2754" t="s">
        <v>24</v>
      </c>
      <c r="G2754" t="s">
        <v>25</v>
      </c>
      <c r="H2754" s="3">
        <v>6</v>
      </c>
      <c r="I2754" s="3">
        <v>3275</v>
      </c>
      <c r="J2754" s="3">
        <v>19650</v>
      </c>
      <c r="K2754" s="3">
        <v>2500</v>
      </c>
      <c r="L2754" s="3">
        <v>15000</v>
      </c>
      <c r="M2754" s="3">
        <v>4650</v>
      </c>
      <c r="N2754" s="4">
        <v>0.23664122137404581</v>
      </c>
    </row>
    <row r="2755" spans="1:14" x14ac:dyDescent="0.3">
      <c r="A2755" s="6">
        <v>45854</v>
      </c>
      <c r="B2755" s="1" t="s">
        <v>2939</v>
      </c>
      <c r="C2755" s="1" t="s">
        <v>27</v>
      </c>
      <c r="D2755" t="s">
        <v>35</v>
      </c>
      <c r="E2755" t="s">
        <v>349</v>
      </c>
      <c r="F2755" t="s">
        <v>22</v>
      </c>
      <c r="G2755" t="s">
        <v>18</v>
      </c>
      <c r="H2755" s="3">
        <v>7</v>
      </c>
      <c r="I2755" s="3">
        <v>10010</v>
      </c>
      <c r="J2755" s="3">
        <v>70070</v>
      </c>
      <c r="K2755" s="3">
        <v>7000</v>
      </c>
      <c r="L2755" s="3">
        <v>49000</v>
      </c>
      <c r="M2755" s="3">
        <v>21070</v>
      </c>
      <c r="N2755" s="4">
        <v>0.30069930069930068</v>
      </c>
    </row>
    <row r="2756" spans="1:14" x14ac:dyDescent="0.3">
      <c r="A2756" s="6">
        <v>45854</v>
      </c>
      <c r="B2756" s="1" t="s">
        <v>2940</v>
      </c>
      <c r="C2756" s="1" t="s">
        <v>29</v>
      </c>
      <c r="D2756" t="s">
        <v>33</v>
      </c>
      <c r="E2756" t="s">
        <v>112</v>
      </c>
      <c r="F2756" t="s">
        <v>21</v>
      </c>
      <c r="G2756" t="s">
        <v>20</v>
      </c>
      <c r="H2756" s="3">
        <v>1</v>
      </c>
      <c r="I2756" s="3">
        <v>815.99999999999989</v>
      </c>
      <c r="J2756" s="3">
        <v>815.99999999999989</v>
      </c>
      <c r="K2756" s="3">
        <v>600</v>
      </c>
      <c r="L2756" s="3">
        <v>600</v>
      </c>
      <c r="M2756" s="3">
        <v>215.99999999999989</v>
      </c>
      <c r="N2756" s="4">
        <v>0.26470588235294107</v>
      </c>
    </row>
    <row r="2757" spans="1:14" x14ac:dyDescent="0.3">
      <c r="A2757" s="6">
        <v>45854</v>
      </c>
      <c r="B2757" s="1" t="s">
        <v>2941</v>
      </c>
      <c r="C2757" s="1" t="s">
        <v>26</v>
      </c>
      <c r="D2757" t="s">
        <v>32</v>
      </c>
      <c r="E2757" t="s">
        <v>180</v>
      </c>
      <c r="F2757" t="s">
        <v>14</v>
      </c>
      <c r="G2757" t="s">
        <v>15</v>
      </c>
      <c r="H2757" s="3">
        <v>6</v>
      </c>
      <c r="I2757" s="3">
        <v>56700</v>
      </c>
      <c r="J2757" s="3">
        <v>340200</v>
      </c>
      <c r="K2757" s="3">
        <v>45000</v>
      </c>
      <c r="L2757" s="3">
        <v>270000</v>
      </c>
      <c r="M2757" s="3">
        <v>70200</v>
      </c>
      <c r="N2757" s="4">
        <v>0.20634920634920634</v>
      </c>
    </row>
    <row r="2758" spans="1:14" x14ac:dyDescent="0.3">
      <c r="A2758" s="6">
        <v>45855</v>
      </c>
      <c r="B2758" s="1" t="s">
        <v>2942</v>
      </c>
      <c r="C2758" s="1" t="s">
        <v>29</v>
      </c>
      <c r="D2758" t="s">
        <v>35</v>
      </c>
      <c r="E2758" t="s">
        <v>582</v>
      </c>
      <c r="F2758" t="s">
        <v>16</v>
      </c>
      <c r="G2758" t="s">
        <v>15</v>
      </c>
      <c r="H2758" s="3">
        <v>1</v>
      </c>
      <c r="I2758" s="3">
        <v>52060.000000000007</v>
      </c>
      <c r="J2758" s="3">
        <v>52060.000000000007</v>
      </c>
      <c r="K2758" s="3">
        <v>38000</v>
      </c>
      <c r="L2758" s="3">
        <v>38000</v>
      </c>
      <c r="M2758" s="3">
        <v>14060.000000000007</v>
      </c>
      <c r="N2758" s="4">
        <v>0.27007299270073004</v>
      </c>
    </row>
    <row r="2759" spans="1:14" x14ac:dyDescent="0.3">
      <c r="A2759" s="6">
        <v>45855</v>
      </c>
      <c r="B2759" s="1" t="s">
        <v>2943</v>
      </c>
      <c r="C2759" s="1" t="s">
        <v>29</v>
      </c>
      <c r="D2759" t="s">
        <v>30</v>
      </c>
      <c r="E2759" t="s">
        <v>365</v>
      </c>
      <c r="F2759" t="s">
        <v>22</v>
      </c>
      <c r="G2759" t="s">
        <v>18</v>
      </c>
      <c r="H2759" s="3">
        <v>8</v>
      </c>
      <c r="I2759" s="3">
        <v>9240</v>
      </c>
      <c r="J2759" s="3">
        <v>73920</v>
      </c>
      <c r="K2759" s="3">
        <v>7000</v>
      </c>
      <c r="L2759" s="3">
        <v>56000</v>
      </c>
      <c r="M2759" s="3">
        <v>17920</v>
      </c>
      <c r="N2759" s="4">
        <v>0.24242424242424243</v>
      </c>
    </row>
    <row r="2760" spans="1:14" x14ac:dyDescent="0.3">
      <c r="A2760" s="6">
        <v>45855</v>
      </c>
      <c r="B2760" s="1" t="s">
        <v>2944</v>
      </c>
      <c r="C2760" s="1" t="s">
        <v>28</v>
      </c>
      <c r="D2760" t="s">
        <v>33</v>
      </c>
      <c r="E2760" t="s">
        <v>357</v>
      </c>
      <c r="F2760" t="s">
        <v>23</v>
      </c>
      <c r="G2760" t="s">
        <v>25</v>
      </c>
      <c r="H2760" s="3">
        <v>9</v>
      </c>
      <c r="I2760" s="3">
        <v>4192</v>
      </c>
      <c r="J2760" s="3">
        <v>37728</v>
      </c>
      <c r="K2760" s="3">
        <v>3200</v>
      </c>
      <c r="L2760" s="3">
        <v>28800</v>
      </c>
      <c r="M2760" s="3">
        <v>8928</v>
      </c>
      <c r="N2760" s="4">
        <v>0.23664122137404581</v>
      </c>
    </row>
    <row r="2761" spans="1:14" x14ac:dyDescent="0.3">
      <c r="A2761" s="6">
        <v>45855</v>
      </c>
      <c r="B2761" s="1" t="s">
        <v>2945</v>
      </c>
      <c r="C2761" s="1" t="s">
        <v>29</v>
      </c>
      <c r="D2761" t="s">
        <v>32</v>
      </c>
      <c r="E2761" t="s">
        <v>236</v>
      </c>
      <c r="F2761" t="s">
        <v>24</v>
      </c>
      <c r="G2761" t="s">
        <v>25</v>
      </c>
      <c r="H2761" s="3">
        <v>5</v>
      </c>
      <c r="I2761" s="3">
        <v>3175</v>
      </c>
      <c r="J2761" s="3">
        <v>15875</v>
      </c>
      <c r="K2761" s="3">
        <v>2500</v>
      </c>
      <c r="L2761" s="3">
        <v>12500</v>
      </c>
      <c r="M2761" s="3">
        <v>3375</v>
      </c>
      <c r="N2761" s="4">
        <v>0.2125984251968504</v>
      </c>
    </row>
    <row r="2762" spans="1:14" x14ac:dyDescent="0.3">
      <c r="A2762" s="6">
        <v>45855</v>
      </c>
      <c r="B2762" s="1" t="s">
        <v>2946</v>
      </c>
      <c r="C2762" s="1" t="s">
        <v>29</v>
      </c>
      <c r="D2762" t="s">
        <v>32</v>
      </c>
      <c r="E2762" t="s">
        <v>265</v>
      </c>
      <c r="F2762" t="s">
        <v>24</v>
      </c>
      <c r="G2762" t="s">
        <v>25</v>
      </c>
      <c r="H2762" s="3">
        <v>7</v>
      </c>
      <c r="I2762" s="3">
        <v>3449.9999999999995</v>
      </c>
      <c r="J2762" s="3">
        <v>24149.999999999996</v>
      </c>
      <c r="K2762" s="3">
        <v>2500</v>
      </c>
      <c r="L2762" s="3">
        <v>17500</v>
      </c>
      <c r="M2762" s="3">
        <v>6649.9999999999964</v>
      </c>
      <c r="N2762" s="4">
        <v>0.2753623188405796</v>
      </c>
    </row>
    <row r="2763" spans="1:14" x14ac:dyDescent="0.3">
      <c r="A2763" s="6">
        <v>45855</v>
      </c>
      <c r="B2763" s="1" t="s">
        <v>2947</v>
      </c>
      <c r="C2763" s="1" t="s">
        <v>27</v>
      </c>
      <c r="D2763" t="s">
        <v>33</v>
      </c>
      <c r="E2763" t="s">
        <v>327</v>
      </c>
      <c r="F2763" t="s">
        <v>17</v>
      </c>
      <c r="G2763" t="s">
        <v>18</v>
      </c>
      <c r="H2763" s="3">
        <v>10</v>
      </c>
      <c r="I2763" s="3">
        <v>10965</v>
      </c>
      <c r="J2763" s="3">
        <v>109650</v>
      </c>
      <c r="K2763" s="3">
        <v>8500</v>
      </c>
      <c r="L2763" s="3">
        <v>85000</v>
      </c>
      <c r="M2763" s="3">
        <v>24650</v>
      </c>
      <c r="N2763" s="4">
        <v>0.22480620155038761</v>
      </c>
    </row>
    <row r="2764" spans="1:14" x14ac:dyDescent="0.3">
      <c r="A2764" s="6">
        <v>45855</v>
      </c>
      <c r="B2764" s="1" t="s">
        <v>2948</v>
      </c>
      <c r="C2764" s="1" t="s">
        <v>28</v>
      </c>
      <c r="D2764" t="s">
        <v>35</v>
      </c>
      <c r="E2764" t="s">
        <v>243</v>
      </c>
      <c r="F2764" t="s">
        <v>24</v>
      </c>
      <c r="G2764" t="s">
        <v>25</v>
      </c>
      <c r="H2764" s="3">
        <v>4</v>
      </c>
      <c r="I2764" s="3">
        <v>3175</v>
      </c>
      <c r="J2764" s="3">
        <v>12700</v>
      </c>
      <c r="K2764" s="3">
        <v>2500</v>
      </c>
      <c r="L2764" s="3">
        <v>10000</v>
      </c>
      <c r="M2764" s="3">
        <v>2700</v>
      </c>
      <c r="N2764" s="4">
        <v>0.2125984251968504</v>
      </c>
    </row>
    <row r="2765" spans="1:14" x14ac:dyDescent="0.3">
      <c r="A2765" s="6">
        <v>45855</v>
      </c>
      <c r="B2765" s="1" t="s">
        <v>2949</v>
      </c>
      <c r="C2765" s="1" t="s">
        <v>29</v>
      </c>
      <c r="D2765" t="s">
        <v>31</v>
      </c>
      <c r="E2765" t="s">
        <v>390</v>
      </c>
      <c r="F2765" t="s">
        <v>19</v>
      </c>
      <c r="G2765" t="s">
        <v>20</v>
      </c>
      <c r="H2765" s="3">
        <v>6</v>
      </c>
      <c r="I2765" s="3">
        <v>1215</v>
      </c>
      <c r="J2765" s="3">
        <v>7290</v>
      </c>
      <c r="K2765" s="3">
        <v>900</v>
      </c>
      <c r="L2765" s="3">
        <v>5400</v>
      </c>
      <c r="M2765" s="3">
        <v>1890</v>
      </c>
      <c r="N2765" s="4">
        <v>0.25925925925925924</v>
      </c>
    </row>
    <row r="2766" spans="1:14" x14ac:dyDescent="0.3">
      <c r="A2766" s="6">
        <v>45855</v>
      </c>
      <c r="B2766" s="1" t="s">
        <v>2950</v>
      </c>
      <c r="C2766" s="1" t="s">
        <v>28</v>
      </c>
      <c r="D2766" t="s">
        <v>34</v>
      </c>
      <c r="E2766" t="s">
        <v>329</v>
      </c>
      <c r="F2766" t="s">
        <v>23</v>
      </c>
      <c r="G2766" t="s">
        <v>25</v>
      </c>
      <c r="H2766" s="3">
        <v>8</v>
      </c>
      <c r="I2766" s="3">
        <v>4512</v>
      </c>
      <c r="J2766" s="3">
        <v>36096</v>
      </c>
      <c r="K2766" s="3">
        <v>3200</v>
      </c>
      <c r="L2766" s="3">
        <v>25600</v>
      </c>
      <c r="M2766" s="3">
        <v>10496</v>
      </c>
      <c r="N2766" s="4">
        <v>0.29078014184397161</v>
      </c>
    </row>
    <row r="2767" spans="1:14" x14ac:dyDescent="0.3">
      <c r="A2767" s="6">
        <v>45855</v>
      </c>
      <c r="B2767" s="1" t="s">
        <v>2951</v>
      </c>
      <c r="C2767" s="1" t="s">
        <v>29</v>
      </c>
      <c r="D2767" t="s">
        <v>33</v>
      </c>
      <c r="E2767" t="s">
        <v>81</v>
      </c>
      <c r="F2767" t="s">
        <v>21</v>
      </c>
      <c r="G2767" t="s">
        <v>20</v>
      </c>
      <c r="H2767" s="3">
        <v>2</v>
      </c>
      <c r="I2767" s="3">
        <v>780</v>
      </c>
      <c r="J2767" s="3">
        <v>1560</v>
      </c>
      <c r="K2767" s="3">
        <v>600</v>
      </c>
      <c r="L2767" s="3">
        <v>1200</v>
      </c>
      <c r="M2767" s="3">
        <v>360</v>
      </c>
      <c r="N2767" s="4">
        <v>0.23076923076923078</v>
      </c>
    </row>
    <row r="2768" spans="1:14" x14ac:dyDescent="0.3">
      <c r="A2768" s="6">
        <v>45855</v>
      </c>
      <c r="B2768" s="1" t="s">
        <v>2952</v>
      </c>
      <c r="C2768" s="1" t="s">
        <v>28</v>
      </c>
      <c r="D2768" t="s">
        <v>34</v>
      </c>
      <c r="E2768" t="s">
        <v>198</v>
      </c>
      <c r="F2768" t="s">
        <v>22</v>
      </c>
      <c r="G2768" t="s">
        <v>18</v>
      </c>
      <c r="H2768" s="3">
        <v>7</v>
      </c>
      <c r="I2768" s="3">
        <v>9450</v>
      </c>
      <c r="J2768" s="3">
        <v>66150</v>
      </c>
      <c r="K2768" s="3">
        <v>7000</v>
      </c>
      <c r="L2768" s="3">
        <v>49000</v>
      </c>
      <c r="M2768" s="3">
        <v>17150</v>
      </c>
      <c r="N2768" s="4">
        <v>0.25925925925925924</v>
      </c>
    </row>
    <row r="2769" spans="1:14" x14ac:dyDescent="0.3">
      <c r="A2769" s="6">
        <v>45855</v>
      </c>
      <c r="B2769" s="1" t="s">
        <v>2953</v>
      </c>
      <c r="C2769" s="1" t="s">
        <v>29</v>
      </c>
      <c r="D2769" t="s">
        <v>33</v>
      </c>
      <c r="E2769" t="s">
        <v>365</v>
      </c>
      <c r="F2769" t="s">
        <v>24</v>
      </c>
      <c r="G2769" t="s">
        <v>25</v>
      </c>
      <c r="H2769" s="3">
        <v>2</v>
      </c>
      <c r="I2769" s="3">
        <v>3600</v>
      </c>
      <c r="J2769" s="3">
        <v>7200</v>
      </c>
      <c r="K2769" s="3">
        <v>2500</v>
      </c>
      <c r="L2769" s="3">
        <v>5000</v>
      </c>
      <c r="M2769" s="3">
        <v>2200</v>
      </c>
      <c r="N2769" s="4">
        <v>0.30555555555555558</v>
      </c>
    </row>
    <row r="2770" spans="1:14" x14ac:dyDescent="0.3">
      <c r="A2770" s="6">
        <v>45855</v>
      </c>
      <c r="B2770" s="1" t="s">
        <v>2954</v>
      </c>
      <c r="C2770" s="1" t="s">
        <v>28</v>
      </c>
      <c r="D2770" t="s">
        <v>30</v>
      </c>
      <c r="E2770" t="s">
        <v>424</v>
      </c>
      <c r="F2770" t="s">
        <v>16</v>
      </c>
      <c r="G2770" t="s">
        <v>15</v>
      </c>
      <c r="H2770" s="3">
        <v>4</v>
      </c>
      <c r="I2770" s="3">
        <v>50160</v>
      </c>
      <c r="J2770" s="3">
        <v>200640</v>
      </c>
      <c r="K2770" s="3">
        <v>38000</v>
      </c>
      <c r="L2770" s="3">
        <v>152000</v>
      </c>
      <c r="M2770" s="3">
        <v>48640</v>
      </c>
      <c r="N2770" s="4">
        <v>0.24242424242424243</v>
      </c>
    </row>
    <row r="2771" spans="1:14" x14ac:dyDescent="0.3">
      <c r="A2771" s="6">
        <v>45855</v>
      </c>
      <c r="B2771" s="1" t="s">
        <v>2955</v>
      </c>
      <c r="C2771" s="1" t="s">
        <v>27</v>
      </c>
      <c r="D2771" t="s">
        <v>33</v>
      </c>
      <c r="E2771" t="s">
        <v>102</v>
      </c>
      <c r="F2771" t="s">
        <v>23</v>
      </c>
      <c r="G2771" t="s">
        <v>25</v>
      </c>
      <c r="H2771" s="3">
        <v>6</v>
      </c>
      <c r="I2771" s="3">
        <v>4576</v>
      </c>
      <c r="J2771" s="3">
        <v>27456</v>
      </c>
      <c r="K2771" s="3">
        <v>3200</v>
      </c>
      <c r="L2771" s="3">
        <v>19200</v>
      </c>
      <c r="M2771" s="3">
        <v>8256</v>
      </c>
      <c r="N2771" s="4">
        <v>0.30069930069930068</v>
      </c>
    </row>
    <row r="2772" spans="1:14" x14ac:dyDescent="0.3">
      <c r="A2772" s="6">
        <v>45856</v>
      </c>
      <c r="B2772" s="1" t="s">
        <v>2956</v>
      </c>
      <c r="C2772" s="1" t="s">
        <v>28</v>
      </c>
      <c r="D2772" t="s">
        <v>33</v>
      </c>
      <c r="E2772" t="s">
        <v>388</v>
      </c>
      <c r="F2772" t="s">
        <v>24</v>
      </c>
      <c r="G2772" t="s">
        <v>25</v>
      </c>
      <c r="H2772" s="3">
        <v>8</v>
      </c>
      <c r="I2772" s="3">
        <v>3025</v>
      </c>
      <c r="J2772" s="3">
        <v>24200</v>
      </c>
      <c r="K2772" s="3">
        <v>2500</v>
      </c>
      <c r="L2772" s="3">
        <v>20000</v>
      </c>
      <c r="M2772" s="3">
        <v>4200</v>
      </c>
      <c r="N2772" s="4">
        <v>0.17355371900826447</v>
      </c>
    </row>
    <row r="2773" spans="1:14" x14ac:dyDescent="0.3">
      <c r="A2773" s="6">
        <v>45856</v>
      </c>
      <c r="B2773" s="1" t="s">
        <v>2957</v>
      </c>
      <c r="C2773" s="1" t="s">
        <v>27</v>
      </c>
      <c r="D2773" t="s">
        <v>35</v>
      </c>
      <c r="E2773" t="s">
        <v>163</v>
      </c>
      <c r="F2773" t="s">
        <v>19</v>
      </c>
      <c r="G2773" t="s">
        <v>20</v>
      </c>
      <c r="H2773" s="3">
        <v>7</v>
      </c>
      <c r="I2773" s="3">
        <v>1152</v>
      </c>
      <c r="J2773" s="3">
        <v>8064</v>
      </c>
      <c r="K2773" s="3">
        <v>900</v>
      </c>
      <c r="L2773" s="3">
        <v>6300</v>
      </c>
      <c r="M2773" s="3">
        <v>1764</v>
      </c>
      <c r="N2773" s="4">
        <v>0.21875</v>
      </c>
    </row>
    <row r="2774" spans="1:14" x14ac:dyDescent="0.3">
      <c r="A2774" s="6">
        <v>45856</v>
      </c>
      <c r="B2774" s="1" t="s">
        <v>2958</v>
      </c>
      <c r="C2774" s="1" t="s">
        <v>26</v>
      </c>
      <c r="D2774" t="s">
        <v>34</v>
      </c>
      <c r="E2774" t="s">
        <v>355</v>
      </c>
      <c r="F2774" t="s">
        <v>19</v>
      </c>
      <c r="G2774" t="s">
        <v>20</v>
      </c>
      <c r="H2774" s="3">
        <v>3</v>
      </c>
      <c r="I2774" s="3">
        <v>1116</v>
      </c>
      <c r="J2774" s="3">
        <v>3348</v>
      </c>
      <c r="K2774" s="3">
        <v>900</v>
      </c>
      <c r="L2774" s="3">
        <v>2700</v>
      </c>
      <c r="M2774" s="3">
        <v>648</v>
      </c>
      <c r="N2774" s="4">
        <v>0.19354838709677419</v>
      </c>
    </row>
    <row r="2775" spans="1:14" x14ac:dyDescent="0.3">
      <c r="A2775" s="6">
        <v>45856</v>
      </c>
      <c r="B2775" s="1" t="s">
        <v>2959</v>
      </c>
      <c r="C2775" s="1" t="s">
        <v>29</v>
      </c>
      <c r="D2775" t="s">
        <v>30</v>
      </c>
      <c r="E2775" t="s">
        <v>355</v>
      </c>
      <c r="F2775" t="s">
        <v>21</v>
      </c>
      <c r="G2775" t="s">
        <v>20</v>
      </c>
      <c r="H2775" s="3">
        <v>10</v>
      </c>
      <c r="I2775" s="3">
        <v>726</v>
      </c>
      <c r="J2775" s="3">
        <v>7260</v>
      </c>
      <c r="K2775" s="3">
        <v>600</v>
      </c>
      <c r="L2775" s="3">
        <v>6000</v>
      </c>
      <c r="M2775" s="3">
        <v>1260</v>
      </c>
      <c r="N2775" s="4">
        <v>0.17355371900826447</v>
      </c>
    </row>
    <row r="2776" spans="1:14" x14ac:dyDescent="0.3">
      <c r="A2776" s="6">
        <v>45856</v>
      </c>
      <c r="B2776" s="1" t="s">
        <v>2960</v>
      </c>
      <c r="C2776" s="1" t="s">
        <v>27</v>
      </c>
      <c r="D2776" t="s">
        <v>31</v>
      </c>
      <c r="E2776" t="s">
        <v>243</v>
      </c>
      <c r="F2776" t="s">
        <v>16</v>
      </c>
      <c r="G2776" t="s">
        <v>15</v>
      </c>
      <c r="H2776" s="3">
        <v>8</v>
      </c>
      <c r="I2776" s="3">
        <v>49400</v>
      </c>
      <c r="J2776" s="3">
        <v>395200</v>
      </c>
      <c r="K2776" s="3">
        <v>38000</v>
      </c>
      <c r="L2776" s="3">
        <v>304000</v>
      </c>
      <c r="M2776" s="3">
        <v>91200</v>
      </c>
      <c r="N2776" s="4">
        <v>0.23076923076923078</v>
      </c>
    </row>
    <row r="2777" spans="1:14" x14ac:dyDescent="0.3">
      <c r="A2777" s="6">
        <v>45856</v>
      </c>
      <c r="B2777" s="1" t="s">
        <v>2961</v>
      </c>
      <c r="C2777" s="1" t="s">
        <v>27</v>
      </c>
      <c r="D2777" t="s">
        <v>35</v>
      </c>
      <c r="E2777" t="s">
        <v>508</v>
      </c>
      <c r="F2777" t="s">
        <v>19</v>
      </c>
      <c r="G2777" t="s">
        <v>20</v>
      </c>
      <c r="H2777" s="3">
        <v>2</v>
      </c>
      <c r="I2777" s="3">
        <v>1242</v>
      </c>
      <c r="J2777" s="3">
        <v>2484</v>
      </c>
      <c r="K2777" s="3">
        <v>900</v>
      </c>
      <c r="L2777" s="3">
        <v>1800</v>
      </c>
      <c r="M2777" s="3">
        <v>684</v>
      </c>
      <c r="N2777" s="4">
        <v>0.27536231884057971</v>
      </c>
    </row>
    <row r="2778" spans="1:14" x14ac:dyDescent="0.3">
      <c r="A2778" s="6">
        <v>45856</v>
      </c>
      <c r="B2778" s="1" t="s">
        <v>2962</v>
      </c>
      <c r="C2778" s="1" t="s">
        <v>27</v>
      </c>
      <c r="D2778" t="s">
        <v>30</v>
      </c>
      <c r="E2778" t="s">
        <v>751</v>
      </c>
      <c r="F2778" t="s">
        <v>19</v>
      </c>
      <c r="G2778" t="s">
        <v>20</v>
      </c>
      <c r="H2778" s="3">
        <v>2</v>
      </c>
      <c r="I2778" s="3">
        <v>1233</v>
      </c>
      <c r="J2778" s="3">
        <v>2466</v>
      </c>
      <c r="K2778" s="3">
        <v>900</v>
      </c>
      <c r="L2778" s="3">
        <v>1800</v>
      </c>
      <c r="M2778" s="3">
        <v>666</v>
      </c>
      <c r="N2778" s="4">
        <v>0.27007299270072993</v>
      </c>
    </row>
    <row r="2779" spans="1:14" x14ac:dyDescent="0.3">
      <c r="A2779" s="6">
        <v>45856</v>
      </c>
      <c r="B2779" s="1" t="s">
        <v>2963</v>
      </c>
      <c r="C2779" s="1" t="s">
        <v>26</v>
      </c>
      <c r="D2779" t="s">
        <v>31</v>
      </c>
      <c r="E2779" t="s">
        <v>74</v>
      </c>
      <c r="F2779" t="s">
        <v>24</v>
      </c>
      <c r="G2779" t="s">
        <v>25</v>
      </c>
      <c r="H2779" s="3">
        <v>3</v>
      </c>
      <c r="I2779" s="3">
        <v>3525</v>
      </c>
      <c r="J2779" s="3">
        <v>10575</v>
      </c>
      <c r="K2779" s="3">
        <v>2500</v>
      </c>
      <c r="L2779" s="3">
        <v>7500</v>
      </c>
      <c r="M2779" s="3">
        <v>3075</v>
      </c>
      <c r="N2779" s="4">
        <v>0.29078014184397161</v>
      </c>
    </row>
    <row r="2780" spans="1:14" x14ac:dyDescent="0.3">
      <c r="A2780" s="6">
        <v>45856</v>
      </c>
      <c r="B2780" s="1" t="s">
        <v>2964</v>
      </c>
      <c r="C2780" s="1" t="s">
        <v>28</v>
      </c>
      <c r="D2780" t="s">
        <v>31</v>
      </c>
      <c r="E2780" t="s">
        <v>110</v>
      </c>
      <c r="F2780" t="s">
        <v>14</v>
      </c>
      <c r="G2780" t="s">
        <v>15</v>
      </c>
      <c r="H2780" s="3">
        <v>2</v>
      </c>
      <c r="I2780" s="3">
        <v>62999.999999999993</v>
      </c>
      <c r="J2780" s="3">
        <v>125999.99999999999</v>
      </c>
      <c r="K2780" s="3">
        <v>45000</v>
      </c>
      <c r="L2780" s="3">
        <v>90000</v>
      </c>
      <c r="M2780" s="3">
        <v>35999.999999999985</v>
      </c>
      <c r="N2780" s="4">
        <v>0.28571428571428564</v>
      </c>
    </row>
    <row r="2781" spans="1:14" x14ac:dyDescent="0.3">
      <c r="A2781" s="6">
        <v>45856</v>
      </c>
      <c r="B2781" s="1" t="s">
        <v>2965</v>
      </c>
      <c r="C2781" s="1" t="s">
        <v>26</v>
      </c>
      <c r="D2781" t="s">
        <v>35</v>
      </c>
      <c r="E2781" t="s">
        <v>280</v>
      </c>
      <c r="F2781" t="s">
        <v>16</v>
      </c>
      <c r="G2781" t="s">
        <v>15</v>
      </c>
      <c r="H2781" s="3">
        <v>7</v>
      </c>
      <c r="I2781" s="3">
        <v>49780</v>
      </c>
      <c r="J2781" s="3">
        <v>348460</v>
      </c>
      <c r="K2781" s="3">
        <v>38000</v>
      </c>
      <c r="L2781" s="3">
        <v>266000</v>
      </c>
      <c r="M2781" s="3">
        <v>82460</v>
      </c>
      <c r="N2781" s="4">
        <v>0.23664122137404581</v>
      </c>
    </row>
    <row r="2782" spans="1:14" x14ac:dyDescent="0.3">
      <c r="A2782" s="6">
        <v>45856</v>
      </c>
      <c r="B2782" s="1" t="s">
        <v>2966</v>
      </c>
      <c r="C2782" s="1" t="s">
        <v>27</v>
      </c>
      <c r="D2782" t="s">
        <v>30</v>
      </c>
      <c r="E2782" t="s">
        <v>126</v>
      </c>
      <c r="F2782" t="s">
        <v>24</v>
      </c>
      <c r="G2782" t="s">
        <v>25</v>
      </c>
      <c r="H2782" s="3">
        <v>1</v>
      </c>
      <c r="I2782" s="3">
        <v>3350</v>
      </c>
      <c r="J2782" s="3">
        <v>3350</v>
      </c>
      <c r="K2782" s="3">
        <v>2500</v>
      </c>
      <c r="L2782" s="3">
        <v>2500</v>
      </c>
      <c r="M2782" s="3">
        <v>850</v>
      </c>
      <c r="N2782" s="4">
        <v>0.2537313432835821</v>
      </c>
    </row>
    <row r="2783" spans="1:14" x14ac:dyDescent="0.3">
      <c r="A2783" s="6">
        <v>45856</v>
      </c>
      <c r="B2783" s="1" t="s">
        <v>2967</v>
      </c>
      <c r="C2783" s="1" t="s">
        <v>28</v>
      </c>
      <c r="D2783" t="s">
        <v>31</v>
      </c>
      <c r="E2783" t="s">
        <v>363</v>
      </c>
      <c r="F2783" t="s">
        <v>19</v>
      </c>
      <c r="G2783" t="s">
        <v>20</v>
      </c>
      <c r="H2783" s="3">
        <v>5</v>
      </c>
      <c r="I2783" s="3">
        <v>1197</v>
      </c>
      <c r="J2783" s="3">
        <v>5985</v>
      </c>
      <c r="K2783" s="3">
        <v>900</v>
      </c>
      <c r="L2783" s="3">
        <v>4500</v>
      </c>
      <c r="M2783" s="3">
        <v>1485</v>
      </c>
      <c r="N2783" s="4">
        <v>0.24812030075187969</v>
      </c>
    </row>
    <row r="2784" spans="1:14" x14ac:dyDescent="0.3">
      <c r="A2784" s="6">
        <v>45856</v>
      </c>
      <c r="B2784" s="1" t="s">
        <v>2968</v>
      </c>
      <c r="C2784" s="1" t="s">
        <v>26</v>
      </c>
      <c r="D2784" t="s">
        <v>35</v>
      </c>
      <c r="E2784" t="s">
        <v>67</v>
      </c>
      <c r="F2784" t="s">
        <v>14</v>
      </c>
      <c r="G2784" t="s">
        <v>15</v>
      </c>
      <c r="H2784" s="3">
        <v>6</v>
      </c>
      <c r="I2784" s="3">
        <v>57600</v>
      </c>
      <c r="J2784" s="3">
        <v>345600</v>
      </c>
      <c r="K2784" s="3">
        <v>45000</v>
      </c>
      <c r="L2784" s="3">
        <v>270000</v>
      </c>
      <c r="M2784" s="3">
        <v>75600</v>
      </c>
      <c r="N2784" s="4">
        <v>0.21875</v>
      </c>
    </row>
    <row r="2785" spans="1:14" x14ac:dyDescent="0.3">
      <c r="A2785" s="6">
        <v>45856</v>
      </c>
      <c r="B2785" s="1" t="s">
        <v>2969</v>
      </c>
      <c r="C2785" s="1" t="s">
        <v>29</v>
      </c>
      <c r="D2785" t="s">
        <v>34</v>
      </c>
      <c r="E2785" t="s">
        <v>273</v>
      </c>
      <c r="F2785" t="s">
        <v>19</v>
      </c>
      <c r="G2785" t="s">
        <v>20</v>
      </c>
      <c r="H2785" s="3">
        <v>4</v>
      </c>
      <c r="I2785" s="3">
        <v>1089</v>
      </c>
      <c r="J2785" s="3">
        <v>4356</v>
      </c>
      <c r="K2785" s="3">
        <v>900</v>
      </c>
      <c r="L2785" s="3">
        <v>3600</v>
      </c>
      <c r="M2785" s="3">
        <v>756</v>
      </c>
      <c r="N2785" s="4">
        <v>0.17355371900826447</v>
      </c>
    </row>
    <row r="2786" spans="1:14" x14ac:dyDescent="0.3">
      <c r="A2786" s="6">
        <v>45857</v>
      </c>
      <c r="B2786" s="1" t="s">
        <v>2970</v>
      </c>
      <c r="C2786" s="1" t="s">
        <v>29</v>
      </c>
      <c r="D2786" t="s">
        <v>31</v>
      </c>
      <c r="E2786" t="s">
        <v>208</v>
      </c>
      <c r="F2786" t="s">
        <v>21</v>
      </c>
      <c r="G2786" t="s">
        <v>20</v>
      </c>
      <c r="H2786" s="3">
        <v>8</v>
      </c>
      <c r="I2786" s="3">
        <v>792</v>
      </c>
      <c r="J2786" s="3">
        <v>6336</v>
      </c>
      <c r="K2786" s="3">
        <v>600</v>
      </c>
      <c r="L2786" s="3">
        <v>4800</v>
      </c>
      <c r="M2786" s="3">
        <v>1536</v>
      </c>
      <c r="N2786" s="4">
        <v>0.24242424242424243</v>
      </c>
    </row>
    <row r="2787" spans="1:14" x14ac:dyDescent="0.3">
      <c r="A2787" s="6">
        <v>45857</v>
      </c>
      <c r="B2787" s="1" t="s">
        <v>2971</v>
      </c>
      <c r="C2787" s="1" t="s">
        <v>29</v>
      </c>
      <c r="D2787" t="s">
        <v>31</v>
      </c>
      <c r="E2787" t="s">
        <v>369</v>
      </c>
      <c r="F2787" t="s">
        <v>22</v>
      </c>
      <c r="G2787" t="s">
        <v>18</v>
      </c>
      <c r="H2787" s="3">
        <v>6</v>
      </c>
      <c r="I2787" s="3">
        <v>8610</v>
      </c>
      <c r="J2787" s="3">
        <v>51660</v>
      </c>
      <c r="K2787" s="3">
        <v>7000</v>
      </c>
      <c r="L2787" s="3">
        <v>42000</v>
      </c>
      <c r="M2787" s="3">
        <v>9660</v>
      </c>
      <c r="N2787" s="4">
        <v>0.18699186991869918</v>
      </c>
    </row>
    <row r="2788" spans="1:14" x14ac:dyDescent="0.3">
      <c r="A2788" s="6">
        <v>45857</v>
      </c>
      <c r="B2788" s="1" t="s">
        <v>2972</v>
      </c>
      <c r="C2788" s="1" t="s">
        <v>29</v>
      </c>
      <c r="D2788" t="s">
        <v>34</v>
      </c>
      <c r="E2788" t="s">
        <v>265</v>
      </c>
      <c r="F2788" t="s">
        <v>22</v>
      </c>
      <c r="G2788" t="s">
        <v>18</v>
      </c>
      <c r="H2788" s="3">
        <v>9</v>
      </c>
      <c r="I2788" s="3">
        <v>9870</v>
      </c>
      <c r="J2788" s="3">
        <v>88830</v>
      </c>
      <c r="K2788" s="3">
        <v>7000</v>
      </c>
      <c r="L2788" s="3">
        <v>63000</v>
      </c>
      <c r="M2788" s="3">
        <v>25830</v>
      </c>
      <c r="N2788" s="4">
        <v>0.29078014184397161</v>
      </c>
    </row>
    <row r="2789" spans="1:14" x14ac:dyDescent="0.3">
      <c r="A2789" s="6">
        <v>45857</v>
      </c>
      <c r="B2789" s="1" t="s">
        <v>2973</v>
      </c>
      <c r="C2789" s="1" t="s">
        <v>27</v>
      </c>
      <c r="D2789" t="s">
        <v>32</v>
      </c>
      <c r="E2789" t="s">
        <v>90</v>
      </c>
      <c r="F2789" t="s">
        <v>22</v>
      </c>
      <c r="G2789" t="s">
        <v>18</v>
      </c>
      <c r="H2789" s="3">
        <v>1</v>
      </c>
      <c r="I2789" s="3">
        <v>10080</v>
      </c>
      <c r="J2789" s="3">
        <v>10080</v>
      </c>
      <c r="K2789" s="3">
        <v>7000</v>
      </c>
      <c r="L2789" s="3">
        <v>7000</v>
      </c>
      <c r="M2789" s="3">
        <v>3080</v>
      </c>
      <c r="N2789" s="4">
        <v>0.30555555555555558</v>
      </c>
    </row>
    <row r="2790" spans="1:14" x14ac:dyDescent="0.3">
      <c r="A2790" s="6">
        <v>45857</v>
      </c>
      <c r="B2790" s="1" t="s">
        <v>2974</v>
      </c>
      <c r="C2790" s="1" t="s">
        <v>28</v>
      </c>
      <c r="D2790" t="s">
        <v>33</v>
      </c>
      <c r="E2790" t="s">
        <v>126</v>
      </c>
      <c r="F2790" t="s">
        <v>16</v>
      </c>
      <c r="G2790" t="s">
        <v>15</v>
      </c>
      <c r="H2790" s="3">
        <v>7</v>
      </c>
      <c r="I2790" s="3">
        <v>49400</v>
      </c>
      <c r="J2790" s="3">
        <v>345800</v>
      </c>
      <c r="K2790" s="3">
        <v>38000</v>
      </c>
      <c r="L2790" s="3">
        <v>266000</v>
      </c>
      <c r="M2790" s="3">
        <v>79800</v>
      </c>
      <c r="N2790" s="4">
        <v>0.23076923076923078</v>
      </c>
    </row>
    <row r="2791" spans="1:14" x14ac:dyDescent="0.3">
      <c r="A2791" s="6">
        <v>45857</v>
      </c>
      <c r="B2791" s="1" t="s">
        <v>2975</v>
      </c>
      <c r="C2791" s="1" t="s">
        <v>26</v>
      </c>
      <c r="D2791" t="s">
        <v>31</v>
      </c>
      <c r="E2791" t="s">
        <v>411</v>
      </c>
      <c r="F2791" t="s">
        <v>17</v>
      </c>
      <c r="G2791" t="s">
        <v>18</v>
      </c>
      <c r="H2791" s="3">
        <v>7</v>
      </c>
      <c r="I2791" s="3">
        <v>12155</v>
      </c>
      <c r="J2791" s="3">
        <v>85085</v>
      </c>
      <c r="K2791" s="3">
        <v>8500</v>
      </c>
      <c r="L2791" s="3">
        <v>59500</v>
      </c>
      <c r="M2791" s="3">
        <v>25585</v>
      </c>
      <c r="N2791" s="4">
        <v>0.30069930069930068</v>
      </c>
    </row>
    <row r="2792" spans="1:14" x14ac:dyDescent="0.3">
      <c r="A2792" s="6">
        <v>45857</v>
      </c>
      <c r="B2792" s="1" t="s">
        <v>2976</v>
      </c>
      <c r="C2792" s="1" t="s">
        <v>29</v>
      </c>
      <c r="D2792" t="s">
        <v>33</v>
      </c>
      <c r="E2792" t="s">
        <v>59</v>
      </c>
      <c r="F2792" t="s">
        <v>19</v>
      </c>
      <c r="G2792" t="s">
        <v>20</v>
      </c>
      <c r="H2792" s="3">
        <v>9</v>
      </c>
      <c r="I2792" s="3">
        <v>1143</v>
      </c>
      <c r="J2792" s="3">
        <v>10287</v>
      </c>
      <c r="K2792" s="3">
        <v>900</v>
      </c>
      <c r="L2792" s="3">
        <v>8100</v>
      </c>
      <c r="M2792" s="3">
        <v>2187</v>
      </c>
      <c r="N2792" s="4">
        <v>0.2125984251968504</v>
      </c>
    </row>
    <row r="2793" spans="1:14" x14ac:dyDescent="0.3">
      <c r="A2793" s="6">
        <v>45857</v>
      </c>
      <c r="B2793" s="1" t="s">
        <v>2977</v>
      </c>
      <c r="C2793" s="1" t="s">
        <v>28</v>
      </c>
      <c r="D2793" t="s">
        <v>33</v>
      </c>
      <c r="E2793" t="s">
        <v>319</v>
      </c>
      <c r="F2793" t="s">
        <v>16</v>
      </c>
      <c r="G2793" t="s">
        <v>15</v>
      </c>
      <c r="H2793" s="3">
        <v>5</v>
      </c>
      <c r="I2793" s="3">
        <v>54340</v>
      </c>
      <c r="J2793" s="3">
        <v>271700</v>
      </c>
      <c r="K2793" s="3">
        <v>38000</v>
      </c>
      <c r="L2793" s="3">
        <v>190000</v>
      </c>
      <c r="M2793" s="3">
        <v>81700</v>
      </c>
      <c r="N2793" s="4">
        <v>0.30069930069930068</v>
      </c>
    </row>
    <row r="2794" spans="1:14" x14ac:dyDescent="0.3">
      <c r="A2794" s="6">
        <v>45857</v>
      </c>
      <c r="B2794" s="1" t="s">
        <v>2978</v>
      </c>
      <c r="C2794" s="1" t="s">
        <v>26</v>
      </c>
      <c r="D2794" t="s">
        <v>33</v>
      </c>
      <c r="E2794" t="s">
        <v>359</v>
      </c>
      <c r="F2794" t="s">
        <v>14</v>
      </c>
      <c r="G2794" t="s">
        <v>15</v>
      </c>
      <c r="H2794" s="3">
        <v>5</v>
      </c>
      <c r="I2794" s="3">
        <v>57600</v>
      </c>
      <c r="J2794" s="3">
        <v>288000</v>
      </c>
      <c r="K2794" s="3">
        <v>45000</v>
      </c>
      <c r="L2794" s="3">
        <v>225000</v>
      </c>
      <c r="M2794" s="3">
        <v>63000</v>
      </c>
      <c r="N2794" s="4">
        <v>0.21875</v>
      </c>
    </row>
    <row r="2795" spans="1:14" x14ac:dyDescent="0.3">
      <c r="A2795" s="6">
        <v>45857</v>
      </c>
      <c r="B2795" s="1" t="s">
        <v>2979</v>
      </c>
      <c r="C2795" s="1" t="s">
        <v>26</v>
      </c>
      <c r="D2795" t="s">
        <v>30</v>
      </c>
      <c r="E2795" t="s">
        <v>37</v>
      </c>
      <c r="F2795" t="s">
        <v>19</v>
      </c>
      <c r="G2795" t="s">
        <v>20</v>
      </c>
      <c r="H2795" s="3">
        <v>7</v>
      </c>
      <c r="I2795" s="3">
        <v>1260</v>
      </c>
      <c r="J2795" s="3">
        <v>8820</v>
      </c>
      <c r="K2795" s="3">
        <v>900</v>
      </c>
      <c r="L2795" s="3">
        <v>6300</v>
      </c>
      <c r="M2795" s="3">
        <v>2520</v>
      </c>
      <c r="N2795" s="4">
        <v>0.2857142857142857</v>
      </c>
    </row>
    <row r="2796" spans="1:14" x14ac:dyDescent="0.3">
      <c r="A2796" s="6">
        <v>45857</v>
      </c>
      <c r="B2796" s="1" t="s">
        <v>2980</v>
      </c>
      <c r="C2796" s="1" t="s">
        <v>28</v>
      </c>
      <c r="D2796" t="s">
        <v>31</v>
      </c>
      <c r="E2796" t="s">
        <v>407</v>
      </c>
      <c r="F2796" t="s">
        <v>21</v>
      </c>
      <c r="G2796" t="s">
        <v>20</v>
      </c>
      <c r="H2796" s="3">
        <v>6</v>
      </c>
      <c r="I2796" s="3">
        <v>840</v>
      </c>
      <c r="J2796" s="3">
        <v>5040</v>
      </c>
      <c r="K2796" s="3">
        <v>600</v>
      </c>
      <c r="L2796" s="3">
        <v>3600</v>
      </c>
      <c r="M2796" s="3">
        <v>1440</v>
      </c>
      <c r="N2796" s="4">
        <v>0.2857142857142857</v>
      </c>
    </row>
    <row r="2797" spans="1:14" x14ac:dyDescent="0.3">
      <c r="A2797" s="6">
        <v>45857</v>
      </c>
      <c r="B2797" s="1" t="s">
        <v>2981</v>
      </c>
      <c r="C2797" s="1" t="s">
        <v>27</v>
      </c>
      <c r="D2797" t="s">
        <v>30</v>
      </c>
      <c r="E2797" t="s">
        <v>228</v>
      </c>
      <c r="F2797" t="s">
        <v>14</v>
      </c>
      <c r="G2797" t="s">
        <v>15</v>
      </c>
      <c r="H2797" s="3">
        <v>10</v>
      </c>
      <c r="I2797" s="3">
        <v>59850</v>
      </c>
      <c r="J2797" s="3">
        <v>598500</v>
      </c>
      <c r="K2797" s="3">
        <v>45000</v>
      </c>
      <c r="L2797" s="3">
        <v>450000</v>
      </c>
      <c r="M2797" s="3">
        <v>148500</v>
      </c>
      <c r="N2797" s="4">
        <v>0.24812030075187969</v>
      </c>
    </row>
    <row r="2798" spans="1:14" x14ac:dyDescent="0.3">
      <c r="A2798" s="6">
        <v>45857</v>
      </c>
      <c r="B2798" s="1" t="s">
        <v>2982</v>
      </c>
      <c r="C2798" s="1" t="s">
        <v>28</v>
      </c>
      <c r="D2798" t="s">
        <v>32</v>
      </c>
      <c r="E2798" t="s">
        <v>442</v>
      </c>
      <c r="F2798" t="s">
        <v>23</v>
      </c>
      <c r="G2798" t="s">
        <v>25</v>
      </c>
      <c r="H2798" s="3">
        <v>6</v>
      </c>
      <c r="I2798" s="3">
        <v>3872</v>
      </c>
      <c r="J2798" s="3">
        <v>23232</v>
      </c>
      <c r="K2798" s="3">
        <v>3200</v>
      </c>
      <c r="L2798" s="3">
        <v>19200</v>
      </c>
      <c r="M2798" s="3">
        <v>4032</v>
      </c>
      <c r="N2798" s="4">
        <v>0.17355371900826447</v>
      </c>
    </row>
    <row r="2799" spans="1:14" x14ac:dyDescent="0.3">
      <c r="A2799" s="6">
        <v>45857</v>
      </c>
      <c r="B2799" s="1" t="s">
        <v>2983</v>
      </c>
      <c r="C2799" s="1" t="s">
        <v>26</v>
      </c>
      <c r="D2799" t="s">
        <v>32</v>
      </c>
      <c r="E2799" t="s">
        <v>175</v>
      </c>
      <c r="F2799" t="s">
        <v>24</v>
      </c>
      <c r="G2799" t="s">
        <v>25</v>
      </c>
      <c r="H2799" s="3">
        <v>1</v>
      </c>
      <c r="I2799" s="3">
        <v>3150</v>
      </c>
      <c r="J2799" s="3">
        <v>3150</v>
      </c>
      <c r="K2799" s="3">
        <v>2500</v>
      </c>
      <c r="L2799" s="3">
        <v>2500</v>
      </c>
      <c r="M2799" s="3">
        <v>650</v>
      </c>
      <c r="N2799" s="4">
        <v>0.20634920634920634</v>
      </c>
    </row>
    <row r="2800" spans="1:14" x14ac:dyDescent="0.3">
      <c r="A2800" s="6">
        <v>45858</v>
      </c>
      <c r="B2800" s="1" t="s">
        <v>2984</v>
      </c>
      <c r="C2800" s="1" t="s">
        <v>29</v>
      </c>
      <c r="D2800" t="s">
        <v>33</v>
      </c>
      <c r="E2800" t="s">
        <v>139</v>
      </c>
      <c r="F2800" t="s">
        <v>14</v>
      </c>
      <c r="G2800" t="s">
        <v>15</v>
      </c>
      <c r="H2800" s="3">
        <v>10</v>
      </c>
      <c r="I2800" s="3">
        <v>63900</v>
      </c>
      <c r="J2800" s="3">
        <v>639000</v>
      </c>
      <c r="K2800" s="3">
        <v>45000</v>
      </c>
      <c r="L2800" s="3">
        <v>450000</v>
      </c>
      <c r="M2800" s="3">
        <v>189000</v>
      </c>
      <c r="N2800" s="4">
        <v>0.29577464788732394</v>
      </c>
    </row>
    <row r="2801" spans="1:14" x14ac:dyDescent="0.3">
      <c r="A2801" s="6">
        <v>45858</v>
      </c>
      <c r="B2801" s="1" t="s">
        <v>2985</v>
      </c>
      <c r="C2801" s="1" t="s">
        <v>29</v>
      </c>
      <c r="D2801" t="s">
        <v>31</v>
      </c>
      <c r="E2801" t="s">
        <v>538</v>
      </c>
      <c r="F2801" t="s">
        <v>22</v>
      </c>
      <c r="G2801" t="s">
        <v>18</v>
      </c>
      <c r="H2801" s="3">
        <v>4</v>
      </c>
      <c r="I2801" s="3">
        <v>9450</v>
      </c>
      <c r="J2801" s="3">
        <v>37800</v>
      </c>
      <c r="K2801" s="3">
        <v>7000</v>
      </c>
      <c r="L2801" s="3">
        <v>28000</v>
      </c>
      <c r="M2801" s="3">
        <v>9800</v>
      </c>
      <c r="N2801" s="4">
        <v>0.25925925925925924</v>
      </c>
    </row>
    <row r="2802" spans="1:14" x14ac:dyDescent="0.3">
      <c r="A2802" s="6">
        <v>45858</v>
      </c>
      <c r="B2802" s="1" t="s">
        <v>2986</v>
      </c>
      <c r="C2802" s="1" t="s">
        <v>26</v>
      </c>
      <c r="D2802" t="s">
        <v>35</v>
      </c>
      <c r="E2802" t="s">
        <v>351</v>
      </c>
      <c r="F2802" t="s">
        <v>22</v>
      </c>
      <c r="G2802" t="s">
        <v>18</v>
      </c>
      <c r="H2802" s="3">
        <v>5</v>
      </c>
      <c r="I2802" s="3">
        <v>9170</v>
      </c>
      <c r="J2802" s="3">
        <v>45850</v>
      </c>
      <c r="K2802" s="3">
        <v>7000</v>
      </c>
      <c r="L2802" s="3">
        <v>35000</v>
      </c>
      <c r="M2802" s="3">
        <v>10850</v>
      </c>
      <c r="N2802" s="4">
        <v>0.23664122137404581</v>
      </c>
    </row>
    <row r="2803" spans="1:14" x14ac:dyDescent="0.3">
      <c r="A2803" s="6">
        <v>45858</v>
      </c>
      <c r="B2803" s="1" t="s">
        <v>2987</v>
      </c>
      <c r="C2803" s="1" t="s">
        <v>29</v>
      </c>
      <c r="D2803" t="s">
        <v>34</v>
      </c>
      <c r="E2803" t="s">
        <v>116</v>
      </c>
      <c r="F2803" t="s">
        <v>19</v>
      </c>
      <c r="G2803" t="s">
        <v>20</v>
      </c>
      <c r="H2803" s="3">
        <v>5</v>
      </c>
      <c r="I2803" s="3">
        <v>1287</v>
      </c>
      <c r="J2803" s="3">
        <v>6435</v>
      </c>
      <c r="K2803" s="3">
        <v>900</v>
      </c>
      <c r="L2803" s="3">
        <v>4500</v>
      </c>
      <c r="M2803" s="3">
        <v>1935</v>
      </c>
      <c r="N2803" s="4">
        <v>0.30069930069930068</v>
      </c>
    </row>
    <row r="2804" spans="1:14" x14ac:dyDescent="0.3">
      <c r="A2804" s="6">
        <v>45858</v>
      </c>
      <c r="B2804" s="1" t="s">
        <v>2988</v>
      </c>
      <c r="C2804" s="1" t="s">
        <v>28</v>
      </c>
      <c r="D2804" t="s">
        <v>35</v>
      </c>
      <c r="E2804" t="s">
        <v>359</v>
      </c>
      <c r="F2804" t="s">
        <v>22</v>
      </c>
      <c r="G2804" t="s">
        <v>18</v>
      </c>
      <c r="H2804" s="3">
        <v>4</v>
      </c>
      <c r="I2804" s="3">
        <v>8470</v>
      </c>
      <c r="J2804" s="3">
        <v>33880</v>
      </c>
      <c r="K2804" s="3">
        <v>7000</v>
      </c>
      <c r="L2804" s="3">
        <v>28000</v>
      </c>
      <c r="M2804" s="3">
        <v>5880</v>
      </c>
      <c r="N2804" s="4">
        <v>0.17355371900826447</v>
      </c>
    </row>
    <row r="2805" spans="1:14" x14ac:dyDescent="0.3">
      <c r="A2805" s="6">
        <v>45858</v>
      </c>
      <c r="B2805" s="1" t="s">
        <v>2989</v>
      </c>
      <c r="C2805" s="1" t="s">
        <v>27</v>
      </c>
      <c r="D2805" t="s">
        <v>34</v>
      </c>
      <c r="E2805" t="s">
        <v>126</v>
      </c>
      <c r="F2805" t="s">
        <v>24</v>
      </c>
      <c r="G2805" t="s">
        <v>25</v>
      </c>
      <c r="H2805" s="3">
        <v>8</v>
      </c>
      <c r="I2805" s="3">
        <v>3399.9999999999995</v>
      </c>
      <c r="J2805" s="3">
        <v>27199.999999999996</v>
      </c>
      <c r="K2805" s="3">
        <v>2500</v>
      </c>
      <c r="L2805" s="3">
        <v>20000</v>
      </c>
      <c r="M2805" s="3">
        <v>7199.9999999999964</v>
      </c>
      <c r="N2805" s="4">
        <v>0.26470588235294107</v>
      </c>
    </row>
    <row r="2806" spans="1:14" x14ac:dyDescent="0.3">
      <c r="A2806" s="6">
        <v>45858</v>
      </c>
      <c r="B2806" s="1" t="s">
        <v>2990</v>
      </c>
      <c r="C2806" s="1" t="s">
        <v>28</v>
      </c>
      <c r="D2806" t="s">
        <v>33</v>
      </c>
      <c r="E2806" t="s">
        <v>306</v>
      </c>
      <c r="F2806" t="s">
        <v>21</v>
      </c>
      <c r="G2806" t="s">
        <v>20</v>
      </c>
      <c r="H2806" s="3">
        <v>4</v>
      </c>
      <c r="I2806" s="3">
        <v>810</v>
      </c>
      <c r="J2806" s="3">
        <v>3240</v>
      </c>
      <c r="K2806" s="3">
        <v>600</v>
      </c>
      <c r="L2806" s="3">
        <v>2400</v>
      </c>
      <c r="M2806" s="3">
        <v>840</v>
      </c>
      <c r="N2806" s="4">
        <v>0.25925925925925924</v>
      </c>
    </row>
    <row r="2807" spans="1:14" x14ac:dyDescent="0.3">
      <c r="A2807" s="6">
        <v>45858</v>
      </c>
      <c r="B2807" s="1" t="s">
        <v>2991</v>
      </c>
      <c r="C2807" s="1" t="s">
        <v>27</v>
      </c>
      <c r="D2807" t="s">
        <v>32</v>
      </c>
      <c r="E2807" t="s">
        <v>442</v>
      </c>
      <c r="F2807" t="s">
        <v>23</v>
      </c>
      <c r="G2807" t="s">
        <v>25</v>
      </c>
      <c r="H2807" s="3">
        <v>6</v>
      </c>
      <c r="I2807" s="3">
        <v>4320</v>
      </c>
      <c r="J2807" s="3">
        <v>25920</v>
      </c>
      <c r="K2807" s="3">
        <v>3200</v>
      </c>
      <c r="L2807" s="3">
        <v>19200</v>
      </c>
      <c r="M2807" s="3">
        <v>6720</v>
      </c>
      <c r="N2807" s="4">
        <v>0.25925925925925924</v>
      </c>
    </row>
    <row r="2808" spans="1:14" x14ac:dyDescent="0.3">
      <c r="A2808" s="6">
        <v>45858</v>
      </c>
      <c r="B2808" s="1" t="s">
        <v>2992</v>
      </c>
      <c r="C2808" s="1" t="s">
        <v>28</v>
      </c>
      <c r="D2808" t="s">
        <v>35</v>
      </c>
      <c r="E2808" t="s">
        <v>415</v>
      </c>
      <c r="F2808" t="s">
        <v>24</v>
      </c>
      <c r="G2808" t="s">
        <v>25</v>
      </c>
      <c r="H2808" s="3">
        <v>3</v>
      </c>
      <c r="I2808" s="3">
        <v>3300</v>
      </c>
      <c r="J2808" s="3">
        <v>9900</v>
      </c>
      <c r="K2808" s="3">
        <v>2500</v>
      </c>
      <c r="L2808" s="3">
        <v>7500</v>
      </c>
      <c r="M2808" s="3">
        <v>2400</v>
      </c>
      <c r="N2808" s="4">
        <v>0.24242424242424243</v>
      </c>
    </row>
    <row r="2809" spans="1:14" x14ac:dyDescent="0.3">
      <c r="A2809" s="6">
        <v>45858</v>
      </c>
      <c r="B2809" s="1" t="s">
        <v>2993</v>
      </c>
      <c r="C2809" s="1" t="s">
        <v>28</v>
      </c>
      <c r="D2809" t="s">
        <v>32</v>
      </c>
      <c r="E2809" t="s">
        <v>85</v>
      </c>
      <c r="F2809" t="s">
        <v>14</v>
      </c>
      <c r="G2809" t="s">
        <v>15</v>
      </c>
      <c r="H2809" s="3">
        <v>6</v>
      </c>
      <c r="I2809" s="3">
        <v>59850</v>
      </c>
      <c r="J2809" s="3">
        <v>359100</v>
      </c>
      <c r="K2809" s="3">
        <v>45000</v>
      </c>
      <c r="L2809" s="3">
        <v>270000</v>
      </c>
      <c r="M2809" s="3">
        <v>89100</v>
      </c>
      <c r="N2809" s="4">
        <v>0.24812030075187969</v>
      </c>
    </row>
    <row r="2810" spans="1:14" x14ac:dyDescent="0.3">
      <c r="A2810" s="6">
        <v>45858</v>
      </c>
      <c r="B2810" s="1" t="s">
        <v>2994</v>
      </c>
      <c r="C2810" s="1" t="s">
        <v>26</v>
      </c>
      <c r="D2810" t="s">
        <v>30</v>
      </c>
      <c r="E2810" t="s">
        <v>193</v>
      </c>
      <c r="F2810" t="s">
        <v>22</v>
      </c>
      <c r="G2810" t="s">
        <v>18</v>
      </c>
      <c r="H2810" s="3">
        <v>4</v>
      </c>
      <c r="I2810" s="3">
        <v>8960</v>
      </c>
      <c r="J2810" s="3">
        <v>35840</v>
      </c>
      <c r="K2810" s="3">
        <v>7000</v>
      </c>
      <c r="L2810" s="3">
        <v>28000</v>
      </c>
      <c r="M2810" s="3">
        <v>7840</v>
      </c>
      <c r="N2810" s="4">
        <v>0.21875</v>
      </c>
    </row>
    <row r="2811" spans="1:14" x14ac:dyDescent="0.3">
      <c r="A2811" s="6">
        <v>45858</v>
      </c>
      <c r="B2811" s="1" t="s">
        <v>2995</v>
      </c>
      <c r="C2811" s="1" t="s">
        <v>27</v>
      </c>
      <c r="D2811" t="s">
        <v>35</v>
      </c>
      <c r="E2811" t="s">
        <v>255</v>
      </c>
      <c r="F2811" t="s">
        <v>22</v>
      </c>
      <c r="G2811" t="s">
        <v>18</v>
      </c>
      <c r="H2811" s="3">
        <v>10</v>
      </c>
      <c r="I2811" s="3">
        <v>9100</v>
      </c>
      <c r="J2811" s="3">
        <v>91000</v>
      </c>
      <c r="K2811" s="3">
        <v>7000</v>
      </c>
      <c r="L2811" s="3">
        <v>70000</v>
      </c>
      <c r="M2811" s="3">
        <v>21000</v>
      </c>
      <c r="N2811" s="4">
        <v>0.23076923076923078</v>
      </c>
    </row>
    <row r="2812" spans="1:14" x14ac:dyDescent="0.3">
      <c r="A2812" s="6">
        <v>45858</v>
      </c>
      <c r="B2812" s="1" t="s">
        <v>2996</v>
      </c>
      <c r="C2812" s="1" t="s">
        <v>28</v>
      </c>
      <c r="D2812" t="s">
        <v>34</v>
      </c>
      <c r="E2812" t="s">
        <v>59</v>
      </c>
      <c r="F2812" t="s">
        <v>17</v>
      </c>
      <c r="G2812" t="s">
        <v>18</v>
      </c>
      <c r="H2812" s="3">
        <v>2</v>
      </c>
      <c r="I2812" s="3">
        <v>10710</v>
      </c>
      <c r="J2812" s="3">
        <v>21420</v>
      </c>
      <c r="K2812" s="3">
        <v>8500</v>
      </c>
      <c r="L2812" s="3">
        <v>17000</v>
      </c>
      <c r="M2812" s="3">
        <v>4420</v>
      </c>
      <c r="N2812" s="4">
        <v>0.20634920634920634</v>
      </c>
    </row>
    <row r="2813" spans="1:14" x14ac:dyDescent="0.3">
      <c r="A2813" s="6">
        <v>45858</v>
      </c>
      <c r="B2813" s="1" t="s">
        <v>2997</v>
      </c>
      <c r="C2813" s="1" t="s">
        <v>26</v>
      </c>
      <c r="D2813" t="s">
        <v>35</v>
      </c>
      <c r="E2813" t="s">
        <v>45</v>
      </c>
      <c r="F2813" t="s">
        <v>23</v>
      </c>
      <c r="G2813" t="s">
        <v>25</v>
      </c>
      <c r="H2813" s="3">
        <v>6</v>
      </c>
      <c r="I2813" s="3">
        <v>4576</v>
      </c>
      <c r="J2813" s="3">
        <v>27456</v>
      </c>
      <c r="K2813" s="3">
        <v>3200</v>
      </c>
      <c r="L2813" s="3">
        <v>19200</v>
      </c>
      <c r="M2813" s="3">
        <v>8256</v>
      </c>
      <c r="N2813" s="4">
        <v>0.30069930069930068</v>
      </c>
    </row>
    <row r="2814" spans="1:14" x14ac:dyDescent="0.3">
      <c r="A2814" s="6">
        <v>45859</v>
      </c>
      <c r="B2814" s="1" t="s">
        <v>2998</v>
      </c>
      <c r="C2814" s="1" t="s">
        <v>28</v>
      </c>
      <c r="D2814" t="s">
        <v>34</v>
      </c>
      <c r="E2814" t="s">
        <v>935</v>
      </c>
      <c r="F2814" t="s">
        <v>22</v>
      </c>
      <c r="G2814" t="s">
        <v>18</v>
      </c>
      <c r="H2814" s="3">
        <v>5</v>
      </c>
      <c r="I2814" s="3">
        <v>9310</v>
      </c>
      <c r="J2814" s="3">
        <v>46550</v>
      </c>
      <c r="K2814" s="3">
        <v>7000</v>
      </c>
      <c r="L2814" s="3">
        <v>35000</v>
      </c>
      <c r="M2814" s="3">
        <v>11550</v>
      </c>
      <c r="N2814" s="4">
        <v>0.24812030075187969</v>
      </c>
    </row>
    <row r="2815" spans="1:14" x14ac:dyDescent="0.3">
      <c r="A2815" s="6">
        <v>45859</v>
      </c>
      <c r="B2815" s="1" t="s">
        <v>2999</v>
      </c>
      <c r="C2815" s="1" t="s">
        <v>27</v>
      </c>
      <c r="D2815" t="s">
        <v>33</v>
      </c>
      <c r="E2815" t="s">
        <v>67</v>
      </c>
      <c r="F2815" t="s">
        <v>17</v>
      </c>
      <c r="G2815" t="s">
        <v>18</v>
      </c>
      <c r="H2815" s="3">
        <v>7</v>
      </c>
      <c r="I2815" s="3">
        <v>11220</v>
      </c>
      <c r="J2815" s="3">
        <v>78540</v>
      </c>
      <c r="K2815" s="3">
        <v>8500</v>
      </c>
      <c r="L2815" s="3">
        <v>59500</v>
      </c>
      <c r="M2815" s="3">
        <v>19040</v>
      </c>
      <c r="N2815" s="4">
        <v>0.24242424242424243</v>
      </c>
    </row>
    <row r="2816" spans="1:14" x14ac:dyDescent="0.3">
      <c r="A2816" s="6">
        <v>45859</v>
      </c>
      <c r="B2816" s="1" t="s">
        <v>3000</v>
      </c>
      <c r="C2816" s="1" t="s">
        <v>27</v>
      </c>
      <c r="D2816" t="s">
        <v>30</v>
      </c>
      <c r="E2816" t="s">
        <v>122</v>
      </c>
      <c r="F2816" t="s">
        <v>19</v>
      </c>
      <c r="G2816" t="s">
        <v>20</v>
      </c>
      <c r="H2816" s="3">
        <v>10</v>
      </c>
      <c r="I2816" s="3">
        <v>1116</v>
      </c>
      <c r="J2816" s="3">
        <v>11160</v>
      </c>
      <c r="K2816" s="3">
        <v>900</v>
      </c>
      <c r="L2816" s="3">
        <v>9000</v>
      </c>
      <c r="M2816" s="3">
        <v>2160</v>
      </c>
      <c r="N2816" s="4">
        <v>0.19354838709677419</v>
      </c>
    </row>
    <row r="2817" spans="1:14" x14ac:dyDescent="0.3">
      <c r="A2817" s="6">
        <v>45859</v>
      </c>
      <c r="B2817" s="1" t="s">
        <v>3001</v>
      </c>
      <c r="C2817" s="1" t="s">
        <v>27</v>
      </c>
      <c r="D2817" t="s">
        <v>32</v>
      </c>
      <c r="E2817" t="s">
        <v>72</v>
      </c>
      <c r="F2817" t="s">
        <v>19</v>
      </c>
      <c r="G2817" t="s">
        <v>20</v>
      </c>
      <c r="H2817" s="3">
        <v>3</v>
      </c>
      <c r="I2817" s="3">
        <v>1098</v>
      </c>
      <c r="J2817" s="3">
        <v>3294</v>
      </c>
      <c r="K2817" s="3">
        <v>900</v>
      </c>
      <c r="L2817" s="3">
        <v>2700</v>
      </c>
      <c r="M2817" s="3">
        <v>594</v>
      </c>
      <c r="N2817" s="4">
        <v>0.18032786885245902</v>
      </c>
    </row>
    <row r="2818" spans="1:14" x14ac:dyDescent="0.3">
      <c r="A2818" s="6">
        <v>45859</v>
      </c>
      <c r="B2818" s="1" t="s">
        <v>3002</v>
      </c>
      <c r="C2818" s="1" t="s">
        <v>27</v>
      </c>
      <c r="D2818" t="s">
        <v>34</v>
      </c>
      <c r="E2818" t="s">
        <v>114</v>
      </c>
      <c r="F2818" t="s">
        <v>23</v>
      </c>
      <c r="G2818" t="s">
        <v>25</v>
      </c>
      <c r="H2818" s="3">
        <v>7</v>
      </c>
      <c r="I2818" s="3">
        <v>4480</v>
      </c>
      <c r="J2818" s="3">
        <v>31360</v>
      </c>
      <c r="K2818" s="3">
        <v>3200</v>
      </c>
      <c r="L2818" s="3">
        <v>22400</v>
      </c>
      <c r="M2818" s="3">
        <v>8960</v>
      </c>
      <c r="N2818" s="4">
        <v>0.2857142857142857</v>
      </c>
    </row>
    <row r="2819" spans="1:14" x14ac:dyDescent="0.3">
      <c r="A2819" s="6">
        <v>45859</v>
      </c>
      <c r="B2819" s="1" t="s">
        <v>3003</v>
      </c>
      <c r="C2819" s="1" t="s">
        <v>26</v>
      </c>
      <c r="D2819" t="s">
        <v>30</v>
      </c>
      <c r="E2819" t="s">
        <v>175</v>
      </c>
      <c r="F2819" t="s">
        <v>22</v>
      </c>
      <c r="G2819" t="s">
        <v>18</v>
      </c>
      <c r="H2819" s="3">
        <v>9</v>
      </c>
      <c r="I2819" s="3">
        <v>8960</v>
      </c>
      <c r="J2819" s="3">
        <v>80640</v>
      </c>
      <c r="K2819" s="3">
        <v>7000</v>
      </c>
      <c r="L2819" s="3">
        <v>63000</v>
      </c>
      <c r="M2819" s="3">
        <v>17640</v>
      </c>
      <c r="N2819" s="4">
        <v>0.21875</v>
      </c>
    </row>
    <row r="2820" spans="1:14" x14ac:dyDescent="0.3">
      <c r="A2820" s="6">
        <v>45859</v>
      </c>
      <c r="B2820" s="1" t="s">
        <v>3004</v>
      </c>
      <c r="C2820" s="1" t="s">
        <v>26</v>
      </c>
      <c r="D2820" t="s">
        <v>35</v>
      </c>
      <c r="E2820" t="s">
        <v>151</v>
      </c>
      <c r="F2820" t="s">
        <v>22</v>
      </c>
      <c r="G2820" t="s">
        <v>18</v>
      </c>
      <c r="H2820" s="3">
        <v>10</v>
      </c>
      <c r="I2820" s="3">
        <v>10010</v>
      </c>
      <c r="J2820" s="3">
        <v>100100</v>
      </c>
      <c r="K2820" s="3">
        <v>7000</v>
      </c>
      <c r="L2820" s="3">
        <v>70000</v>
      </c>
      <c r="M2820" s="3">
        <v>30100</v>
      </c>
      <c r="N2820" s="4">
        <v>0.30069930069930068</v>
      </c>
    </row>
    <row r="2821" spans="1:14" x14ac:dyDescent="0.3">
      <c r="A2821" s="6">
        <v>45859</v>
      </c>
      <c r="B2821" s="1" t="s">
        <v>3005</v>
      </c>
      <c r="C2821" s="1" t="s">
        <v>28</v>
      </c>
      <c r="D2821" t="s">
        <v>32</v>
      </c>
      <c r="E2821" t="s">
        <v>55</v>
      </c>
      <c r="F2821" t="s">
        <v>24</v>
      </c>
      <c r="G2821" t="s">
        <v>25</v>
      </c>
      <c r="H2821" s="3">
        <v>8</v>
      </c>
      <c r="I2821" s="3">
        <v>3300</v>
      </c>
      <c r="J2821" s="3">
        <v>26400</v>
      </c>
      <c r="K2821" s="3">
        <v>2500</v>
      </c>
      <c r="L2821" s="3">
        <v>20000</v>
      </c>
      <c r="M2821" s="3">
        <v>6400</v>
      </c>
      <c r="N2821" s="4">
        <v>0.24242424242424243</v>
      </c>
    </row>
    <row r="2822" spans="1:14" x14ac:dyDescent="0.3">
      <c r="A2822" s="6">
        <v>45859</v>
      </c>
      <c r="B2822" s="1" t="s">
        <v>3006</v>
      </c>
      <c r="C2822" s="1" t="s">
        <v>26</v>
      </c>
      <c r="D2822" t="s">
        <v>30</v>
      </c>
      <c r="E2822" t="s">
        <v>41</v>
      </c>
      <c r="F2822" t="s">
        <v>19</v>
      </c>
      <c r="G2822" t="s">
        <v>20</v>
      </c>
      <c r="H2822" s="3">
        <v>5</v>
      </c>
      <c r="I2822" s="3">
        <v>1215</v>
      </c>
      <c r="J2822" s="3">
        <v>6075</v>
      </c>
      <c r="K2822" s="3">
        <v>900</v>
      </c>
      <c r="L2822" s="3">
        <v>4500</v>
      </c>
      <c r="M2822" s="3">
        <v>1575</v>
      </c>
      <c r="N2822" s="4">
        <v>0.25925925925925924</v>
      </c>
    </row>
    <row r="2823" spans="1:14" x14ac:dyDescent="0.3">
      <c r="A2823" s="6">
        <v>45859</v>
      </c>
      <c r="B2823" s="1" t="s">
        <v>3007</v>
      </c>
      <c r="C2823" s="1" t="s">
        <v>27</v>
      </c>
      <c r="D2823" t="s">
        <v>32</v>
      </c>
      <c r="E2823" t="s">
        <v>114</v>
      </c>
      <c r="F2823" t="s">
        <v>23</v>
      </c>
      <c r="G2823" t="s">
        <v>25</v>
      </c>
      <c r="H2823" s="3">
        <v>9</v>
      </c>
      <c r="I2823" s="3">
        <v>4576</v>
      </c>
      <c r="J2823" s="3">
        <v>41184</v>
      </c>
      <c r="K2823" s="3">
        <v>3200</v>
      </c>
      <c r="L2823" s="3">
        <v>28800</v>
      </c>
      <c r="M2823" s="3">
        <v>12384</v>
      </c>
      <c r="N2823" s="4">
        <v>0.30069930069930068</v>
      </c>
    </row>
    <row r="2824" spans="1:14" x14ac:dyDescent="0.3">
      <c r="A2824" s="6">
        <v>45859</v>
      </c>
      <c r="B2824" s="1" t="s">
        <v>3008</v>
      </c>
      <c r="C2824" s="1" t="s">
        <v>28</v>
      </c>
      <c r="D2824" t="s">
        <v>33</v>
      </c>
      <c r="E2824" t="s">
        <v>72</v>
      </c>
      <c r="F2824" t="s">
        <v>16</v>
      </c>
      <c r="G2824" t="s">
        <v>15</v>
      </c>
      <c r="H2824" s="3">
        <v>8</v>
      </c>
      <c r="I2824" s="3">
        <v>52439.999999999993</v>
      </c>
      <c r="J2824" s="3">
        <v>419519.99999999994</v>
      </c>
      <c r="K2824" s="3">
        <v>38000</v>
      </c>
      <c r="L2824" s="3">
        <v>304000</v>
      </c>
      <c r="M2824" s="3">
        <v>115519.99999999994</v>
      </c>
      <c r="N2824" s="4">
        <v>0.2753623188405796</v>
      </c>
    </row>
    <row r="2825" spans="1:14" x14ac:dyDescent="0.3">
      <c r="A2825" s="6">
        <v>45859</v>
      </c>
      <c r="B2825" s="1" t="s">
        <v>3009</v>
      </c>
      <c r="C2825" s="1" t="s">
        <v>27</v>
      </c>
      <c r="D2825" t="s">
        <v>32</v>
      </c>
      <c r="E2825" t="s">
        <v>159</v>
      </c>
      <c r="F2825" t="s">
        <v>19</v>
      </c>
      <c r="G2825" t="s">
        <v>20</v>
      </c>
      <c r="H2825" s="3">
        <v>2</v>
      </c>
      <c r="I2825" s="3">
        <v>1107</v>
      </c>
      <c r="J2825" s="3">
        <v>2214</v>
      </c>
      <c r="K2825" s="3">
        <v>900</v>
      </c>
      <c r="L2825" s="3">
        <v>1800</v>
      </c>
      <c r="M2825" s="3">
        <v>414</v>
      </c>
      <c r="N2825" s="4">
        <v>0.18699186991869918</v>
      </c>
    </row>
    <row r="2826" spans="1:14" x14ac:dyDescent="0.3">
      <c r="A2826" s="6">
        <v>45859</v>
      </c>
      <c r="B2826" s="1" t="s">
        <v>3010</v>
      </c>
      <c r="C2826" s="1" t="s">
        <v>26</v>
      </c>
      <c r="D2826" t="s">
        <v>33</v>
      </c>
      <c r="E2826" t="s">
        <v>310</v>
      </c>
      <c r="F2826" t="s">
        <v>16</v>
      </c>
      <c r="G2826" t="s">
        <v>15</v>
      </c>
      <c r="H2826" s="3">
        <v>1</v>
      </c>
      <c r="I2826" s="3">
        <v>45600</v>
      </c>
      <c r="J2826" s="3">
        <v>45600</v>
      </c>
      <c r="K2826" s="3">
        <v>38000</v>
      </c>
      <c r="L2826" s="3">
        <v>38000</v>
      </c>
      <c r="M2826" s="3">
        <v>7600</v>
      </c>
      <c r="N2826" s="4">
        <v>0.16666666666666666</v>
      </c>
    </row>
    <row r="2827" spans="1:14" x14ac:dyDescent="0.3">
      <c r="A2827" s="6">
        <v>45859</v>
      </c>
      <c r="B2827" s="1" t="s">
        <v>3011</v>
      </c>
      <c r="C2827" s="1" t="s">
        <v>29</v>
      </c>
      <c r="D2827" t="s">
        <v>34</v>
      </c>
      <c r="E2827" t="s">
        <v>175</v>
      </c>
      <c r="F2827" t="s">
        <v>16</v>
      </c>
      <c r="G2827" t="s">
        <v>15</v>
      </c>
      <c r="H2827" s="3">
        <v>1</v>
      </c>
      <c r="I2827" s="3">
        <v>46360</v>
      </c>
      <c r="J2827" s="3">
        <v>46360</v>
      </c>
      <c r="K2827" s="3">
        <v>38000</v>
      </c>
      <c r="L2827" s="3">
        <v>38000</v>
      </c>
      <c r="M2827" s="3">
        <v>8360</v>
      </c>
      <c r="N2827" s="4">
        <v>0.18032786885245902</v>
      </c>
    </row>
    <row r="2828" spans="1:14" x14ac:dyDescent="0.3">
      <c r="A2828" s="6">
        <v>45860</v>
      </c>
      <c r="B2828" s="1" t="s">
        <v>3012</v>
      </c>
      <c r="C2828" s="1" t="s">
        <v>27</v>
      </c>
      <c r="D2828" t="s">
        <v>31</v>
      </c>
      <c r="E2828" t="s">
        <v>137</v>
      </c>
      <c r="F2828" t="s">
        <v>22</v>
      </c>
      <c r="G2828" t="s">
        <v>18</v>
      </c>
      <c r="H2828" s="3">
        <v>7</v>
      </c>
      <c r="I2828" s="3">
        <v>9520</v>
      </c>
      <c r="J2828" s="3">
        <v>66640</v>
      </c>
      <c r="K2828" s="3">
        <v>7000</v>
      </c>
      <c r="L2828" s="3">
        <v>49000</v>
      </c>
      <c r="M2828" s="3">
        <v>17640</v>
      </c>
      <c r="N2828" s="4">
        <v>0.26470588235294118</v>
      </c>
    </row>
    <row r="2829" spans="1:14" x14ac:dyDescent="0.3">
      <c r="A2829" s="6">
        <v>45860</v>
      </c>
      <c r="B2829" s="1" t="s">
        <v>3013</v>
      </c>
      <c r="C2829" s="1" t="s">
        <v>27</v>
      </c>
      <c r="D2829" t="s">
        <v>31</v>
      </c>
      <c r="E2829" t="s">
        <v>163</v>
      </c>
      <c r="F2829" t="s">
        <v>21</v>
      </c>
      <c r="G2829" t="s">
        <v>20</v>
      </c>
      <c r="H2829" s="3">
        <v>6</v>
      </c>
      <c r="I2829" s="3">
        <v>804</v>
      </c>
      <c r="J2829" s="3">
        <v>4824</v>
      </c>
      <c r="K2829" s="3">
        <v>600</v>
      </c>
      <c r="L2829" s="3">
        <v>3600</v>
      </c>
      <c r="M2829" s="3">
        <v>1224</v>
      </c>
      <c r="N2829" s="4">
        <v>0.2537313432835821</v>
      </c>
    </row>
    <row r="2830" spans="1:14" x14ac:dyDescent="0.3">
      <c r="A2830" s="6">
        <v>45860</v>
      </c>
      <c r="B2830" s="1" t="s">
        <v>3014</v>
      </c>
      <c r="C2830" s="1" t="s">
        <v>29</v>
      </c>
      <c r="D2830" t="s">
        <v>34</v>
      </c>
      <c r="E2830" t="s">
        <v>45</v>
      </c>
      <c r="F2830" t="s">
        <v>23</v>
      </c>
      <c r="G2830" t="s">
        <v>25</v>
      </c>
      <c r="H2830" s="3">
        <v>8</v>
      </c>
      <c r="I2830" s="3">
        <v>4192</v>
      </c>
      <c r="J2830" s="3">
        <v>33536</v>
      </c>
      <c r="K2830" s="3">
        <v>3200</v>
      </c>
      <c r="L2830" s="3">
        <v>25600</v>
      </c>
      <c r="M2830" s="3">
        <v>7936</v>
      </c>
      <c r="N2830" s="4">
        <v>0.23664122137404581</v>
      </c>
    </row>
    <row r="2831" spans="1:14" x14ac:dyDescent="0.3">
      <c r="A2831" s="6">
        <v>45860</v>
      </c>
      <c r="B2831" s="1" t="s">
        <v>3015</v>
      </c>
      <c r="C2831" s="1" t="s">
        <v>29</v>
      </c>
      <c r="D2831" t="s">
        <v>32</v>
      </c>
      <c r="E2831" t="s">
        <v>565</v>
      </c>
      <c r="F2831" t="s">
        <v>23</v>
      </c>
      <c r="G2831" t="s">
        <v>25</v>
      </c>
      <c r="H2831" s="3">
        <v>5</v>
      </c>
      <c r="I2831" s="3">
        <v>4384</v>
      </c>
      <c r="J2831" s="3">
        <v>21920</v>
      </c>
      <c r="K2831" s="3">
        <v>3200</v>
      </c>
      <c r="L2831" s="3">
        <v>16000</v>
      </c>
      <c r="M2831" s="3">
        <v>5920</v>
      </c>
      <c r="N2831" s="4">
        <v>0.27007299270072993</v>
      </c>
    </row>
    <row r="2832" spans="1:14" x14ac:dyDescent="0.3">
      <c r="A2832" s="6">
        <v>45860</v>
      </c>
      <c r="B2832" s="1" t="s">
        <v>3016</v>
      </c>
      <c r="C2832" s="1" t="s">
        <v>27</v>
      </c>
      <c r="D2832" t="s">
        <v>33</v>
      </c>
      <c r="E2832" t="s">
        <v>45</v>
      </c>
      <c r="F2832" t="s">
        <v>21</v>
      </c>
      <c r="G2832" t="s">
        <v>20</v>
      </c>
      <c r="H2832" s="3">
        <v>8</v>
      </c>
      <c r="I2832" s="3">
        <v>738</v>
      </c>
      <c r="J2832" s="3">
        <v>5904</v>
      </c>
      <c r="K2832" s="3">
        <v>600</v>
      </c>
      <c r="L2832" s="3">
        <v>4800</v>
      </c>
      <c r="M2832" s="3">
        <v>1104</v>
      </c>
      <c r="N2832" s="4">
        <v>0.18699186991869918</v>
      </c>
    </row>
    <row r="2833" spans="1:14" x14ac:dyDescent="0.3">
      <c r="A2833" s="6">
        <v>45860</v>
      </c>
      <c r="B2833" s="1" t="s">
        <v>3017</v>
      </c>
      <c r="C2833" s="1" t="s">
        <v>29</v>
      </c>
      <c r="D2833" t="s">
        <v>33</v>
      </c>
      <c r="E2833" t="s">
        <v>169</v>
      </c>
      <c r="F2833" t="s">
        <v>23</v>
      </c>
      <c r="G2833" t="s">
        <v>25</v>
      </c>
      <c r="H2833" s="3">
        <v>3</v>
      </c>
      <c r="I2833" s="3">
        <v>4288</v>
      </c>
      <c r="J2833" s="3">
        <v>12864</v>
      </c>
      <c r="K2833" s="3">
        <v>3200</v>
      </c>
      <c r="L2833" s="3">
        <v>9600</v>
      </c>
      <c r="M2833" s="3">
        <v>3264</v>
      </c>
      <c r="N2833" s="4">
        <v>0.2537313432835821</v>
      </c>
    </row>
    <row r="2834" spans="1:14" x14ac:dyDescent="0.3">
      <c r="A2834" s="6">
        <v>45860</v>
      </c>
      <c r="B2834" s="1" t="s">
        <v>3018</v>
      </c>
      <c r="C2834" s="1" t="s">
        <v>28</v>
      </c>
      <c r="D2834" t="s">
        <v>31</v>
      </c>
      <c r="E2834" t="s">
        <v>521</v>
      </c>
      <c r="F2834" t="s">
        <v>23</v>
      </c>
      <c r="G2834" t="s">
        <v>25</v>
      </c>
      <c r="H2834" s="3">
        <v>3</v>
      </c>
      <c r="I2834" s="3">
        <v>4256</v>
      </c>
      <c r="J2834" s="3">
        <v>12768</v>
      </c>
      <c r="K2834" s="3">
        <v>3200</v>
      </c>
      <c r="L2834" s="3">
        <v>9600</v>
      </c>
      <c r="M2834" s="3">
        <v>3168</v>
      </c>
      <c r="N2834" s="4">
        <v>0.24812030075187969</v>
      </c>
    </row>
    <row r="2835" spans="1:14" x14ac:dyDescent="0.3">
      <c r="A2835" s="6">
        <v>45860</v>
      </c>
      <c r="B2835" s="1" t="s">
        <v>3019</v>
      </c>
      <c r="C2835" s="1" t="s">
        <v>27</v>
      </c>
      <c r="D2835" t="s">
        <v>35</v>
      </c>
      <c r="E2835" t="s">
        <v>57</v>
      </c>
      <c r="F2835" t="s">
        <v>22</v>
      </c>
      <c r="G2835" t="s">
        <v>18</v>
      </c>
      <c r="H2835" s="3">
        <v>1</v>
      </c>
      <c r="I2835" s="3">
        <v>9170</v>
      </c>
      <c r="J2835" s="3">
        <v>9170</v>
      </c>
      <c r="K2835" s="3">
        <v>7000</v>
      </c>
      <c r="L2835" s="3">
        <v>7000</v>
      </c>
      <c r="M2835" s="3">
        <v>2170</v>
      </c>
      <c r="N2835" s="4">
        <v>0.23664122137404581</v>
      </c>
    </row>
    <row r="2836" spans="1:14" x14ac:dyDescent="0.3">
      <c r="A2836" s="6">
        <v>45860</v>
      </c>
      <c r="B2836" s="1" t="s">
        <v>3020</v>
      </c>
      <c r="C2836" s="1" t="s">
        <v>27</v>
      </c>
      <c r="D2836" t="s">
        <v>30</v>
      </c>
      <c r="E2836" t="s">
        <v>538</v>
      </c>
      <c r="F2836" t="s">
        <v>24</v>
      </c>
      <c r="G2836" t="s">
        <v>25</v>
      </c>
      <c r="H2836" s="3">
        <v>5</v>
      </c>
      <c r="I2836" s="3">
        <v>3525</v>
      </c>
      <c r="J2836" s="3">
        <v>17625</v>
      </c>
      <c r="K2836" s="3">
        <v>2500</v>
      </c>
      <c r="L2836" s="3">
        <v>12500</v>
      </c>
      <c r="M2836" s="3">
        <v>5125</v>
      </c>
      <c r="N2836" s="4">
        <v>0.29078014184397161</v>
      </c>
    </row>
    <row r="2837" spans="1:14" x14ac:dyDescent="0.3">
      <c r="A2837" s="6">
        <v>45860</v>
      </c>
      <c r="B2837" s="1" t="s">
        <v>3021</v>
      </c>
      <c r="C2837" s="1" t="s">
        <v>26</v>
      </c>
      <c r="D2837" t="s">
        <v>34</v>
      </c>
      <c r="E2837" t="s">
        <v>76</v>
      </c>
      <c r="F2837" t="s">
        <v>16</v>
      </c>
      <c r="G2837" t="s">
        <v>15</v>
      </c>
      <c r="H2837" s="3">
        <v>5</v>
      </c>
      <c r="I2837" s="3">
        <v>49400</v>
      </c>
      <c r="J2837" s="3">
        <v>247000</v>
      </c>
      <c r="K2837" s="3">
        <v>38000</v>
      </c>
      <c r="L2837" s="3">
        <v>190000</v>
      </c>
      <c r="M2837" s="3">
        <v>57000</v>
      </c>
      <c r="N2837" s="4">
        <v>0.23076923076923078</v>
      </c>
    </row>
    <row r="2838" spans="1:14" x14ac:dyDescent="0.3">
      <c r="A2838" s="6">
        <v>45860</v>
      </c>
      <c r="B2838" s="1" t="s">
        <v>3022</v>
      </c>
      <c r="C2838" s="1" t="s">
        <v>27</v>
      </c>
      <c r="D2838" t="s">
        <v>30</v>
      </c>
      <c r="E2838" t="s">
        <v>331</v>
      </c>
      <c r="F2838" t="s">
        <v>16</v>
      </c>
      <c r="G2838" t="s">
        <v>15</v>
      </c>
      <c r="H2838" s="3">
        <v>6</v>
      </c>
      <c r="I2838" s="3">
        <v>53960</v>
      </c>
      <c r="J2838" s="3">
        <v>323760</v>
      </c>
      <c r="K2838" s="3">
        <v>38000</v>
      </c>
      <c r="L2838" s="3">
        <v>228000</v>
      </c>
      <c r="M2838" s="3">
        <v>95760</v>
      </c>
      <c r="N2838" s="4">
        <v>0.29577464788732394</v>
      </c>
    </row>
    <row r="2839" spans="1:14" x14ac:dyDescent="0.3">
      <c r="A2839" s="6">
        <v>45860</v>
      </c>
      <c r="B2839" s="1" t="s">
        <v>3023</v>
      </c>
      <c r="C2839" s="1" t="s">
        <v>29</v>
      </c>
      <c r="D2839" t="s">
        <v>32</v>
      </c>
      <c r="E2839" t="s">
        <v>189</v>
      </c>
      <c r="F2839" t="s">
        <v>21</v>
      </c>
      <c r="G2839" t="s">
        <v>20</v>
      </c>
      <c r="H2839" s="3">
        <v>2</v>
      </c>
      <c r="I2839" s="3">
        <v>852</v>
      </c>
      <c r="J2839" s="3">
        <v>1704</v>
      </c>
      <c r="K2839" s="3">
        <v>600</v>
      </c>
      <c r="L2839" s="3">
        <v>1200</v>
      </c>
      <c r="M2839" s="3">
        <v>504</v>
      </c>
      <c r="N2839" s="4">
        <v>0.29577464788732394</v>
      </c>
    </row>
    <row r="2840" spans="1:14" x14ac:dyDescent="0.3">
      <c r="A2840" s="6">
        <v>45860</v>
      </c>
      <c r="B2840" s="1" t="s">
        <v>3024</v>
      </c>
      <c r="C2840" s="1" t="s">
        <v>27</v>
      </c>
      <c r="D2840" t="s">
        <v>30</v>
      </c>
      <c r="E2840" t="s">
        <v>263</v>
      </c>
      <c r="F2840" t="s">
        <v>16</v>
      </c>
      <c r="G2840" t="s">
        <v>15</v>
      </c>
      <c r="H2840" s="3">
        <v>5</v>
      </c>
      <c r="I2840" s="3">
        <v>50920</v>
      </c>
      <c r="J2840" s="3">
        <v>254600</v>
      </c>
      <c r="K2840" s="3">
        <v>38000</v>
      </c>
      <c r="L2840" s="3">
        <v>190000</v>
      </c>
      <c r="M2840" s="3">
        <v>64600</v>
      </c>
      <c r="N2840" s="4">
        <v>0.2537313432835821</v>
      </c>
    </row>
    <row r="2841" spans="1:14" x14ac:dyDescent="0.3">
      <c r="A2841" s="6">
        <v>45860</v>
      </c>
      <c r="B2841" s="1" t="s">
        <v>3025</v>
      </c>
      <c r="C2841" s="1" t="s">
        <v>29</v>
      </c>
      <c r="D2841" t="s">
        <v>34</v>
      </c>
      <c r="E2841" t="s">
        <v>508</v>
      </c>
      <c r="F2841" t="s">
        <v>23</v>
      </c>
      <c r="G2841" t="s">
        <v>25</v>
      </c>
      <c r="H2841" s="3">
        <v>9</v>
      </c>
      <c r="I2841" s="3">
        <v>4480</v>
      </c>
      <c r="J2841" s="3">
        <v>40320</v>
      </c>
      <c r="K2841" s="3">
        <v>3200</v>
      </c>
      <c r="L2841" s="3">
        <v>28800</v>
      </c>
      <c r="M2841" s="3">
        <v>11520</v>
      </c>
      <c r="N2841" s="4">
        <v>0.2857142857142857</v>
      </c>
    </row>
    <row r="2842" spans="1:14" x14ac:dyDescent="0.3">
      <c r="A2842" s="6">
        <v>45861</v>
      </c>
      <c r="B2842" s="1" t="s">
        <v>3026</v>
      </c>
      <c r="C2842" s="1" t="s">
        <v>28</v>
      </c>
      <c r="D2842" t="s">
        <v>32</v>
      </c>
      <c r="E2842" t="s">
        <v>39</v>
      </c>
      <c r="F2842" t="s">
        <v>23</v>
      </c>
      <c r="G2842" t="s">
        <v>25</v>
      </c>
      <c r="H2842" s="3">
        <v>5</v>
      </c>
      <c r="I2842" s="3">
        <v>4224</v>
      </c>
      <c r="J2842" s="3">
        <v>21120</v>
      </c>
      <c r="K2842" s="3">
        <v>3200</v>
      </c>
      <c r="L2842" s="3">
        <v>16000</v>
      </c>
      <c r="M2842" s="3">
        <v>5120</v>
      </c>
      <c r="N2842" s="4">
        <v>0.24242424242424243</v>
      </c>
    </row>
    <row r="2843" spans="1:14" x14ac:dyDescent="0.3">
      <c r="A2843" s="6">
        <v>45861</v>
      </c>
      <c r="B2843" s="1" t="s">
        <v>3027</v>
      </c>
      <c r="C2843" s="1" t="s">
        <v>27</v>
      </c>
      <c r="D2843" t="s">
        <v>31</v>
      </c>
      <c r="E2843" t="s">
        <v>126</v>
      </c>
      <c r="F2843" t="s">
        <v>16</v>
      </c>
      <c r="G2843" t="s">
        <v>15</v>
      </c>
      <c r="H2843" s="3">
        <v>10</v>
      </c>
      <c r="I2843" s="3">
        <v>52820.000000000007</v>
      </c>
      <c r="J2843" s="3">
        <v>528200.00000000012</v>
      </c>
      <c r="K2843" s="3">
        <v>38000</v>
      </c>
      <c r="L2843" s="3">
        <v>380000</v>
      </c>
      <c r="M2843" s="3">
        <v>148200.00000000012</v>
      </c>
      <c r="N2843" s="4">
        <v>0.28057553956834547</v>
      </c>
    </row>
    <row r="2844" spans="1:14" x14ac:dyDescent="0.3">
      <c r="A2844" s="6">
        <v>45861</v>
      </c>
      <c r="B2844" s="1" t="s">
        <v>3028</v>
      </c>
      <c r="C2844" s="1" t="s">
        <v>29</v>
      </c>
      <c r="D2844" t="s">
        <v>34</v>
      </c>
      <c r="E2844" t="s">
        <v>74</v>
      </c>
      <c r="F2844" t="s">
        <v>21</v>
      </c>
      <c r="G2844" t="s">
        <v>20</v>
      </c>
      <c r="H2844" s="3">
        <v>9</v>
      </c>
      <c r="I2844" s="3">
        <v>827.99999999999989</v>
      </c>
      <c r="J2844" s="3">
        <v>7451.9999999999991</v>
      </c>
      <c r="K2844" s="3">
        <v>600</v>
      </c>
      <c r="L2844" s="3">
        <v>5400</v>
      </c>
      <c r="M2844" s="3">
        <v>2051.9999999999991</v>
      </c>
      <c r="N2844" s="4">
        <v>0.2753623188405796</v>
      </c>
    </row>
    <row r="2845" spans="1:14" x14ac:dyDescent="0.3">
      <c r="A2845" s="6">
        <v>45861</v>
      </c>
      <c r="B2845" s="1" t="s">
        <v>3029</v>
      </c>
      <c r="C2845" s="1" t="s">
        <v>28</v>
      </c>
      <c r="D2845" t="s">
        <v>34</v>
      </c>
      <c r="E2845" t="s">
        <v>122</v>
      </c>
      <c r="F2845" t="s">
        <v>23</v>
      </c>
      <c r="G2845" t="s">
        <v>25</v>
      </c>
      <c r="H2845" s="3">
        <v>3</v>
      </c>
      <c r="I2845" s="3">
        <v>4192</v>
      </c>
      <c r="J2845" s="3">
        <v>12576</v>
      </c>
      <c r="K2845" s="3">
        <v>3200</v>
      </c>
      <c r="L2845" s="3">
        <v>9600</v>
      </c>
      <c r="M2845" s="3">
        <v>2976</v>
      </c>
      <c r="N2845" s="4">
        <v>0.23664122137404581</v>
      </c>
    </row>
    <row r="2846" spans="1:14" x14ac:dyDescent="0.3">
      <c r="A2846" s="6">
        <v>45861</v>
      </c>
      <c r="B2846" s="1" t="s">
        <v>3030</v>
      </c>
      <c r="C2846" s="1" t="s">
        <v>26</v>
      </c>
      <c r="D2846" t="s">
        <v>31</v>
      </c>
      <c r="E2846" t="s">
        <v>159</v>
      </c>
      <c r="F2846" t="s">
        <v>16</v>
      </c>
      <c r="G2846" t="s">
        <v>15</v>
      </c>
      <c r="H2846" s="3">
        <v>3</v>
      </c>
      <c r="I2846" s="3">
        <v>52820.000000000007</v>
      </c>
      <c r="J2846" s="3">
        <v>158460.00000000003</v>
      </c>
      <c r="K2846" s="3">
        <v>38000</v>
      </c>
      <c r="L2846" s="3">
        <v>114000</v>
      </c>
      <c r="M2846" s="3">
        <v>44460.000000000029</v>
      </c>
      <c r="N2846" s="4">
        <v>0.28057553956834547</v>
      </c>
    </row>
    <row r="2847" spans="1:14" x14ac:dyDescent="0.3">
      <c r="A2847" s="6">
        <v>45861</v>
      </c>
      <c r="B2847" s="1" t="s">
        <v>3031</v>
      </c>
      <c r="C2847" s="1" t="s">
        <v>29</v>
      </c>
      <c r="D2847" t="s">
        <v>30</v>
      </c>
      <c r="E2847" t="s">
        <v>218</v>
      </c>
      <c r="F2847" t="s">
        <v>17</v>
      </c>
      <c r="G2847" t="s">
        <v>18</v>
      </c>
      <c r="H2847" s="3">
        <v>10</v>
      </c>
      <c r="I2847" s="3">
        <v>10540</v>
      </c>
      <c r="J2847" s="3">
        <v>105400</v>
      </c>
      <c r="K2847" s="3">
        <v>8500</v>
      </c>
      <c r="L2847" s="3">
        <v>85000</v>
      </c>
      <c r="M2847" s="3">
        <v>20400</v>
      </c>
      <c r="N2847" s="4">
        <v>0.19354838709677419</v>
      </c>
    </row>
    <row r="2848" spans="1:14" x14ac:dyDescent="0.3">
      <c r="A2848" s="6">
        <v>45861</v>
      </c>
      <c r="B2848" s="1" t="s">
        <v>3032</v>
      </c>
      <c r="C2848" s="1" t="s">
        <v>29</v>
      </c>
      <c r="D2848" t="s">
        <v>30</v>
      </c>
      <c r="E2848" t="s">
        <v>280</v>
      </c>
      <c r="F2848" t="s">
        <v>24</v>
      </c>
      <c r="G2848" t="s">
        <v>25</v>
      </c>
      <c r="H2848" s="3">
        <v>6</v>
      </c>
      <c r="I2848" s="3">
        <v>3175</v>
      </c>
      <c r="J2848" s="3">
        <v>19050</v>
      </c>
      <c r="K2848" s="3">
        <v>2500</v>
      </c>
      <c r="L2848" s="3">
        <v>15000</v>
      </c>
      <c r="M2848" s="3">
        <v>4050</v>
      </c>
      <c r="N2848" s="4">
        <v>0.2125984251968504</v>
      </c>
    </row>
    <row r="2849" spans="1:14" x14ac:dyDescent="0.3">
      <c r="A2849" s="6">
        <v>45861</v>
      </c>
      <c r="B2849" s="1" t="s">
        <v>3033</v>
      </c>
      <c r="C2849" s="1" t="s">
        <v>26</v>
      </c>
      <c r="D2849" t="s">
        <v>31</v>
      </c>
      <c r="E2849" t="s">
        <v>112</v>
      </c>
      <c r="F2849" t="s">
        <v>21</v>
      </c>
      <c r="G2849" t="s">
        <v>20</v>
      </c>
      <c r="H2849" s="3">
        <v>9</v>
      </c>
      <c r="I2849" s="3">
        <v>732</v>
      </c>
      <c r="J2849" s="3">
        <v>6588</v>
      </c>
      <c r="K2849" s="3">
        <v>600</v>
      </c>
      <c r="L2849" s="3">
        <v>5400</v>
      </c>
      <c r="M2849" s="3">
        <v>1188</v>
      </c>
      <c r="N2849" s="4">
        <v>0.18032786885245902</v>
      </c>
    </row>
    <row r="2850" spans="1:14" x14ac:dyDescent="0.3">
      <c r="A2850" s="6">
        <v>45861</v>
      </c>
      <c r="B2850" s="1" t="s">
        <v>3034</v>
      </c>
      <c r="C2850" s="1" t="s">
        <v>29</v>
      </c>
      <c r="D2850" t="s">
        <v>34</v>
      </c>
      <c r="E2850" t="s">
        <v>222</v>
      </c>
      <c r="F2850" t="s">
        <v>17</v>
      </c>
      <c r="G2850" t="s">
        <v>18</v>
      </c>
      <c r="H2850" s="3">
        <v>4</v>
      </c>
      <c r="I2850" s="3">
        <v>12240</v>
      </c>
      <c r="J2850" s="3">
        <v>48960</v>
      </c>
      <c r="K2850" s="3">
        <v>8500</v>
      </c>
      <c r="L2850" s="3">
        <v>34000</v>
      </c>
      <c r="M2850" s="3">
        <v>14960</v>
      </c>
      <c r="N2850" s="4">
        <v>0.30555555555555558</v>
      </c>
    </row>
    <row r="2851" spans="1:14" x14ac:dyDescent="0.3">
      <c r="A2851" s="6">
        <v>45861</v>
      </c>
      <c r="B2851" s="1" t="s">
        <v>3035</v>
      </c>
      <c r="C2851" s="1" t="s">
        <v>27</v>
      </c>
      <c r="D2851" t="s">
        <v>32</v>
      </c>
      <c r="E2851" t="s">
        <v>359</v>
      </c>
      <c r="F2851" t="s">
        <v>14</v>
      </c>
      <c r="G2851" t="s">
        <v>15</v>
      </c>
      <c r="H2851" s="3">
        <v>10</v>
      </c>
      <c r="I2851" s="3">
        <v>59850</v>
      </c>
      <c r="J2851" s="3">
        <v>598500</v>
      </c>
      <c r="K2851" s="3">
        <v>45000</v>
      </c>
      <c r="L2851" s="3">
        <v>450000</v>
      </c>
      <c r="M2851" s="3">
        <v>148500</v>
      </c>
      <c r="N2851" s="4">
        <v>0.24812030075187969</v>
      </c>
    </row>
    <row r="2852" spans="1:14" x14ac:dyDescent="0.3">
      <c r="A2852" s="6">
        <v>45861</v>
      </c>
      <c r="B2852" s="1" t="s">
        <v>3036</v>
      </c>
      <c r="C2852" s="1" t="s">
        <v>26</v>
      </c>
      <c r="D2852" t="s">
        <v>30</v>
      </c>
      <c r="E2852" t="s">
        <v>565</v>
      </c>
      <c r="F2852" t="s">
        <v>22</v>
      </c>
      <c r="G2852" t="s">
        <v>18</v>
      </c>
      <c r="H2852" s="3">
        <v>7</v>
      </c>
      <c r="I2852" s="3">
        <v>9170</v>
      </c>
      <c r="J2852" s="3">
        <v>64190</v>
      </c>
      <c r="K2852" s="3">
        <v>7000</v>
      </c>
      <c r="L2852" s="3">
        <v>49000</v>
      </c>
      <c r="M2852" s="3">
        <v>15190</v>
      </c>
      <c r="N2852" s="4">
        <v>0.23664122137404581</v>
      </c>
    </row>
    <row r="2853" spans="1:14" x14ac:dyDescent="0.3">
      <c r="A2853" s="6">
        <v>45861</v>
      </c>
      <c r="B2853" s="1" t="s">
        <v>3037</v>
      </c>
      <c r="C2853" s="1" t="s">
        <v>29</v>
      </c>
      <c r="D2853" t="s">
        <v>35</v>
      </c>
      <c r="E2853" t="s">
        <v>204</v>
      </c>
      <c r="F2853" t="s">
        <v>24</v>
      </c>
      <c r="G2853" t="s">
        <v>25</v>
      </c>
      <c r="H2853" s="3">
        <v>10</v>
      </c>
      <c r="I2853" s="3">
        <v>3375</v>
      </c>
      <c r="J2853" s="3">
        <v>33750</v>
      </c>
      <c r="K2853" s="3">
        <v>2500</v>
      </c>
      <c r="L2853" s="3">
        <v>25000</v>
      </c>
      <c r="M2853" s="3">
        <v>8750</v>
      </c>
      <c r="N2853" s="4">
        <v>0.25925925925925924</v>
      </c>
    </row>
    <row r="2854" spans="1:14" x14ac:dyDescent="0.3">
      <c r="A2854" s="6">
        <v>45861</v>
      </c>
      <c r="B2854" s="1" t="s">
        <v>3038</v>
      </c>
      <c r="C2854" s="1" t="s">
        <v>28</v>
      </c>
      <c r="D2854" t="s">
        <v>34</v>
      </c>
      <c r="E2854" t="s">
        <v>100</v>
      </c>
      <c r="F2854" t="s">
        <v>24</v>
      </c>
      <c r="G2854" t="s">
        <v>25</v>
      </c>
      <c r="H2854" s="3">
        <v>2</v>
      </c>
      <c r="I2854" s="3">
        <v>3200</v>
      </c>
      <c r="J2854" s="3">
        <v>6400</v>
      </c>
      <c r="K2854" s="3">
        <v>2500</v>
      </c>
      <c r="L2854" s="3">
        <v>5000</v>
      </c>
      <c r="M2854" s="3">
        <v>1400</v>
      </c>
      <c r="N2854" s="4">
        <v>0.21875</v>
      </c>
    </row>
    <row r="2855" spans="1:14" x14ac:dyDescent="0.3">
      <c r="A2855" s="6">
        <v>45861</v>
      </c>
      <c r="B2855" s="1" t="s">
        <v>3039</v>
      </c>
      <c r="C2855" s="1" t="s">
        <v>26</v>
      </c>
      <c r="D2855" t="s">
        <v>31</v>
      </c>
      <c r="E2855" t="s">
        <v>369</v>
      </c>
      <c r="F2855" t="s">
        <v>17</v>
      </c>
      <c r="G2855" t="s">
        <v>18</v>
      </c>
      <c r="H2855" s="3">
        <v>8</v>
      </c>
      <c r="I2855" s="3">
        <v>11390</v>
      </c>
      <c r="J2855" s="3">
        <v>91120</v>
      </c>
      <c r="K2855" s="3">
        <v>8500</v>
      </c>
      <c r="L2855" s="3">
        <v>68000</v>
      </c>
      <c r="M2855" s="3">
        <v>23120</v>
      </c>
      <c r="N2855" s="4">
        <v>0.2537313432835821</v>
      </c>
    </row>
    <row r="2856" spans="1:14" x14ac:dyDescent="0.3">
      <c r="A2856" s="6">
        <v>45862</v>
      </c>
      <c r="B2856" s="1" t="s">
        <v>3040</v>
      </c>
      <c r="C2856" s="1" t="s">
        <v>26</v>
      </c>
      <c r="D2856" t="s">
        <v>32</v>
      </c>
      <c r="E2856" t="s">
        <v>201</v>
      </c>
      <c r="F2856" t="s">
        <v>16</v>
      </c>
      <c r="G2856" t="s">
        <v>15</v>
      </c>
      <c r="H2856" s="3">
        <v>7</v>
      </c>
      <c r="I2856" s="3">
        <v>47120</v>
      </c>
      <c r="J2856" s="3">
        <v>329840</v>
      </c>
      <c r="K2856" s="3">
        <v>38000</v>
      </c>
      <c r="L2856" s="3">
        <v>266000</v>
      </c>
      <c r="M2856" s="3">
        <v>63840</v>
      </c>
      <c r="N2856" s="4">
        <v>0.19354838709677419</v>
      </c>
    </row>
    <row r="2857" spans="1:14" x14ac:dyDescent="0.3">
      <c r="A2857" s="6">
        <v>45862</v>
      </c>
      <c r="B2857" s="1" t="s">
        <v>3041</v>
      </c>
      <c r="C2857" s="1" t="s">
        <v>28</v>
      </c>
      <c r="D2857" t="s">
        <v>31</v>
      </c>
      <c r="E2857" t="s">
        <v>538</v>
      </c>
      <c r="F2857" t="s">
        <v>21</v>
      </c>
      <c r="G2857" t="s">
        <v>20</v>
      </c>
      <c r="H2857" s="3">
        <v>1</v>
      </c>
      <c r="I2857" s="3">
        <v>768</v>
      </c>
      <c r="J2857" s="3">
        <v>768</v>
      </c>
      <c r="K2857" s="3">
        <v>600</v>
      </c>
      <c r="L2857" s="3">
        <v>600</v>
      </c>
      <c r="M2857" s="3">
        <v>168</v>
      </c>
      <c r="N2857" s="4">
        <v>0.21875</v>
      </c>
    </row>
    <row r="2858" spans="1:14" x14ac:dyDescent="0.3">
      <c r="A2858" s="6">
        <v>45862</v>
      </c>
      <c r="B2858" s="1" t="s">
        <v>3042</v>
      </c>
      <c r="C2858" s="1" t="s">
        <v>28</v>
      </c>
      <c r="D2858" t="s">
        <v>31</v>
      </c>
      <c r="E2858" t="s">
        <v>359</v>
      </c>
      <c r="F2858" t="s">
        <v>22</v>
      </c>
      <c r="G2858" t="s">
        <v>18</v>
      </c>
      <c r="H2858" s="3">
        <v>3</v>
      </c>
      <c r="I2858" s="3">
        <v>9310</v>
      </c>
      <c r="J2858" s="3">
        <v>27930</v>
      </c>
      <c r="K2858" s="3">
        <v>7000</v>
      </c>
      <c r="L2858" s="3">
        <v>21000</v>
      </c>
      <c r="M2858" s="3">
        <v>6930</v>
      </c>
      <c r="N2858" s="4">
        <v>0.24812030075187969</v>
      </c>
    </row>
    <row r="2859" spans="1:14" x14ac:dyDescent="0.3">
      <c r="A2859" s="6">
        <v>45862</v>
      </c>
      <c r="B2859" s="1" t="s">
        <v>3043</v>
      </c>
      <c r="C2859" s="1" t="s">
        <v>27</v>
      </c>
      <c r="D2859" t="s">
        <v>30</v>
      </c>
      <c r="E2859" t="s">
        <v>129</v>
      </c>
      <c r="F2859" t="s">
        <v>23</v>
      </c>
      <c r="G2859" t="s">
        <v>25</v>
      </c>
      <c r="H2859" s="3">
        <v>9</v>
      </c>
      <c r="I2859" s="3">
        <v>4256</v>
      </c>
      <c r="J2859" s="3">
        <v>38304</v>
      </c>
      <c r="K2859" s="3">
        <v>3200</v>
      </c>
      <c r="L2859" s="3">
        <v>28800</v>
      </c>
      <c r="M2859" s="3">
        <v>9504</v>
      </c>
      <c r="N2859" s="4">
        <v>0.24812030075187969</v>
      </c>
    </row>
    <row r="2860" spans="1:14" x14ac:dyDescent="0.3">
      <c r="A2860" s="6">
        <v>45862</v>
      </c>
      <c r="B2860" s="1" t="s">
        <v>3044</v>
      </c>
      <c r="C2860" s="1" t="s">
        <v>29</v>
      </c>
      <c r="D2860" t="s">
        <v>32</v>
      </c>
      <c r="E2860" t="s">
        <v>57</v>
      </c>
      <c r="F2860" t="s">
        <v>17</v>
      </c>
      <c r="G2860" t="s">
        <v>18</v>
      </c>
      <c r="H2860" s="3">
        <v>1</v>
      </c>
      <c r="I2860" s="3">
        <v>12155</v>
      </c>
      <c r="J2860" s="3">
        <v>12155</v>
      </c>
      <c r="K2860" s="3">
        <v>8500</v>
      </c>
      <c r="L2860" s="3">
        <v>8500</v>
      </c>
      <c r="M2860" s="3">
        <v>3655</v>
      </c>
      <c r="N2860" s="4">
        <v>0.30069930069930068</v>
      </c>
    </row>
    <row r="2861" spans="1:14" x14ac:dyDescent="0.3">
      <c r="A2861" s="6">
        <v>45862</v>
      </c>
      <c r="B2861" s="1" t="s">
        <v>3045</v>
      </c>
      <c r="C2861" s="1" t="s">
        <v>28</v>
      </c>
      <c r="D2861" t="s">
        <v>31</v>
      </c>
      <c r="E2861" t="s">
        <v>351</v>
      </c>
      <c r="F2861" t="s">
        <v>17</v>
      </c>
      <c r="G2861" t="s">
        <v>18</v>
      </c>
      <c r="H2861" s="3">
        <v>1</v>
      </c>
      <c r="I2861" s="3">
        <v>11390</v>
      </c>
      <c r="J2861" s="3">
        <v>11390</v>
      </c>
      <c r="K2861" s="3">
        <v>8500</v>
      </c>
      <c r="L2861" s="3">
        <v>8500</v>
      </c>
      <c r="M2861" s="3">
        <v>2890</v>
      </c>
      <c r="N2861" s="4">
        <v>0.2537313432835821</v>
      </c>
    </row>
    <row r="2862" spans="1:14" x14ac:dyDescent="0.3">
      <c r="A2862" s="6">
        <v>45862</v>
      </c>
      <c r="B2862" s="1" t="s">
        <v>3046</v>
      </c>
      <c r="C2862" s="1" t="s">
        <v>28</v>
      </c>
      <c r="D2862" t="s">
        <v>31</v>
      </c>
      <c r="E2862" t="s">
        <v>39</v>
      </c>
      <c r="F2862" t="s">
        <v>14</v>
      </c>
      <c r="G2862" t="s">
        <v>15</v>
      </c>
      <c r="H2862" s="3">
        <v>5</v>
      </c>
      <c r="I2862" s="3">
        <v>65250</v>
      </c>
      <c r="J2862" s="3">
        <v>326250</v>
      </c>
      <c r="K2862" s="3">
        <v>45000</v>
      </c>
      <c r="L2862" s="3">
        <v>225000</v>
      </c>
      <c r="M2862" s="3">
        <v>101250</v>
      </c>
      <c r="N2862" s="4">
        <v>0.31034482758620691</v>
      </c>
    </row>
    <row r="2863" spans="1:14" x14ac:dyDescent="0.3">
      <c r="A2863" s="6">
        <v>45862</v>
      </c>
      <c r="B2863" s="1" t="s">
        <v>3047</v>
      </c>
      <c r="C2863" s="1" t="s">
        <v>26</v>
      </c>
      <c r="D2863" t="s">
        <v>32</v>
      </c>
      <c r="E2863" t="s">
        <v>61</v>
      </c>
      <c r="F2863" t="s">
        <v>19</v>
      </c>
      <c r="G2863" t="s">
        <v>20</v>
      </c>
      <c r="H2863" s="3">
        <v>6</v>
      </c>
      <c r="I2863" s="3">
        <v>1269</v>
      </c>
      <c r="J2863" s="3">
        <v>7614</v>
      </c>
      <c r="K2863" s="3">
        <v>900</v>
      </c>
      <c r="L2863" s="3">
        <v>5400</v>
      </c>
      <c r="M2863" s="3">
        <v>2214</v>
      </c>
      <c r="N2863" s="4">
        <v>0.29078014184397161</v>
      </c>
    </row>
    <row r="2864" spans="1:14" x14ac:dyDescent="0.3">
      <c r="A2864" s="6">
        <v>45862</v>
      </c>
      <c r="B2864" s="1" t="s">
        <v>3048</v>
      </c>
      <c r="C2864" s="1" t="s">
        <v>28</v>
      </c>
      <c r="D2864" t="s">
        <v>32</v>
      </c>
      <c r="E2864" t="s">
        <v>304</v>
      </c>
      <c r="F2864" t="s">
        <v>24</v>
      </c>
      <c r="G2864" t="s">
        <v>25</v>
      </c>
      <c r="H2864" s="3">
        <v>8</v>
      </c>
      <c r="I2864" s="3">
        <v>3525</v>
      </c>
      <c r="J2864" s="3">
        <v>28200</v>
      </c>
      <c r="K2864" s="3">
        <v>2500</v>
      </c>
      <c r="L2864" s="3">
        <v>20000</v>
      </c>
      <c r="M2864" s="3">
        <v>8200</v>
      </c>
      <c r="N2864" s="4">
        <v>0.29078014184397161</v>
      </c>
    </row>
    <row r="2865" spans="1:14" x14ac:dyDescent="0.3">
      <c r="A2865" s="6">
        <v>45862</v>
      </c>
      <c r="B2865" s="1" t="s">
        <v>3049</v>
      </c>
      <c r="C2865" s="1" t="s">
        <v>26</v>
      </c>
      <c r="D2865" t="s">
        <v>30</v>
      </c>
      <c r="E2865" t="s">
        <v>427</v>
      </c>
      <c r="F2865" t="s">
        <v>21</v>
      </c>
      <c r="G2865" t="s">
        <v>20</v>
      </c>
      <c r="H2865" s="3">
        <v>8</v>
      </c>
      <c r="I2865" s="3">
        <v>774</v>
      </c>
      <c r="J2865" s="3">
        <v>6192</v>
      </c>
      <c r="K2865" s="3">
        <v>600</v>
      </c>
      <c r="L2865" s="3">
        <v>4800</v>
      </c>
      <c r="M2865" s="3">
        <v>1392</v>
      </c>
      <c r="N2865" s="4">
        <v>0.22480620155038761</v>
      </c>
    </row>
    <row r="2866" spans="1:14" x14ac:dyDescent="0.3">
      <c r="A2866" s="6">
        <v>45862</v>
      </c>
      <c r="B2866" s="1" t="s">
        <v>3050</v>
      </c>
      <c r="C2866" s="1" t="s">
        <v>28</v>
      </c>
      <c r="D2866" t="s">
        <v>30</v>
      </c>
      <c r="E2866" t="s">
        <v>175</v>
      </c>
      <c r="F2866" t="s">
        <v>22</v>
      </c>
      <c r="G2866" t="s">
        <v>18</v>
      </c>
      <c r="H2866" s="3">
        <v>3</v>
      </c>
      <c r="I2866" s="3">
        <v>9450</v>
      </c>
      <c r="J2866" s="3">
        <v>28350</v>
      </c>
      <c r="K2866" s="3">
        <v>7000</v>
      </c>
      <c r="L2866" s="3">
        <v>21000</v>
      </c>
      <c r="M2866" s="3">
        <v>7350</v>
      </c>
      <c r="N2866" s="4">
        <v>0.25925925925925924</v>
      </c>
    </row>
    <row r="2867" spans="1:14" x14ac:dyDescent="0.3">
      <c r="A2867" s="6">
        <v>45862</v>
      </c>
      <c r="B2867" s="1" t="s">
        <v>3051</v>
      </c>
      <c r="C2867" s="1" t="s">
        <v>29</v>
      </c>
      <c r="D2867" t="s">
        <v>32</v>
      </c>
      <c r="E2867" t="s">
        <v>157</v>
      </c>
      <c r="F2867" t="s">
        <v>22</v>
      </c>
      <c r="G2867" t="s">
        <v>18</v>
      </c>
      <c r="H2867" s="3">
        <v>7</v>
      </c>
      <c r="I2867" s="3">
        <v>9450</v>
      </c>
      <c r="J2867" s="3">
        <v>66150</v>
      </c>
      <c r="K2867" s="3">
        <v>7000</v>
      </c>
      <c r="L2867" s="3">
        <v>49000</v>
      </c>
      <c r="M2867" s="3">
        <v>17150</v>
      </c>
      <c r="N2867" s="4">
        <v>0.25925925925925924</v>
      </c>
    </row>
    <row r="2868" spans="1:14" x14ac:dyDescent="0.3">
      <c r="A2868" s="6">
        <v>45862</v>
      </c>
      <c r="B2868" s="1" t="s">
        <v>3052</v>
      </c>
      <c r="C2868" s="1" t="s">
        <v>28</v>
      </c>
      <c r="D2868" t="s">
        <v>31</v>
      </c>
      <c r="E2868" t="s">
        <v>222</v>
      </c>
      <c r="F2868" t="s">
        <v>19</v>
      </c>
      <c r="G2868" t="s">
        <v>20</v>
      </c>
      <c r="H2868" s="3">
        <v>2</v>
      </c>
      <c r="I2868" s="3">
        <v>1233</v>
      </c>
      <c r="J2868" s="3">
        <v>2466</v>
      </c>
      <c r="K2868" s="3">
        <v>900</v>
      </c>
      <c r="L2868" s="3">
        <v>1800</v>
      </c>
      <c r="M2868" s="3">
        <v>666</v>
      </c>
      <c r="N2868" s="4">
        <v>0.27007299270072993</v>
      </c>
    </row>
    <row r="2869" spans="1:14" x14ac:dyDescent="0.3">
      <c r="A2869" s="6">
        <v>45862</v>
      </c>
      <c r="B2869" s="1" t="s">
        <v>3053</v>
      </c>
      <c r="C2869" s="1" t="s">
        <v>28</v>
      </c>
      <c r="D2869" t="s">
        <v>33</v>
      </c>
      <c r="E2869" t="s">
        <v>96</v>
      </c>
      <c r="F2869" t="s">
        <v>24</v>
      </c>
      <c r="G2869" t="s">
        <v>25</v>
      </c>
      <c r="H2869" s="3">
        <v>4</v>
      </c>
      <c r="I2869" s="3">
        <v>3500</v>
      </c>
      <c r="J2869" s="3">
        <v>14000</v>
      </c>
      <c r="K2869" s="3">
        <v>2500</v>
      </c>
      <c r="L2869" s="3">
        <v>10000</v>
      </c>
      <c r="M2869" s="3">
        <v>4000</v>
      </c>
      <c r="N2869" s="4">
        <v>0.2857142857142857</v>
      </c>
    </row>
    <row r="2870" spans="1:14" x14ac:dyDescent="0.3">
      <c r="A2870" s="6">
        <v>45863</v>
      </c>
      <c r="B2870" s="1" t="s">
        <v>3054</v>
      </c>
      <c r="C2870" s="1" t="s">
        <v>26</v>
      </c>
      <c r="D2870" t="s">
        <v>31</v>
      </c>
      <c r="E2870" t="s">
        <v>92</v>
      </c>
      <c r="F2870" t="s">
        <v>14</v>
      </c>
      <c r="G2870" t="s">
        <v>15</v>
      </c>
      <c r="H2870" s="3">
        <v>7</v>
      </c>
      <c r="I2870" s="3">
        <v>54000</v>
      </c>
      <c r="J2870" s="3">
        <v>378000</v>
      </c>
      <c r="K2870" s="3">
        <v>45000</v>
      </c>
      <c r="L2870" s="3">
        <v>315000</v>
      </c>
      <c r="M2870" s="3">
        <v>63000</v>
      </c>
      <c r="N2870" s="4">
        <v>0.16666666666666666</v>
      </c>
    </row>
    <row r="2871" spans="1:14" x14ac:dyDescent="0.3">
      <c r="A2871" s="6">
        <v>45863</v>
      </c>
      <c r="B2871" s="1" t="s">
        <v>3055</v>
      </c>
      <c r="C2871" s="1" t="s">
        <v>26</v>
      </c>
      <c r="D2871" t="s">
        <v>34</v>
      </c>
      <c r="E2871" t="s">
        <v>317</v>
      </c>
      <c r="F2871" t="s">
        <v>16</v>
      </c>
      <c r="G2871" t="s">
        <v>15</v>
      </c>
      <c r="H2871" s="3">
        <v>5</v>
      </c>
      <c r="I2871" s="3">
        <v>47120</v>
      </c>
      <c r="J2871" s="3">
        <v>235600</v>
      </c>
      <c r="K2871" s="3">
        <v>38000</v>
      </c>
      <c r="L2871" s="3">
        <v>190000</v>
      </c>
      <c r="M2871" s="3">
        <v>45600</v>
      </c>
      <c r="N2871" s="4">
        <v>0.19354838709677419</v>
      </c>
    </row>
    <row r="2872" spans="1:14" x14ac:dyDescent="0.3">
      <c r="A2872" s="6">
        <v>45863</v>
      </c>
      <c r="B2872" s="1" t="s">
        <v>3056</v>
      </c>
      <c r="C2872" s="1" t="s">
        <v>29</v>
      </c>
      <c r="D2872" t="s">
        <v>31</v>
      </c>
      <c r="E2872" t="s">
        <v>180</v>
      </c>
      <c r="F2872" t="s">
        <v>14</v>
      </c>
      <c r="G2872" t="s">
        <v>15</v>
      </c>
      <c r="H2872" s="3">
        <v>10</v>
      </c>
      <c r="I2872" s="3">
        <v>64800</v>
      </c>
      <c r="J2872" s="3">
        <v>648000</v>
      </c>
      <c r="K2872" s="3">
        <v>45000</v>
      </c>
      <c r="L2872" s="3">
        <v>450000</v>
      </c>
      <c r="M2872" s="3">
        <v>198000</v>
      </c>
      <c r="N2872" s="4">
        <v>0.30555555555555558</v>
      </c>
    </row>
    <row r="2873" spans="1:14" x14ac:dyDescent="0.3">
      <c r="A2873" s="6">
        <v>45863</v>
      </c>
      <c r="B2873" s="1" t="s">
        <v>3057</v>
      </c>
      <c r="C2873" s="1" t="s">
        <v>26</v>
      </c>
      <c r="D2873" t="s">
        <v>32</v>
      </c>
      <c r="E2873" t="s">
        <v>104</v>
      </c>
      <c r="F2873" t="s">
        <v>19</v>
      </c>
      <c r="G2873" t="s">
        <v>20</v>
      </c>
      <c r="H2873" s="3">
        <v>3</v>
      </c>
      <c r="I2873" s="3">
        <v>1215</v>
      </c>
      <c r="J2873" s="3">
        <v>3645</v>
      </c>
      <c r="K2873" s="3">
        <v>900</v>
      </c>
      <c r="L2873" s="3">
        <v>2700</v>
      </c>
      <c r="M2873" s="3">
        <v>945</v>
      </c>
      <c r="N2873" s="4">
        <v>0.25925925925925924</v>
      </c>
    </row>
    <row r="2874" spans="1:14" x14ac:dyDescent="0.3">
      <c r="A2874" s="6">
        <v>45863</v>
      </c>
      <c r="B2874" s="1" t="s">
        <v>3058</v>
      </c>
      <c r="C2874" s="1" t="s">
        <v>29</v>
      </c>
      <c r="D2874" t="s">
        <v>35</v>
      </c>
      <c r="E2874" t="s">
        <v>53</v>
      </c>
      <c r="F2874" t="s">
        <v>22</v>
      </c>
      <c r="G2874" t="s">
        <v>18</v>
      </c>
      <c r="H2874" s="3">
        <v>2</v>
      </c>
      <c r="I2874" s="3">
        <v>9030</v>
      </c>
      <c r="J2874" s="3">
        <v>18060</v>
      </c>
      <c r="K2874" s="3">
        <v>7000</v>
      </c>
      <c r="L2874" s="3">
        <v>14000</v>
      </c>
      <c r="M2874" s="3">
        <v>4060</v>
      </c>
      <c r="N2874" s="4">
        <v>0.22480620155038761</v>
      </c>
    </row>
    <row r="2875" spans="1:14" x14ac:dyDescent="0.3">
      <c r="A2875" s="6">
        <v>45863</v>
      </c>
      <c r="B2875" s="1" t="s">
        <v>3059</v>
      </c>
      <c r="C2875" s="1" t="s">
        <v>26</v>
      </c>
      <c r="D2875" t="s">
        <v>33</v>
      </c>
      <c r="E2875" t="s">
        <v>327</v>
      </c>
      <c r="F2875" t="s">
        <v>19</v>
      </c>
      <c r="G2875" t="s">
        <v>20</v>
      </c>
      <c r="H2875" s="3">
        <v>2</v>
      </c>
      <c r="I2875" s="3">
        <v>1260</v>
      </c>
      <c r="J2875" s="3">
        <v>2520</v>
      </c>
      <c r="K2875" s="3">
        <v>900</v>
      </c>
      <c r="L2875" s="3">
        <v>1800</v>
      </c>
      <c r="M2875" s="3">
        <v>720</v>
      </c>
      <c r="N2875" s="4">
        <v>0.2857142857142857</v>
      </c>
    </row>
    <row r="2876" spans="1:14" x14ac:dyDescent="0.3">
      <c r="A2876" s="6">
        <v>45863</v>
      </c>
      <c r="B2876" s="1" t="s">
        <v>3060</v>
      </c>
      <c r="C2876" s="1" t="s">
        <v>29</v>
      </c>
      <c r="D2876" t="s">
        <v>35</v>
      </c>
      <c r="E2876" t="s">
        <v>265</v>
      </c>
      <c r="F2876" t="s">
        <v>21</v>
      </c>
      <c r="G2876" t="s">
        <v>20</v>
      </c>
      <c r="H2876" s="3">
        <v>10</v>
      </c>
      <c r="I2876" s="3">
        <v>852</v>
      </c>
      <c r="J2876" s="3">
        <v>8520</v>
      </c>
      <c r="K2876" s="3">
        <v>600</v>
      </c>
      <c r="L2876" s="3">
        <v>6000</v>
      </c>
      <c r="M2876" s="3">
        <v>2520</v>
      </c>
      <c r="N2876" s="4">
        <v>0.29577464788732394</v>
      </c>
    </row>
    <row r="2877" spans="1:14" x14ac:dyDescent="0.3">
      <c r="A2877" s="6">
        <v>45863</v>
      </c>
      <c r="B2877" s="1" t="s">
        <v>3061</v>
      </c>
      <c r="C2877" s="1" t="s">
        <v>28</v>
      </c>
      <c r="D2877" t="s">
        <v>30</v>
      </c>
      <c r="E2877" t="s">
        <v>935</v>
      </c>
      <c r="F2877" t="s">
        <v>19</v>
      </c>
      <c r="G2877" t="s">
        <v>20</v>
      </c>
      <c r="H2877" s="3">
        <v>7</v>
      </c>
      <c r="I2877" s="3">
        <v>1278</v>
      </c>
      <c r="J2877" s="3">
        <v>8946</v>
      </c>
      <c r="K2877" s="3">
        <v>900</v>
      </c>
      <c r="L2877" s="3">
        <v>6300</v>
      </c>
      <c r="M2877" s="3">
        <v>2646</v>
      </c>
      <c r="N2877" s="4">
        <v>0.29577464788732394</v>
      </c>
    </row>
    <row r="2878" spans="1:14" x14ac:dyDescent="0.3">
      <c r="A2878" s="6">
        <v>45863</v>
      </c>
      <c r="B2878" s="1" t="s">
        <v>3062</v>
      </c>
      <c r="C2878" s="1" t="s">
        <v>28</v>
      </c>
      <c r="D2878" t="s">
        <v>30</v>
      </c>
      <c r="E2878" t="s">
        <v>204</v>
      </c>
      <c r="F2878" t="s">
        <v>17</v>
      </c>
      <c r="G2878" t="s">
        <v>18</v>
      </c>
      <c r="H2878" s="3">
        <v>1</v>
      </c>
      <c r="I2878" s="3">
        <v>11645</v>
      </c>
      <c r="J2878" s="3">
        <v>11645</v>
      </c>
      <c r="K2878" s="3">
        <v>8500</v>
      </c>
      <c r="L2878" s="3">
        <v>8500</v>
      </c>
      <c r="M2878" s="3">
        <v>3145</v>
      </c>
      <c r="N2878" s="4">
        <v>0.27007299270072993</v>
      </c>
    </row>
    <row r="2879" spans="1:14" x14ac:dyDescent="0.3">
      <c r="A2879" s="6">
        <v>45863</v>
      </c>
      <c r="B2879" s="1" t="s">
        <v>3063</v>
      </c>
      <c r="C2879" s="1" t="s">
        <v>26</v>
      </c>
      <c r="D2879" t="s">
        <v>35</v>
      </c>
      <c r="E2879" t="s">
        <v>98</v>
      </c>
      <c r="F2879" t="s">
        <v>24</v>
      </c>
      <c r="G2879" t="s">
        <v>25</v>
      </c>
      <c r="H2879" s="3">
        <v>2</v>
      </c>
      <c r="I2879" s="3">
        <v>3275</v>
      </c>
      <c r="J2879" s="3">
        <v>6550</v>
      </c>
      <c r="K2879" s="3">
        <v>2500</v>
      </c>
      <c r="L2879" s="3">
        <v>5000</v>
      </c>
      <c r="M2879" s="3">
        <v>1550</v>
      </c>
      <c r="N2879" s="4">
        <v>0.23664122137404581</v>
      </c>
    </row>
    <row r="2880" spans="1:14" x14ac:dyDescent="0.3">
      <c r="A2880" s="6">
        <v>45863</v>
      </c>
      <c r="B2880" s="1" t="s">
        <v>3064</v>
      </c>
      <c r="C2880" s="1" t="s">
        <v>28</v>
      </c>
      <c r="D2880" t="s">
        <v>30</v>
      </c>
      <c r="E2880" t="s">
        <v>85</v>
      </c>
      <c r="F2880" t="s">
        <v>22</v>
      </c>
      <c r="G2880" t="s">
        <v>18</v>
      </c>
      <c r="H2880" s="3">
        <v>3</v>
      </c>
      <c r="I2880" s="3">
        <v>9310</v>
      </c>
      <c r="J2880" s="3">
        <v>27930</v>
      </c>
      <c r="K2880" s="3">
        <v>7000</v>
      </c>
      <c r="L2880" s="3">
        <v>21000</v>
      </c>
      <c r="M2880" s="3">
        <v>6930</v>
      </c>
      <c r="N2880" s="4">
        <v>0.24812030075187969</v>
      </c>
    </row>
    <row r="2881" spans="1:14" x14ac:dyDescent="0.3">
      <c r="A2881" s="6">
        <v>45863</v>
      </c>
      <c r="B2881" s="1" t="s">
        <v>3065</v>
      </c>
      <c r="C2881" s="1" t="s">
        <v>29</v>
      </c>
      <c r="D2881" t="s">
        <v>31</v>
      </c>
      <c r="E2881" t="s">
        <v>116</v>
      </c>
      <c r="F2881" t="s">
        <v>19</v>
      </c>
      <c r="G2881" t="s">
        <v>20</v>
      </c>
      <c r="H2881" s="3">
        <v>2</v>
      </c>
      <c r="I2881" s="3">
        <v>1170</v>
      </c>
      <c r="J2881" s="3">
        <v>2340</v>
      </c>
      <c r="K2881" s="3">
        <v>900</v>
      </c>
      <c r="L2881" s="3">
        <v>1800</v>
      </c>
      <c r="M2881" s="3">
        <v>540</v>
      </c>
      <c r="N2881" s="4">
        <v>0.23076923076923078</v>
      </c>
    </row>
    <row r="2882" spans="1:14" x14ac:dyDescent="0.3">
      <c r="A2882" s="6">
        <v>45863</v>
      </c>
      <c r="B2882" s="1" t="s">
        <v>3066</v>
      </c>
      <c r="C2882" s="1" t="s">
        <v>28</v>
      </c>
      <c r="D2882" t="s">
        <v>31</v>
      </c>
      <c r="E2882" t="s">
        <v>69</v>
      </c>
      <c r="F2882" t="s">
        <v>14</v>
      </c>
      <c r="G2882" t="s">
        <v>15</v>
      </c>
      <c r="H2882" s="3">
        <v>1</v>
      </c>
      <c r="I2882" s="3">
        <v>62099.999999999993</v>
      </c>
      <c r="J2882" s="3">
        <v>62099.999999999993</v>
      </c>
      <c r="K2882" s="3">
        <v>45000</v>
      </c>
      <c r="L2882" s="3">
        <v>45000</v>
      </c>
      <c r="M2882" s="3">
        <v>17099.999999999993</v>
      </c>
      <c r="N2882" s="4">
        <v>0.2753623188405796</v>
      </c>
    </row>
    <row r="2883" spans="1:14" x14ac:dyDescent="0.3">
      <c r="A2883" s="6">
        <v>45863</v>
      </c>
      <c r="B2883" s="1" t="s">
        <v>3067</v>
      </c>
      <c r="C2883" s="1" t="s">
        <v>26</v>
      </c>
      <c r="D2883" t="s">
        <v>30</v>
      </c>
      <c r="E2883" t="s">
        <v>321</v>
      </c>
      <c r="F2883" t="s">
        <v>21</v>
      </c>
      <c r="G2883" t="s">
        <v>20</v>
      </c>
      <c r="H2883" s="3">
        <v>10</v>
      </c>
      <c r="I2883" s="3">
        <v>756</v>
      </c>
      <c r="J2883" s="3">
        <v>7560</v>
      </c>
      <c r="K2883" s="3">
        <v>600</v>
      </c>
      <c r="L2883" s="3">
        <v>6000</v>
      </c>
      <c r="M2883" s="3">
        <v>1560</v>
      </c>
      <c r="N2883" s="4">
        <v>0.20634920634920634</v>
      </c>
    </row>
    <row r="2884" spans="1:14" x14ac:dyDescent="0.3">
      <c r="A2884" s="6">
        <v>45864</v>
      </c>
      <c r="B2884" s="1" t="s">
        <v>3068</v>
      </c>
      <c r="C2884" s="1" t="s">
        <v>29</v>
      </c>
      <c r="D2884" t="s">
        <v>30</v>
      </c>
      <c r="E2884" t="s">
        <v>102</v>
      </c>
      <c r="F2884" t="s">
        <v>19</v>
      </c>
      <c r="G2884" t="s">
        <v>20</v>
      </c>
      <c r="H2884" s="3">
        <v>2</v>
      </c>
      <c r="I2884" s="3">
        <v>1305</v>
      </c>
      <c r="J2884" s="3">
        <v>2610</v>
      </c>
      <c r="K2884" s="3">
        <v>900</v>
      </c>
      <c r="L2884" s="3">
        <v>1800</v>
      </c>
      <c r="M2884" s="3">
        <v>810</v>
      </c>
      <c r="N2884" s="4">
        <v>0.31034482758620691</v>
      </c>
    </row>
    <row r="2885" spans="1:14" x14ac:dyDescent="0.3">
      <c r="A2885" s="6">
        <v>45864</v>
      </c>
      <c r="B2885" s="1" t="s">
        <v>3069</v>
      </c>
      <c r="C2885" s="1" t="s">
        <v>26</v>
      </c>
      <c r="D2885" t="s">
        <v>35</v>
      </c>
      <c r="E2885" t="s">
        <v>120</v>
      </c>
      <c r="F2885" t="s">
        <v>19</v>
      </c>
      <c r="G2885" t="s">
        <v>20</v>
      </c>
      <c r="H2885" s="3">
        <v>3</v>
      </c>
      <c r="I2885" s="3">
        <v>1224</v>
      </c>
      <c r="J2885" s="3">
        <v>3672</v>
      </c>
      <c r="K2885" s="3">
        <v>900</v>
      </c>
      <c r="L2885" s="3">
        <v>2700</v>
      </c>
      <c r="M2885" s="3">
        <v>972</v>
      </c>
      <c r="N2885" s="4">
        <v>0.26470588235294118</v>
      </c>
    </row>
    <row r="2886" spans="1:14" x14ac:dyDescent="0.3">
      <c r="A2886" s="6">
        <v>45864</v>
      </c>
      <c r="B2886" s="1" t="s">
        <v>3070</v>
      </c>
      <c r="C2886" s="1" t="s">
        <v>27</v>
      </c>
      <c r="D2886" t="s">
        <v>34</v>
      </c>
      <c r="E2886" t="s">
        <v>108</v>
      </c>
      <c r="F2886" t="s">
        <v>17</v>
      </c>
      <c r="G2886" t="s">
        <v>18</v>
      </c>
      <c r="H2886" s="3">
        <v>1</v>
      </c>
      <c r="I2886" s="3">
        <v>10540</v>
      </c>
      <c r="J2886" s="3">
        <v>10540</v>
      </c>
      <c r="K2886" s="3">
        <v>8500</v>
      </c>
      <c r="L2886" s="3">
        <v>8500</v>
      </c>
      <c r="M2886" s="3">
        <v>2040</v>
      </c>
      <c r="N2886" s="4">
        <v>0.19354838709677419</v>
      </c>
    </row>
    <row r="2887" spans="1:14" x14ac:dyDescent="0.3">
      <c r="A2887" s="6">
        <v>45864</v>
      </c>
      <c r="B2887" s="1" t="s">
        <v>3071</v>
      </c>
      <c r="C2887" s="1" t="s">
        <v>26</v>
      </c>
      <c r="D2887" t="s">
        <v>35</v>
      </c>
      <c r="E2887" t="s">
        <v>153</v>
      </c>
      <c r="F2887" t="s">
        <v>19</v>
      </c>
      <c r="G2887" t="s">
        <v>20</v>
      </c>
      <c r="H2887" s="3">
        <v>10</v>
      </c>
      <c r="I2887" s="3">
        <v>1143</v>
      </c>
      <c r="J2887" s="3">
        <v>11430</v>
      </c>
      <c r="K2887" s="3">
        <v>900</v>
      </c>
      <c r="L2887" s="3">
        <v>9000</v>
      </c>
      <c r="M2887" s="3">
        <v>2430</v>
      </c>
      <c r="N2887" s="4">
        <v>0.2125984251968504</v>
      </c>
    </row>
    <row r="2888" spans="1:14" x14ac:dyDescent="0.3">
      <c r="A2888" s="6">
        <v>45864</v>
      </c>
      <c r="B2888" s="1" t="s">
        <v>3072</v>
      </c>
      <c r="C2888" s="1" t="s">
        <v>26</v>
      </c>
      <c r="D2888" t="s">
        <v>34</v>
      </c>
      <c r="E2888" t="s">
        <v>102</v>
      </c>
      <c r="F2888" t="s">
        <v>17</v>
      </c>
      <c r="G2888" t="s">
        <v>18</v>
      </c>
      <c r="H2888" s="3">
        <v>10</v>
      </c>
      <c r="I2888" s="3">
        <v>11900</v>
      </c>
      <c r="J2888" s="3">
        <v>119000</v>
      </c>
      <c r="K2888" s="3">
        <v>8500</v>
      </c>
      <c r="L2888" s="3">
        <v>85000</v>
      </c>
      <c r="M2888" s="3">
        <v>34000</v>
      </c>
      <c r="N2888" s="4">
        <v>0.2857142857142857</v>
      </c>
    </row>
    <row r="2889" spans="1:14" x14ac:dyDescent="0.3">
      <c r="A2889" s="6">
        <v>45864</v>
      </c>
      <c r="B2889" s="1" t="s">
        <v>3073</v>
      </c>
      <c r="C2889" s="1" t="s">
        <v>27</v>
      </c>
      <c r="D2889" t="s">
        <v>32</v>
      </c>
      <c r="E2889" t="s">
        <v>49</v>
      </c>
      <c r="F2889" t="s">
        <v>19</v>
      </c>
      <c r="G2889" t="s">
        <v>20</v>
      </c>
      <c r="H2889" s="3">
        <v>10</v>
      </c>
      <c r="I2889" s="3">
        <v>1179</v>
      </c>
      <c r="J2889" s="3">
        <v>11790</v>
      </c>
      <c r="K2889" s="3">
        <v>900</v>
      </c>
      <c r="L2889" s="3">
        <v>9000</v>
      </c>
      <c r="M2889" s="3">
        <v>2790</v>
      </c>
      <c r="N2889" s="4">
        <v>0.23664122137404581</v>
      </c>
    </row>
    <row r="2890" spans="1:14" x14ac:dyDescent="0.3">
      <c r="A2890" s="6">
        <v>45864</v>
      </c>
      <c r="B2890" s="1" t="s">
        <v>3074</v>
      </c>
      <c r="C2890" s="1" t="s">
        <v>26</v>
      </c>
      <c r="D2890" t="s">
        <v>33</v>
      </c>
      <c r="E2890" t="s">
        <v>427</v>
      </c>
      <c r="F2890" t="s">
        <v>14</v>
      </c>
      <c r="G2890" t="s">
        <v>15</v>
      </c>
      <c r="H2890" s="3">
        <v>5</v>
      </c>
      <c r="I2890" s="3">
        <v>62099.999999999993</v>
      </c>
      <c r="J2890" s="3">
        <v>310499.99999999994</v>
      </c>
      <c r="K2890" s="3">
        <v>45000</v>
      </c>
      <c r="L2890" s="3">
        <v>225000</v>
      </c>
      <c r="M2890" s="3">
        <v>85499.999999999942</v>
      </c>
      <c r="N2890" s="4">
        <v>0.2753623188405796</v>
      </c>
    </row>
    <row r="2891" spans="1:14" x14ac:dyDescent="0.3">
      <c r="A2891" s="6">
        <v>45864</v>
      </c>
      <c r="B2891" s="1" t="s">
        <v>3075</v>
      </c>
      <c r="C2891" s="1" t="s">
        <v>29</v>
      </c>
      <c r="D2891" t="s">
        <v>30</v>
      </c>
      <c r="E2891" t="s">
        <v>74</v>
      </c>
      <c r="F2891" t="s">
        <v>22</v>
      </c>
      <c r="G2891" t="s">
        <v>18</v>
      </c>
      <c r="H2891" s="3">
        <v>10</v>
      </c>
      <c r="I2891" s="3">
        <v>8470</v>
      </c>
      <c r="J2891" s="3">
        <v>84700</v>
      </c>
      <c r="K2891" s="3">
        <v>7000</v>
      </c>
      <c r="L2891" s="3">
        <v>70000</v>
      </c>
      <c r="M2891" s="3">
        <v>14700</v>
      </c>
      <c r="N2891" s="4">
        <v>0.17355371900826447</v>
      </c>
    </row>
    <row r="2892" spans="1:14" x14ac:dyDescent="0.3">
      <c r="A2892" s="6">
        <v>45864</v>
      </c>
      <c r="B2892" s="1" t="s">
        <v>3076</v>
      </c>
      <c r="C2892" s="1" t="s">
        <v>26</v>
      </c>
      <c r="D2892" t="s">
        <v>34</v>
      </c>
      <c r="E2892" t="s">
        <v>306</v>
      </c>
      <c r="F2892" t="s">
        <v>19</v>
      </c>
      <c r="G2892" t="s">
        <v>20</v>
      </c>
      <c r="H2892" s="3">
        <v>7</v>
      </c>
      <c r="I2892" s="3">
        <v>1080</v>
      </c>
      <c r="J2892" s="3">
        <v>7560</v>
      </c>
      <c r="K2892" s="3">
        <v>900</v>
      </c>
      <c r="L2892" s="3">
        <v>6300</v>
      </c>
      <c r="M2892" s="3">
        <v>1260</v>
      </c>
      <c r="N2892" s="4">
        <v>0.16666666666666666</v>
      </c>
    </row>
    <row r="2893" spans="1:14" x14ac:dyDescent="0.3">
      <c r="A2893" s="6">
        <v>45864</v>
      </c>
      <c r="B2893" s="1" t="s">
        <v>3077</v>
      </c>
      <c r="C2893" s="1" t="s">
        <v>26</v>
      </c>
      <c r="D2893" t="s">
        <v>35</v>
      </c>
      <c r="E2893" t="s">
        <v>390</v>
      </c>
      <c r="F2893" t="s">
        <v>23</v>
      </c>
      <c r="G2893" t="s">
        <v>25</v>
      </c>
      <c r="H2893" s="3">
        <v>6</v>
      </c>
      <c r="I2893" s="3">
        <v>4224</v>
      </c>
      <c r="J2893" s="3">
        <v>25344</v>
      </c>
      <c r="K2893" s="3">
        <v>3200</v>
      </c>
      <c r="L2893" s="3">
        <v>19200</v>
      </c>
      <c r="M2893" s="3">
        <v>6144</v>
      </c>
      <c r="N2893" s="4">
        <v>0.24242424242424243</v>
      </c>
    </row>
    <row r="2894" spans="1:14" x14ac:dyDescent="0.3">
      <c r="A2894" s="6">
        <v>45864</v>
      </c>
      <c r="B2894" s="1" t="s">
        <v>3078</v>
      </c>
      <c r="C2894" s="1" t="s">
        <v>28</v>
      </c>
      <c r="D2894" t="s">
        <v>33</v>
      </c>
      <c r="E2894" t="s">
        <v>81</v>
      </c>
      <c r="F2894" t="s">
        <v>21</v>
      </c>
      <c r="G2894" t="s">
        <v>20</v>
      </c>
      <c r="H2894" s="3">
        <v>1</v>
      </c>
      <c r="I2894" s="3">
        <v>870</v>
      </c>
      <c r="J2894" s="3">
        <v>870</v>
      </c>
      <c r="K2894" s="3">
        <v>600</v>
      </c>
      <c r="L2894" s="3">
        <v>600</v>
      </c>
      <c r="M2894" s="3">
        <v>270</v>
      </c>
      <c r="N2894" s="4">
        <v>0.31034482758620691</v>
      </c>
    </row>
    <row r="2895" spans="1:14" x14ac:dyDescent="0.3">
      <c r="A2895" s="6">
        <v>45864</v>
      </c>
      <c r="B2895" s="1" t="s">
        <v>3079</v>
      </c>
      <c r="C2895" s="1" t="s">
        <v>27</v>
      </c>
      <c r="D2895" t="s">
        <v>35</v>
      </c>
      <c r="E2895" t="s">
        <v>196</v>
      </c>
      <c r="F2895" t="s">
        <v>22</v>
      </c>
      <c r="G2895" t="s">
        <v>18</v>
      </c>
      <c r="H2895" s="3">
        <v>3</v>
      </c>
      <c r="I2895" s="3">
        <v>9730</v>
      </c>
      <c r="J2895" s="3">
        <v>29190</v>
      </c>
      <c r="K2895" s="3">
        <v>7000</v>
      </c>
      <c r="L2895" s="3">
        <v>21000</v>
      </c>
      <c r="M2895" s="3">
        <v>8190</v>
      </c>
      <c r="N2895" s="4">
        <v>0.2805755395683453</v>
      </c>
    </row>
    <row r="2896" spans="1:14" x14ac:dyDescent="0.3">
      <c r="A2896" s="6">
        <v>45864</v>
      </c>
      <c r="B2896" s="1" t="s">
        <v>3080</v>
      </c>
      <c r="C2896" s="1" t="s">
        <v>27</v>
      </c>
      <c r="D2896" t="s">
        <v>30</v>
      </c>
      <c r="E2896" t="s">
        <v>409</v>
      </c>
      <c r="F2896" t="s">
        <v>16</v>
      </c>
      <c r="G2896" t="s">
        <v>15</v>
      </c>
      <c r="H2896" s="3">
        <v>10</v>
      </c>
      <c r="I2896" s="3">
        <v>52439.999999999993</v>
      </c>
      <c r="J2896" s="3">
        <v>524399.99999999988</v>
      </c>
      <c r="K2896" s="3">
        <v>38000</v>
      </c>
      <c r="L2896" s="3">
        <v>380000</v>
      </c>
      <c r="M2896" s="3">
        <v>144399.99999999988</v>
      </c>
      <c r="N2896" s="4">
        <v>0.27536231884057955</v>
      </c>
    </row>
    <row r="2897" spans="1:14" x14ac:dyDescent="0.3">
      <c r="A2897" s="6">
        <v>45864</v>
      </c>
      <c r="B2897" s="1" t="s">
        <v>3081</v>
      </c>
      <c r="C2897" s="1" t="s">
        <v>27</v>
      </c>
      <c r="D2897" t="s">
        <v>31</v>
      </c>
      <c r="E2897" t="s">
        <v>233</v>
      </c>
      <c r="F2897" t="s">
        <v>21</v>
      </c>
      <c r="G2897" t="s">
        <v>20</v>
      </c>
      <c r="H2897" s="3">
        <v>2</v>
      </c>
      <c r="I2897" s="3">
        <v>822.00000000000011</v>
      </c>
      <c r="J2897" s="3">
        <v>1644.0000000000002</v>
      </c>
      <c r="K2897" s="3">
        <v>600</v>
      </c>
      <c r="L2897" s="3">
        <v>1200</v>
      </c>
      <c r="M2897" s="3">
        <v>444.00000000000023</v>
      </c>
      <c r="N2897" s="4">
        <v>0.27007299270073004</v>
      </c>
    </row>
    <row r="2898" spans="1:14" x14ac:dyDescent="0.3">
      <c r="A2898" s="6">
        <v>45865</v>
      </c>
      <c r="B2898" s="1" t="s">
        <v>3082</v>
      </c>
      <c r="C2898" s="1" t="s">
        <v>28</v>
      </c>
      <c r="D2898" t="s">
        <v>33</v>
      </c>
      <c r="E2898" t="s">
        <v>206</v>
      </c>
      <c r="F2898" t="s">
        <v>19</v>
      </c>
      <c r="G2898" t="s">
        <v>20</v>
      </c>
      <c r="H2898" s="3">
        <v>2</v>
      </c>
      <c r="I2898" s="3">
        <v>1116</v>
      </c>
      <c r="J2898" s="3">
        <v>2232</v>
      </c>
      <c r="K2898" s="3">
        <v>900</v>
      </c>
      <c r="L2898" s="3">
        <v>1800</v>
      </c>
      <c r="M2898" s="3">
        <v>432</v>
      </c>
      <c r="N2898" s="4">
        <v>0.19354838709677419</v>
      </c>
    </row>
    <row r="2899" spans="1:14" x14ac:dyDescent="0.3">
      <c r="A2899" s="6">
        <v>45865</v>
      </c>
      <c r="B2899" s="1" t="s">
        <v>3083</v>
      </c>
      <c r="C2899" s="1" t="s">
        <v>26</v>
      </c>
      <c r="D2899" t="s">
        <v>32</v>
      </c>
      <c r="E2899" t="s">
        <v>431</v>
      </c>
      <c r="F2899" t="s">
        <v>19</v>
      </c>
      <c r="G2899" t="s">
        <v>20</v>
      </c>
      <c r="H2899" s="3">
        <v>9</v>
      </c>
      <c r="I2899" s="3">
        <v>1242</v>
      </c>
      <c r="J2899" s="3">
        <v>11178</v>
      </c>
      <c r="K2899" s="3">
        <v>900</v>
      </c>
      <c r="L2899" s="3">
        <v>8100</v>
      </c>
      <c r="M2899" s="3">
        <v>3078</v>
      </c>
      <c r="N2899" s="4">
        <v>0.27536231884057971</v>
      </c>
    </row>
    <row r="2900" spans="1:14" x14ac:dyDescent="0.3">
      <c r="A2900" s="6">
        <v>45865</v>
      </c>
      <c r="B2900" s="1" t="s">
        <v>3084</v>
      </c>
      <c r="C2900" s="1" t="s">
        <v>29</v>
      </c>
      <c r="D2900" t="s">
        <v>30</v>
      </c>
      <c r="E2900" t="s">
        <v>365</v>
      </c>
      <c r="F2900" t="s">
        <v>22</v>
      </c>
      <c r="G2900" t="s">
        <v>18</v>
      </c>
      <c r="H2900" s="3">
        <v>7</v>
      </c>
      <c r="I2900" s="3">
        <v>9380</v>
      </c>
      <c r="J2900" s="3">
        <v>65660</v>
      </c>
      <c r="K2900" s="3">
        <v>7000</v>
      </c>
      <c r="L2900" s="3">
        <v>49000</v>
      </c>
      <c r="M2900" s="3">
        <v>16660</v>
      </c>
      <c r="N2900" s="4">
        <v>0.2537313432835821</v>
      </c>
    </row>
    <row r="2901" spans="1:14" x14ac:dyDescent="0.3">
      <c r="A2901" s="6">
        <v>45865</v>
      </c>
      <c r="B2901" s="1" t="s">
        <v>3085</v>
      </c>
      <c r="C2901" s="1" t="s">
        <v>28</v>
      </c>
      <c r="D2901" t="s">
        <v>34</v>
      </c>
      <c r="E2901" t="s">
        <v>327</v>
      </c>
      <c r="F2901" t="s">
        <v>22</v>
      </c>
      <c r="G2901" t="s">
        <v>18</v>
      </c>
      <c r="H2901" s="3">
        <v>1</v>
      </c>
      <c r="I2901" s="3">
        <v>8890</v>
      </c>
      <c r="J2901" s="3">
        <v>8890</v>
      </c>
      <c r="K2901" s="3">
        <v>7000</v>
      </c>
      <c r="L2901" s="3">
        <v>7000</v>
      </c>
      <c r="M2901" s="3">
        <v>1890</v>
      </c>
      <c r="N2901" s="4">
        <v>0.2125984251968504</v>
      </c>
    </row>
    <row r="2902" spans="1:14" x14ac:dyDescent="0.3">
      <c r="A2902" s="6">
        <v>45865</v>
      </c>
      <c r="B2902" s="1" t="s">
        <v>3086</v>
      </c>
      <c r="C2902" s="1" t="s">
        <v>27</v>
      </c>
      <c r="D2902" t="s">
        <v>35</v>
      </c>
      <c r="E2902" t="s">
        <v>231</v>
      </c>
      <c r="F2902" t="s">
        <v>21</v>
      </c>
      <c r="G2902" t="s">
        <v>20</v>
      </c>
      <c r="H2902" s="3">
        <v>8</v>
      </c>
      <c r="I2902" s="3">
        <v>834.00000000000011</v>
      </c>
      <c r="J2902" s="3">
        <v>6672.0000000000009</v>
      </c>
      <c r="K2902" s="3">
        <v>600</v>
      </c>
      <c r="L2902" s="3">
        <v>4800</v>
      </c>
      <c r="M2902" s="3">
        <v>1872.0000000000009</v>
      </c>
      <c r="N2902" s="4">
        <v>0.28057553956834541</v>
      </c>
    </row>
    <row r="2903" spans="1:14" x14ac:dyDescent="0.3">
      <c r="A2903" s="6">
        <v>45865</v>
      </c>
      <c r="B2903" s="1" t="s">
        <v>3087</v>
      </c>
      <c r="C2903" s="1" t="s">
        <v>29</v>
      </c>
      <c r="D2903" t="s">
        <v>31</v>
      </c>
      <c r="E2903" t="s">
        <v>142</v>
      </c>
      <c r="F2903" t="s">
        <v>16</v>
      </c>
      <c r="G2903" t="s">
        <v>15</v>
      </c>
      <c r="H2903" s="3">
        <v>2</v>
      </c>
      <c r="I2903" s="3">
        <v>54340</v>
      </c>
      <c r="J2903" s="3">
        <v>108680</v>
      </c>
      <c r="K2903" s="3">
        <v>38000</v>
      </c>
      <c r="L2903" s="3">
        <v>76000</v>
      </c>
      <c r="M2903" s="3">
        <v>32680</v>
      </c>
      <c r="N2903" s="4">
        <v>0.30069930069930068</v>
      </c>
    </row>
    <row r="2904" spans="1:14" x14ac:dyDescent="0.3">
      <c r="A2904" s="6">
        <v>45865</v>
      </c>
      <c r="B2904" s="1" t="s">
        <v>3088</v>
      </c>
      <c r="C2904" s="1" t="s">
        <v>27</v>
      </c>
      <c r="D2904" t="s">
        <v>35</v>
      </c>
      <c r="E2904" t="s">
        <v>310</v>
      </c>
      <c r="F2904" t="s">
        <v>16</v>
      </c>
      <c r="G2904" t="s">
        <v>15</v>
      </c>
      <c r="H2904" s="3">
        <v>5</v>
      </c>
      <c r="I2904" s="3">
        <v>48640</v>
      </c>
      <c r="J2904" s="3">
        <v>243200</v>
      </c>
      <c r="K2904" s="3">
        <v>38000</v>
      </c>
      <c r="L2904" s="3">
        <v>190000</v>
      </c>
      <c r="M2904" s="3">
        <v>53200</v>
      </c>
      <c r="N2904" s="4">
        <v>0.21875</v>
      </c>
    </row>
    <row r="2905" spans="1:14" x14ac:dyDescent="0.3">
      <c r="A2905" s="6">
        <v>45865</v>
      </c>
      <c r="B2905" s="1" t="s">
        <v>3089</v>
      </c>
      <c r="C2905" s="1" t="s">
        <v>28</v>
      </c>
      <c r="D2905" t="s">
        <v>35</v>
      </c>
      <c r="E2905" t="s">
        <v>72</v>
      </c>
      <c r="F2905" t="s">
        <v>17</v>
      </c>
      <c r="G2905" t="s">
        <v>18</v>
      </c>
      <c r="H2905" s="3">
        <v>4</v>
      </c>
      <c r="I2905" s="3">
        <v>11559.999999999998</v>
      </c>
      <c r="J2905" s="3">
        <v>46239.999999999993</v>
      </c>
      <c r="K2905" s="3">
        <v>8500</v>
      </c>
      <c r="L2905" s="3">
        <v>34000</v>
      </c>
      <c r="M2905" s="3">
        <v>12239.999999999993</v>
      </c>
      <c r="N2905" s="4">
        <v>0.26470588235294107</v>
      </c>
    </row>
    <row r="2906" spans="1:14" x14ac:dyDescent="0.3">
      <c r="A2906" s="6">
        <v>45865</v>
      </c>
      <c r="B2906" s="1" t="s">
        <v>3090</v>
      </c>
      <c r="C2906" s="1" t="s">
        <v>26</v>
      </c>
      <c r="D2906" t="s">
        <v>30</v>
      </c>
      <c r="E2906" t="s">
        <v>576</v>
      </c>
      <c r="F2906" t="s">
        <v>14</v>
      </c>
      <c r="G2906" t="s">
        <v>15</v>
      </c>
      <c r="H2906" s="3">
        <v>9</v>
      </c>
      <c r="I2906" s="3">
        <v>63450</v>
      </c>
      <c r="J2906" s="3">
        <v>571050</v>
      </c>
      <c r="K2906" s="3">
        <v>45000</v>
      </c>
      <c r="L2906" s="3">
        <v>405000</v>
      </c>
      <c r="M2906" s="3">
        <v>166050</v>
      </c>
      <c r="N2906" s="4">
        <v>0.29078014184397161</v>
      </c>
    </row>
    <row r="2907" spans="1:14" x14ac:dyDescent="0.3">
      <c r="A2907" s="6">
        <v>45865</v>
      </c>
      <c r="B2907" s="1" t="s">
        <v>3091</v>
      </c>
      <c r="C2907" s="1" t="s">
        <v>26</v>
      </c>
      <c r="D2907" t="s">
        <v>34</v>
      </c>
      <c r="E2907" t="s">
        <v>411</v>
      </c>
      <c r="F2907" t="s">
        <v>24</v>
      </c>
      <c r="G2907" t="s">
        <v>25</v>
      </c>
      <c r="H2907" s="3">
        <v>10</v>
      </c>
      <c r="I2907" s="3">
        <v>3350</v>
      </c>
      <c r="J2907" s="3">
        <v>33500</v>
      </c>
      <c r="K2907" s="3">
        <v>2500</v>
      </c>
      <c r="L2907" s="3">
        <v>25000</v>
      </c>
      <c r="M2907" s="3">
        <v>8500</v>
      </c>
      <c r="N2907" s="4">
        <v>0.2537313432835821</v>
      </c>
    </row>
    <row r="2908" spans="1:14" x14ac:dyDescent="0.3">
      <c r="A2908" s="6">
        <v>45865</v>
      </c>
      <c r="B2908" s="1" t="s">
        <v>3092</v>
      </c>
      <c r="C2908" s="1" t="s">
        <v>26</v>
      </c>
      <c r="D2908" t="s">
        <v>35</v>
      </c>
      <c r="E2908" t="s">
        <v>98</v>
      </c>
      <c r="F2908" t="s">
        <v>19</v>
      </c>
      <c r="G2908" t="s">
        <v>20</v>
      </c>
      <c r="H2908" s="3">
        <v>2</v>
      </c>
      <c r="I2908" s="3">
        <v>1116</v>
      </c>
      <c r="J2908" s="3">
        <v>2232</v>
      </c>
      <c r="K2908" s="3">
        <v>900</v>
      </c>
      <c r="L2908" s="3">
        <v>1800</v>
      </c>
      <c r="M2908" s="3">
        <v>432</v>
      </c>
      <c r="N2908" s="4">
        <v>0.19354838709677419</v>
      </c>
    </row>
    <row r="2909" spans="1:14" x14ac:dyDescent="0.3">
      <c r="A2909" s="6">
        <v>45865</v>
      </c>
      <c r="B2909" s="1" t="s">
        <v>3093</v>
      </c>
      <c r="C2909" s="1" t="s">
        <v>27</v>
      </c>
      <c r="D2909" t="s">
        <v>34</v>
      </c>
      <c r="E2909" t="s">
        <v>548</v>
      </c>
      <c r="F2909" t="s">
        <v>16</v>
      </c>
      <c r="G2909" t="s">
        <v>15</v>
      </c>
      <c r="H2909" s="3">
        <v>9</v>
      </c>
      <c r="I2909" s="3">
        <v>46360</v>
      </c>
      <c r="J2909" s="3">
        <v>417240</v>
      </c>
      <c r="K2909" s="3">
        <v>38000</v>
      </c>
      <c r="L2909" s="3">
        <v>342000</v>
      </c>
      <c r="M2909" s="3">
        <v>75240</v>
      </c>
      <c r="N2909" s="4">
        <v>0.18032786885245902</v>
      </c>
    </row>
    <row r="2910" spans="1:14" x14ac:dyDescent="0.3">
      <c r="A2910" s="6">
        <v>45865</v>
      </c>
      <c r="B2910" s="1" t="s">
        <v>3094</v>
      </c>
      <c r="C2910" s="1" t="s">
        <v>27</v>
      </c>
      <c r="D2910" t="s">
        <v>31</v>
      </c>
      <c r="E2910" t="s">
        <v>153</v>
      </c>
      <c r="F2910" t="s">
        <v>21</v>
      </c>
      <c r="G2910" t="s">
        <v>20</v>
      </c>
      <c r="H2910" s="3">
        <v>5</v>
      </c>
      <c r="I2910" s="3">
        <v>774</v>
      </c>
      <c r="J2910" s="3">
        <v>3870</v>
      </c>
      <c r="K2910" s="3">
        <v>600</v>
      </c>
      <c r="L2910" s="3">
        <v>3000</v>
      </c>
      <c r="M2910" s="3">
        <v>870</v>
      </c>
      <c r="N2910" s="4">
        <v>0.22480620155038761</v>
      </c>
    </row>
    <row r="2911" spans="1:14" x14ac:dyDescent="0.3">
      <c r="A2911" s="6">
        <v>45865</v>
      </c>
      <c r="B2911" s="1" t="s">
        <v>3095</v>
      </c>
      <c r="C2911" s="1" t="s">
        <v>28</v>
      </c>
      <c r="D2911" t="s">
        <v>32</v>
      </c>
      <c r="E2911" t="s">
        <v>400</v>
      </c>
      <c r="F2911" t="s">
        <v>17</v>
      </c>
      <c r="G2911" t="s">
        <v>18</v>
      </c>
      <c r="H2911" s="3">
        <v>9</v>
      </c>
      <c r="I2911" s="3">
        <v>10285</v>
      </c>
      <c r="J2911" s="3">
        <v>92565</v>
      </c>
      <c r="K2911" s="3">
        <v>8500</v>
      </c>
      <c r="L2911" s="3">
        <v>76500</v>
      </c>
      <c r="M2911" s="3">
        <v>16065</v>
      </c>
      <c r="N2911" s="4">
        <v>0.17355371900826447</v>
      </c>
    </row>
    <row r="2912" spans="1:14" x14ac:dyDescent="0.3">
      <c r="A2912" s="6">
        <v>45866</v>
      </c>
      <c r="B2912" s="1" t="s">
        <v>3096</v>
      </c>
      <c r="C2912" s="1" t="s">
        <v>28</v>
      </c>
      <c r="D2912" t="s">
        <v>33</v>
      </c>
      <c r="E2912" t="s">
        <v>161</v>
      </c>
      <c r="F2912" t="s">
        <v>19</v>
      </c>
      <c r="G2912" t="s">
        <v>20</v>
      </c>
      <c r="H2912" s="3">
        <v>10</v>
      </c>
      <c r="I2912" s="3">
        <v>1080</v>
      </c>
      <c r="J2912" s="3">
        <v>10800</v>
      </c>
      <c r="K2912" s="3">
        <v>900</v>
      </c>
      <c r="L2912" s="3">
        <v>9000</v>
      </c>
      <c r="M2912" s="3">
        <v>1800</v>
      </c>
      <c r="N2912" s="4">
        <v>0.16666666666666666</v>
      </c>
    </row>
    <row r="2913" spans="1:14" x14ac:dyDescent="0.3">
      <c r="A2913" s="6">
        <v>45866</v>
      </c>
      <c r="B2913" s="1" t="s">
        <v>3097</v>
      </c>
      <c r="C2913" s="1" t="s">
        <v>27</v>
      </c>
      <c r="D2913" t="s">
        <v>31</v>
      </c>
      <c r="E2913" t="s">
        <v>102</v>
      </c>
      <c r="F2913" t="s">
        <v>16</v>
      </c>
      <c r="G2913" t="s">
        <v>15</v>
      </c>
      <c r="H2913" s="3">
        <v>9</v>
      </c>
      <c r="I2913" s="3">
        <v>49400</v>
      </c>
      <c r="J2913" s="3">
        <v>444600</v>
      </c>
      <c r="K2913" s="3">
        <v>38000</v>
      </c>
      <c r="L2913" s="3">
        <v>342000</v>
      </c>
      <c r="M2913" s="3">
        <v>102600</v>
      </c>
      <c r="N2913" s="4">
        <v>0.23076923076923078</v>
      </c>
    </row>
    <row r="2914" spans="1:14" x14ac:dyDescent="0.3">
      <c r="A2914" s="6">
        <v>45866</v>
      </c>
      <c r="B2914" s="1" t="s">
        <v>3098</v>
      </c>
      <c r="C2914" s="1" t="s">
        <v>28</v>
      </c>
      <c r="D2914" t="s">
        <v>34</v>
      </c>
      <c r="E2914" t="s">
        <v>453</v>
      </c>
      <c r="F2914" t="s">
        <v>16</v>
      </c>
      <c r="G2914" t="s">
        <v>15</v>
      </c>
      <c r="H2914" s="3">
        <v>7</v>
      </c>
      <c r="I2914" s="3">
        <v>48640</v>
      </c>
      <c r="J2914" s="3">
        <v>340480</v>
      </c>
      <c r="K2914" s="3">
        <v>38000</v>
      </c>
      <c r="L2914" s="3">
        <v>266000</v>
      </c>
      <c r="M2914" s="3">
        <v>74480</v>
      </c>
      <c r="N2914" s="4">
        <v>0.21875</v>
      </c>
    </row>
    <row r="2915" spans="1:14" x14ac:dyDescent="0.3">
      <c r="A2915" s="6">
        <v>45866</v>
      </c>
      <c r="B2915" s="1" t="s">
        <v>3099</v>
      </c>
      <c r="C2915" s="1" t="s">
        <v>29</v>
      </c>
      <c r="D2915" t="s">
        <v>35</v>
      </c>
      <c r="E2915" t="s">
        <v>102</v>
      </c>
      <c r="F2915" t="s">
        <v>24</v>
      </c>
      <c r="G2915" t="s">
        <v>25</v>
      </c>
      <c r="H2915" s="3">
        <v>8</v>
      </c>
      <c r="I2915" s="3">
        <v>3500</v>
      </c>
      <c r="J2915" s="3">
        <v>28000</v>
      </c>
      <c r="K2915" s="3">
        <v>2500</v>
      </c>
      <c r="L2915" s="3">
        <v>20000</v>
      </c>
      <c r="M2915" s="3">
        <v>8000</v>
      </c>
      <c r="N2915" s="4">
        <v>0.2857142857142857</v>
      </c>
    </row>
    <row r="2916" spans="1:14" x14ac:dyDescent="0.3">
      <c r="A2916" s="6">
        <v>45866</v>
      </c>
      <c r="B2916" s="1" t="s">
        <v>3100</v>
      </c>
      <c r="C2916" s="1" t="s">
        <v>27</v>
      </c>
      <c r="D2916" t="s">
        <v>32</v>
      </c>
      <c r="E2916" t="s">
        <v>175</v>
      </c>
      <c r="F2916" t="s">
        <v>14</v>
      </c>
      <c r="G2916" t="s">
        <v>15</v>
      </c>
      <c r="H2916" s="3">
        <v>1</v>
      </c>
      <c r="I2916" s="3">
        <v>58050</v>
      </c>
      <c r="J2916" s="3">
        <v>58050</v>
      </c>
      <c r="K2916" s="3">
        <v>45000</v>
      </c>
      <c r="L2916" s="3">
        <v>45000</v>
      </c>
      <c r="M2916" s="3">
        <v>13050</v>
      </c>
      <c r="N2916" s="4">
        <v>0.22480620155038761</v>
      </c>
    </row>
    <row r="2917" spans="1:14" x14ac:dyDescent="0.3">
      <c r="A2917" s="6">
        <v>45866</v>
      </c>
      <c r="B2917" s="1" t="s">
        <v>3101</v>
      </c>
      <c r="C2917" s="1" t="s">
        <v>28</v>
      </c>
      <c r="D2917" t="s">
        <v>30</v>
      </c>
      <c r="E2917" t="s">
        <v>88</v>
      </c>
      <c r="F2917" t="s">
        <v>24</v>
      </c>
      <c r="G2917" t="s">
        <v>25</v>
      </c>
      <c r="H2917" s="3">
        <v>6</v>
      </c>
      <c r="I2917" s="3">
        <v>3175</v>
      </c>
      <c r="J2917" s="3">
        <v>19050</v>
      </c>
      <c r="K2917" s="3">
        <v>2500</v>
      </c>
      <c r="L2917" s="3">
        <v>15000</v>
      </c>
      <c r="M2917" s="3">
        <v>4050</v>
      </c>
      <c r="N2917" s="4">
        <v>0.2125984251968504</v>
      </c>
    </row>
    <row r="2918" spans="1:14" x14ac:dyDescent="0.3">
      <c r="A2918" s="6">
        <v>45866</v>
      </c>
      <c r="B2918" s="1" t="s">
        <v>3102</v>
      </c>
      <c r="C2918" s="1" t="s">
        <v>28</v>
      </c>
      <c r="D2918" t="s">
        <v>35</v>
      </c>
      <c r="E2918" t="s">
        <v>147</v>
      </c>
      <c r="F2918" t="s">
        <v>23</v>
      </c>
      <c r="G2918" t="s">
        <v>25</v>
      </c>
      <c r="H2918" s="3">
        <v>4</v>
      </c>
      <c r="I2918" s="3">
        <v>4608</v>
      </c>
      <c r="J2918" s="3">
        <v>18432</v>
      </c>
      <c r="K2918" s="3">
        <v>3200</v>
      </c>
      <c r="L2918" s="3">
        <v>12800</v>
      </c>
      <c r="M2918" s="3">
        <v>5632</v>
      </c>
      <c r="N2918" s="4">
        <v>0.30555555555555558</v>
      </c>
    </row>
    <row r="2919" spans="1:14" x14ac:dyDescent="0.3">
      <c r="A2919" s="6">
        <v>45866</v>
      </c>
      <c r="B2919" s="1" t="s">
        <v>3103</v>
      </c>
      <c r="C2919" s="1" t="s">
        <v>28</v>
      </c>
      <c r="D2919" t="s">
        <v>31</v>
      </c>
      <c r="E2919" t="s">
        <v>302</v>
      </c>
      <c r="F2919" t="s">
        <v>22</v>
      </c>
      <c r="G2919" t="s">
        <v>18</v>
      </c>
      <c r="H2919" s="3">
        <v>2</v>
      </c>
      <c r="I2919" s="3">
        <v>9520</v>
      </c>
      <c r="J2919" s="3">
        <v>19040</v>
      </c>
      <c r="K2919" s="3">
        <v>7000</v>
      </c>
      <c r="L2919" s="3">
        <v>14000</v>
      </c>
      <c r="M2919" s="3">
        <v>5040</v>
      </c>
      <c r="N2919" s="4">
        <v>0.26470588235294118</v>
      </c>
    </row>
    <row r="2920" spans="1:14" x14ac:dyDescent="0.3">
      <c r="A2920" s="6">
        <v>45866</v>
      </c>
      <c r="B2920" s="1" t="s">
        <v>3104</v>
      </c>
      <c r="C2920" s="1" t="s">
        <v>28</v>
      </c>
      <c r="D2920" t="s">
        <v>34</v>
      </c>
      <c r="E2920" t="s">
        <v>137</v>
      </c>
      <c r="F2920" t="s">
        <v>22</v>
      </c>
      <c r="G2920" t="s">
        <v>18</v>
      </c>
      <c r="H2920" s="3">
        <v>6</v>
      </c>
      <c r="I2920" s="3">
        <v>10150</v>
      </c>
      <c r="J2920" s="3">
        <v>60900</v>
      </c>
      <c r="K2920" s="3">
        <v>7000</v>
      </c>
      <c r="L2920" s="3">
        <v>42000</v>
      </c>
      <c r="M2920" s="3">
        <v>18900</v>
      </c>
      <c r="N2920" s="4">
        <v>0.31034482758620691</v>
      </c>
    </row>
    <row r="2921" spans="1:14" x14ac:dyDescent="0.3">
      <c r="A2921" s="6">
        <v>45866</v>
      </c>
      <c r="B2921" s="1" t="s">
        <v>3105</v>
      </c>
      <c r="C2921" s="1" t="s">
        <v>27</v>
      </c>
      <c r="D2921" t="s">
        <v>33</v>
      </c>
      <c r="E2921" t="s">
        <v>698</v>
      </c>
      <c r="F2921" t="s">
        <v>22</v>
      </c>
      <c r="G2921" t="s">
        <v>18</v>
      </c>
      <c r="H2921" s="3">
        <v>6</v>
      </c>
      <c r="I2921" s="3">
        <v>9520</v>
      </c>
      <c r="J2921" s="3">
        <v>57120</v>
      </c>
      <c r="K2921" s="3">
        <v>7000</v>
      </c>
      <c r="L2921" s="3">
        <v>42000</v>
      </c>
      <c r="M2921" s="3">
        <v>15120</v>
      </c>
      <c r="N2921" s="4">
        <v>0.26470588235294118</v>
      </c>
    </row>
    <row r="2922" spans="1:14" x14ac:dyDescent="0.3">
      <c r="A2922" s="6">
        <v>45866</v>
      </c>
      <c r="B2922" s="1" t="s">
        <v>3106</v>
      </c>
      <c r="C2922" s="1" t="s">
        <v>29</v>
      </c>
      <c r="D2922" t="s">
        <v>35</v>
      </c>
      <c r="E2922" t="s">
        <v>169</v>
      </c>
      <c r="F2922" t="s">
        <v>23</v>
      </c>
      <c r="G2922" t="s">
        <v>25</v>
      </c>
      <c r="H2922" s="3">
        <v>10</v>
      </c>
      <c r="I2922" s="3">
        <v>4448</v>
      </c>
      <c r="J2922" s="3">
        <v>44480</v>
      </c>
      <c r="K2922" s="3">
        <v>3200</v>
      </c>
      <c r="L2922" s="3">
        <v>32000</v>
      </c>
      <c r="M2922" s="3">
        <v>12480</v>
      </c>
      <c r="N2922" s="4">
        <v>0.2805755395683453</v>
      </c>
    </row>
    <row r="2923" spans="1:14" x14ac:dyDescent="0.3">
      <c r="A2923" s="6">
        <v>45866</v>
      </c>
      <c r="B2923" s="1" t="s">
        <v>3107</v>
      </c>
      <c r="C2923" s="1" t="s">
        <v>29</v>
      </c>
      <c r="D2923" t="s">
        <v>34</v>
      </c>
      <c r="E2923" t="s">
        <v>118</v>
      </c>
      <c r="F2923" t="s">
        <v>17</v>
      </c>
      <c r="G2923" t="s">
        <v>18</v>
      </c>
      <c r="H2923" s="3">
        <v>7</v>
      </c>
      <c r="I2923" s="3">
        <v>10795</v>
      </c>
      <c r="J2923" s="3">
        <v>75565</v>
      </c>
      <c r="K2923" s="3">
        <v>8500</v>
      </c>
      <c r="L2923" s="3">
        <v>59500</v>
      </c>
      <c r="M2923" s="3">
        <v>16065</v>
      </c>
      <c r="N2923" s="4">
        <v>0.2125984251968504</v>
      </c>
    </row>
    <row r="2924" spans="1:14" x14ac:dyDescent="0.3">
      <c r="A2924" s="6">
        <v>45866</v>
      </c>
      <c r="B2924" s="1" t="s">
        <v>3108</v>
      </c>
      <c r="C2924" s="1" t="s">
        <v>26</v>
      </c>
      <c r="D2924" t="s">
        <v>30</v>
      </c>
      <c r="E2924" t="s">
        <v>226</v>
      </c>
      <c r="F2924" t="s">
        <v>22</v>
      </c>
      <c r="G2924" t="s">
        <v>18</v>
      </c>
      <c r="H2924" s="3">
        <v>3</v>
      </c>
      <c r="I2924" s="3">
        <v>10080</v>
      </c>
      <c r="J2924" s="3">
        <v>30240</v>
      </c>
      <c r="K2924" s="3">
        <v>7000</v>
      </c>
      <c r="L2924" s="3">
        <v>21000</v>
      </c>
      <c r="M2924" s="3">
        <v>9240</v>
      </c>
      <c r="N2924" s="4">
        <v>0.30555555555555558</v>
      </c>
    </row>
    <row r="2925" spans="1:14" x14ac:dyDescent="0.3">
      <c r="A2925" s="6">
        <v>45866</v>
      </c>
      <c r="B2925" s="1" t="s">
        <v>3109</v>
      </c>
      <c r="C2925" s="1" t="s">
        <v>26</v>
      </c>
      <c r="D2925" t="s">
        <v>34</v>
      </c>
      <c r="E2925" t="s">
        <v>265</v>
      </c>
      <c r="F2925" t="s">
        <v>22</v>
      </c>
      <c r="G2925" t="s">
        <v>18</v>
      </c>
      <c r="H2925" s="3">
        <v>7</v>
      </c>
      <c r="I2925" s="3">
        <v>9940</v>
      </c>
      <c r="J2925" s="3">
        <v>69580</v>
      </c>
      <c r="K2925" s="3">
        <v>7000</v>
      </c>
      <c r="L2925" s="3">
        <v>49000</v>
      </c>
      <c r="M2925" s="3">
        <v>20580</v>
      </c>
      <c r="N2925" s="4">
        <v>0.29577464788732394</v>
      </c>
    </row>
    <row r="2926" spans="1:14" x14ac:dyDescent="0.3">
      <c r="A2926" s="6">
        <v>45867</v>
      </c>
      <c r="B2926" s="1" t="s">
        <v>3110</v>
      </c>
      <c r="C2926" s="1" t="s">
        <v>27</v>
      </c>
      <c r="D2926" t="s">
        <v>32</v>
      </c>
      <c r="E2926" t="s">
        <v>186</v>
      </c>
      <c r="F2926" t="s">
        <v>14</v>
      </c>
      <c r="G2926" t="s">
        <v>15</v>
      </c>
      <c r="H2926" s="3">
        <v>7</v>
      </c>
      <c r="I2926" s="3">
        <v>55350</v>
      </c>
      <c r="J2926" s="3">
        <v>387450</v>
      </c>
      <c r="K2926" s="3">
        <v>45000</v>
      </c>
      <c r="L2926" s="3">
        <v>315000</v>
      </c>
      <c r="M2926" s="3">
        <v>72450</v>
      </c>
      <c r="N2926" s="4">
        <v>0.18699186991869918</v>
      </c>
    </row>
    <row r="2927" spans="1:14" x14ac:dyDescent="0.3">
      <c r="A2927" s="6">
        <v>45867</v>
      </c>
      <c r="B2927" s="1" t="s">
        <v>3111</v>
      </c>
      <c r="C2927" s="1" t="s">
        <v>26</v>
      </c>
      <c r="D2927" t="s">
        <v>33</v>
      </c>
      <c r="E2927" t="s">
        <v>49</v>
      </c>
      <c r="F2927" t="s">
        <v>16</v>
      </c>
      <c r="G2927" t="s">
        <v>15</v>
      </c>
      <c r="H2927" s="3">
        <v>8</v>
      </c>
      <c r="I2927" s="3">
        <v>50540</v>
      </c>
      <c r="J2927" s="3">
        <v>404320</v>
      </c>
      <c r="K2927" s="3">
        <v>38000</v>
      </c>
      <c r="L2927" s="3">
        <v>304000</v>
      </c>
      <c r="M2927" s="3">
        <v>100320</v>
      </c>
      <c r="N2927" s="4">
        <v>0.24812030075187969</v>
      </c>
    </row>
    <row r="2928" spans="1:14" x14ac:dyDescent="0.3">
      <c r="A2928" s="6">
        <v>45867</v>
      </c>
      <c r="B2928" s="1" t="s">
        <v>3112</v>
      </c>
      <c r="C2928" s="1" t="s">
        <v>26</v>
      </c>
      <c r="D2928" t="s">
        <v>33</v>
      </c>
      <c r="E2928" t="s">
        <v>365</v>
      </c>
      <c r="F2928" t="s">
        <v>17</v>
      </c>
      <c r="G2928" t="s">
        <v>18</v>
      </c>
      <c r="H2928" s="3">
        <v>8</v>
      </c>
      <c r="I2928" s="3">
        <v>10795</v>
      </c>
      <c r="J2928" s="3">
        <v>86360</v>
      </c>
      <c r="K2928" s="3">
        <v>8500</v>
      </c>
      <c r="L2928" s="3">
        <v>68000</v>
      </c>
      <c r="M2928" s="3">
        <v>18360</v>
      </c>
      <c r="N2928" s="4">
        <v>0.2125984251968504</v>
      </c>
    </row>
    <row r="2929" spans="1:14" x14ac:dyDescent="0.3">
      <c r="A2929" s="6">
        <v>45867</v>
      </c>
      <c r="B2929" s="1" t="s">
        <v>3113</v>
      </c>
      <c r="C2929" s="1" t="s">
        <v>29</v>
      </c>
      <c r="D2929" t="s">
        <v>33</v>
      </c>
      <c r="E2929" t="s">
        <v>415</v>
      </c>
      <c r="F2929" t="s">
        <v>19</v>
      </c>
      <c r="G2929" t="s">
        <v>20</v>
      </c>
      <c r="H2929" s="3">
        <v>7</v>
      </c>
      <c r="I2929" s="3">
        <v>1260</v>
      </c>
      <c r="J2929" s="3">
        <v>8820</v>
      </c>
      <c r="K2929" s="3">
        <v>900</v>
      </c>
      <c r="L2929" s="3">
        <v>6300</v>
      </c>
      <c r="M2929" s="3">
        <v>2520</v>
      </c>
      <c r="N2929" s="4">
        <v>0.2857142857142857</v>
      </c>
    </row>
    <row r="2930" spans="1:14" x14ac:dyDescent="0.3">
      <c r="A2930" s="6">
        <v>45867</v>
      </c>
      <c r="B2930" s="1" t="s">
        <v>3114</v>
      </c>
      <c r="C2930" s="1" t="s">
        <v>28</v>
      </c>
      <c r="D2930" t="s">
        <v>33</v>
      </c>
      <c r="E2930" t="s">
        <v>57</v>
      </c>
      <c r="F2930" t="s">
        <v>17</v>
      </c>
      <c r="G2930" t="s">
        <v>18</v>
      </c>
      <c r="H2930" s="3">
        <v>6</v>
      </c>
      <c r="I2930" s="3">
        <v>11730</v>
      </c>
      <c r="J2930" s="3">
        <v>70380</v>
      </c>
      <c r="K2930" s="3">
        <v>8500</v>
      </c>
      <c r="L2930" s="3">
        <v>51000</v>
      </c>
      <c r="M2930" s="3">
        <v>19380</v>
      </c>
      <c r="N2930" s="4">
        <v>0.27536231884057971</v>
      </c>
    </row>
    <row r="2931" spans="1:14" x14ac:dyDescent="0.3">
      <c r="A2931" s="6">
        <v>45867</v>
      </c>
      <c r="B2931" s="1" t="s">
        <v>3115</v>
      </c>
      <c r="C2931" s="1" t="s">
        <v>29</v>
      </c>
      <c r="D2931" t="s">
        <v>33</v>
      </c>
      <c r="E2931" t="s">
        <v>88</v>
      </c>
      <c r="F2931" t="s">
        <v>17</v>
      </c>
      <c r="G2931" t="s">
        <v>18</v>
      </c>
      <c r="H2931" s="3">
        <v>7</v>
      </c>
      <c r="I2931" s="3">
        <v>11985</v>
      </c>
      <c r="J2931" s="3">
        <v>83895</v>
      </c>
      <c r="K2931" s="3">
        <v>8500</v>
      </c>
      <c r="L2931" s="3">
        <v>59500</v>
      </c>
      <c r="M2931" s="3">
        <v>24395</v>
      </c>
      <c r="N2931" s="4">
        <v>0.29078014184397161</v>
      </c>
    </row>
    <row r="2932" spans="1:14" x14ac:dyDescent="0.3">
      <c r="A2932" s="6">
        <v>45867</v>
      </c>
      <c r="B2932" s="1" t="s">
        <v>3116</v>
      </c>
      <c r="C2932" s="1" t="s">
        <v>27</v>
      </c>
      <c r="D2932" t="s">
        <v>32</v>
      </c>
      <c r="E2932" t="s">
        <v>184</v>
      </c>
      <c r="F2932" t="s">
        <v>19</v>
      </c>
      <c r="G2932" t="s">
        <v>20</v>
      </c>
      <c r="H2932" s="3">
        <v>3</v>
      </c>
      <c r="I2932" s="3">
        <v>1161</v>
      </c>
      <c r="J2932" s="3">
        <v>3483</v>
      </c>
      <c r="K2932" s="3">
        <v>900</v>
      </c>
      <c r="L2932" s="3">
        <v>2700</v>
      </c>
      <c r="M2932" s="3">
        <v>783</v>
      </c>
      <c r="N2932" s="4">
        <v>0.22480620155038761</v>
      </c>
    </row>
    <row r="2933" spans="1:14" x14ac:dyDescent="0.3">
      <c r="A2933" s="6">
        <v>45867</v>
      </c>
      <c r="B2933" s="1" t="s">
        <v>3117</v>
      </c>
      <c r="C2933" s="1" t="s">
        <v>27</v>
      </c>
      <c r="D2933" t="s">
        <v>30</v>
      </c>
      <c r="E2933" t="s">
        <v>453</v>
      </c>
      <c r="F2933" t="s">
        <v>16</v>
      </c>
      <c r="G2933" t="s">
        <v>15</v>
      </c>
      <c r="H2933" s="3">
        <v>3</v>
      </c>
      <c r="I2933" s="3">
        <v>45600</v>
      </c>
      <c r="J2933" s="3">
        <v>136800</v>
      </c>
      <c r="K2933" s="3">
        <v>38000</v>
      </c>
      <c r="L2933" s="3">
        <v>114000</v>
      </c>
      <c r="M2933" s="3">
        <v>22800</v>
      </c>
      <c r="N2933" s="4">
        <v>0.16666666666666666</v>
      </c>
    </row>
    <row r="2934" spans="1:14" x14ac:dyDescent="0.3">
      <c r="A2934" s="6">
        <v>45867</v>
      </c>
      <c r="B2934" s="1" t="s">
        <v>3118</v>
      </c>
      <c r="C2934" s="1" t="s">
        <v>26</v>
      </c>
      <c r="D2934" t="s">
        <v>32</v>
      </c>
      <c r="E2934" t="s">
        <v>129</v>
      </c>
      <c r="F2934" t="s">
        <v>14</v>
      </c>
      <c r="G2934" t="s">
        <v>15</v>
      </c>
      <c r="H2934" s="3">
        <v>5</v>
      </c>
      <c r="I2934" s="3">
        <v>60300</v>
      </c>
      <c r="J2934" s="3">
        <v>301500</v>
      </c>
      <c r="K2934" s="3">
        <v>45000</v>
      </c>
      <c r="L2934" s="3">
        <v>225000</v>
      </c>
      <c r="M2934" s="3">
        <v>76500</v>
      </c>
      <c r="N2934" s="4">
        <v>0.2537313432835821</v>
      </c>
    </row>
    <row r="2935" spans="1:14" x14ac:dyDescent="0.3">
      <c r="A2935" s="6">
        <v>45867</v>
      </c>
      <c r="B2935" s="1" t="s">
        <v>3119</v>
      </c>
      <c r="C2935" s="1" t="s">
        <v>26</v>
      </c>
      <c r="D2935" t="s">
        <v>32</v>
      </c>
      <c r="E2935" t="s">
        <v>110</v>
      </c>
      <c r="F2935" t="s">
        <v>14</v>
      </c>
      <c r="G2935" t="s">
        <v>15</v>
      </c>
      <c r="H2935" s="3">
        <v>6</v>
      </c>
      <c r="I2935" s="3">
        <v>62550.000000000007</v>
      </c>
      <c r="J2935" s="3">
        <v>375300.00000000006</v>
      </c>
      <c r="K2935" s="3">
        <v>45000</v>
      </c>
      <c r="L2935" s="3">
        <v>270000</v>
      </c>
      <c r="M2935" s="3">
        <v>105300.00000000006</v>
      </c>
      <c r="N2935" s="4">
        <v>0.28057553956834541</v>
      </c>
    </row>
    <row r="2936" spans="1:14" x14ac:dyDescent="0.3">
      <c r="A2936" s="6">
        <v>45867</v>
      </c>
      <c r="B2936" s="1" t="s">
        <v>3120</v>
      </c>
      <c r="C2936" s="1" t="s">
        <v>29</v>
      </c>
      <c r="D2936" t="s">
        <v>31</v>
      </c>
      <c r="E2936" t="s">
        <v>198</v>
      </c>
      <c r="F2936" t="s">
        <v>19</v>
      </c>
      <c r="G2936" t="s">
        <v>20</v>
      </c>
      <c r="H2936" s="3">
        <v>2</v>
      </c>
      <c r="I2936" s="3">
        <v>1107</v>
      </c>
      <c r="J2936" s="3">
        <v>2214</v>
      </c>
      <c r="K2936" s="3">
        <v>900</v>
      </c>
      <c r="L2936" s="3">
        <v>1800</v>
      </c>
      <c r="M2936" s="3">
        <v>414</v>
      </c>
      <c r="N2936" s="4">
        <v>0.18699186991869918</v>
      </c>
    </row>
    <row r="2937" spans="1:14" x14ac:dyDescent="0.3">
      <c r="A2937" s="6">
        <v>45867</v>
      </c>
      <c r="B2937" s="1" t="s">
        <v>3121</v>
      </c>
      <c r="C2937" s="1" t="s">
        <v>27</v>
      </c>
      <c r="D2937" t="s">
        <v>34</v>
      </c>
      <c r="E2937" t="s">
        <v>92</v>
      </c>
      <c r="F2937" t="s">
        <v>24</v>
      </c>
      <c r="G2937" t="s">
        <v>25</v>
      </c>
      <c r="H2937" s="3">
        <v>6</v>
      </c>
      <c r="I2937" s="3">
        <v>3000</v>
      </c>
      <c r="J2937" s="3">
        <v>18000</v>
      </c>
      <c r="K2937" s="3">
        <v>2500</v>
      </c>
      <c r="L2937" s="3">
        <v>15000</v>
      </c>
      <c r="M2937" s="3">
        <v>3000</v>
      </c>
      <c r="N2937" s="4">
        <v>0.16666666666666666</v>
      </c>
    </row>
    <row r="2938" spans="1:14" x14ac:dyDescent="0.3">
      <c r="A2938" s="6">
        <v>45867</v>
      </c>
      <c r="B2938" s="1" t="s">
        <v>3122</v>
      </c>
      <c r="C2938" s="1" t="s">
        <v>28</v>
      </c>
      <c r="D2938" t="s">
        <v>30</v>
      </c>
      <c r="E2938" t="s">
        <v>102</v>
      </c>
      <c r="F2938" t="s">
        <v>23</v>
      </c>
      <c r="G2938" t="s">
        <v>25</v>
      </c>
      <c r="H2938" s="3">
        <v>7</v>
      </c>
      <c r="I2938" s="3">
        <v>4416</v>
      </c>
      <c r="J2938" s="3">
        <v>30912</v>
      </c>
      <c r="K2938" s="3">
        <v>3200</v>
      </c>
      <c r="L2938" s="3">
        <v>22400</v>
      </c>
      <c r="M2938" s="3">
        <v>8512</v>
      </c>
      <c r="N2938" s="4">
        <v>0.27536231884057971</v>
      </c>
    </row>
    <row r="2939" spans="1:14" x14ac:dyDescent="0.3">
      <c r="A2939" s="6">
        <v>45867</v>
      </c>
      <c r="B2939" s="1" t="s">
        <v>3123</v>
      </c>
      <c r="C2939" s="1" t="s">
        <v>28</v>
      </c>
      <c r="D2939" t="s">
        <v>30</v>
      </c>
      <c r="E2939" t="s">
        <v>129</v>
      </c>
      <c r="F2939" t="s">
        <v>16</v>
      </c>
      <c r="G2939" t="s">
        <v>15</v>
      </c>
      <c r="H2939" s="3">
        <v>4</v>
      </c>
      <c r="I2939" s="3">
        <v>52060.000000000007</v>
      </c>
      <c r="J2939" s="3">
        <v>208240.00000000003</v>
      </c>
      <c r="K2939" s="3">
        <v>38000</v>
      </c>
      <c r="L2939" s="3">
        <v>152000</v>
      </c>
      <c r="M2939" s="3">
        <v>56240.000000000029</v>
      </c>
      <c r="N2939" s="4">
        <v>0.27007299270073004</v>
      </c>
    </row>
    <row r="2940" spans="1:14" x14ac:dyDescent="0.3">
      <c r="A2940" s="6">
        <v>45868</v>
      </c>
      <c r="B2940" s="1" t="s">
        <v>3124</v>
      </c>
      <c r="C2940" s="1" t="s">
        <v>29</v>
      </c>
      <c r="D2940" t="s">
        <v>30</v>
      </c>
      <c r="E2940" t="s">
        <v>268</v>
      </c>
      <c r="F2940" t="s">
        <v>24</v>
      </c>
      <c r="G2940" t="s">
        <v>25</v>
      </c>
      <c r="H2940" s="3">
        <v>3</v>
      </c>
      <c r="I2940" s="3">
        <v>3050</v>
      </c>
      <c r="J2940" s="3">
        <v>9150</v>
      </c>
      <c r="K2940" s="3">
        <v>2500</v>
      </c>
      <c r="L2940" s="3">
        <v>7500</v>
      </c>
      <c r="M2940" s="3">
        <v>1650</v>
      </c>
      <c r="N2940" s="4">
        <v>0.18032786885245902</v>
      </c>
    </row>
    <row r="2941" spans="1:14" x14ac:dyDescent="0.3">
      <c r="A2941" s="6">
        <v>45868</v>
      </c>
      <c r="B2941" s="1" t="s">
        <v>3125</v>
      </c>
      <c r="C2941" s="1" t="s">
        <v>26</v>
      </c>
      <c r="D2941" t="s">
        <v>34</v>
      </c>
      <c r="E2941" t="s">
        <v>43</v>
      </c>
      <c r="F2941" t="s">
        <v>16</v>
      </c>
      <c r="G2941" t="s">
        <v>15</v>
      </c>
      <c r="H2941" s="3">
        <v>1</v>
      </c>
      <c r="I2941" s="3">
        <v>51300</v>
      </c>
      <c r="J2941" s="3">
        <v>51300</v>
      </c>
      <c r="K2941" s="3">
        <v>38000</v>
      </c>
      <c r="L2941" s="3">
        <v>38000</v>
      </c>
      <c r="M2941" s="3">
        <v>13300</v>
      </c>
      <c r="N2941" s="4">
        <v>0.25925925925925924</v>
      </c>
    </row>
    <row r="2942" spans="1:14" x14ac:dyDescent="0.3">
      <c r="A2942" s="6">
        <v>45868</v>
      </c>
      <c r="B2942" s="1" t="s">
        <v>3126</v>
      </c>
      <c r="C2942" s="1" t="s">
        <v>27</v>
      </c>
      <c r="D2942" t="s">
        <v>30</v>
      </c>
      <c r="E2942" t="s">
        <v>280</v>
      </c>
      <c r="F2942" t="s">
        <v>21</v>
      </c>
      <c r="G2942" t="s">
        <v>20</v>
      </c>
      <c r="H2942" s="3">
        <v>7</v>
      </c>
      <c r="I2942" s="3">
        <v>762</v>
      </c>
      <c r="J2942" s="3">
        <v>5334</v>
      </c>
      <c r="K2942" s="3">
        <v>600</v>
      </c>
      <c r="L2942" s="3">
        <v>4200</v>
      </c>
      <c r="M2942" s="3">
        <v>1134</v>
      </c>
      <c r="N2942" s="4">
        <v>0.2125984251968504</v>
      </c>
    </row>
    <row r="2943" spans="1:14" x14ac:dyDescent="0.3">
      <c r="A2943" s="6">
        <v>45868</v>
      </c>
      <c r="B2943" s="1" t="s">
        <v>3127</v>
      </c>
      <c r="C2943" s="1" t="s">
        <v>29</v>
      </c>
      <c r="D2943" t="s">
        <v>35</v>
      </c>
      <c r="E2943" t="s">
        <v>231</v>
      </c>
      <c r="F2943" t="s">
        <v>16</v>
      </c>
      <c r="G2943" t="s">
        <v>15</v>
      </c>
      <c r="H2943" s="3">
        <v>5</v>
      </c>
      <c r="I2943" s="3">
        <v>46740</v>
      </c>
      <c r="J2943" s="3">
        <v>233700</v>
      </c>
      <c r="K2943" s="3">
        <v>38000</v>
      </c>
      <c r="L2943" s="3">
        <v>190000</v>
      </c>
      <c r="M2943" s="3">
        <v>43700</v>
      </c>
      <c r="N2943" s="4">
        <v>0.18699186991869918</v>
      </c>
    </row>
    <row r="2944" spans="1:14" x14ac:dyDescent="0.3">
      <c r="A2944" s="6">
        <v>45868</v>
      </c>
      <c r="B2944" s="1" t="s">
        <v>3128</v>
      </c>
      <c r="C2944" s="1" t="s">
        <v>27</v>
      </c>
      <c r="D2944" t="s">
        <v>31</v>
      </c>
      <c r="E2944" t="s">
        <v>85</v>
      </c>
      <c r="F2944" t="s">
        <v>22</v>
      </c>
      <c r="G2944" t="s">
        <v>18</v>
      </c>
      <c r="H2944" s="3">
        <v>1</v>
      </c>
      <c r="I2944" s="3">
        <v>9450</v>
      </c>
      <c r="J2944" s="3">
        <v>9450</v>
      </c>
      <c r="K2944" s="3">
        <v>7000</v>
      </c>
      <c r="L2944" s="3">
        <v>7000</v>
      </c>
      <c r="M2944" s="3">
        <v>2450</v>
      </c>
      <c r="N2944" s="4">
        <v>0.25925925925925924</v>
      </c>
    </row>
    <row r="2945" spans="1:14" x14ac:dyDescent="0.3">
      <c r="A2945" s="6">
        <v>45868</v>
      </c>
      <c r="B2945" s="1" t="s">
        <v>3129</v>
      </c>
      <c r="C2945" s="1" t="s">
        <v>29</v>
      </c>
      <c r="D2945" t="s">
        <v>35</v>
      </c>
      <c r="E2945" t="s">
        <v>61</v>
      </c>
      <c r="F2945" t="s">
        <v>19</v>
      </c>
      <c r="G2945" t="s">
        <v>20</v>
      </c>
      <c r="H2945" s="3">
        <v>8</v>
      </c>
      <c r="I2945" s="3">
        <v>1242</v>
      </c>
      <c r="J2945" s="3">
        <v>9936</v>
      </c>
      <c r="K2945" s="3">
        <v>900</v>
      </c>
      <c r="L2945" s="3">
        <v>7200</v>
      </c>
      <c r="M2945" s="3">
        <v>2736</v>
      </c>
      <c r="N2945" s="4">
        <v>0.27536231884057971</v>
      </c>
    </row>
    <row r="2946" spans="1:14" x14ac:dyDescent="0.3">
      <c r="A2946" s="6">
        <v>45868</v>
      </c>
      <c r="B2946" s="1" t="s">
        <v>3130</v>
      </c>
      <c r="C2946" s="1" t="s">
        <v>27</v>
      </c>
      <c r="D2946" t="s">
        <v>32</v>
      </c>
      <c r="E2946" t="s">
        <v>92</v>
      </c>
      <c r="F2946" t="s">
        <v>23</v>
      </c>
      <c r="G2946" t="s">
        <v>25</v>
      </c>
      <c r="H2946" s="3">
        <v>8</v>
      </c>
      <c r="I2946" s="3">
        <v>4384</v>
      </c>
      <c r="J2946" s="3">
        <v>35072</v>
      </c>
      <c r="K2946" s="3">
        <v>3200</v>
      </c>
      <c r="L2946" s="3">
        <v>25600</v>
      </c>
      <c r="M2946" s="3">
        <v>9472</v>
      </c>
      <c r="N2946" s="4">
        <v>0.27007299270072993</v>
      </c>
    </row>
    <row r="2947" spans="1:14" x14ac:dyDescent="0.3">
      <c r="A2947" s="6">
        <v>45868</v>
      </c>
      <c r="B2947" s="1" t="s">
        <v>3131</v>
      </c>
      <c r="C2947" s="1" t="s">
        <v>26</v>
      </c>
      <c r="D2947" t="s">
        <v>35</v>
      </c>
      <c r="E2947" t="s">
        <v>319</v>
      </c>
      <c r="F2947" t="s">
        <v>22</v>
      </c>
      <c r="G2947" t="s">
        <v>18</v>
      </c>
      <c r="H2947" s="3">
        <v>6</v>
      </c>
      <c r="I2947" s="3">
        <v>9660</v>
      </c>
      <c r="J2947" s="3">
        <v>57960</v>
      </c>
      <c r="K2947" s="3">
        <v>7000</v>
      </c>
      <c r="L2947" s="3">
        <v>42000</v>
      </c>
      <c r="M2947" s="3">
        <v>15960</v>
      </c>
      <c r="N2947" s="4">
        <v>0.27536231884057971</v>
      </c>
    </row>
    <row r="2948" spans="1:14" x14ac:dyDescent="0.3">
      <c r="A2948" s="6">
        <v>45868</v>
      </c>
      <c r="B2948" s="1" t="s">
        <v>3132</v>
      </c>
      <c r="C2948" s="1" t="s">
        <v>26</v>
      </c>
      <c r="D2948" t="s">
        <v>32</v>
      </c>
      <c r="E2948" t="s">
        <v>201</v>
      </c>
      <c r="F2948" t="s">
        <v>22</v>
      </c>
      <c r="G2948" t="s">
        <v>18</v>
      </c>
      <c r="H2948" s="3">
        <v>4</v>
      </c>
      <c r="I2948" s="3">
        <v>9520</v>
      </c>
      <c r="J2948" s="3">
        <v>38080</v>
      </c>
      <c r="K2948" s="3">
        <v>7000</v>
      </c>
      <c r="L2948" s="3">
        <v>28000</v>
      </c>
      <c r="M2948" s="3">
        <v>10080</v>
      </c>
      <c r="N2948" s="4">
        <v>0.26470588235294118</v>
      </c>
    </row>
    <row r="2949" spans="1:14" x14ac:dyDescent="0.3">
      <c r="A2949" s="6">
        <v>45868</v>
      </c>
      <c r="B2949" s="1" t="s">
        <v>3133</v>
      </c>
      <c r="C2949" s="1" t="s">
        <v>28</v>
      </c>
      <c r="D2949" t="s">
        <v>33</v>
      </c>
      <c r="E2949" t="s">
        <v>51</v>
      </c>
      <c r="F2949" t="s">
        <v>24</v>
      </c>
      <c r="G2949" t="s">
        <v>25</v>
      </c>
      <c r="H2949" s="3">
        <v>2</v>
      </c>
      <c r="I2949" s="3">
        <v>3500</v>
      </c>
      <c r="J2949" s="3">
        <v>7000</v>
      </c>
      <c r="K2949" s="3">
        <v>2500</v>
      </c>
      <c r="L2949" s="3">
        <v>5000</v>
      </c>
      <c r="M2949" s="3">
        <v>2000</v>
      </c>
      <c r="N2949" s="4">
        <v>0.2857142857142857</v>
      </c>
    </row>
    <row r="2950" spans="1:14" x14ac:dyDescent="0.3">
      <c r="A2950" s="6">
        <v>45868</v>
      </c>
      <c r="B2950" s="1" t="s">
        <v>3134</v>
      </c>
      <c r="C2950" s="1" t="s">
        <v>26</v>
      </c>
      <c r="D2950" t="s">
        <v>32</v>
      </c>
      <c r="E2950" t="s">
        <v>159</v>
      </c>
      <c r="F2950" t="s">
        <v>23</v>
      </c>
      <c r="G2950" t="s">
        <v>25</v>
      </c>
      <c r="H2950" s="3">
        <v>9</v>
      </c>
      <c r="I2950" s="3">
        <v>4384</v>
      </c>
      <c r="J2950" s="3">
        <v>39456</v>
      </c>
      <c r="K2950" s="3">
        <v>3200</v>
      </c>
      <c r="L2950" s="3">
        <v>28800</v>
      </c>
      <c r="M2950" s="3">
        <v>10656</v>
      </c>
      <c r="N2950" s="4">
        <v>0.27007299270072993</v>
      </c>
    </row>
    <row r="2951" spans="1:14" x14ac:dyDescent="0.3">
      <c r="A2951" s="6">
        <v>45868</v>
      </c>
      <c r="B2951" s="1" t="s">
        <v>3135</v>
      </c>
      <c r="C2951" s="1" t="s">
        <v>27</v>
      </c>
      <c r="D2951" t="s">
        <v>34</v>
      </c>
      <c r="E2951" t="s">
        <v>275</v>
      </c>
      <c r="F2951" t="s">
        <v>17</v>
      </c>
      <c r="G2951" t="s">
        <v>18</v>
      </c>
      <c r="H2951" s="3">
        <v>4</v>
      </c>
      <c r="I2951" s="3">
        <v>10285</v>
      </c>
      <c r="J2951" s="3">
        <v>41140</v>
      </c>
      <c r="K2951" s="3">
        <v>8500</v>
      </c>
      <c r="L2951" s="3">
        <v>34000</v>
      </c>
      <c r="M2951" s="3">
        <v>7140</v>
      </c>
      <c r="N2951" s="4">
        <v>0.17355371900826447</v>
      </c>
    </row>
    <row r="2952" spans="1:14" x14ac:dyDescent="0.3">
      <c r="A2952" s="6">
        <v>45868</v>
      </c>
      <c r="B2952" s="1" t="s">
        <v>3136</v>
      </c>
      <c r="C2952" s="1" t="s">
        <v>29</v>
      </c>
      <c r="D2952" t="s">
        <v>31</v>
      </c>
      <c r="E2952" t="s">
        <v>351</v>
      </c>
      <c r="F2952" t="s">
        <v>16</v>
      </c>
      <c r="G2952" t="s">
        <v>15</v>
      </c>
      <c r="H2952" s="3">
        <v>7</v>
      </c>
      <c r="I2952" s="3">
        <v>45600</v>
      </c>
      <c r="J2952" s="3">
        <v>319200</v>
      </c>
      <c r="K2952" s="3">
        <v>38000</v>
      </c>
      <c r="L2952" s="3">
        <v>266000</v>
      </c>
      <c r="M2952" s="3">
        <v>53200</v>
      </c>
      <c r="N2952" s="4">
        <v>0.16666666666666666</v>
      </c>
    </row>
    <row r="2953" spans="1:14" x14ac:dyDescent="0.3">
      <c r="A2953" s="6">
        <v>45868</v>
      </c>
      <c r="B2953" s="1" t="s">
        <v>3137</v>
      </c>
      <c r="C2953" s="1" t="s">
        <v>28</v>
      </c>
      <c r="D2953" t="s">
        <v>32</v>
      </c>
      <c r="E2953" t="s">
        <v>129</v>
      </c>
      <c r="F2953" t="s">
        <v>16</v>
      </c>
      <c r="G2953" t="s">
        <v>15</v>
      </c>
      <c r="H2953" s="3">
        <v>7</v>
      </c>
      <c r="I2953" s="3">
        <v>50540</v>
      </c>
      <c r="J2953" s="3">
        <v>353780</v>
      </c>
      <c r="K2953" s="3">
        <v>38000</v>
      </c>
      <c r="L2953" s="3">
        <v>266000</v>
      </c>
      <c r="M2953" s="3">
        <v>87780</v>
      </c>
      <c r="N2953" s="4">
        <v>0.24812030075187969</v>
      </c>
    </row>
    <row r="2954" spans="1:14" x14ac:dyDescent="0.3">
      <c r="A2954" s="6">
        <v>45869</v>
      </c>
      <c r="B2954" s="1" t="s">
        <v>3138</v>
      </c>
      <c r="C2954" s="1" t="s">
        <v>29</v>
      </c>
      <c r="D2954" t="s">
        <v>31</v>
      </c>
      <c r="E2954" t="s">
        <v>935</v>
      </c>
      <c r="F2954" t="s">
        <v>17</v>
      </c>
      <c r="G2954" t="s">
        <v>18</v>
      </c>
      <c r="H2954" s="3">
        <v>4</v>
      </c>
      <c r="I2954" s="3">
        <v>10285</v>
      </c>
      <c r="J2954" s="3">
        <v>41140</v>
      </c>
      <c r="K2954" s="3">
        <v>8500</v>
      </c>
      <c r="L2954" s="3">
        <v>34000</v>
      </c>
      <c r="M2954" s="3">
        <v>7140</v>
      </c>
      <c r="N2954" s="4">
        <v>0.17355371900826447</v>
      </c>
    </row>
    <row r="2955" spans="1:14" x14ac:dyDescent="0.3">
      <c r="A2955" s="6">
        <v>45869</v>
      </c>
      <c r="B2955" s="1" t="s">
        <v>3139</v>
      </c>
      <c r="C2955" s="1" t="s">
        <v>26</v>
      </c>
      <c r="D2955" t="s">
        <v>31</v>
      </c>
      <c r="E2955" t="s">
        <v>198</v>
      </c>
      <c r="F2955" t="s">
        <v>24</v>
      </c>
      <c r="G2955" t="s">
        <v>25</v>
      </c>
      <c r="H2955" s="3">
        <v>3</v>
      </c>
      <c r="I2955" s="3">
        <v>3625</v>
      </c>
      <c r="J2955" s="3">
        <v>10875</v>
      </c>
      <c r="K2955" s="3">
        <v>2500</v>
      </c>
      <c r="L2955" s="3">
        <v>7500</v>
      </c>
      <c r="M2955" s="3">
        <v>3375</v>
      </c>
      <c r="N2955" s="4">
        <v>0.31034482758620691</v>
      </c>
    </row>
    <row r="2956" spans="1:14" x14ac:dyDescent="0.3">
      <c r="A2956" s="6">
        <v>45869</v>
      </c>
      <c r="B2956" s="1" t="s">
        <v>3140</v>
      </c>
      <c r="C2956" s="1" t="s">
        <v>27</v>
      </c>
      <c r="D2956" t="s">
        <v>30</v>
      </c>
      <c r="E2956" t="s">
        <v>508</v>
      </c>
      <c r="F2956" t="s">
        <v>24</v>
      </c>
      <c r="G2956" t="s">
        <v>25</v>
      </c>
      <c r="H2956" s="3">
        <v>4</v>
      </c>
      <c r="I2956" s="3">
        <v>3175</v>
      </c>
      <c r="J2956" s="3">
        <v>12700</v>
      </c>
      <c r="K2956" s="3">
        <v>2500</v>
      </c>
      <c r="L2956" s="3">
        <v>10000</v>
      </c>
      <c r="M2956" s="3">
        <v>2700</v>
      </c>
      <c r="N2956" s="4">
        <v>0.2125984251968504</v>
      </c>
    </row>
    <row r="2957" spans="1:14" x14ac:dyDescent="0.3">
      <c r="A2957" s="6">
        <v>45869</v>
      </c>
      <c r="B2957" s="1" t="s">
        <v>3141</v>
      </c>
      <c r="C2957" s="1" t="s">
        <v>26</v>
      </c>
      <c r="D2957" t="s">
        <v>32</v>
      </c>
      <c r="E2957" t="s">
        <v>363</v>
      </c>
      <c r="F2957" t="s">
        <v>14</v>
      </c>
      <c r="G2957" t="s">
        <v>15</v>
      </c>
      <c r="H2957" s="3">
        <v>8</v>
      </c>
      <c r="I2957" s="3">
        <v>60750.000000000007</v>
      </c>
      <c r="J2957" s="3">
        <v>486000.00000000006</v>
      </c>
      <c r="K2957" s="3">
        <v>45000</v>
      </c>
      <c r="L2957" s="3">
        <v>360000</v>
      </c>
      <c r="M2957" s="3">
        <v>126000.00000000006</v>
      </c>
      <c r="N2957" s="4">
        <v>0.25925925925925936</v>
      </c>
    </row>
    <row r="2958" spans="1:14" x14ac:dyDescent="0.3">
      <c r="A2958" s="6">
        <v>45869</v>
      </c>
      <c r="B2958" s="1" t="s">
        <v>3142</v>
      </c>
      <c r="C2958" s="1" t="s">
        <v>28</v>
      </c>
      <c r="D2958" t="s">
        <v>32</v>
      </c>
      <c r="E2958" t="s">
        <v>53</v>
      </c>
      <c r="F2958" t="s">
        <v>21</v>
      </c>
      <c r="G2958" t="s">
        <v>20</v>
      </c>
      <c r="H2958" s="3">
        <v>1</v>
      </c>
      <c r="I2958" s="3">
        <v>804</v>
      </c>
      <c r="J2958" s="3">
        <v>804</v>
      </c>
      <c r="K2958" s="3">
        <v>600</v>
      </c>
      <c r="L2958" s="3">
        <v>600</v>
      </c>
      <c r="M2958" s="3">
        <v>204</v>
      </c>
      <c r="N2958" s="4">
        <v>0.2537313432835821</v>
      </c>
    </row>
    <row r="2959" spans="1:14" x14ac:dyDescent="0.3">
      <c r="A2959" s="6">
        <v>45869</v>
      </c>
      <c r="B2959" s="1" t="s">
        <v>3143</v>
      </c>
      <c r="C2959" s="1" t="s">
        <v>28</v>
      </c>
      <c r="D2959" t="s">
        <v>31</v>
      </c>
      <c r="E2959" t="s">
        <v>424</v>
      </c>
      <c r="F2959" t="s">
        <v>14</v>
      </c>
      <c r="G2959" t="s">
        <v>15</v>
      </c>
      <c r="H2959" s="3">
        <v>10</v>
      </c>
      <c r="I2959" s="3">
        <v>64800</v>
      </c>
      <c r="J2959" s="3">
        <v>648000</v>
      </c>
      <c r="K2959" s="3">
        <v>45000</v>
      </c>
      <c r="L2959" s="3">
        <v>450000</v>
      </c>
      <c r="M2959" s="3">
        <v>198000</v>
      </c>
      <c r="N2959" s="4">
        <v>0.30555555555555558</v>
      </c>
    </row>
    <row r="2960" spans="1:14" x14ac:dyDescent="0.3">
      <c r="A2960" s="6">
        <v>45869</v>
      </c>
      <c r="B2960" s="1" t="s">
        <v>3144</v>
      </c>
      <c r="C2960" s="1" t="s">
        <v>28</v>
      </c>
      <c r="D2960" t="s">
        <v>32</v>
      </c>
      <c r="E2960" t="s">
        <v>524</v>
      </c>
      <c r="F2960" t="s">
        <v>16</v>
      </c>
      <c r="G2960" t="s">
        <v>15</v>
      </c>
      <c r="H2960" s="3">
        <v>10</v>
      </c>
      <c r="I2960" s="3">
        <v>50920</v>
      </c>
      <c r="J2960" s="3">
        <v>509200</v>
      </c>
      <c r="K2960" s="3">
        <v>38000</v>
      </c>
      <c r="L2960" s="3">
        <v>380000</v>
      </c>
      <c r="M2960" s="3">
        <v>129200</v>
      </c>
      <c r="N2960" s="4">
        <v>0.2537313432835821</v>
      </c>
    </row>
    <row r="2961" spans="1:14" x14ac:dyDescent="0.3">
      <c r="A2961" s="6">
        <v>45869</v>
      </c>
      <c r="B2961" s="1" t="s">
        <v>3145</v>
      </c>
      <c r="C2961" s="1" t="s">
        <v>27</v>
      </c>
      <c r="D2961" t="s">
        <v>35</v>
      </c>
      <c r="E2961" t="s">
        <v>292</v>
      </c>
      <c r="F2961" t="s">
        <v>16</v>
      </c>
      <c r="G2961" t="s">
        <v>15</v>
      </c>
      <c r="H2961" s="3">
        <v>1</v>
      </c>
      <c r="I2961" s="3">
        <v>53580</v>
      </c>
      <c r="J2961" s="3">
        <v>53580</v>
      </c>
      <c r="K2961" s="3">
        <v>38000</v>
      </c>
      <c r="L2961" s="3">
        <v>38000</v>
      </c>
      <c r="M2961" s="3">
        <v>15580</v>
      </c>
      <c r="N2961" s="4">
        <v>0.29078014184397161</v>
      </c>
    </row>
    <row r="2962" spans="1:14" x14ac:dyDescent="0.3">
      <c r="A2962" s="6">
        <v>45869</v>
      </c>
      <c r="B2962" s="1" t="s">
        <v>3146</v>
      </c>
      <c r="C2962" s="1" t="s">
        <v>29</v>
      </c>
      <c r="D2962" t="s">
        <v>32</v>
      </c>
      <c r="E2962" t="s">
        <v>431</v>
      </c>
      <c r="F2962" t="s">
        <v>24</v>
      </c>
      <c r="G2962" t="s">
        <v>25</v>
      </c>
      <c r="H2962" s="3">
        <v>7</v>
      </c>
      <c r="I2962" s="3">
        <v>3275</v>
      </c>
      <c r="J2962" s="3">
        <v>22925</v>
      </c>
      <c r="K2962" s="3">
        <v>2500</v>
      </c>
      <c r="L2962" s="3">
        <v>17500</v>
      </c>
      <c r="M2962" s="3">
        <v>5425</v>
      </c>
      <c r="N2962" s="4">
        <v>0.23664122137404581</v>
      </c>
    </row>
    <row r="2963" spans="1:14" x14ac:dyDescent="0.3">
      <c r="A2963" s="6">
        <v>45869</v>
      </c>
      <c r="B2963" s="1" t="s">
        <v>3147</v>
      </c>
      <c r="C2963" s="1" t="s">
        <v>28</v>
      </c>
      <c r="D2963" t="s">
        <v>30</v>
      </c>
      <c r="E2963" t="s">
        <v>55</v>
      </c>
      <c r="F2963" t="s">
        <v>22</v>
      </c>
      <c r="G2963" t="s">
        <v>18</v>
      </c>
      <c r="H2963" s="3">
        <v>5</v>
      </c>
      <c r="I2963" s="3">
        <v>8540</v>
      </c>
      <c r="J2963" s="3">
        <v>42700</v>
      </c>
      <c r="K2963" s="3">
        <v>7000</v>
      </c>
      <c r="L2963" s="3">
        <v>35000</v>
      </c>
      <c r="M2963" s="3">
        <v>7700</v>
      </c>
      <c r="N2963" s="4">
        <v>0.18032786885245902</v>
      </c>
    </row>
    <row r="2964" spans="1:14" x14ac:dyDescent="0.3">
      <c r="A2964" s="6">
        <v>45869</v>
      </c>
      <c r="B2964" s="1" t="s">
        <v>3148</v>
      </c>
      <c r="C2964" s="1" t="s">
        <v>28</v>
      </c>
      <c r="D2964" t="s">
        <v>30</v>
      </c>
      <c r="E2964" t="s">
        <v>37</v>
      </c>
      <c r="F2964" t="s">
        <v>22</v>
      </c>
      <c r="G2964" t="s">
        <v>18</v>
      </c>
      <c r="H2964" s="3">
        <v>9</v>
      </c>
      <c r="I2964" s="3">
        <v>10010</v>
      </c>
      <c r="J2964" s="3">
        <v>90090</v>
      </c>
      <c r="K2964" s="3">
        <v>7000</v>
      </c>
      <c r="L2964" s="3">
        <v>63000</v>
      </c>
      <c r="M2964" s="3">
        <v>27090</v>
      </c>
      <c r="N2964" s="4">
        <v>0.30069930069930068</v>
      </c>
    </row>
    <row r="2965" spans="1:14" x14ac:dyDescent="0.3">
      <c r="A2965" s="6">
        <v>45869</v>
      </c>
      <c r="B2965" s="1" t="s">
        <v>3149</v>
      </c>
      <c r="C2965" s="1" t="s">
        <v>28</v>
      </c>
      <c r="D2965" t="s">
        <v>35</v>
      </c>
      <c r="E2965" t="s">
        <v>85</v>
      </c>
      <c r="F2965" t="s">
        <v>23</v>
      </c>
      <c r="G2965" t="s">
        <v>25</v>
      </c>
      <c r="H2965" s="3">
        <v>7</v>
      </c>
      <c r="I2965" s="3">
        <v>4256</v>
      </c>
      <c r="J2965" s="3">
        <v>29792</v>
      </c>
      <c r="K2965" s="3">
        <v>3200</v>
      </c>
      <c r="L2965" s="3">
        <v>22400</v>
      </c>
      <c r="M2965" s="3">
        <v>7392</v>
      </c>
      <c r="N2965" s="4">
        <v>0.24812030075187969</v>
      </c>
    </row>
    <row r="2966" spans="1:14" x14ac:dyDescent="0.3">
      <c r="A2966" s="6">
        <v>45869</v>
      </c>
      <c r="B2966" s="1" t="s">
        <v>3150</v>
      </c>
      <c r="C2966" s="1" t="s">
        <v>28</v>
      </c>
      <c r="D2966" t="s">
        <v>33</v>
      </c>
      <c r="E2966" t="s">
        <v>508</v>
      </c>
      <c r="F2966" t="s">
        <v>17</v>
      </c>
      <c r="G2966" t="s">
        <v>18</v>
      </c>
      <c r="H2966" s="3">
        <v>2</v>
      </c>
      <c r="I2966" s="3">
        <v>10710</v>
      </c>
      <c r="J2966" s="3">
        <v>21420</v>
      </c>
      <c r="K2966" s="3">
        <v>8500</v>
      </c>
      <c r="L2966" s="3">
        <v>17000</v>
      </c>
      <c r="M2966" s="3">
        <v>4420</v>
      </c>
      <c r="N2966" s="4">
        <v>0.20634920634920634</v>
      </c>
    </row>
    <row r="2967" spans="1:14" x14ac:dyDescent="0.3">
      <c r="A2967" s="6">
        <v>45869</v>
      </c>
      <c r="B2967" s="1" t="s">
        <v>3151</v>
      </c>
      <c r="C2967" s="1" t="s">
        <v>28</v>
      </c>
      <c r="D2967" t="s">
        <v>35</v>
      </c>
      <c r="E2967" t="s">
        <v>349</v>
      </c>
      <c r="F2967" t="s">
        <v>19</v>
      </c>
      <c r="G2967" t="s">
        <v>20</v>
      </c>
      <c r="H2967" s="3">
        <v>8</v>
      </c>
      <c r="I2967" s="3">
        <v>1089</v>
      </c>
      <c r="J2967" s="3">
        <v>8712</v>
      </c>
      <c r="K2967" s="3">
        <v>900</v>
      </c>
      <c r="L2967" s="3">
        <v>7200</v>
      </c>
      <c r="M2967" s="3">
        <v>1512</v>
      </c>
      <c r="N2967" s="4">
        <v>0.17355371900826447</v>
      </c>
    </row>
    <row r="2968" spans="1:14" x14ac:dyDescent="0.3">
      <c r="A2968" s="6">
        <v>45870</v>
      </c>
      <c r="B2968" s="1" t="s">
        <v>3152</v>
      </c>
      <c r="C2968" s="1" t="s">
        <v>26</v>
      </c>
      <c r="D2968" t="s">
        <v>32</v>
      </c>
      <c r="E2968" t="s">
        <v>327</v>
      </c>
      <c r="F2968" t="s">
        <v>24</v>
      </c>
      <c r="G2968" t="s">
        <v>25</v>
      </c>
      <c r="H2968" s="3">
        <v>8</v>
      </c>
      <c r="I2968" s="3">
        <v>3449.9999999999995</v>
      </c>
      <c r="J2968" s="3">
        <v>27599.999999999996</v>
      </c>
      <c r="K2968" s="3">
        <v>2500</v>
      </c>
      <c r="L2968" s="3">
        <v>20000</v>
      </c>
      <c r="M2968" s="3">
        <v>7599.9999999999964</v>
      </c>
      <c r="N2968" s="4">
        <v>0.2753623188405796</v>
      </c>
    </row>
    <row r="2969" spans="1:14" x14ac:dyDescent="0.3">
      <c r="A2969" s="6">
        <v>45870</v>
      </c>
      <c r="B2969" s="1" t="s">
        <v>3153</v>
      </c>
      <c r="C2969" s="1" t="s">
        <v>29</v>
      </c>
      <c r="D2969" t="s">
        <v>34</v>
      </c>
      <c r="E2969" t="s">
        <v>159</v>
      </c>
      <c r="F2969" t="s">
        <v>22</v>
      </c>
      <c r="G2969" t="s">
        <v>18</v>
      </c>
      <c r="H2969" s="3">
        <v>5</v>
      </c>
      <c r="I2969" s="3">
        <v>9940</v>
      </c>
      <c r="J2969" s="3">
        <v>49700</v>
      </c>
      <c r="K2969" s="3">
        <v>7000</v>
      </c>
      <c r="L2969" s="3">
        <v>35000</v>
      </c>
      <c r="M2969" s="3">
        <v>14700</v>
      </c>
      <c r="N2969" s="4">
        <v>0.29577464788732394</v>
      </c>
    </row>
    <row r="2970" spans="1:14" x14ac:dyDescent="0.3">
      <c r="A2970" s="6">
        <v>45870</v>
      </c>
      <c r="B2970" s="1" t="s">
        <v>3154</v>
      </c>
      <c r="C2970" s="1" t="s">
        <v>28</v>
      </c>
      <c r="D2970" t="s">
        <v>33</v>
      </c>
      <c r="E2970" t="s">
        <v>204</v>
      </c>
      <c r="F2970" t="s">
        <v>14</v>
      </c>
      <c r="G2970" t="s">
        <v>15</v>
      </c>
      <c r="H2970" s="3">
        <v>10</v>
      </c>
      <c r="I2970" s="3">
        <v>61199.999999999993</v>
      </c>
      <c r="J2970" s="3">
        <v>611999.99999999988</v>
      </c>
      <c r="K2970" s="3">
        <v>45000</v>
      </c>
      <c r="L2970" s="3">
        <v>450000</v>
      </c>
      <c r="M2970" s="3">
        <v>161999.99999999988</v>
      </c>
      <c r="N2970" s="4">
        <v>0.26470588235294101</v>
      </c>
    </row>
    <row r="2971" spans="1:14" x14ac:dyDescent="0.3">
      <c r="A2971" s="6">
        <v>45870</v>
      </c>
      <c r="B2971" s="1" t="s">
        <v>3155</v>
      </c>
      <c r="C2971" s="1" t="s">
        <v>26</v>
      </c>
      <c r="D2971" t="s">
        <v>35</v>
      </c>
      <c r="E2971" t="s">
        <v>447</v>
      </c>
      <c r="F2971" t="s">
        <v>14</v>
      </c>
      <c r="G2971" t="s">
        <v>15</v>
      </c>
      <c r="H2971" s="3">
        <v>1</v>
      </c>
      <c r="I2971" s="3">
        <v>60300</v>
      </c>
      <c r="J2971" s="3">
        <v>60300</v>
      </c>
      <c r="K2971" s="3">
        <v>45000</v>
      </c>
      <c r="L2971" s="3">
        <v>45000</v>
      </c>
      <c r="M2971" s="3">
        <v>15300</v>
      </c>
      <c r="N2971" s="4">
        <v>0.2537313432835821</v>
      </c>
    </row>
    <row r="2972" spans="1:14" x14ac:dyDescent="0.3">
      <c r="A2972" s="6">
        <v>45870</v>
      </c>
      <c r="B2972" s="1" t="s">
        <v>3156</v>
      </c>
      <c r="C2972" s="1" t="s">
        <v>26</v>
      </c>
      <c r="D2972" t="s">
        <v>32</v>
      </c>
      <c r="E2972" t="s">
        <v>319</v>
      </c>
      <c r="F2972" t="s">
        <v>24</v>
      </c>
      <c r="G2972" t="s">
        <v>25</v>
      </c>
      <c r="H2972" s="3">
        <v>10</v>
      </c>
      <c r="I2972" s="3">
        <v>3350</v>
      </c>
      <c r="J2972" s="3">
        <v>33500</v>
      </c>
      <c r="K2972" s="3">
        <v>2500</v>
      </c>
      <c r="L2972" s="3">
        <v>25000</v>
      </c>
      <c r="M2972" s="3">
        <v>8500</v>
      </c>
      <c r="N2972" s="4">
        <v>0.2537313432835821</v>
      </c>
    </row>
    <row r="2973" spans="1:14" x14ac:dyDescent="0.3">
      <c r="A2973" s="6">
        <v>45870</v>
      </c>
      <c r="B2973" s="1" t="s">
        <v>3157</v>
      </c>
      <c r="C2973" s="1" t="s">
        <v>28</v>
      </c>
      <c r="D2973" t="s">
        <v>33</v>
      </c>
      <c r="E2973" t="s">
        <v>359</v>
      </c>
      <c r="F2973" t="s">
        <v>21</v>
      </c>
      <c r="G2973" t="s">
        <v>20</v>
      </c>
      <c r="H2973" s="3">
        <v>10</v>
      </c>
      <c r="I2973" s="3">
        <v>834.00000000000011</v>
      </c>
      <c r="J2973" s="3">
        <v>8340.0000000000018</v>
      </c>
      <c r="K2973" s="3">
        <v>600</v>
      </c>
      <c r="L2973" s="3">
        <v>6000</v>
      </c>
      <c r="M2973" s="3">
        <v>2340.0000000000018</v>
      </c>
      <c r="N2973" s="4">
        <v>0.28057553956834547</v>
      </c>
    </row>
    <row r="2974" spans="1:14" x14ac:dyDescent="0.3">
      <c r="A2974" s="6">
        <v>45870</v>
      </c>
      <c r="B2974" s="1" t="s">
        <v>3158</v>
      </c>
      <c r="C2974" s="1" t="s">
        <v>28</v>
      </c>
      <c r="D2974" t="s">
        <v>35</v>
      </c>
      <c r="E2974" t="s">
        <v>280</v>
      </c>
      <c r="F2974" t="s">
        <v>17</v>
      </c>
      <c r="G2974" t="s">
        <v>18</v>
      </c>
      <c r="H2974" s="3">
        <v>10</v>
      </c>
      <c r="I2974" s="3">
        <v>11220</v>
      </c>
      <c r="J2974" s="3">
        <v>112200</v>
      </c>
      <c r="K2974" s="3">
        <v>8500</v>
      </c>
      <c r="L2974" s="3">
        <v>85000</v>
      </c>
      <c r="M2974" s="3">
        <v>27200</v>
      </c>
      <c r="N2974" s="4">
        <v>0.24242424242424243</v>
      </c>
    </row>
    <row r="2975" spans="1:14" x14ac:dyDescent="0.3">
      <c r="A2975" s="6">
        <v>45870</v>
      </c>
      <c r="B2975" s="1" t="s">
        <v>3159</v>
      </c>
      <c r="C2975" s="1" t="s">
        <v>29</v>
      </c>
      <c r="D2975" t="s">
        <v>33</v>
      </c>
      <c r="E2975" t="s">
        <v>351</v>
      </c>
      <c r="F2975" t="s">
        <v>16</v>
      </c>
      <c r="G2975" t="s">
        <v>15</v>
      </c>
      <c r="H2975" s="3">
        <v>1</v>
      </c>
      <c r="I2975" s="3">
        <v>49020</v>
      </c>
      <c r="J2975" s="3">
        <v>49020</v>
      </c>
      <c r="K2975" s="3">
        <v>38000</v>
      </c>
      <c r="L2975" s="3">
        <v>38000</v>
      </c>
      <c r="M2975" s="3">
        <v>11020</v>
      </c>
      <c r="N2975" s="4">
        <v>0.22480620155038761</v>
      </c>
    </row>
    <row r="2976" spans="1:14" x14ac:dyDescent="0.3">
      <c r="A2976" s="6">
        <v>45870</v>
      </c>
      <c r="B2976" s="1" t="s">
        <v>3160</v>
      </c>
      <c r="C2976" s="1" t="s">
        <v>27</v>
      </c>
      <c r="D2976" t="s">
        <v>35</v>
      </c>
      <c r="E2976" t="s">
        <v>124</v>
      </c>
      <c r="F2976" t="s">
        <v>14</v>
      </c>
      <c r="G2976" t="s">
        <v>15</v>
      </c>
      <c r="H2976" s="3">
        <v>2</v>
      </c>
      <c r="I2976" s="3">
        <v>63900</v>
      </c>
      <c r="J2976" s="3">
        <v>127800</v>
      </c>
      <c r="K2976" s="3">
        <v>45000</v>
      </c>
      <c r="L2976" s="3">
        <v>90000</v>
      </c>
      <c r="M2976" s="3">
        <v>37800</v>
      </c>
      <c r="N2976" s="4">
        <v>0.29577464788732394</v>
      </c>
    </row>
    <row r="2977" spans="1:14" x14ac:dyDescent="0.3">
      <c r="A2977" s="6">
        <v>45870</v>
      </c>
      <c r="B2977" s="1" t="s">
        <v>3161</v>
      </c>
      <c r="C2977" s="1" t="s">
        <v>27</v>
      </c>
      <c r="D2977" t="s">
        <v>34</v>
      </c>
      <c r="E2977" t="s">
        <v>155</v>
      </c>
      <c r="F2977" t="s">
        <v>23</v>
      </c>
      <c r="G2977" t="s">
        <v>25</v>
      </c>
      <c r="H2977" s="3">
        <v>9</v>
      </c>
      <c r="I2977" s="3">
        <v>3872</v>
      </c>
      <c r="J2977" s="3">
        <v>34848</v>
      </c>
      <c r="K2977" s="3">
        <v>3200</v>
      </c>
      <c r="L2977" s="3">
        <v>28800</v>
      </c>
      <c r="M2977" s="3">
        <v>6048</v>
      </c>
      <c r="N2977" s="4">
        <v>0.17355371900826447</v>
      </c>
    </row>
    <row r="2978" spans="1:14" x14ac:dyDescent="0.3">
      <c r="A2978" s="6">
        <v>45870</v>
      </c>
      <c r="B2978" s="1" t="s">
        <v>3162</v>
      </c>
      <c r="C2978" s="1" t="s">
        <v>29</v>
      </c>
      <c r="D2978" t="s">
        <v>30</v>
      </c>
      <c r="E2978" t="s">
        <v>74</v>
      </c>
      <c r="F2978" t="s">
        <v>14</v>
      </c>
      <c r="G2978" t="s">
        <v>15</v>
      </c>
      <c r="H2978" s="3">
        <v>10</v>
      </c>
      <c r="I2978" s="3">
        <v>56700</v>
      </c>
      <c r="J2978" s="3">
        <v>567000</v>
      </c>
      <c r="K2978" s="3">
        <v>45000</v>
      </c>
      <c r="L2978" s="3">
        <v>450000</v>
      </c>
      <c r="M2978" s="3">
        <v>117000</v>
      </c>
      <c r="N2978" s="4">
        <v>0.20634920634920634</v>
      </c>
    </row>
    <row r="2979" spans="1:14" x14ac:dyDescent="0.3">
      <c r="A2979" s="6">
        <v>45870</v>
      </c>
      <c r="B2979" s="1" t="s">
        <v>3163</v>
      </c>
      <c r="C2979" s="1" t="s">
        <v>27</v>
      </c>
      <c r="D2979" t="s">
        <v>31</v>
      </c>
      <c r="E2979" t="s">
        <v>98</v>
      </c>
      <c r="F2979" t="s">
        <v>17</v>
      </c>
      <c r="G2979" t="s">
        <v>18</v>
      </c>
      <c r="H2979" s="3">
        <v>8</v>
      </c>
      <c r="I2979" s="3">
        <v>11135</v>
      </c>
      <c r="J2979" s="3">
        <v>89080</v>
      </c>
      <c r="K2979" s="3">
        <v>8500</v>
      </c>
      <c r="L2979" s="3">
        <v>68000</v>
      </c>
      <c r="M2979" s="3">
        <v>21080</v>
      </c>
      <c r="N2979" s="4">
        <v>0.23664122137404581</v>
      </c>
    </row>
    <row r="2980" spans="1:14" x14ac:dyDescent="0.3">
      <c r="A2980" s="6">
        <v>45870</v>
      </c>
      <c r="B2980" s="1" t="s">
        <v>3164</v>
      </c>
      <c r="C2980" s="1" t="s">
        <v>27</v>
      </c>
      <c r="D2980" t="s">
        <v>33</v>
      </c>
      <c r="E2980" t="s">
        <v>355</v>
      </c>
      <c r="F2980" t="s">
        <v>19</v>
      </c>
      <c r="G2980" t="s">
        <v>20</v>
      </c>
      <c r="H2980" s="3">
        <v>3</v>
      </c>
      <c r="I2980" s="3">
        <v>1278</v>
      </c>
      <c r="J2980" s="3">
        <v>3834</v>
      </c>
      <c r="K2980" s="3">
        <v>900</v>
      </c>
      <c r="L2980" s="3">
        <v>2700</v>
      </c>
      <c r="M2980" s="3">
        <v>1134</v>
      </c>
      <c r="N2980" s="4">
        <v>0.29577464788732394</v>
      </c>
    </row>
    <row r="2981" spans="1:14" x14ac:dyDescent="0.3">
      <c r="A2981" s="6">
        <v>45870</v>
      </c>
      <c r="B2981" s="1" t="s">
        <v>3165</v>
      </c>
      <c r="C2981" s="1" t="s">
        <v>27</v>
      </c>
      <c r="D2981" t="s">
        <v>34</v>
      </c>
      <c r="E2981" t="s">
        <v>306</v>
      </c>
      <c r="F2981" t="s">
        <v>19</v>
      </c>
      <c r="G2981" t="s">
        <v>20</v>
      </c>
      <c r="H2981" s="3">
        <v>6</v>
      </c>
      <c r="I2981" s="3">
        <v>1107</v>
      </c>
      <c r="J2981" s="3">
        <v>6642</v>
      </c>
      <c r="K2981" s="3">
        <v>900</v>
      </c>
      <c r="L2981" s="3">
        <v>5400</v>
      </c>
      <c r="M2981" s="3">
        <v>1242</v>
      </c>
      <c r="N2981" s="4">
        <v>0.18699186991869918</v>
      </c>
    </row>
    <row r="2982" spans="1:14" x14ac:dyDescent="0.3">
      <c r="A2982" s="6">
        <v>45871</v>
      </c>
      <c r="B2982" s="1" t="s">
        <v>3166</v>
      </c>
      <c r="C2982" s="1" t="s">
        <v>29</v>
      </c>
      <c r="D2982" t="s">
        <v>31</v>
      </c>
      <c r="E2982" t="s">
        <v>243</v>
      </c>
      <c r="F2982" t="s">
        <v>17</v>
      </c>
      <c r="G2982" t="s">
        <v>18</v>
      </c>
      <c r="H2982" s="3">
        <v>10</v>
      </c>
      <c r="I2982" s="3">
        <v>10795</v>
      </c>
      <c r="J2982" s="3">
        <v>107950</v>
      </c>
      <c r="K2982" s="3">
        <v>8500</v>
      </c>
      <c r="L2982" s="3">
        <v>85000</v>
      </c>
      <c r="M2982" s="3">
        <v>22950</v>
      </c>
      <c r="N2982" s="4">
        <v>0.2125984251968504</v>
      </c>
    </row>
    <row r="2983" spans="1:14" x14ac:dyDescent="0.3">
      <c r="A2983" s="6">
        <v>45871</v>
      </c>
      <c r="B2983" s="1" t="s">
        <v>3167</v>
      </c>
      <c r="C2983" s="1" t="s">
        <v>29</v>
      </c>
      <c r="D2983" t="s">
        <v>31</v>
      </c>
      <c r="E2983" t="s">
        <v>447</v>
      </c>
      <c r="F2983" t="s">
        <v>14</v>
      </c>
      <c r="G2983" t="s">
        <v>15</v>
      </c>
      <c r="H2983" s="3">
        <v>9</v>
      </c>
      <c r="I2983" s="3">
        <v>57150</v>
      </c>
      <c r="J2983" s="3">
        <v>514350</v>
      </c>
      <c r="K2983" s="3">
        <v>45000</v>
      </c>
      <c r="L2983" s="3">
        <v>405000</v>
      </c>
      <c r="M2983" s="3">
        <v>109350</v>
      </c>
      <c r="N2983" s="4">
        <v>0.2125984251968504</v>
      </c>
    </row>
    <row r="2984" spans="1:14" x14ac:dyDescent="0.3">
      <c r="A2984" s="6">
        <v>45871</v>
      </c>
      <c r="B2984" s="1" t="s">
        <v>3168</v>
      </c>
      <c r="C2984" s="1" t="s">
        <v>28</v>
      </c>
      <c r="D2984" t="s">
        <v>32</v>
      </c>
      <c r="E2984" t="s">
        <v>310</v>
      </c>
      <c r="F2984" t="s">
        <v>24</v>
      </c>
      <c r="G2984" t="s">
        <v>25</v>
      </c>
      <c r="H2984" s="3">
        <v>2</v>
      </c>
      <c r="I2984" s="3">
        <v>3425.0000000000005</v>
      </c>
      <c r="J2984" s="3">
        <v>6850.0000000000009</v>
      </c>
      <c r="K2984" s="3">
        <v>2500</v>
      </c>
      <c r="L2984" s="3">
        <v>5000</v>
      </c>
      <c r="M2984" s="3">
        <v>1850.0000000000009</v>
      </c>
      <c r="N2984" s="4">
        <v>0.27007299270073004</v>
      </c>
    </row>
    <row r="2985" spans="1:14" x14ac:dyDescent="0.3">
      <c r="A2985" s="6">
        <v>45871</v>
      </c>
      <c r="B2985" s="1" t="s">
        <v>3169</v>
      </c>
      <c r="C2985" s="1" t="s">
        <v>26</v>
      </c>
      <c r="D2985" t="s">
        <v>30</v>
      </c>
      <c r="E2985" t="s">
        <v>292</v>
      </c>
      <c r="F2985" t="s">
        <v>21</v>
      </c>
      <c r="G2985" t="s">
        <v>20</v>
      </c>
      <c r="H2985" s="3">
        <v>6</v>
      </c>
      <c r="I2985" s="3">
        <v>827.99999999999989</v>
      </c>
      <c r="J2985" s="3">
        <v>4967.9999999999991</v>
      </c>
      <c r="K2985" s="3">
        <v>600</v>
      </c>
      <c r="L2985" s="3">
        <v>3600</v>
      </c>
      <c r="M2985" s="3">
        <v>1367.9999999999991</v>
      </c>
      <c r="N2985" s="4">
        <v>0.2753623188405796</v>
      </c>
    </row>
    <row r="2986" spans="1:14" x14ac:dyDescent="0.3">
      <c r="A2986" s="6">
        <v>45871</v>
      </c>
      <c r="B2986" s="1" t="s">
        <v>3170</v>
      </c>
      <c r="C2986" s="1" t="s">
        <v>27</v>
      </c>
      <c r="D2986" t="s">
        <v>31</v>
      </c>
      <c r="E2986" t="s">
        <v>106</v>
      </c>
      <c r="F2986" t="s">
        <v>23</v>
      </c>
      <c r="G2986" t="s">
        <v>25</v>
      </c>
      <c r="H2986" s="3">
        <v>8</v>
      </c>
      <c r="I2986" s="3">
        <v>4064</v>
      </c>
      <c r="J2986" s="3">
        <v>32512</v>
      </c>
      <c r="K2986" s="3">
        <v>3200</v>
      </c>
      <c r="L2986" s="3">
        <v>25600</v>
      </c>
      <c r="M2986" s="3">
        <v>6912</v>
      </c>
      <c r="N2986" s="4">
        <v>0.2125984251968504</v>
      </c>
    </row>
    <row r="2987" spans="1:14" x14ac:dyDescent="0.3">
      <c r="A2987" s="6">
        <v>45871</v>
      </c>
      <c r="B2987" s="1" t="s">
        <v>3171</v>
      </c>
      <c r="C2987" s="1" t="s">
        <v>26</v>
      </c>
      <c r="D2987" t="s">
        <v>30</v>
      </c>
      <c r="E2987" t="s">
        <v>427</v>
      </c>
      <c r="F2987" t="s">
        <v>24</v>
      </c>
      <c r="G2987" t="s">
        <v>25</v>
      </c>
      <c r="H2987" s="3">
        <v>1</v>
      </c>
      <c r="I2987" s="3">
        <v>3500</v>
      </c>
      <c r="J2987" s="3">
        <v>3500</v>
      </c>
      <c r="K2987" s="3">
        <v>2500</v>
      </c>
      <c r="L2987" s="3">
        <v>2500</v>
      </c>
      <c r="M2987" s="3">
        <v>1000</v>
      </c>
      <c r="N2987" s="4">
        <v>0.2857142857142857</v>
      </c>
    </row>
    <row r="2988" spans="1:14" x14ac:dyDescent="0.3">
      <c r="A2988" s="6">
        <v>45871</v>
      </c>
      <c r="B2988" s="1" t="s">
        <v>3172</v>
      </c>
      <c r="C2988" s="1" t="s">
        <v>27</v>
      </c>
      <c r="D2988" t="s">
        <v>31</v>
      </c>
      <c r="E2988" t="s">
        <v>67</v>
      </c>
      <c r="F2988" t="s">
        <v>19</v>
      </c>
      <c r="G2988" t="s">
        <v>20</v>
      </c>
      <c r="H2988" s="3">
        <v>9</v>
      </c>
      <c r="I2988" s="3">
        <v>1161</v>
      </c>
      <c r="J2988" s="3">
        <v>10449</v>
      </c>
      <c r="K2988" s="3">
        <v>900</v>
      </c>
      <c r="L2988" s="3">
        <v>8100</v>
      </c>
      <c r="M2988" s="3">
        <v>2349</v>
      </c>
      <c r="N2988" s="4">
        <v>0.22480620155038761</v>
      </c>
    </row>
    <row r="2989" spans="1:14" x14ac:dyDescent="0.3">
      <c r="A2989" s="6">
        <v>45871</v>
      </c>
      <c r="B2989" s="1" t="s">
        <v>3173</v>
      </c>
      <c r="C2989" s="1" t="s">
        <v>28</v>
      </c>
      <c r="D2989" t="s">
        <v>33</v>
      </c>
      <c r="E2989" t="s">
        <v>436</v>
      </c>
      <c r="F2989" t="s">
        <v>21</v>
      </c>
      <c r="G2989" t="s">
        <v>20</v>
      </c>
      <c r="H2989" s="3">
        <v>4</v>
      </c>
      <c r="I2989" s="3">
        <v>762</v>
      </c>
      <c r="J2989" s="3">
        <v>3048</v>
      </c>
      <c r="K2989" s="3">
        <v>600</v>
      </c>
      <c r="L2989" s="3">
        <v>2400</v>
      </c>
      <c r="M2989" s="3">
        <v>648</v>
      </c>
      <c r="N2989" s="4">
        <v>0.2125984251968504</v>
      </c>
    </row>
    <row r="2990" spans="1:14" x14ac:dyDescent="0.3">
      <c r="A2990" s="6">
        <v>45871</v>
      </c>
      <c r="B2990" s="1" t="s">
        <v>3174</v>
      </c>
      <c r="C2990" s="1" t="s">
        <v>28</v>
      </c>
      <c r="D2990" t="s">
        <v>30</v>
      </c>
      <c r="E2990" t="s">
        <v>226</v>
      </c>
      <c r="F2990" t="s">
        <v>14</v>
      </c>
      <c r="G2990" t="s">
        <v>15</v>
      </c>
      <c r="H2990" s="3">
        <v>1</v>
      </c>
      <c r="I2990" s="3">
        <v>60300</v>
      </c>
      <c r="J2990" s="3">
        <v>60300</v>
      </c>
      <c r="K2990" s="3">
        <v>45000</v>
      </c>
      <c r="L2990" s="3">
        <v>45000</v>
      </c>
      <c r="M2990" s="3">
        <v>15300</v>
      </c>
      <c r="N2990" s="4">
        <v>0.2537313432835821</v>
      </c>
    </row>
    <row r="2991" spans="1:14" x14ac:dyDescent="0.3">
      <c r="A2991" s="6">
        <v>45871</v>
      </c>
      <c r="B2991" s="1" t="s">
        <v>3175</v>
      </c>
      <c r="C2991" s="1" t="s">
        <v>27</v>
      </c>
      <c r="D2991" t="s">
        <v>33</v>
      </c>
      <c r="E2991" t="s">
        <v>331</v>
      </c>
      <c r="F2991" t="s">
        <v>21</v>
      </c>
      <c r="G2991" t="s">
        <v>20</v>
      </c>
      <c r="H2991" s="3">
        <v>4</v>
      </c>
      <c r="I2991" s="3">
        <v>822.00000000000011</v>
      </c>
      <c r="J2991" s="3">
        <v>3288.0000000000005</v>
      </c>
      <c r="K2991" s="3">
        <v>600</v>
      </c>
      <c r="L2991" s="3">
        <v>2400</v>
      </c>
      <c r="M2991" s="3">
        <v>888.00000000000045</v>
      </c>
      <c r="N2991" s="4">
        <v>0.27007299270073004</v>
      </c>
    </row>
    <row r="2992" spans="1:14" x14ac:dyDescent="0.3">
      <c r="A2992" s="6">
        <v>45871</v>
      </c>
      <c r="B2992" s="1" t="s">
        <v>3176</v>
      </c>
      <c r="C2992" s="1" t="s">
        <v>27</v>
      </c>
      <c r="D2992" t="s">
        <v>32</v>
      </c>
      <c r="E2992" t="s">
        <v>453</v>
      </c>
      <c r="F2992" t="s">
        <v>16</v>
      </c>
      <c r="G2992" t="s">
        <v>15</v>
      </c>
      <c r="H2992" s="3">
        <v>7</v>
      </c>
      <c r="I2992" s="3">
        <v>50540</v>
      </c>
      <c r="J2992" s="3">
        <v>353780</v>
      </c>
      <c r="K2992" s="3">
        <v>38000</v>
      </c>
      <c r="L2992" s="3">
        <v>266000</v>
      </c>
      <c r="M2992" s="3">
        <v>87780</v>
      </c>
      <c r="N2992" s="4">
        <v>0.24812030075187969</v>
      </c>
    </row>
    <row r="2993" spans="1:14" x14ac:dyDescent="0.3">
      <c r="A2993" s="6">
        <v>45871</v>
      </c>
      <c r="B2993" s="1" t="s">
        <v>3177</v>
      </c>
      <c r="C2993" s="1" t="s">
        <v>26</v>
      </c>
      <c r="D2993" t="s">
        <v>31</v>
      </c>
      <c r="E2993" t="s">
        <v>37</v>
      </c>
      <c r="F2993" t="s">
        <v>21</v>
      </c>
      <c r="G2993" t="s">
        <v>20</v>
      </c>
      <c r="H2993" s="3">
        <v>9</v>
      </c>
      <c r="I2993" s="3">
        <v>846</v>
      </c>
      <c r="J2993" s="3">
        <v>7614</v>
      </c>
      <c r="K2993" s="3">
        <v>600</v>
      </c>
      <c r="L2993" s="3">
        <v>5400</v>
      </c>
      <c r="M2993" s="3">
        <v>2214</v>
      </c>
      <c r="N2993" s="4">
        <v>0.29078014184397161</v>
      </c>
    </row>
    <row r="2994" spans="1:14" x14ac:dyDescent="0.3">
      <c r="A2994" s="6">
        <v>45871</v>
      </c>
      <c r="B2994" s="1" t="s">
        <v>3178</v>
      </c>
      <c r="C2994" s="1" t="s">
        <v>29</v>
      </c>
      <c r="D2994" t="s">
        <v>34</v>
      </c>
      <c r="E2994" t="s">
        <v>108</v>
      </c>
      <c r="F2994" t="s">
        <v>16</v>
      </c>
      <c r="G2994" t="s">
        <v>15</v>
      </c>
      <c r="H2994" s="3">
        <v>3</v>
      </c>
      <c r="I2994" s="3">
        <v>46360</v>
      </c>
      <c r="J2994" s="3">
        <v>139080</v>
      </c>
      <c r="K2994" s="3">
        <v>38000</v>
      </c>
      <c r="L2994" s="3">
        <v>114000</v>
      </c>
      <c r="M2994" s="3">
        <v>25080</v>
      </c>
      <c r="N2994" s="4">
        <v>0.18032786885245902</v>
      </c>
    </row>
    <row r="2995" spans="1:14" x14ac:dyDescent="0.3">
      <c r="A2995" s="6">
        <v>45871</v>
      </c>
      <c r="B2995" s="1" t="s">
        <v>3179</v>
      </c>
      <c r="C2995" s="1" t="s">
        <v>29</v>
      </c>
      <c r="D2995" t="s">
        <v>34</v>
      </c>
      <c r="E2995" t="s">
        <v>359</v>
      </c>
      <c r="F2995" t="s">
        <v>22</v>
      </c>
      <c r="G2995" t="s">
        <v>18</v>
      </c>
      <c r="H2995" s="3">
        <v>1</v>
      </c>
      <c r="I2995" s="3">
        <v>10080</v>
      </c>
      <c r="J2995" s="3">
        <v>10080</v>
      </c>
      <c r="K2995" s="3">
        <v>7000</v>
      </c>
      <c r="L2995" s="3">
        <v>7000</v>
      </c>
      <c r="M2995" s="3">
        <v>3080</v>
      </c>
      <c r="N2995" s="4">
        <v>0.30555555555555558</v>
      </c>
    </row>
    <row r="2996" spans="1:14" x14ac:dyDescent="0.3">
      <c r="A2996" s="6">
        <v>45872</v>
      </c>
      <c r="B2996" s="1" t="s">
        <v>3180</v>
      </c>
      <c r="C2996" s="1" t="s">
        <v>26</v>
      </c>
      <c r="D2996" t="s">
        <v>33</v>
      </c>
      <c r="E2996" t="s">
        <v>72</v>
      </c>
      <c r="F2996" t="s">
        <v>16</v>
      </c>
      <c r="G2996" t="s">
        <v>15</v>
      </c>
      <c r="H2996" s="3">
        <v>7</v>
      </c>
      <c r="I2996" s="3">
        <v>48640</v>
      </c>
      <c r="J2996" s="3">
        <v>340480</v>
      </c>
      <c r="K2996" s="3">
        <v>38000</v>
      </c>
      <c r="L2996" s="3">
        <v>266000</v>
      </c>
      <c r="M2996" s="3">
        <v>74480</v>
      </c>
      <c r="N2996" s="4">
        <v>0.21875</v>
      </c>
    </row>
    <row r="2997" spans="1:14" x14ac:dyDescent="0.3">
      <c r="A2997" s="6">
        <v>45872</v>
      </c>
      <c r="B2997" s="1" t="s">
        <v>3181</v>
      </c>
      <c r="C2997" s="1" t="s">
        <v>29</v>
      </c>
      <c r="D2997" t="s">
        <v>34</v>
      </c>
      <c r="E2997" t="s">
        <v>427</v>
      </c>
      <c r="F2997" t="s">
        <v>24</v>
      </c>
      <c r="G2997" t="s">
        <v>25</v>
      </c>
      <c r="H2997" s="3">
        <v>4</v>
      </c>
      <c r="I2997" s="3">
        <v>3625</v>
      </c>
      <c r="J2997" s="3">
        <v>14500</v>
      </c>
      <c r="K2997" s="3">
        <v>2500</v>
      </c>
      <c r="L2997" s="3">
        <v>10000</v>
      </c>
      <c r="M2997" s="3">
        <v>4500</v>
      </c>
      <c r="N2997" s="4">
        <v>0.31034482758620691</v>
      </c>
    </row>
    <row r="2998" spans="1:14" x14ac:dyDescent="0.3">
      <c r="A2998" s="6">
        <v>45872</v>
      </c>
      <c r="B2998" s="1" t="s">
        <v>3182</v>
      </c>
      <c r="C2998" s="1" t="s">
        <v>28</v>
      </c>
      <c r="D2998" t="s">
        <v>34</v>
      </c>
      <c r="E2998" t="s">
        <v>239</v>
      </c>
      <c r="F2998" t="s">
        <v>24</v>
      </c>
      <c r="G2998" t="s">
        <v>25</v>
      </c>
      <c r="H2998" s="3">
        <v>6</v>
      </c>
      <c r="I2998" s="3">
        <v>3325</v>
      </c>
      <c r="J2998" s="3">
        <v>19950</v>
      </c>
      <c r="K2998" s="3">
        <v>2500</v>
      </c>
      <c r="L2998" s="3">
        <v>15000</v>
      </c>
      <c r="M2998" s="3">
        <v>4950</v>
      </c>
      <c r="N2998" s="4">
        <v>0.24812030075187969</v>
      </c>
    </row>
    <row r="2999" spans="1:14" x14ac:dyDescent="0.3">
      <c r="A2999" s="6">
        <v>45872</v>
      </c>
      <c r="B2999" s="1" t="s">
        <v>3183</v>
      </c>
      <c r="C2999" s="1" t="s">
        <v>29</v>
      </c>
      <c r="D2999" t="s">
        <v>30</v>
      </c>
      <c r="E2999" t="s">
        <v>204</v>
      </c>
      <c r="F2999" t="s">
        <v>22</v>
      </c>
      <c r="G2999" t="s">
        <v>18</v>
      </c>
      <c r="H2999" s="3">
        <v>4</v>
      </c>
      <c r="I2999" s="3">
        <v>8610</v>
      </c>
      <c r="J2999" s="3">
        <v>34440</v>
      </c>
      <c r="K2999" s="3">
        <v>7000</v>
      </c>
      <c r="L2999" s="3">
        <v>28000</v>
      </c>
      <c r="M2999" s="3">
        <v>6440</v>
      </c>
      <c r="N2999" s="4">
        <v>0.18699186991869918</v>
      </c>
    </row>
    <row r="3000" spans="1:14" x14ac:dyDescent="0.3">
      <c r="A3000" s="6">
        <v>45872</v>
      </c>
      <c r="B3000" s="1" t="s">
        <v>3184</v>
      </c>
      <c r="C3000" s="1" t="s">
        <v>28</v>
      </c>
      <c r="D3000" t="s">
        <v>35</v>
      </c>
      <c r="E3000" t="s">
        <v>308</v>
      </c>
      <c r="F3000" t="s">
        <v>16</v>
      </c>
      <c r="G3000" t="s">
        <v>15</v>
      </c>
      <c r="H3000" s="3">
        <v>4</v>
      </c>
      <c r="I3000" s="3">
        <v>53580</v>
      </c>
      <c r="J3000" s="3">
        <v>214320</v>
      </c>
      <c r="K3000" s="3">
        <v>38000</v>
      </c>
      <c r="L3000" s="3">
        <v>152000</v>
      </c>
      <c r="M3000" s="3">
        <v>62320</v>
      </c>
      <c r="N3000" s="4">
        <v>0.29078014184397161</v>
      </c>
    </row>
    <row r="3001" spans="1:14" x14ac:dyDescent="0.3">
      <c r="A3001" s="6">
        <v>45872</v>
      </c>
      <c r="B3001" s="1" t="s">
        <v>3185</v>
      </c>
      <c r="C3001" s="1" t="s">
        <v>26</v>
      </c>
      <c r="D3001" t="s">
        <v>35</v>
      </c>
      <c r="E3001" t="s">
        <v>236</v>
      </c>
      <c r="F3001" t="s">
        <v>21</v>
      </c>
      <c r="G3001" t="s">
        <v>20</v>
      </c>
      <c r="H3001" s="3">
        <v>9</v>
      </c>
      <c r="I3001" s="3">
        <v>762</v>
      </c>
      <c r="J3001" s="3">
        <v>6858</v>
      </c>
      <c r="K3001" s="3">
        <v>600</v>
      </c>
      <c r="L3001" s="3">
        <v>5400</v>
      </c>
      <c r="M3001" s="3">
        <v>1458</v>
      </c>
      <c r="N3001" s="4">
        <v>0.2125984251968504</v>
      </c>
    </row>
    <row r="3002" spans="1:14" x14ac:dyDescent="0.3">
      <c r="A3002" s="6">
        <v>45872</v>
      </c>
      <c r="B3002" s="1" t="s">
        <v>3186</v>
      </c>
      <c r="C3002" s="1" t="s">
        <v>27</v>
      </c>
      <c r="D3002" t="s">
        <v>34</v>
      </c>
      <c r="E3002" t="s">
        <v>83</v>
      </c>
      <c r="F3002" t="s">
        <v>21</v>
      </c>
      <c r="G3002" t="s">
        <v>20</v>
      </c>
      <c r="H3002" s="3">
        <v>10</v>
      </c>
      <c r="I3002" s="3">
        <v>762</v>
      </c>
      <c r="J3002" s="3">
        <v>7620</v>
      </c>
      <c r="K3002" s="3">
        <v>600</v>
      </c>
      <c r="L3002" s="3">
        <v>6000</v>
      </c>
      <c r="M3002" s="3">
        <v>1620</v>
      </c>
      <c r="N3002" s="4">
        <v>0.2125984251968504</v>
      </c>
    </row>
    <row r="3003" spans="1:14" x14ac:dyDescent="0.3">
      <c r="A3003" s="6">
        <v>45872</v>
      </c>
      <c r="B3003" s="1" t="s">
        <v>3187</v>
      </c>
      <c r="C3003" s="1" t="s">
        <v>28</v>
      </c>
      <c r="D3003" t="s">
        <v>31</v>
      </c>
      <c r="E3003" t="s">
        <v>166</v>
      </c>
      <c r="F3003" t="s">
        <v>16</v>
      </c>
      <c r="G3003" t="s">
        <v>15</v>
      </c>
      <c r="H3003" s="3">
        <v>2</v>
      </c>
      <c r="I3003" s="3">
        <v>53580</v>
      </c>
      <c r="J3003" s="3">
        <v>107160</v>
      </c>
      <c r="K3003" s="3">
        <v>38000</v>
      </c>
      <c r="L3003" s="3">
        <v>76000</v>
      </c>
      <c r="M3003" s="3">
        <v>31160</v>
      </c>
      <c r="N3003" s="4">
        <v>0.29078014184397161</v>
      </c>
    </row>
    <row r="3004" spans="1:14" x14ac:dyDescent="0.3">
      <c r="A3004" s="6">
        <v>45872</v>
      </c>
      <c r="B3004" s="1" t="s">
        <v>3188</v>
      </c>
      <c r="C3004" s="1" t="s">
        <v>26</v>
      </c>
      <c r="D3004" t="s">
        <v>34</v>
      </c>
      <c r="E3004" t="s">
        <v>193</v>
      </c>
      <c r="F3004" t="s">
        <v>21</v>
      </c>
      <c r="G3004" t="s">
        <v>20</v>
      </c>
      <c r="H3004" s="3">
        <v>1</v>
      </c>
      <c r="I3004" s="3">
        <v>762</v>
      </c>
      <c r="J3004" s="3">
        <v>762</v>
      </c>
      <c r="K3004" s="3">
        <v>600</v>
      </c>
      <c r="L3004" s="3">
        <v>600</v>
      </c>
      <c r="M3004" s="3">
        <v>162</v>
      </c>
      <c r="N3004" s="4">
        <v>0.2125984251968504</v>
      </c>
    </row>
    <row r="3005" spans="1:14" x14ac:dyDescent="0.3">
      <c r="A3005" s="6">
        <v>45872</v>
      </c>
      <c r="B3005" s="1" t="s">
        <v>3189</v>
      </c>
      <c r="C3005" s="1" t="s">
        <v>29</v>
      </c>
      <c r="D3005" t="s">
        <v>32</v>
      </c>
      <c r="E3005" t="s">
        <v>189</v>
      </c>
      <c r="F3005" t="s">
        <v>24</v>
      </c>
      <c r="G3005" t="s">
        <v>25</v>
      </c>
      <c r="H3005" s="3">
        <v>3</v>
      </c>
      <c r="I3005" s="3">
        <v>3525</v>
      </c>
      <c r="J3005" s="3">
        <v>10575</v>
      </c>
      <c r="K3005" s="3">
        <v>2500</v>
      </c>
      <c r="L3005" s="3">
        <v>7500</v>
      </c>
      <c r="M3005" s="3">
        <v>3075</v>
      </c>
      <c r="N3005" s="4">
        <v>0.29078014184397161</v>
      </c>
    </row>
    <row r="3006" spans="1:14" x14ac:dyDescent="0.3">
      <c r="A3006" s="6">
        <v>45872</v>
      </c>
      <c r="B3006" s="1" t="s">
        <v>3190</v>
      </c>
      <c r="C3006" s="1" t="s">
        <v>28</v>
      </c>
      <c r="D3006" t="s">
        <v>34</v>
      </c>
      <c r="E3006" t="s">
        <v>218</v>
      </c>
      <c r="F3006" t="s">
        <v>19</v>
      </c>
      <c r="G3006" t="s">
        <v>20</v>
      </c>
      <c r="H3006" s="3">
        <v>10</v>
      </c>
      <c r="I3006" s="3">
        <v>1116</v>
      </c>
      <c r="J3006" s="3">
        <v>11160</v>
      </c>
      <c r="K3006" s="3">
        <v>900</v>
      </c>
      <c r="L3006" s="3">
        <v>9000</v>
      </c>
      <c r="M3006" s="3">
        <v>2160</v>
      </c>
      <c r="N3006" s="4">
        <v>0.19354838709677419</v>
      </c>
    </row>
    <row r="3007" spans="1:14" x14ac:dyDescent="0.3">
      <c r="A3007" s="6">
        <v>45872</v>
      </c>
      <c r="B3007" s="1" t="s">
        <v>3191</v>
      </c>
      <c r="C3007" s="1" t="s">
        <v>29</v>
      </c>
      <c r="D3007" t="s">
        <v>33</v>
      </c>
      <c r="E3007" t="s">
        <v>39</v>
      </c>
      <c r="F3007" t="s">
        <v>22</v>
      </c>
      <c r="G3007" t="s">
        <v>18</v>
      </c>
      <c r="H3007" s="3">
        <v>2</v>
      </c>
      <c r="I3007" s="3">
        <v>10150</v>
      </c>
      <c r="J3007" s="3">
        <v>20300</v>
      </c>
      <c r="K3007" s="3">
        <v>7000</v>
      </c>
      <c r="L3007" s="3">
        <v>14000</v>
      </c>
      <c r="M3007" s="3">
        <v>6300</v>
      </c>
      <c r="N3007" s="4">
        <v>0.31034482758620691</v>
      </c>
    </row>
    <row r="3008" spans="1:14" x14ac:dyDescent="0.3">
      <c r="A3008" s="6">
        <v>45872</v>
      </c>
      <c r="B3008" s="1" t="s">
        <v>3192</v>
      </c>
      <c r="C3008" s="1" t="s">
        <v>26</v>
      </c>
      <c r="D3008" t="s">
        <v>30</v>
      </c>
      <c r="E3008" t="s">
        <v>222</v>
      </c>
      <c r="F3008" t="s">
        <v>16</v>
      </c>
      <c r="G3008" t="s">
        <v>15</v>
      </c>
      <c r="H3008" s="3">
        <v>10</v>
      </c>
      <c r="I3008" s="3">
        <v>53960</v>
      </c>
      <c r="J3008" s="3">
        <v>539600</v>
      </c>
      <c r="K3008" s="3">
        <v>38000</v>
      </c>
      <c r="L3008" s="3">
        <v>380000</v>
      </c>
      <c r="M3008" s="3">
        <v>159600</v>
      </c>
      <c r="N3008" s="4">
        <v>0.29577464788732394</v>
      </c>
    </row>
    <row r="3009" spans="1:14" x14ac:dyDescent="0.3">
      <c r="A3009" s="6">
        <v>45872</v>
      </c>
      <c r="B3009" s="1" t="s">
        <v>3193</v>
      </c>
      <c r="C3009" s="1" t="s">
        <v>27</v>
      </c>
      <c r="D3009" t="s">
        <v>35</v>
      </c>
      <c r="E3009" t="s">
        <v>196</v>
      </c>
      <c r="F3009" t="s">
        <v>14</v>
      </c>
      <c r="G3009" t="s">
        <v>15</v>
      </c>
      <c r="H3009" s="3">
        <v>9</v>
      </c>
      <c r="I3009" s="3">
        <v>58950</v>
      </c>
      <c r="J3009" s="3">
        <v>530550</v>
      </c>
      <c r="K3009" s="3">
        <v>45000</v>
      </c>
      <c r="L3009" s="3">
        <v>405000</v>
      </c>
      <c r="M3009" s="3">
        <v>125550</v>
      </c>
      <c r="N3009" s="4">
        <v>0.23664122137404581</v>
      </c>
    </row>
    <row r="3010" spans="1:14" x14ac:dyDescent="0.3">
      <c r="A3010" s="6">
        <v>45873</v>
      </c>
      <c r="B3010" s="1" t="s">
        <v>3194</v>
      </c>
      <c r="C3010" s="1" t="s">
        <v>26</v>
      </c>
      <c r="D3010" t="s">
        <v>34</v>
      </c>
      <c r="E3010" t="s">
        <v>43</v>
      </c>
      <c r="F3010" t="s">
        <v>19</v>
      </c>
      <c r="G3010" t="s">
        <v>20</v>
      </c>
      <c r="H3010" s="3">
        <v>2</v>
      </c>
      <c r="I3010" s="3">
        <v>1188</v>
      </c>
      <c r="J3010" s="3">
        <v>2376</v>
      </c>
      <c r="K3010" s="3">
        <v>900</v>
      </c>
      <c r="L3010" s="3">
        <v>1800</v>
      </c>
      <c r="M3010" s="3">
        <v>576</v>
      </c>
      <c r="N3010" s="4">
        <v>0.24242424242424243</v>
      </c>
    </row>
    <row r="3011" spans="1:14" x14ac:dyDescent="0.3">
      <c r="A3011" s="6">
        <v>45873</v>
      </c>
      <c r="B3011" s="1" t="s">
        <v>3195</v>
      </c>
      <c r="C3011" s="1" t="s">
        <v>26</v>
      </c>
      <c r="D3011" t="s">
        <v>35</v>
      </c>
      <c r="E3011" t="s">
        <v>83</v>
      </c>
      <c r="F3011" t="s">
        <v>17</v>
      </c>
      <c r="G3011" t="s">
        <v>18</v>
      </c>
      <c r="H3011" s="3">
        <v>1</v>
      </c>
      <c r="I3011" s="3">
        <v>11475</v>
      </c>
      <c r="J3011" s="3">
        <v>11475</v>
      </c>
      <c r="K3011" s="3">
        <v>8500</v>
      </c>
      <c r="L3011" s="3">
        <v>8500</v>
      </c>
      <c r="M3011" s="3">
        <v>2975</v>
      </c>
      <c r="N3011" s="4">
        <v>0.25925925925925924</v>
      </c>
    </row>
    <row r="3012" spans="1:14" x14ac:dyDescent="0.3">
      <c r="A3012" s="6">
        <v>45873</v>
      </c>
      <c r="B3012" s="1" t="s">
        <v>3196</v>
      </c>
      <c r="C3012" s="1" t="s">
        <v>27</v>
      </c>
      <c r="D3012" t="s">
        <v>32</v>
      </c>
      <c r="E3012" t="s">
        <v>283</v>
      </c>
      <c r="F3012" t="s">
        <v>22</v>
      </c>
      <c r="G3012" t="s">
        <v>18</v>
      </c>
      <c r="H3012" s="3">
        <v>2</v>
      </c>
      <c r="I3012" s="3">
        <v>8890</v>
      </c>
      <c r="J3012" s="3">
        <v>17780</v>
      </c>
      <c r="K3012" s="3">
        <v>7000</v>
      </c>
      <c r="L3012" s="3">
        <v>14000</v>
      </c>
      <c r="M3012" s="3">
        <v>3780</v>
      </c>
      <c r="N3012" s="4">
        <v>0.2125984251968504</v>
      </c>
    </row>
    <row r="3013" spans="1:14" x14ac:dyDescent="0.3">
      <c r="A3013" s="6">
        <v>45873</v>
      </c>
      <c r="B3013" s="1" t="s">
        <v>3197</v>
      </c>
      <c r="C3013" s="1" t="s">
        <v>26</v>
      </c>
      <c r="D3013" t="s">
        <v>35</v>
      </c>
      <c r="E3013" t="s">
        <v>151</v>
      </c>
      <c r="F3013" t="s">
        <v>19</v>
      </c>
      <c r="G3013" t="s">
        <v>20</v>
      </c>
      <c r="H3013" s="3">
        <v>3</v>
      </c>
      <c r="I3013" s="3">
        <v>1134</v>
      </c>
      <c r="J3013" s="3">
        <v>3402</v>
      </c>
      <c r="K3013" s="3">
        <v>900</v>
      </c>
      <c r="L3013" s="3">
        <v>2700</v>
      </c>
      <c r="M3013" s="3">
        <v>702</v>
      </c>
      <c r="N3013" s="4">
        <v>0.20634920634920634</v>
      </c>
    </row>
    <row r="3014" spans="1:14" x14ac:dyDescent="0.3">
      <c r="A3014" s="6">
        <v>45873</v>
      </c>
      <c r="B3014" s="1" t="s">
        <v>3198</v>
      </c>
      <c r="C3014" s="1" t="s">
        <v>28</v>
      </c>
      <c r="D3014" t="s">
        <v>32</v>
      </c>
      <c r="E3014" t="s">
        <v>72</v>
      </c>
      <c r="F3014" t="s">
        <v>19</v>
      </c>
      <c r="G3014" t="s">
        <v>20</v>
      </c>
      <c r="H3014" s="3">
        <v>5</v>
      </c>
      <c r="I3014" s="3">
        <v>1152</v>
      </c>
      <c r="J3014" s="3">
        <v>5760</v>
      </c>
      <c r="K3014" s="3">
        <v>900</v>
      </c>
      <c r="L3014" s="3">
        <v>4500</v>
      </c>
      <c r="M3014" s="3">
        <v>1260</v>
      </c>
      <c r="N3014" s="4">
        <v>0.21875</v>
      </c>
    </row>
    <row r="3015" spans="1:14" x14ac:dyDescent="0.3">
      <c r="A3015" s="6">
        <v>45873</v>
      </c>
      <c r="B3015" s="1" t="s">
        <v>3199</v>
      </c>
      <c r="C3015" s="1" t="s">
        <v>26</v>
      </c>
      <c r="D3015" t="s">
        <v>32</v>
      </c>
      <c r="E3015" t="s">
        <v>118</v>
      </c>
      <c r="F3015" t="s">
        <v>21</v>
      </c>
      <c r="G3015" t="s">
        <v>20</v>
      </c>
      <c r="H3015" s="3">
        <v>1</v>
      </c>
      <c r="I3015" s="3">
        <v>720</v>
      </c>
      <c r="J3015" s="3">
        <v>720</v>
      </c>
      <c r="K3015" s="3">
        <v>600</v>
      </c>
      <c r="L3015" s="3">
        <v>600</v>
      </c>
      <c r="M3015" s="3">
        <v>120</v>
      </c>
      <c r="N3015" s="4">
        <v>0.16666666666666666</v>
      </c>
    </row>
    <row r="3016" spans="1:14" x14ac:dyDescent="0.3">
      <c r="A3016" s="6">
        <v>45873</v>
      </c>
      <c r="B3016" s="1" t="s">
        <v>3200</v>
      </c>
      <c r="C3016" s="1" t="s">
        <v>26</v>
      </c>
      <c r="D3016" t="s">
        <v>31</v>
      </c>
      <c r="E3016" t="s">
        <v>118</v>
      </c>
      <c r="F3016" t="s">
        <v>16</v>
      </c>
      <c r="G3016" t="s">
        <v>15</v>
      </c>
      <c r="H3016" s="3">
        <v>5</v>
      </c>
      <c r="I3016" s="3">
        <v>45980</v>
      </c>
      <c r="J3016" s="3">
        <v>229900</v>
      </c>
      <c r="K3016" s="3">
        <v>38000</v>
      </c>
      <c r="L3016" s="3">
        <v>190000</v>
      </c>
      <c r="M3016" s="3">
        <v>39900</v>
      </c>
      <c r="N3016" s="4">
        <v>0.17355371900826447</v>
      </c>
    </row>
    <row r="3017" spans="1:14" x14ac:dyDescent="0.3">
      <c r="A3017" s="6">
        <v>45873</v>
      </c>
      <c r="B3017" s="1" t="s">
        <v>3201</v>
      </c>
      <c r="C3017" s="1" t="s">
        <v>26</v>
      </c>
      <c r="D3017" t="s">
        <v>30</v>
      </c>
      <c r="E3017" t="s">
        <v>317</v>
      </c>
      <c r="F3017" t="s">
        <v>22</v>
      </c>
      <c r="G3017" t="s">
        <v>18</v>
      </c>
      <c r="H3017" s="3">
        <v>8</v>
      </c>
      <c r="I3017" s="3">
        <v>8610</v>
      </c>
      <c r="J3017" s="3">
        <v>68880</v>
      </c>
      <c r="K3017" s="3">
        <v>7000</v>
      </c>
      <c r="L3017" s="3">
        <v>56000</v>
      </c>
      <c r="M3017" s="3">
        <v>12880</v>
      </c>
      <c r="N3017" s="4">
        <v>0.18699186991869918</v>
      </c>
    </row>
    <row r="3018" spans="1:14" x14ac:dyDescent="0.3">
      <c r="A3018" s="6">
        <v>45873</v>
      </c>
      <c r="B3018" s="1" t="s">
        <v>3202</v>
      </c>
      <c r="C3018" s="1" t="s">
        <v>27</v>
      </c>
      <c r="D3018" t="s">
        <v>30</v>
      </c>
      <c r="E3018" t="s">
        <v>186</v>
      </c>
      <c r="F3018" t="s">
        <v>14</v>
      </c>
      <c r="G3018" t="s">
        <v>15</v>
      </c>
      <c r="H3018" s="3">
        <v>7</v>
      </c>
      <c r="I3018" s="3">
        <v>60750.000000000007</v>
      </c>
      <c r="J3018" s="3">
        <v>425250.00000000006</v>
      </c>
      <c r="K3018" s="3">
        <v>45000</v>
      </c>
      <c r="L3018" s="3">
        <v>315000</v>
      </c>
      <c r="M3018" s="3">
        <v>110250.00000000006</v>
      </c>
      <c r="N3018" s="4">
        <v>0.25925925925925936</v>
      </c>
    </row>
    <row r="3019" spans="1:14" x14ac:dyDescent="0.3">
      <c r="A3019" s="6">
        <v>45873</v>
      </c>
      <c r="B3019" s="1" t="s">
        <v>3203</v>
      </c>
      <c r="C3019" s="1" t="s">
        <v>29</v>
      </c>
      <c r="D3019" t="s">
        <v>34</v>
      </c>
      <c r="E3019" t="s">
        <v>100</v>
      </c>
      <c r="F3019" t="s">
        <v>16</v>
      </c>
      <c r="G3019" t="s">
        <v>15</v>
      </c>
      <c r="H3019" s="3">
        <v>7</v>
      </c>
      <c r="I3019" s="3">
        <v>50160</v>
      </c>
      <c r="J3019" s="3">
        <v>351120</v>
      </c>
      <c r="K3019" s="3">
        <v>38000</v>
      </c>
      <c r="L3019" s="3">
        <v>266000</v>
      </c>
      <c r="M3019" s="3">
        <v>85120</v>
      </c>
      <c r="N3019" s="4">
        <v>0.24242424242424243</v>
      </c>
    </row>
    <row r="3020" spans="1:14" x14ac:dyDescent="0.3">
      <c r="A3020" s="6">
        <v>45873</v>
      </c>
      <c r="B3020" s="1" t="s">
        <v>3204</v>
      </c>
      <c r="C3020" s="1" t="s">
        <v>29</v>
      </c>
      <c r="D3020" t="s">
        <v>33</v>
      </c>
      <c r="E3020" t="s">
        <v>292</v>
      </c>
      <c r="F3020" t="s">
        <v>17</v>
      </c>
      <c r="G3020" t="s">
        <v>18</v>
      </c>
      <c r="H3020" s="3">
        <v>5</v>
      </c>
      <c r="I3020" s="3">
        <v>10285</v>
      </c>
      <c r="J3020" s="3">
        <v>51425</v>
      </c>
      <c r="K3020" s="3">
        <v>8500</v>
      </c>
      <c r="L3020" s="3">
        <v>42500</v>
      </c>
      <c r="M3020" s="3">
        <v>8925</v>
      </c>
      <c r="N3020" s="4">
        <v>0.17355371900826447</v>
      </c>
    </row>
    <row r="3021" spans="1:14" x14ac:dyDescent="0.3">
      <c r="A3021" s="6">
        <v>45873</v>
      </c>
      <c r="B3021" s="1" t="s">
        <v>3205</v>
      </c>
      <c r="C3021" s="1" t="s">
        <v>26</v>
      </c>
      <c r="D3021" t="s">
        <v>35</v>
      </c>
      <c r="E3021" t="s">
        <v>39</v>
      </c>
      <c r="F3021" t="s">
        <v>17</v>
      </c>
      <c r="G3021" t="s">
        <v>18</v>
      </c>
      <c r="H3021" s="3">
        <v>10</v>
      </c>
      <c r="I3021" s="3">
        <v>11050</v>
      </c>
      <c r="J3021" s="3">
        <v>110500</v>
      </c>
      <c r="K3021" s="3">
        <v>8500</v>
      </c>
      <c r="L3021" s="3">
        <v>85000</v>
      </c>
      <c r="M3021" s="3">
        <v>25500</v>
      </c>
      <c r="N3021" s="4">
        <v>0.23076923076923078</v>
      </c>
    </row>
    <row r="3022" spans="1:14" x14ac:dyDescent="0.3">
      <c r="A3022" s="6">
        <v>45873</v>
      </c>
      <c r="B3022" s="1" t="s">
        <v>3206</v>
      </c>
      <c r="C3022" s="1" t="s">
        <v>27</v>
      </c>
      <c r="D3022" t="s">
        <v>32</v>
      </c>
      <c r="E3022" t="s">
        <v>226</v>
      </c>
      <c r="F3022" t="s">
        <v>21</v>
      </c>
      <c r="G3022" t="s">
        <v>20</v>
      </c>
      <c r="H3022" s="3">
        <v>7</v>
      </c>
      <c r="I3022" s="3">
        <v>792</v>
      </c>
      <c r="J3022" s="3">
        <v>5544</v>
      </c>
      <c r="K3022" s="3">
        <v>600</v>
      </c>
      <c r="L3022" s="3">
        <v>4200</v>
      </c>
      <c r="M3022" s="3">
        <v>1344</v>
      </c>
      <c r="N3022" s="4">
        <v>0.24242424242424243</v>
      </c>
    </row>
    <row r="3023" spans="1:14" x14ac:dyDescent="0.3">
      <c r="A3023" s="6">
        <v>45873</v>
      </c>
      <c r="B3023" s="1" t="s">
        <v>3207</v>
      </c>
      <c r="C3023" s="1" t="s">
        <v>29</v>
      </c>
      <c r="D3023" t="s">
        <v>34</v>
      </c>
      <c r="E3023" t="s">
        <v>63</v>
      </c>
      <c r="F3023" t="s">
        <v>16</v>
      </c>
      <c r="G3023" t="s">
        <v>15</v>
      </c>
      <c r="H3023" s="3">
        <v>5</v>
      </c>
      <c r="I3023" s="3">
        <v>54340</v>
      </c>
      <c r="J3023" s="3">
        <v>271700</v>
      </c>
      <c r="K3023" s="3">
        <v>38000</v>
      </c>
      <c r="L3023" s="3">
        <v>190000</v>
      </c>
      <c r="M3023" s="3">
        <v>81700</v>
      </c>
      <c r="N3023" s="4">
        <v>0.30069930069930068</v>
      </c>
    </row>
    <row r="3024" spans="1:14" x14ac:dyDescent="0.3">
      <c r="A3024" s="6">
        <v>45874</v>
      </c>
      <c r="B3024" s="1" t="s">
        <v>3208</v>
      </c>
      <c r="C3024" s="1" t="s">
        <v>28</v>
      </c>
      <c r="D3024" t="s">
        <v>32</v>
      </c>
      <c r="E3024" t="s">
        <v>292</v>
      </c>
      <c r="F3024" t="s">
        <v>21</v>
      </c>
      <c r="G3024" t="s">
        <v>20</v>
      </c>
      <c r="H3024" s="3">
        <v>7</v>
      </c>
      <c r="I3024" s="3">
        <v>750</v>
      </c>
      <c r="J3024" s="3">
        <v>5250</v>
      </c>
      <c r="K3024" s="3">
        <v>600</v>
      </c>
      <c r="L3024" s="3">
        <v>4200</v>
      </c>
      <c r="M3024" s="3">
        <v>1050</v>
      </c>
      <c r="N3024" s="4">
        <v>0.2</v>
      </c>
    </row>
    <row r="3025" spans="1:14" x14ac:dyDescent="0.3">
      <c r="A3025" s="6">
        <v>45874</v>
      </c>
      <c r="B3025" s="1" t="s">
        <v>3209</v>
      </c>
      <c r="C3025" s="1" t="s">
        <v>29</v>
      </c>
      <c r="D3025" t="s">
        <v>31</v>
      </c>
      <c r="E3025" t="s">
        <v>49</v>
      </c>
      <c r="F3025" t="s">
        <v>16</v>
      </c>
      <c r="G3025" t="s">
        <v>15</v>
      </c>
      <c r="H3025" s="3">
        <v>2</v>
      </c>
      <c r="I3025" s="3">
        <v>47120</v>
      </c>
      <c r="J3025" s="3">
        <v>94240</v>
      </c>
      <c r="K3025" s="3">
        <v>38000</v>
      </c>
      <c r="L3025" s="3">
        <v>76000</v>
      </c>
      <c r="M3025" s="3">
        <v>18240</v>
      </c>
      <c r="N3025" s="4">
        <v>0.19354838709677419</v>
      </c>
    </row>
    <row r="3026" spans="1:14" x14ac:dyDescent="0.3">
      <c r="A3026" s="6">
        <v>45874</v>
      </c>
      <c r="B3026" s="1" t="s">
        <v>3210</v>
      </c>
      <c r="C3026" s="1" t="s">
        <v>27</v>
      </c>
      <c r="D3026" t="s">
        <v>31</v>
      </c>
      <c r="E3026" t="s">
        <v>55</v>
      </c>
      <c r="F3026" t="s">
        <v>19</v>
      </c>
      <c r="G3026" t="s">
        <v>20</v>
      </c>
      <c r="H3026" s="3">
        <v>9</v>
      </c>
      <c r="I3026" s="3">
        <v>1116</v>
      </c>
      <c r="J3026" s="3">
        <v>10044</v>
      </c>
      <c r="K3026" s="3">
        <v>900</v>
      </c>
      <c r="L3026" s="3">
        <v>8100</v>
      </c>
      <c r="M3026" s="3">
        <v>1944</v>
      </c>
      <c r="N3026" s="4">
        <v>0.19354838709677419</v>
      </c>
    </row>
    <row r="3027" spans="1:14" x14ac:dyDescent="0.3">
      <c r="A3027" s="6">
        <v>45874</v>
      </c>
      <c r="B3027" s="1" t="s">
        <v>3211</v>
      </c>
      <c r="C3027" s="1" t="s">
        <v>28</v>
      </c>
      <c r="D3027" t="s">
        <v>35</v>
      </c>
      <c r="E3027" t="s">
        <v>327</v>
      </c>
      <c r="F3027" t="s">
        <v>21</v>
      </c>
      <c r="G3027" t="s">
        <v>20</v>
      </c>
      <c r="H3027" s="3">
        <v>5</v>
      </c>
      <c r="I3027" s="3">
        <v>756</v>
      </c>
      <c r="J3027" s="3">
        <v>3780</v>
      </c>
      <c r="K3027" s="3">
        <v>600</v>
      </c>
      <c r="L3027" s="3">
        <v>3000</v>
      </c>
      <c r="M3027" s="3">
        <v>780</v>
      </c>
      <c r="N3027" s="4">
        <v>0.20634920634920634</v>
      </c>
    </row>
    <row r="3028" spans="1:14" x14ac:dyDescent="0.3">
      <c r="A3028" s="6">
        <v>45874</v>
      </c>
      <c r="B3028" s="1" t="s">
        <v>3212</v>
      </c>
      <c r="C3028" s="1" t="s">
        <v>27</v>
      </c>
      <c r="D3028" t="s">
        <v>30</v>
      </c>
      <c r="E3028" t="s">
        <v>565</v>
      </c>
      <c r="F3028" t="s">
        <v>21</v>
      </c>
      <c r="G3028" t="s">
        <v>20</v>
      </c>
      <c r="H3028" s="3">
        <v>6</v>
      </c>
      <c r="I3028" s="3">
        <v>815.99999999999989</v>
      </c>
      <c r="J3028" s="3">
        <v>4895.9999999999991</v>
      </c>
      <c r="K3028" s="3">
        <v>600</v>
      </c>
      <c r="L3028" s="3">
        <v>3600</v>
      </c>
      <c r="M3028" s="3">
        <v>1295.9999999999991</v>
      </c>
      <c r="N3028" s="4">
        <v>0.26470588235294101</v>
      </c>
    </row>
    <row r="3029" spans="1:14" x14ac:dyDescent="0.3">
      <c r="A3029" s="6">
        <v>45874</v>
      </c>
      <c r="B3029" s="1" t="s">
        <v>3213</v>
      </c>
      <c r="C3029" s="1" t="s">
        <v>27</v>
      </c>
      <c r="D3029" t="s">
        <v>30</v>
      </c>
      <c r="E3029" t="s">
        <v>286</v>
      </c>
      <c r="F3029" t="s">
        <v>19</v>
      </c>
      <c r="G3029" t="s">
        <v>20</v>
      </c>
      <c r="H3029" s="3">
        <v>6</v>
      </c>
      <c r="I3029" s="3">
        <v>1269</v>
      </c>
      <c r="J3029" s="3">
        <v>7614</v>
      </c>
      <c r="K3029" s="3">
        <v>900</v>
      </c>
      <c r="L3029" s="3">
        <v>5400</v>
      </c>
      <c r="M3029" s="3">
        <v>2214</v>
      </c>
      <c r="N3029" s="4">
        <v>0.29078014184397161</v>
      </c>
    </row>
    <row r="3030" spans="1:14" x14ac:dyDescent="0.3">
      <c r="A3030" s="6">
        <v>45874</v>
      </c>
      <c r="B3030" s="1" t="s">
        <v>3214</v>
      </c>
      <c r="C3030" s="1" t="s">
        <v>28</v>
      </c>
      <c r="D3030" t="s">
        <v>34</v>
      </c>
      <c r="E3030" t="s">
        <v>41</v>
      </c>
      <c r="F3030" t="s">
        <v>16</v>
      </c>
      <c r="G3030" t="s">
        <v>15</v>
      </c>
      <c r="H3030" s="3">
        <v>6</v>
      </c>
      <c r="I3030" s="3">
        <v>51679.999999999993</v>
      </c>
      <c r="J3030" s="3">
        <v>310079.99999999994</v>
      </c>
      <c r="K3030" s="3">
        <v>38000</v>
      </c>
      <c r="L3030" s="3">
        <v>228000</v>
      </c>
      <c r="M3030" s="3">
        <v>82079.999999999942</v>
      </c>
      <c r="N3030" s="4">
        <v>0.26470588235294101</v>
      </c>
    </row>
    <row r="3031" spans="1:14" x14ac:dyDescent="0.3">
      <c r="A3031" s="6">
        <v>45874</v>
      </c>
      <c r="B3031" s="1" t="s">
        <v>3215</v>
      </c>
      <c r="C3031" s="1" t="s">
        <v>29</v>
      </c>
      <c r="D3031" t="s">
        <v>31</v>
      </c>
      <c r="E3031" t="s">
        <v>548</v>
      </c>
      <c r="F3031" t="s">
        <v>14</v>
      </c>
      <c r="G3031" t="s">
        <v>15</v>
      </c>
      <c r="H3031" s="3">
        <v>3</v>
      </c>
      <c r="I3031" s="3">
        <v>64800</v>
      </c>
      <c r="J3031" s="3">
        <v>194400</v>
      </c>
      <c r="K3031" s="3">
        <v>45000</v>
      </c>
      <c r="L3031" s="3">
        <v>135000</v>
      </c>
      <c r="M3031" s="3">
        <v>59400</v>
      </c>
      <c r="N3031" s="4">
        <v>0.30555555555555558</v>
      </c>
    </row>
    <row r="3032" spans="1:14" x14ac:dyDescent="0.3">
      <c r="A3032" s="6">
        <v>45874</v>
      </c>
      <c r="B3032" s="1" t="s">
        <v>3216</v>
      </c>
      <c r="C3032" s="1" t="s">
        <v>27</v>
      </c>
      <c r="D3032" t="s">
        <v>30</v>
      </c>
      <c r="E3032" t="s">
        <v>137</v>
      </c>
      <c r="F3032" t="s">
        <v>21</v>
      </c>
      <c r="G3032" t="s">
        <v>20</v>
      </c>
      <c r="H3032" s="3">
        <v>3</v>
      </c>
      <c r="I3032" s="3">
        <v>756</v>
      </c>
      <c r="J3032" s="3">
        <v>2268</v>
      </c>
      <c r="K3032" s="3">
        <v>600</v>
      </c>
      <c r="L3032" s="3">
        <v>1800</v>
      </c>
      <c r="M3032" s="3">
        <v>468</v>
      </c>
      <c r="N3032" s="4">
        <v>0.20634920634920634</v>
      </c>
    </row>
    <row r="3033" spans="1:14" x14ac:dyDescent="0.3">
      <c r="A3033" s="6">
        <v>45874</v>
      </c>
      <c r="B3033" s="1" t="s">
        <v>3217</v>
      </c>
      <c r="C3033" s="1" t="s">
        <v>28</v>
      </c>
      <c r="D3033" t="s">
        <v>31</v>
      </c>
      <c r="E3033" t="s">
        <v>126</v>
      </c>
      <c r="F3033" t="s">
        <v>23</v>
      </c>
      <c r="G3033" t="s">
        <v>25</v>
      </c>
      <c r="H3033" s="3">
        <v>4</v>
      </c>
      <c r="I3033" s="3">
        <v>4256</v>
      </c>
      <c r="J3033" s="3">
        <v>17024</v>
      </c>
      <c r="K3033" s="3">
        <v>3200</v>
      </c>
      <c r="L3033" s="3">
        <v>12800</v>
      </c>
      <c r="M3033" s="3">
        <v>4224</v>
      </c>
      <c r="N3033" s="4">
        <v>0.24812030075187969</v>
      </c>
    </row>
    <row r="3034" spans="1:14" x14ac:dyDescent="0.3">
      <c r="A3034" s="6">
        <v>45874</v>
      </c>
      <c r="B3034" s="1" t="s">
        <v>3218</v>
      </c>
      <c r="C3034" s="1" t="s">
        <v>27</v>
      </c>
      <c r="D3034" t="s">
        <v>30</v>
      </c>
      <c r="E3034" t="s">
        <v>180</v>
      </c>
      <c r="F3034" t="s">
        <v>14</v>
      </c>
      <c r="G3034" t="s">
        <v>15</v>
      </c>
      <c r="H3034" s="3">
        <v>6</v>
      </c>
      <c r="I3034" s="3">
        <v>63900</v>
      </c>
      <c r="J3034" s="3">
        <v>383400</v>
      </c>
      <c r="K3034" s="3">
        <v>45000</v>
      </c>
      <c r="L3034" s="3">
        <v>270000</v>
      </c>
      <c r="M3034" s="3">
        <v>113400</v>
      </c>
      <c r="N3034" s="4">
        <v>0.29577464788732394</v>
      </c>
    </row>
    <row r="3035" spans="1:14" x14ac:dyDescent="0.3">
      <c r="A3035" s="6">
        <v>45874</v>
      </c>
      <c r="B3035" s="1" t="s">
        <v>3219</v>
      </c>
      <c r="C3035" s="1" t="s">
        <v>29</v>
      </c>
      <c r="D3035" t="s">
        <v>32</v>
      </c>
      <c r="E3035" t="s">
        <v>208</v>
      </c>
      <c r="F3035" t="s">
        <v>22</v>
      </c>
      <c r="G3035" t="s">
        <v>18</v>
      </c>
      <c r="H3035" s="3">
        <v>7</v>
      </c>
      <c r="I3035" s="3">
        <v>8960</v>
      </c>
      <c r="J3035" s="3">
        <v>62720</v>
      </c>
      <c r="K3035" s="3">
        <v>7000</v>
      </c>
      <c r="L3035" s="3">
        <v>49000</v>
      </c>
      <c r="M3035" s="3">
        <v>13720</v>
      </c>
      <c r="N3035" s="4">
        <v>0.21875</v>
      </c>
    </row>
    <row r="3036" spans="1:14" x14ac:dyDescent="0.3">
      <c r="A3036" s="6">
        <v>45874</v>
      </c>
      <c r="B3036" s="1" t="s">
        <v>3220</v>
      </c>
      <c r="C3036" s="1" t="s">
        <v>28</v>
      </c>
      <c r="D3036" t="s">
        <v>32</v>
      </c>
      <c r="E3036" t="s">
        <v>83</v>
      </c>
      <c r="F3036" t="s">
        <v>22</v>
      </c>
      <c r="G3036" t="s">
        <v>18</v>
      </c>
      <c r="H3036" s="3">
        <v>8</v>
      </c>
      <c r="I3036" s="3">
        <v>8750</v>
      </c>
      <c r="J3036" s="3">
        <v>70000</v>
      </c>
      <c r="K3036" s="3">
        <v>7000</v>
      </c>
      <c r="L3036" s="3">
        <v>56000</v>
      </c>
      <c r="M3036" s="3">
        <v>14000</v>
      </c>
      <c r="N3036" s="4">
        <v>0.2</v>
      </c>
    </row>
    <row r="3037" spans="1:14" x14ac:dyDescent="0.3">
      <c r="A3037" s="6">
        <v>45874</v>
      </c>
      <c r="B3037" s="1" t="s">
        <v>3221</v>
      </c>
      <c r="C3037" s="1" t="s">
        <v>27</v>
      </c>
      <c r="D3037" t="s">
        <v>32</v>
      </c>
      <c r="E3037" t="s">
        <v>142</v>
      </c>
      <c r="F3037" t="s">
        <v>16</v>
      </c>
      <c r="G3037" t="s">
        <v>15</v>
      </c>
      <c r="H3037" s="3">
        <v>3</v>
      </c>
      <c r="I3037" s="3">
        <v>49020</v>
      </c>
      <c r="J3037" s="3">
        <v>147060</v>
      </c>
      <c r="K3037" s="3">
        <v>38000</v>
      </c>
      <c r="L3037" s="3">
        <v>114000</v>
      </c>
      <c r="M3037" s="3">
        <v>33060</v>
      </c>
      <c r="N3037" s="4">
        <v>0.22480620155038761</v>
      </c>
    </row>
    <row r="3038" spans="1:14" x14ac:dyDescent="0.3">
      <c r="A3038" s="6">
        <v>45875</v>
      </c>
      <c r="B3038" s="1" t="s">
        <v>3222</v>
      </c>
      <c r="C3038" s="1" t="s">
        <v>27</v>
      </c>
      <c r="D3038" t="s">
        <v>32</v>
      </c>
      <c r="E3038" t="s">
        <v>85</v>
      </c>
      <c r="F3038" t="s">
        <v>23</v>
      </c>
      <c r="G3038" t="s">
        <v>25</v>
      </c>
      <c r="H3038" s="3">
        <v>8</v>
      </c>
      <c r="I3038" s="3">
        <v>4192</v>
      </c>
      <c r="J3038" s="3">
        <v>33536</v>
      </c>
      <c r="K3038" s="3">
        <v>3200</v>
      </c>
      <c r="L3038" s="3">
        <v>25600</v>
      </c>
      <c r="M3038" s="3">
        <v>7936</v>
      </c>
      <c r="N3038" s="4">
        <v>0.23664122137404581</v>
      </c>
    </row>
    <row r="3039" spans="1:14" x14ac:dyDescent="0.3">
      <c r="A3039" s="6">
        <v>45875</v>
      </c>
      <c r="B3039" s="1" t="s">
        <v>3223</v>
      </c>
      <c r="C3039" s="1" t="s">
        <v>26</v>
      </c>
      <c r="D3039" t="s">
        <v>33</v>
      </c>
      <c r="E3039" t="s">
        <v>548</v>
      </c>
      <c r="F3039" t="s">
        <v>24</v>
      </c>
      <c r="G3039" t="s">
        <v>25</v>
      </c>
      <c r="H3039" s="3">
        <v>6</v>
      </c>
      <c r="I3039" s="3">
        <v>3150</v>
      </c>
      <c r="J3039" s="3">
        <v>18900</v>
      </c>
      <c r="K3039" s="3">
        <v>2500</v>
      </c>
      <c r="L3039" s="3">
        <v>15000</v>
      </c>
      <c r="M3039" s="3">
        <v>3900</v>
      </c>
      <c r="N3039" s="4">
        <v>0.20634920634920634</v>
      </c>
    </row>
    <row r="3040" spans="1:14" x14ac:dyDescent="0.3">
      <c r="A3040" s="6">
        <v>45875</v>
      </c>
      <c r="B3040" s="1" t="s">
        <v>3224</v>
      </c>
      <c r="C3040" s="1" t="s">
        <v>28</v>
      </c>
      <c r="D3040" t="s">
        <v>35</v>
      </c>
      <c r="E3040" t="s">
        <v>90</v>
      </c>
      <c r="F3040" t="s">
        <v>16</v>
      </c>
      <c r="G3040" t="s">
        <v>15</v>
      </c>
      <c r="H3040" s="3">
        <v>6</v>
      </c>
      <c r="I3040" s="3">
        <v>46360</v>
      </c>
      <c r="J3040" s="3">
        <v>278160</v>
      </c>
      <c r="K3040" s="3">
        <v>38000</v>
      </c>
      <c r="L3040" s="3">
        <v>228000</v>
      </c>
      <c r="M3040" s="3">
        <v>50160</v>
      </c>
      <c r="N3040" s="4">
        <v>0.18032786885245902</v>
      </c>
    </row>
    <row r="3041" spans="1:14" x14ac:dyDescent="0.3">
      <c r="A3041" s="6">
        <v>45875</v>
      </c>
      <c r="B3041" s="1" t="s">
        <v>3225</v>
      </c>
      <c r="C3041" s="1" t="s">
        <v>27</v>
      </c>
      <c r="D3041" t="s">
        <v>33</v>
      </c>
      <c r="E3041" t="s">
        <v>69</v>
      </c>
      <c r="F3041" t="s">
        <v>24</v>
      </c>
      <c r="G3041" t="s">
        <v>25</v>
      </c>
      <c r="H3041" s="3">
        <v>10</v>
      </c>
      <c r="I3041" s="3">
        <v>3475.0000000000005</v>
      </c>
      <c r="J3041" s="3">
        <v>34750.000000000007</v>
      </c>
      <c r="K3041" s="3">
        <v>2500</v>
      </c>
      <c r="L3041" s="3">
        <v>25000</v>
      </c>
      <c r="M3041" s="3">
        <v>9750.0000000000073</v>
      </c>
      <c r="N3041" s="4">
        <v>0.28057553956834547</v>
      </c>
    </row>
    <row r="3042" spans="1:14" x14ac:dyDescent="0.3">
      <c r="A3042" s="6">
        <v>45875</v>
      </c>
      <c r="B3042" s="1" t="s">
        <v>3226</v>
      </c>
      <c r="C3042" s="1" t="s">
        <v>28</v>
      </c>
      <c r="D3042" t="s">
        <v>33</v>
      </c>
      <c r="E3042" t="s">
        <v>59</v>
      </c>
      <c r="F3042" t="s">
        <v>17</v>
      </c>
      <c r="G3042" t="s">
        <v>18</v>
      </c>
      <c r="H3042" s="3">
        <v>10</v>
      </c>
      <c r="I3042" s="3">
        <v>11390</v>
      </c>
      <c r="J3042" s="3">
        <v>113900</v>
      </c>
      <c r="K3042" s="3">
        <v>8500</v>
      </c>
      <c r="L3042" s="3">
        <v>85000</v>
      </c>
      <c r="M3042" s="3">
        <v>28900</v>
      </c>
      <c r="N3042" s="4">
        <v>0.2537313432835821</v>
      </c>
    </row>
    <row r="3043" spans="1:14" x14ac:dyDescent="0.3">
      <c r="A3043" s="6">
        <v>45875</v>
      </c>
      <c r="B3043" s="1" t="s">
        <v>3227</v>
      </c>
      <c r="C3043" s="1" t="s">
        <v>28</v>
      </c>
      <c r="D3043" t="s">
        <v>31</v>
      </c>
      <c r="E3043" t="s">
        <v>61</v>
      </c>
      <c r="F3043" t="s">
        <v>19</v>
      </c>
      <c r="G3043" t="s">
        <v>20</v>
      </c>
      <c r="H3043" s="3">
        <v>9</v>
      </c>
      <c r="I3043" s="3">
        <v>1269</v>
      </c>
      <c r="J3043" s="3">
        <v>11421</v>
      </c>
      <c r="K3043" s="3">
        <v>900</v>
      </c>
      <c r="L3043" s="3">
        <v>8100</v>
      </c>
      <c r="M3043" s="3">
        <v>3321</v>
      </c>
      <c r="N3043" s="4">
        <v>0.29078014184397161</v>
      </c>
    </row>
    <row r="3044" spans="1:14" x14ac:dyDescent="0.3">
      <c r="A3044" s="6">
        <v>45875</v>
      </c>
      <c r="B3044" s="1" t="s">
        <v>3228</v>
      </c>
      <c r="C3044" s="1" t="s">
        <v>26</v>
      </c>
      <c r="D3044" t="s">
        <v>35</v>
      </c>
      <c r="E3044" t="s">
        <v>161</v>
      </c>
      <c r="F3044" t="s">
        <v>22</v>
      </c>
      <c r="G3044" t="s">
        <v>18</v>
      </c>
      <c r="H3044" s="3">
        <v>7</v>
      </c>
      <c r="I3044" s="3">
        <v>8540</v>
      </c>
      <c r="J3044" s="3">
        <v>59780</v>
      </c>
      <c r="K3044" s="3">
        <v>7000</v>
      </c>
      <c r="L3044" s="3">
        <v>49000</v>
      </c>
      <c r="M3044" s="3">
        <v>10780</v>
      </c>
      <c r="N3044" s="4">
        <v>0.18032786885245902</v>
      </c>
    </row>
    <row r="3045" spans="1:14" x14ac:dyDescent="0.3">
      <c r="A3045" s="6">
        <v>45875</v>
      </c>
      <c r="B3045" s="1" t="s">
        <v>3229</v>
      </c>
      <c r="C3045" s="1" t="s">
        <v>26</v>
      </c>
      <c r="D3045" t="s">
        <v>35</v>
      </c>
      <c r="E3045" t="s">
        <v>265</v>
      </c>
      <c r="F3045" t="s">
        <v>16</v>
      </c>
      <c r="G3045" t="s">
        <v>15</v>
      </c>
      <c r="H3045" s="3">
        <v>8</v>
      </c>
      <c r="I3045" s="3">
        <v>45980</v>
      </c>
      <c r="J3045" s="3">
        <v>367840</v>
      </c>
      <c r="K3045" s="3">
        <v>38000</v>
      </c>
      <c r="L3045" s="3">
        <v>304000</v>
      </c>
      <c r="M3045" s="3">
        <v>63840</v>
      </c>
      <c r="N3045" s="4">
        <v>0.17355371900826447</v>
      </c>
    </row>
    <row r="3046" spans="1:14" x14ac:dyDescent="0.3">
      <c r="A3046" s="6">
        <v>45875</v>
      </c>
      <c r="B3046" s="1" t="s">
        <v>3230</v>
      </c>
      <c r="C3046" s="1" t="s">
        <v>29</v>
      </c>
      <c r="D3046" t="s">
        <v>30</v>
      </c>
      <c r="E3046" t="s">
        <v>236</v>
      </c>
      <c r="F3046" t="s">
        <v>24</v>
      </c>
      <c r="G3046" t="s">
        <v>25</v>
      </c>
      <c r="H3046" s="3">
        <v>9</v>
      </c>
      <c r="I3046" s="3">
        <v>3150</v>
      </c>
      <c r="J3046" s="3">
        <v>28350</v>
      </c>
      <c r="K3046" s="3">
        <v>2500</v>
      </c>
      <c r="L3046" s="3">
        <v>22500</v>
      </c>
      <c r="M3046" s="3">
        <v>5850</v>
      </c>
      <c r="N3046" s="4">
        <v>0.20634920634920634</v>
      </c>
    </row>
    <row r="3047" spans="1:14" x14ac:dyDescent="0.3">
      <c r="A3047" s="6">
        <v>45875</v>
      </c>
      <c r="B3047" s="1" t="s">
        <v>3231</v>
      </c>
      <c r="C3047" s="1" t="s">
        <v>27</v>
      </c>
      <c r="D3047" t="s">
        <v>34</v>
      </c>
      <c r="E3047" t="s">
        <v>365</v>
      </c>
      <c r="F3047" t="s">
        <v>22</v>
      </c>
      <c r="G3047" t="s">
        <v>18</v>
      </c>
      <c r="H3047" s="3">
        <v>4</v>
      </c>
      <c r="I3047" s="3">
        <v>8680</v>
      </c>
      <c r="J3047" s="3">
        <v>34720</v>
      </c>
      <c r="K3047" s="3">
        <v>7000</v>
      </c>
      <c r="L3047" s="3">
        <v>28000</v>
      </c>
      <c r="M3047" s="3">
        <v>6720</v>
      </c>
      <c r="N3047" s="4">
        <v>0.19354838709677419</v>
      </c>
    </row>
    <row r="3048" spans="1:14" x14ac:dyDescent="0.3">
      <c r="A3048" s="6">
        <v>45875</v>
      </c>
      <c r="B3048" s="1" t="s">
        <v>3232</v>
      </c>
      <c r="C3048" s="1" t="s">
        <v>28</v>
      </c>
      <c r="D3048" t="s">
        <v>33</v>
      </c>
      <c r="E3048" t="s">
        <v>249</v>
      </c>
      <c r="F3048" t="s">
        <v>14</v>
      </c>
      <c r="G3048" t="s">
        <v>15</v>
      </c>
      <c r="H3048" s="3">
        <v>10</v>
      </c>
      <c r="I3048" s="3">
        <v>57600</v>
      </c>
      <c r="J3048" s="3">
        <v>576000</v>
      </c>
      <c r="K3048" s="3">
        <v>45000</v>
      </c>
      <c r="L3048" s="3">
        <v>450000</v>
      </c>
      <c r="M3048" s="3">
        <v>126000</v>
      </c>
      <c r="N3048" s="4">
        <v>0.21875</v>
      </c>
    </row>
    <row r="3049" spans="1:14" x14ac:dyDescent="0.3">
      <c r="A3049" s="6">
        <v>45875</v>
      </c>
      <c r="B3049" s="1" t="s">
        <v>3233</v>
      </c>
      <c r="C3049" s="1" t="s">
        <v>26</v>
      </c>
      <c r="D3049" t="s">
        <v>35</v>
      </c>
      <c r="E3049" t="s">
        <v>196</v>
      </c>
      <c r="F3049" t="s">
        <v>24</v>
      </c>
      <c r="G3049" t="s">
        <v>25</v>
      </c>
      <c r="H3049" s="3">
        <v>8</v>
      </c>
      <c r="I3049" s="3">
        <v>3399.9999999999995</v>
      </c>
      <c r="J3049" s="3">
        <v>27199.999999999996</v>
      </c>
      <c r="K3049" s="3">
        <v>2500</v>
      </c>
      <c r="L3049" s="3">
        <v>20000</v>
      </c>
      <c r="M3049" s="3">
        <v>7199.9999999999964</v>
      </c>
      <c r="N3049" s="4">
        <v>0.26470588235294107</v>
      </c>
    </row>
    <row r="3050" spans="1:14" x14ac:dyDescent="0.3">
      <c r="A3050" s="6">
        <v>45875</v>
      </c>
      <c r="B3050" s="1" t="s">
        <v>3234</v>
      </c>
      <c r="C3050" s="1" t="s">
        <v>27</v>
      </c>
      <c r="D3050" t="s">
        <v>32</v>
      </c>
      <c r="E3050" t="s">
        <v>59</v>
      </c>
      <c r="F3050" t="s">
        <v>23</v>
      </c>
      <c r="G3050" t="s">
        <v>25</v>
      </c>
      <c r="H3050" s="3">
        <v>2</v>
      </c>
      <c r="I3050" s="3">
        <v>4160</v>
      </c>
      <c r="J3050" s="3">
        <v>8320</v>
      </c>
      <c r="K3050" s="3">
        <v>3200</v>
      </c>
      <c r="L3050" s="3">
        <v>6400</v>
      </c>
      <c r="M3050" s="3">
        <v>1920</v>
      </c>
      <c r="N3050" s="4">
        <v>0.23076923076923078</v>
      </c>
    </row>
    <row r="3051" spans="1:14" x14ac:dyDescent="0.3">
      <c r="A3051" s="6">
        <v>45875</v>
      </c>
      <c r="B3051" s="1" t="s">
        <v>3235</v>
      </c>
      <c r="C3051" s="1" t="s">
        <v>27</v>
      </c>
      <c r="D3051" t="s">
        <v>34</v>
      </c>
      <c r="E3051" t="s">
        <v>106</v>
      </c>
      <c r="F3051" t="s">
        <v>21</v>
      </c>
      <c r="G3051" t="s">
        <v>20</v>
      </c>
      <c r="H3051" s="3">
        <v>2</v>
      </c>
      <c r="I3051" s="3">
        <v>786</v>
      </c>
      <c r="J3051" s="3">
        <v>1572</v>
      </c>
      <c r="K3051" s="3">
        <v>600</v>
      </c>
      <c r="L3051" s="3">
        <v>1200</v>
      </c>
      <c r="M3051" s="3">
        <v>372</v>
      </c>
      <c r="N3051" s="4">
        <v>0.23664122137404581</v>
      </c>
    </row>
    <row r="3052" spans="1:14" x14ac:dyDescent="0.3">
      <c r="A3052" s="6">
        <v>45876</v>
      </c>
      <c r="B3052" s="1" t="s">
        <v>3236</v>
      </c>
      <c r="C3052" s="1" t="s">
        <v>27</v>
      </c>
      <c r="D3052" t="s">
        <v>35</v>
      </c>
      <c r="E3052" t="s">
        <v>751</v>
      </c>
      <c r="F3052" t="s">
        <v>14</v>
      </c>
      <c r="G3052" t="s">
        <v>15</v>
      </c>
      <c r="H3052" s="3">
        <v>1</v>
      </c>
      <c r="I3052" s="3">
        <v>59400</v>
      </c>
      <c r="J3052" s="3">
        <v>59400</v>
      </c>
      <c r="K3052" s="3">
        <v>45000</v>
      </c>
      <c r="L3052" s="3">
        <v>45000</v>
      </c>
      <c r="M3052" s="3">
        <v>14400</v>
      </c>
      <c r="N3052" s="4">
        <v>0.24242424242424243</v>
      </c>
    </row>
    <row r="3053" spans="1:14" x14ac:dyDescent="0.3">
      <c r="A3053" s="6">
        <v>45876</v>
      </c>
      <c r="B3053" s="1" t="s">
        <v>3237</v>
      </c>
      <c r="C3053" s="1" t="s">
        <v>27</v>
      </c>
      <c r="D3053" t="s">
        <v>33</v>
      </c>
      <c r="E3053" t="s">
        <v>565</v>
      </c>
      <c r="F3053" t="s">
        <v>14</v>
      </c>
      <c r="G3053" t="s">
        <v>15</v>
      </c>
      <c r="H3053" s="3">
        <v>6</v>
      </c>
      <c r="I3053" s="3">
        <v>64800</v>
      </c>
      <c r="J3053" s="3">
        <v>388800</v>
      </c>
      <c r="K3053" s="3">
        <v>45000</v>
      </c>
      <c r="L3053" s="3">
        <v>270000</v>
      </c>
      <c r="M3053" s="3">
        <v>118800</v>
      </c>
      <c r="N3053" s="4">
        <v>0.30555555555555558</v>
      </c>
    </row>
    <row r="3054" spans="1:14" x14ac:dyDescent="0.3">
      <c r="A3054" s="6">
        <v>45876</v>
      </c>
      <c r="B3054" s="1" t="s">
        <v>3238</v>
      </c>
      <c r="C3054" s="1" t="s">
        <v>28</v>
      </c>
      <c r="D3054" t="s">
        <v>35</v>
      </c>
      <c r="E3054" t="s">
        <v>565</v>
      </c>
      <c r="F3054" t="s">
        <v>19</v>
      </c>
      <c r="G3054" t="s">
        <v>20</v>
      </c>
      <c r="H3054" s="3">
        <v>8</v>
      </c>
      <c r="I3054" s="3">
        <v>1080</v>
      </c>
      <c r="J3054" s="3">
        <v>8640</v>
      </c>
      <c r="K3054" s="3">
        <v>900</v>
      </c>
      <c r="L3054" s="3">
        <v>7200</v>
      </c>
      <c r="M3054" s="3">
        <v>1440</v>
      </c>
      <c r="N3054" s="4">
        <v>0.16666666666666666</v>
      </c>
    </row>
    <row r="3055" spans="1:14" x14ac:dyDescent="0.3">
      <c r="A3055" s="6">
        <v>45876</v>
      </c>
      <c r="B3055" s="1" t="s">
        <v>3239</v>
      </c>
      <c r="C3055" s="1" t="s">
        <v>29</v>
      </c>
      <c r="D3055" t="s">
        <v>32</v>
      </c>
      <c r="E3055" t="s">
        <v>41</v>
      </c>
      <c r="F3055" t="s">
        <v>17</v>
      </c>
      <c r="G3055" t="s">
        <v>18</v>
      </c>
      <c r="H3055" s="3">
        <v>8</v>
      </c>
      <c r="I3055" s="3">
        <v>10965</v>
      </c>
      <c r="J3055" s="3">
        <v>87720</v>
      </c>
      <c r="K3055" s="3">
        <v>8500</v>
      </c>
      <c r="L3055" s="3">
        <v>68000</v>
      </c>
      <c r="M3055" s="3">
        <v>19720</v>
      </c>
      <c r="N3055" s="4">
        <v>0.22480620155038761</v>
      </c>
    </row>
    <row r="3056" spans="1:14" x14ac:dyDescent="0.3">
      <c r="A3056" s="6">
        <v>45876</v>
      </c>
      <c r="B3056" s="1" t="s">
        <v>3240</v>
      </c>
      <c r="C3056" s="1" t="s">
        <v>29</v>
      </c>
      <c r="D3056" t="s">
        <v>34</v>
      </c>
      <c r="E3056" t="s">
        <v>92</v>
      </c>
      <c r="F3056" t="s">
        <v>23</v>
      </c>
      <c r="G3056" t="s">
        <v>25</v>
      </c>
      <c r="H3056" s="3">
        <v>5</v>
      </c>
      <c r="I3056" s="3">
        <v>3936</v>
      </c>
      <c r="J3056" s="3">
        <v>19680</v>
      </c>
      <c r="K3056" s="3">
        <v>3200</v>
      </c>
      <c r="L3056" s="3">
        <v>16000</v>
      </c>
      <c r="M3056" s="3">
        <v>3680</v>
      </c>
      <c r="N3056" s="4">
        <v>0.18699186991869918</v>
      </c>
    </row>
    <row r="3057" spans="1:14" x14ac:dyDescent="0.3">
      <c r="A3057" s="6">
        <v>45876</v>
      </c>
      <c r="B3057" s="1" t="s">
        <v>3241</v>
      </c>
      <c r="C3057" s="1" t="s">
        <v>26</v>
      </c>
      <c r="D3057" t="s">
        <v>32</v>
      </c>
      <c r="E3057" t="s">
        <v>161</v>
      </c>
      <c r="F3057" t="s">
        <v>22</v>
      </c>
      <c r="G3057" t="s">
        <v>18</v>
      </c>
      <c r="H3057" s="3">
        <v>5</v>
      </c>
      <c r="I3057" s="3">
        <v>9310</v>
      </c>
      <c r="J3057" s="3">
        <v>46550</v>
      </c>
      <c r="K3057" s="3">
        <v>7000</v>
      </c>
      <c r="L3057" s="3">
        <v>35000</v>
      </c>
      <c r="M3057" s="3">
        <v>11550</v>
      </c>
      <c r="N3057" s="4">
        <v>0.24812030075187969</v>
      </c>
    </row>
    <row r="3058" spans="1:14" x14ac:dyDescent="0.3">
      <c r="A3058" s="6">
        <v>45876</v>
      </c>
      <c r="B3058" s="1" t="s">
        <v>3242</v>
      </c>
      <c r="C3058" s="1" t="s">
        <v>28</v>
      </c>
      <c r="D3058" t="s">
        <v>34</v>
      </c>
      <c r="E3058" t="s">
        <v>275</v>
      </c>
      <c r="F3058" t="s">
        <v>21</v>
      </c>
      <c r="G3058" t="s">
        <v>20</v>
      </c>
      <c r="H3058" s="3">
        <v>7</v>
      </c>
      <c r="I3058" s="3">
        <v>750</v>
      </c>
      <c r="J3058" s="3">
        <v>5250</v>
      </c>
      <c r="K3058" s="3">
        <v>600</v>
      </c>
      <c r="L3058" s="3">
        <v>4200</v>
      </c>
      <c r="M3058" s="3">
        <v>1050</v>
      </c>
      <c r="N3058" s="4">
        <v>0.2</v>
      </c>
    </row>
    <row r="3059" spans="1:14" x14ac:dyDescent="0.3">
      <c r="A3059" s="6">
        <v>45876</v>
      </c>
      <c r="B3059" s="1" t="s">
        <v>3243</v>
      </c>
      <c r="C3059" s="1" t="s">
        <v>27</v>
      </c>
      <c r="D3059" t="s">
        <v>30</v>
      </c>
      <c r="E3059" t="s">
        <v>49</v>
      </c>
      <c r="F3059" t="s">
        <v>19</v>
      </c>
      <c r="G3059" t="s">
        <v>20</v>
      </c>
      <c r="H3059" s="3">
        <v>4</v>
      </c>
      <c r="I3059" s="3">
        <v>1161</v>
      </c>
      <c r="J3059" s="3">
        <v>4644</v>
      </c>
      <c r="K3059" s="3">
        <v>900</v>
      </c>
      <c r="L3059" s="3">
        <v>3600</v>
      </c>
      <c r="M3059" s="3">
        <v>1044</v>
      </c>
      <c r="N3059" s="4">
        <v>0.22480620155038761</v>
      </c>
    </row>
    <row r="3060" spans="1:14" x14ac:dyDescent="0.3">
      <c r="A3060" s="6">
        <v>45876</v>
      </c>
      <c r="B3060" s="1" t="s">
        <v>3244</v>
      </c>
      <c r="C3060" s="1" t="s">
        <v>26</v>
      </c>
      <c r="D3060" t="s">
        <v>34</v>
      </c>
      <c r="E3060" t="s">
        <v>231</v>
      </c>
      <c r="F3060" t="s">
        <v>24</v>
      </c>
      <c r="G3060" t="s">
        <v>25</v>
      </c>
      <c r="H3060" s="3">
        <v>4</v>
      </c>
      <c r="I3060" s="3">
        <v>3449.9999999999995</v>
      </c>
      <c r="J3060" s="3">
        <v>13799.999999999998</v>
      </c>
      <c r="K3060" s="3">
        <v>2500</v>
      </c>
      <c r="L3060" s="3">
        <v>10000</v>
      </c>
      <c r="M3060" s="3">
        <v>3799.9999999999982</v>
      </c>
      <c r="N3060" s="4">
        <v>0.2753623188405796</v>
      </c>
    </row>
    <row r="3061" spans="1:14" x14ac:dyDescent="0.3">
      <c r="A3061" s="6">
        <v>45876</v>
      </c>
      <c r="B3061" s="1" t="s">
        <v>3245</v>
      </c>
      <c r="C3061" s="1" t="s">
        <v>28</v>
      </c>
      <c r="D3061" t="s">
        <v>31</v>
      </c>
      <c r="E3061" t="s">
        <v>327</v>
      </c>
      <c r="F3061" t="s">
        <v>14</v>
      </c>
      <c r="G3061" t="s">
        <v>15</v>
      </c>
      <c r="H3061" s="3">
        <v>6</v>
      </c>
      <c r="I3061" s="3">
        <v>59400</v>
      </c>
      <c r="J3061" s="3">
        <v>356400</v>
      </c>
      <c r="K3061" s="3">
        <v>45000</v>
      </c>
      <c r="L3061" s="3">
        <v>270000</v>
      </c>
      <c r="M3061" s="3">
        <v>86400</v>
      </c>
      <c r="N3061" s="4">
        <v>0.24242424242424243</v>
      </c>
    </row>
    <row r="3062" spans="1:14" x14ac:dyDescent="0.3">
      <c r="A3062" s="6">
        <v>45876</v>
      </c>
      <c r="B3062" s="1" t="s">
        <v>3246</v>
      </c>
      <c r="C3062" s="1" t="s">
        <v>28</v>
      </c>
      <c r="D3062" t="s">
        <v>30</v>
      </c>
      <c r="E3062" t="s">
        <v>137</v>
      </c>
      <c r="F3062" t="s">
        <v>23</v>
      </c>
      <c r="G3062" t="s">
        <v>25</v>
      </c>
      <c r="H3062" s="3">
        <v>10</v>
      </c>
      <c r="I3062" s="3">
        <v>3968</v>
      </c>
      <c r="J3062" s="3">
        <v>39680</v>
      </c>
      <c r="K3062" s="3">
        <v>3200</v>
      </c>
      <c r="L3062" s="3">
        <v>32000</v>
      </c>
      <c r="M3062" s="3">
        <v>7680</v>
      </c>
      <c r="N3062" s="4">
        <v>0.19354838709677419</v>
      </c>
    </row>
    <row r="3063" spans="1:14" x14ac:dyDescent="0.3">
      <c r="A3063" s="6">
        <v>45876</v>
      </c>
      <c r="B3063" s="1" t="s">
        <v>3247</v>
      </c>
      <c r="C3063" s="1" t="s">
        <v>26</v>
      </c>
      <c r="D3063" t="s">
        <v>34</v>
      </c>
      <c r="E3063" t="s">
        <v>147</v>
      </c>
      <c r="F3063" t="s">
        <v>17</v>
      </c>
      <c r="G3063" t="s">
        <v>18</v>
      </c>
      <c r="H3063" s="3">
        <v>7</v>
      </c>
      <c r="I3063" s="3">
        <v>11559.999999999998</v>
      </c>
      <c r="J3063" s="3">
        <v>80919.999999999985</v>
      </c>
      <c r="K3063" s="3">
        <v>8500</v>
      </c>
      <c r="L3063" s="3">
        <v>59500</v>
      </c>
      <c r="M3063" s="3">
        <v>21419.999999999985</v>
      </c>
      <c r="N3063" s="4">
        <v>0.26470588235294107</v>
      </c>
    </row>
    <row r="3064" spans="1:14" x14ac:dyDescent="0.3">
      <c r="A3064" s="6">
        <v>45876</v>
      </c>
      <c r="B3064" s="1" t="s">
        <v>3248</v>
      </c>
      <c r="C3064" s="1" t="s">
        <v>26</v>
      </c>
      <c r="D3064" t="s">
        <v>31</v>
      </c>
      <c r="E3064" t="s">
        <v>163</v>
      </c>
      <c r="F3064" t="s">
        <v>19</v>
      </c>
      <c r="G3064" t="s">
        <v>20</v>
      </c>
      <c r="H3064" s="3">
        <v>6</v>
      </c>
      <c r="I3064" s="3">
        <v>1233</v>
      </c>
      <c r="J3064" s="3">
        <v>7398</v>
      </c>
      <c r="K3064" s="3">
        <v>900</v>
      </c>
      <c r="L3064" s="3">
        <v>5400</v>
      </c>
      <c r="M3064" s="3">
        <v>1998</v>
      </c>
      <c r="N3064" s="4">
        <v>0.27007299270072993</v>
      </c>
    </row>
    <row r="3065" spans="1:14" x14ac:dyDescent="0.3">
      <c r="A3065" s="6">
        <v>45876</v>
      </c>
      <c r="B3065" s="1" t="s">
        <v>3249</v>
      </c>
      <c r="C3065" s="1" t="s">
        <v>27</v>
      </c>
      <c r="D3065" t="s">
        <v>32</v>
      </c>
      <c r="E3065" t="s">
        <v>169</v>
      </c>
      <c r="F3065" t="s">
        <v>22</v>
      </c>
      <c r="G3065" t="s">
        <v>18</v>
      </c>
      <c r="H3065" s="3">
        <v>2</v>
      </c>
      <c r="I3065" s="3">
        <v>8470</v>
      </c>
      <c r="J3065" s="3">
        <v>16940</v>
      </c>
      <c r="K3065" s="3">
        <v>7000</v>
      </c>
      <c r="L3065" s="3">
        <v>14000</v>
      </c>
      <c r="M3065" s="3">
        <v>2940</v>
      </c>
      <c r="N3065" s="4">
        <v>0.17355371900826447</v>
      </c>
    </row>
    <row r="3066" spans="1:14" x14ac:dyDescent="0.3">
      <c r="A3066" s="6">
        <v>45877</v>
      </c>
      <c r="B3066" s="1" t="s">
        <v>3250</v>
      </c>
      <c r="C3066" s="1" t="s">
        <v>28</v>
      </c>
      <c r="D3066" t="s">
        <v>33</v>
      </c>
      <c r="E3066" t="s">
        <v>118</v>
      </c>
      <c r="F3066" t="s">
        <v>16</v>
      </c>
      <c r="G3066" t="s">
        <v>15</v>
      </c>
      <c r="H3066" s="3">
        <v>9</v>
      </c>
      <c r="I3066" s="3">
        <v>52060.000000000007</v>
      </c>
      <c r="J3066" s="3">
        <v>468540.00000000006</v>
      </c>
      <c r="K3066" s="3">
        <v>38000</v>
      </c>
      <c r="L3066" s="3">
        <v>342000</v>
      </c>
      <c r="M3066" s="3">
        <v>126540.00000000006</v>
      </c>
      <c r="N3066" s="4">
        <v>0.27007299270073004</v>
      </c>
    </row>
    <row r="3067" spans="1:14" x14ac:dyDescent="0.3">
      <c r="A3067" s="6">
        <v>45877</v>
      </c>
      <c r="B3067" s="1" t="s">
        <v>3251</v>
      </c>
      <c r="C3067" s="1" t="s">
        <v>27</v>
      </c>
      <c r="D3067" t="s">
        <v>33</v>
      </c>
      <c r="E3067" t="s">
        <v>193</v>
      </c>
      <c r="F3067" t="s">
        <v>22</v>
      </c>
      <c r="G3067" t="s">
        <v>18</v>
      </c>
      <c r="H3067" s="3">
        <v>2</v>
      </c>
      <c r="I3067" s="3">
        <v>9730</v>
      </c>
      <c r="J3067" s="3">
        <v>19460</v>
      </c>
      <c r="K3067" s="3">
        <v>7000</v>
      </c>
      <c r="L3067" s="3">
        <v>14000</v>
      </c>
      <c r="M3067" s="3">
        <v>5460</v>
      </c>
      <c r="N3067" s="4">
        <v>0.2805755395683453</v>
      </c>
    </row>
    <row r="3068" spans="1:14" x14ac:dyDescent="0.3">
      <c r="A3068" s="6">
        <v>45877</v>
      </c>
      <c r="B3068" s="1" t="s">
        <v>3252</v>
      </c>
      <c r="C3068" s="1" t="s">
        <v>26</v>
      </c>
      <c r="D3068" t="s">
        <v>32</v>
      </c>
      <c r="E3068" t="s">
        <v>106</v>
      </c>
      <c r="F3068" t="s">
        <v>24</v>
      </c>
      <c r="G3068" t="s">
        <v>25</v>
      </c>
      <c r="H3068" s="3">
        <v>3</v>
      </c>
      <c r="I3068" s="3">
        <v>3350</v>
      </c>
      <c r="J3068" s="3">
        <v>10050</v>
      </c>
      <c r="K3068" s="3">
        <v>2500</v>
      </c>
      <c r="L3068" s="3">
        <v>7500</v>
      </c>
      <c r="M3068" s="3">
        <v>2550</v>
      </c>
      <c r="N3068" s="4">
        <v>0.2537313432835821</v>
      </c>
    </row>
    <row r="3069" spans="1:14" x14ac:dyDescent="0.3">
      <c r="A3069" s="6">
        <v>45877</v>
      </c>
      <c r="B3069" s="1" t="s">
        <v>3253</v>
      </c>
      <c r="C3069" s="1" t="s">
        <v>28</v>
      </c>
      <c r="D3069" t="s">
        <v>30</v>
      </c>
      <c r="E3069" t="s">
        <v>698</v>
      </c>
      <c r="F3069" t="s">
        <v>21</v>
      </c>
      <c r="G3069" t="s">
        <v>20</v>
      </c>
      <c r="H3069" s="3">
        <v>4</v>
      </c>
      <c r="I3069" s="3">
        <v>827.99999999999989</v>
      </c>
      <c r="J3069" s="3">
        <v>3311.9999999999995</v>
      </c>
      <c r="K3069" s="3">
        <v>600</v>
      </c>
      <c r="L3069" s="3">
        <v>2400</v>
      </c>
      <c r="M3069" s="3">
        <v>911.99999999999955</v>
      </c>
      <c r="N3069" s="4">
        <v>0.2753623188405796</v>
      </c>
    </row>
    <row r="3070" spans="1:14" x14ac:dyDescent="0.3">
      <c r="A3070" s="6">
        <v>45877</v>
      </c>
      <c r="B3070" s="1" t="s">
        <v>3254</v>
      </c>
      <c r="C3070" s="1" t="s">
        <v>28</v>
      </c>
      <c r="D3070" t="s">
        <v>33</v>
      </c>
      <c r="E3070" t="s">
        <v>379</v>
      </c>
      <c r="F3070" t="s">
        <v>21</v>
      </c>
      <c r="G3070" t="s">
        <v>20</v>
      </c>
      <c r="H3070" s="3">
        <v>6</v>
      </c>
      <c r="I3070" s="3">
        <v>840</v>
      </c>
      <c r="J3070" s="3">
        <v>5040</v>
      </c>
      <c r="K3070" s="3">
        <v>600</v>
      </c>
      <c r="L3070" s="3">
        <v>3600</v>
      </c>
      <c r="M3070" s="3">
        <v>1440</v>
      </c>
      <c r="N3070" s="4">
        <v>0.2857142857142857</v>
      </c>
    </row>
    <row r="3071" spans="1:14" x14ac:dyDescent="0.3">
      <c r="A3071" s="6">
        <v>45877</v>
      </c>
      <c r="B3071" s="1" t="s">
        <v>3255</v>
      </c>
      <c r="C3071" s="1" t="s">
        <v>28</v>
      </c>
      <c r="D3071" t="s">
        <v>30</v>
      </c>
      <c r="E3071" t="s">
        <v>329</v>
      </c>
      <c r="F3071" t="s">
        <v>23</v>
      </c>
      <c r="G3071" t="s">
        <v>25</v>
      </c>
      <c r="H3071" s="3">
        <v>7</v>
      </c>
      <c r="I3071" s="3">
        <v>4448</v>
      </c>
      <c r="J3071" s="3">
        <v>31136</v>
      </c>
      <c r="K3071" s="3">
        <v>3200</v>
      </c>
      <c r="L3071" s="3">
        <v>22400</v>
      </c>
      <c r="M3071" s="3">
        <v>8736</v>
      </c>
      <c r="N3071" s="4">
        <v>0.2805755395683453</v>
      </c>
    </row>
    <row r="3072" spans="1:14" x14ac:dyDescent="0.3">
      <c r="A3072" s="6">
        <v>45877</v>
      </c>
      <c r="B3072" s="1" t="s">
        <v>3256</v>
      </c>
      <c r="C3072" s="1" t="s">
        <v>26</v>
      </c>
      <c r="D3072" t="s">
        <v>34</v>
      </c>
      <c r="E3072" t="s">
        <v>407</v>
      </c>
      <c r="F3072" t="s">
        <v>16</v>
      </c>
      <c r="G3072" t="s">
        <v>15</v>
      </c>
      <c r="H3072" s="3">
        <v>7</v>
      </c>
      <c r="I3072" s="3">
        <v>52060.000000000007</v>
      </c>
      <c r="J3072" s="3">
        <v>364420.00000000006</v>
      </c>
      <c r="K3072" s="3">
        <v>38000</v>
      </c>
      <c r="L3072" s="3">
        <v>266000</v>
      </c>
      <c r="M3072" s="3">
        <v>98420.000000000058</v>
      </c>
      <c r="N3072" s="4">
        <v>0.27007299270073004</v>
      </c>
    </row>
    <row r="3073" spans="1:14" x14ac:dyDescent="0.3">
      <c r="A3073" s="6">
        <v>45877</v>
      </c>
      <c r="B3073" s="1" t="s">
        <v>3257</v>
      </c>
      <c r="C3073" s="1" t="s">
        <v>26</v>
      </c>
      <c r="D3073" t="s">
        <v>34</v>
      </c>
      <c r="E3073" t="s">
        <v>388</v>
      </c>
      <c r="F3073" t="s">
        <v>24</v>
      </c>
      <c r="G3073" t="s">
        <v>25</v>
      </c>
      <c r="H3073" s="3">
        <v>6</v>
      </c>
      <c r="I3073" s="3">
        <v>3125</v>
      </c>
      <c r="J3073" s="3">
        <v>18750</v>
      </c>
      <c r="K3073" s="3">
        <v>2500</v>
      </c>
      <c r="L3073" s="3">
        <v>15000</v>
      </c>
      <c r="M3073" s="3">
        <v>3750</v>
      </c>
      <c r="N3073" s="4">
        <v>0.2</v>
      </c>
    </row>
    <row r="3074" spans="1:14" x14ac:dyDescent="0.3">
      <c r="A3074" s="6">
        <v>45877</v>
      </c>
      <c r="B3074" s="1" t="s">
        <v>3258</v>
      </c>
      <c r="C3074" s="1" t="s">
        <v>26</v>
      </c>
      <c r="D3074" t="s">
        <v>33</v>
      </c>
      <c r="E3074" t="s">
        <v>92</v>
      </c>
      <c r="F3074" t="s">
        <v>22</v>
      </c>
      <c r="G3074" t="s">
        <v>18</v>
      </c>
      <c r="H3074" s="3">
        <v>10</v>
      </c>
      <c r="I3074" s="3">
        <v>9170</v>
      </c>
      <c r="J3074" s="3">
        <v>91700</v>
      </c>
      <c r="K3074" s="3">
        <v>7000</v>
      </c>
      <c r="L3074" s="3">
        <v>70000</v>
      </c>
      <c r="M3074" s="3">
        <v>21700</v>
      </c>
      <c r="N3074" s="4">
        <v>0.23664122137404581</v>
      </c>
    </row>
    <row r="3075" spans="1:14" x14ac:dyDescent="0.3">
      <c r="A3075" s="6">
        <v>45877</v>
      </c>
      <c r="B3075" s="1" t="s">
        <v>3259</v>
      </c>
      <c r="C3075" s="1" t="s">
        <v>27</v>
      </c>
      <c r="D3075" t="s">
        <v>34</v>
      </c>
      <c r="E3075" t="s">
        <v>55</v>
      </c>
      <c r="F3075" t="s">
        <v>16</v>
      </c>
      <c r="G3075" t="s">
        <v>15</v>
      </c>
      <c r="H3075" s="3">
        <v>2</v>
      </c>
      <c r="I3075" s="3">
        <v>46360</v>
      </c>
      <c r="J3075" s="3">
        <v>92720</v>
      </c>
      <c r="K3075" s="3">
        <v>38000</v>
      </c>
      <c r="L3075" s="3">
        <v>76000</v>
      </c>
      <c r="M3075" s="3">
        <v>16720</v>
      </c>
      <c r="N3075" s="4">
        <v>0.18032786885245902</v>
      </c>
    </row>
    <row r="3076" spans="1:14" x14ac:dyDescent="0.3">
      <c r="A3076" s="6">
        <v>45877</v>
      </c>
      <c r="B3076" s="1" t="s">
        <v>3260</v>
      </c>
      <c r="C3076" s="1" t="s">
        <v>28</v>
      </c>
      <c r="D3076" t="s">
        <v>31</v>
      </c>
      <c r="E3076" t="s">
        <v>306</v>
      </c>
      <c r="F3076" t="s">
        <v>23</v>
      </c>
      <c r="G3076" t="s">
        <v>25</v>
      </c>
      <c r="H3076" s="3">
        <v>10</v>
      </c>
      <c r="I3076" s="3">
        <v>3904</v>
      </c>
      <c r="J3076" s="3">
        <v>39040</v>
      </c>
      <c r="K3076" s="3">
        <v>3200</v>
      </c>
      <c r="L3076" s="3">
        <v>32000</v>
      </c>
      <c r="M3076" s="3">
        <v>7040</v>
      </c>
      <c r="N3076" s="4">
        <v>0.18032786885245902</v>
      </c>
    </row>
    <row r="3077" spans="1:14" x14ac:dyDescent="0.3">
      <c r="A3077" s="6">
        <v>45877</v>
      </c>
      <c r="B3077" s="1" t="s">
        <v>3261</v>
      </c>
      <c r="C3077" s="1" t="s">
        <v>29</v>
      </c>
      <c r="D3077" t="s">
        <v>34</v>
      </c>
      <c r="E3077" t="s">
        <v>361</v>
      </c>
      <c r="F3077" t="s">
        <v>22</v>
      </c>
      <c r="G3077" t="s">
        <v>18</v>
      </c>
      <c r="H3077" s="3">
        <v>2</v>
      </c>
      <c r="I3077" s="3">
        <v>9940</v>
      </c>
      <c r="J3077" s="3">
        <v>19880</v>
      </c>
      <c r="K3077" s="3">
        <v>7000</v>
      </c>
      <c r="L3077" s="3">
        <v>14000</v>
      </c>
      <c r="M3077" s="3">
        <v>5880</v>
      </c>
      <c r="N3077" s="4">
        <v>0.29577464788732394</v>
      </c>
    </row>
    <row r="3078" spans="1:14" x14ac:dyDescent="0.3">
      <c r="A3078" s="6">
        <v>45877</v>
      </c>
      <c r="B3078" s="1" t="s">
        <v>3262</v>
      </c>
      <c r="C3078" s="1" t="s">
        <v>28</v>
      </c>
      <c r="D3078" t="s">
        <v>34</v>
      </c>
      <c r="E3078" t="s">
        <v>508</v>
      </c>
      <c r="F3078" t="s">
        <v>14</v>
      </c>
      <c r="G3078" t="s">
        <v>15</v>
      </c>
      <c r="H3078" s="3">
        <v>5</v>
      </c>
      <c r="I3078" s="3">
        <v>54000</v>
      </c>
      <c r="J3078" s="3">
        <v>270000</v>
      </c>
      <c r="K3078" s="3">
        <v>45000</v>
      </c>
      <c r="L3078" s="3">
        <v>225000</v>
      </c>
      <c r="M3078" s="3">
        <v>45000</v>
      </c>
      <c r="N3078" s="4">
        <v>0.16666666666666666</v>
      </c>
    </row>
    <row r="3079" spans="1:14" x14ac:dyDescent="0.3">
      <c r="A3079" s="6">
        <v>45877</v>
      </c>
      <c r="B3079" s="1" t="s">
        <v>3263</v>
      </c>
      <c r="C3079" s="1" t="s">
        <v>26</v>
      </c>
      <c r="D3079" t="s">
        <v>35</v>
      </c>
      <c r="E3079" t="s">
        <v>400</v>
      </c>
      <c r="F3079" t="s">
        <v>19</v>
      </c>
      <c r="G3079" t="s">
        <v>20</v>
      </c>
      <c r="H3079" s="3">
        <v>6</v>
      </c>
      <c r="I3079" s="3">
        <v>1233</v>
      </c>
      <c r="J3079" s="3">
        <v>7398</v>
      </c>
      <c r="K3079" s="3">
        <v>900</v>
      </c>
      <c r="L3079" s="3">
        <v>5400</v>
      </c>
      <c r="M3079" s="3">
        <v>1998</v>
      </c>
      <c r="N3079" s="4">
        <v>0.27007299270072993</v>
      </c>
    </row>
    <row r="3080" spans="1:14" x14ac:dyDescent="0.3">
      <c r="A3080" s="6">
        <v>45878</v>
      </c>
      <c r="B3080" s="1" t="s">
        <v>3264</v>
      </c>
      <c r="C3080" s="1" t="s">
        <v>29</v>
      </c>
      <c r="D3080" t="s">
        <v>30</v>
      </c>
      <c r="E3080" t="s">
        <v>122</v>
      </c>
      <c r="F3080" t="s">
        <v>21</v>
      </c>
      <c r="G3080" t="s">
        <v>20</v>
      </c>
      <c r="H3080" s="3">
        <v>7</v>
      </c>
      <c r="I3080" s="3">
        <v>756</v>
      </c>
      <c r="J3080" s="3">
        <v>5292</v>
      </c>
      <c r="K3080" s="3">
        <v>600</v>
      </c>
      <c r="L3080" s="3">
        <v>4200</v>
      </c>
      <c r="M3080" s="3">
        <v>1092</v>
      </c>
      <c r="N3080" s="4">
        <v>0.20634920634920634</v>
      </c>
    </row>
    <row r="3081" spans="1:14" x14ac:dyDescent="0.3">
      <c r="A3081" s="6">
        <v>45878</v>
      </c>
      <c r="B3081" s="1" t="s">
        <v>3265</v>
      </c>
      <c r="C3081" s="1" t="s">
        <v>26</v>
      </c>
      <c r="D3081" t="s">
        <v>30</v>
      </c>
      <c r="E3081" t="s">
        <v>155</v>
      </c>
      <c r="F3081" t="s">
        <v>14</v>
      </c>
      <c r="G3081" t="s">
        <v>15</v>
      </c>
      <c r="H3081" s="3">
        <v>7</v>
      </c>
      <c r="I3081" s="3">
        <v>65250</v>
      </c>
      <c r="J3081" s="3">
        <v>456750</v>
      </c>
      <c r="K3081" s="3">
        <v>45000</v>
      </c>
      <c r="L3081" s="3">
        <v>315000</v>
      </c>
      <c r="M3081" s="3">
        <v>141750</v>
      </c>
      <c r="N3081" s="4">
        <v>0.31034482758620691</v>
      </c>
    </row>
    <row r="3082" spans="1:14" x14ac:dyDescent="0.3">
      <c r="A3082" s="6">
        <v>45878</v>
      </c>
      <c r="B3082" s="1" t="s">
        <v>3266</v>
      </c>
      <c r="C3082" s="1" t="s">
        <v>27</v>
      </c>
      <c r="D3082" t="s">
        <v>35</v>
      </c>
      <c r="E3082" t="s">
        <v>142</v>
      </c>
      <c r="F3082" t="s">
        <v>21</v>
      </c>
      <c r="G3082" t="s">
        <v>20</v>
      </c>
      <c r="H3082" s="3">
        <v>9</v>
      </c>
      <c r="I3082" s="3">
        <v>768</v>
      </c>
      <c r="J3082" s="3">
        <v>6912</v>
      </c>
      <c r="K3082" s="3">
        <v>600</v>
      </c>
      <c r="L3082" s="3">
        <v>5400</v>
      </c>
      <c r="M3082" s="3">
        <v>1512</v>
      </c>
      <c r="N3082" s="4">
        <v>0.21875</v>
      </c>
    </row>
    <row r="3083" spans="1:14" x14ac:dyDescent="0.3">
      <c r="A3083" s="6">
        <v>45878</v>
      </c>
      <c r="B3083" s="1" t="s">
        <v>3267</v>
      </c>
      <c r="C3083" s="1" t="s">
        <v>26</v>
      </c>
      <c r="D3083" t="s">
        <v>30</v>
      </c>
      <c r="E3083" t="s">
        <v>204</v>
      </c>
      <c r="F3083" t="s">
        <v>23</v>
      </c>
      <c r="G3083" t="s">
        <v>25</v>
      </c>
      <c r="H3083" s="3">
        <v>9</v>
      </c>
      <c r="I3083" s="3">
        <v>4640</v>
      </c>
      <c r="J3083" s="3">
        <v>41760</v>
      </c>
      <c r="K3083" s="3">
        <v>3200</v>
      </c>
      <c r="L3083" s="3">
        <v>28800</v>
      </c>
      <c r="M3083" s="3">
        <v>12960</v>
      </c>
      <c r="N3083" s="4">
        <v>0.31034482758620691</v>
      </c>
    </row>
    <row r="3084" spans="1:14" x14ac:dyDescent="0.3">
      <c r="A3084" s="6">
        <v>45878</v>
      </c>
      <c r="B3084" s="1" t="s">
        <v>3268</v>
      </c>
      <c r="C3084" s="1" t="s">
        <v>29</v>
      </c>
      <c r="D3084" t="s">
        <v>30</v>
      </c>
      <c r="E3084" t="s">
        <v>145</v>
      </c>
      <c r="F3084" t="s">
        <v>17</v>
      </c>
      <c r="G3084" t="s">
        <v>18</v>
      </c>
      <c r="H3084" s="3">
        <v>5</v>
      </c>
      <c r="I3084" s="3">
        <v>10540</v>
      </c>
      <c r="J3084" s="3">
        <v>52700</v>
      </c>
      <c r="K3084" s="3">
        <v>8500</v>
      </c>
      <c r="L3084" s="3">
        <v>42500</v>
      </c>
      <c r="M3084" s="3">
        <v>10200</v>
      </c>
      <c r="N3084" s="4">
        <v>0.19354838709677419</v>
      </c>
    </row>
    <row r="3085" spans="1:14" x14ac:dyDescent="0.3">
      <c r="A3085" s="6">
        <v>45878</v>
      </c>
      <c r="B3085" s="1" t="s">
        <v>3269</v>
      </c>
      <c r="C3085" s="1" t="s">
        <v>28</v>
      </c>
      <c r="D3085" t="s">
        <v>30</v>
      </c>
      <c r="E3085" t="s">
        <v>92</v>
      </c>
      <c r="F3085" t="s">
        <v>24</v>
      </c>
      <c r="G3085" t="s">
        <v>25</v>
      </c>
      <c r="H3085" s="3">
        <v>6</v>
      </c>
      <c r="I3085" s="3">
        <v>3250</v>
      </c>
      <c r="J3085" s="3">
        <v>19500</v>
      </c>
      <c r="K3085" s="3">
        <v>2500</v>
      </c>
      <c r="L3085" s="3">
        <v>15000</v>
      </c>
      <c r="M3085" s="3">
        <v>4500</v>
      </c>
      <c r="N3085" s="4">
        <v>0.23076923076923078</v>
      </c>
    </row>
    <row r="3086" spans="1:14" x14ac:dyDescent="0.3">
      <c r="A3086" s="6">
        <v>45878</v>
      </c>
      <c r="B3086" s="1" t="s">
        <v>3270</v>
      </c>
      <c r="C3086" s="1" t="s">
        <v>26</v>
      </c>
      <c r="D3086" t="s">
        <v>30</v>
      </c>
      <c r="E3086" t="s">
        <v>116</v>
      </c>
      <c r="F3086" t="s">
        <v>14</v>
      </c>
      <c r="G3086" t="s">
        <v>15</v>
      </c>
      <c r="H3086" s="3">
        <v>4</v>
      </c>
      <c r="I3086" s="3">
        <v>55350</v>
      </c>
      <c r="J3086" s="3">
        <v>221400</v>
      </c>
      <c r="K3086" s="3">
        <v>45000</v>
      </c>
      <c r="L3086" s="3">
        <v>180000</v>
      </c>
      <c r="M3086" s="3">
        <v>41400</v>
      </c>
      <c r="N3086" s="4">
        <v>0.18699186991869918</v>
      </c>
    </row>
    <row r="3087" spans="1:14" x14ac:dyDescent="0.3">
      <c r="A3087" s="6">
        <v>45878</v>
      </c>
      <c r="B3087" s="1" t="s">
        <v>3271</v>
      </c>
      <c r="C3087" s="1" t="s">
        <v>28</v>
      </c>
      <c r="D3087" t="s">
        <v>30</v>
      </c>
      <c r="E3087" t="s">
        <v>72</v>
      </c>
      <c r="F3087" t="s">
        <v>14</v>
      </c>
      <c r="G3087" t="s">
        <v>15</v>
      </c>
      <c r="H3087" s="3">
        <v>5</v>
      </c>
      <c r="I3087" s="3">
        <v>59400</v>
      </c>
      <c r="J3087" s="3">
        <v>297000</v>
      </c>
      <c r="K3087" s="3">
        <v>45000</v>
      </c>
      <c r="L3087" s="3">
        <v>225000</v>
      </c>
      <c r="M3087" s="3">
        <v>72000</v>
      </c>
      <c r="N3087" s="4">
        <v>0.24242424242424243</v>
      </c>
    </row>
    <row r="3088" spans="1:14" x14ac:dyDescent="0.3">
      <c r="A3088" s="6">
        <v>45878</v>
      </c>
      <c r="B3088" s="1" t="s">
        <v>3272</v>
      </c>
      <c r="C3088" s="1" t="s">
        <v>28</v>
      </c>
      <c r="D3088" t="s">
        <v>32</v>
      </c>
      <c r="E3088" t="s">
        <v>145</v>
      </c>
      <c r="F3088" t="s">
        <v>16</v>
      </c>
      <c r="G3088" t="s">
        <v>15</v>
      </c>
      <c r="H3088" s="3">
        <v>4</v>
      </c>
      <c r="I3088" s="3">
        <v>50540</v>
      </c>
      <c r="J3088" s="3">
        <v>202160</v>
      </c>
      <c r="K3088" s="3">
        <v>38000</v>
      </c>
      <c r="L3088" s="3">
        <v>152000</v>
      </c>
      <c r="M3088" s="3">
        <v>50160</v>
      </c>
      <c r="N3088" s="4">
        <v>0.24812030075187969</v>
      </c>
    </row>
    <row r="3089" spans="1:14" x14ac:dyDescent="0.3">
      <c r="A3089" s="6">
        <v>45878</v>
      </c>
      <c r="B3089" s="1" t="s">
        <v>3273</v>
      </c>
      <c r="C3089" s="1" t="s">
        <v>27</v>
      </c>
      <c r="D3089" t="s">
        <v>35</v>
      </c>
      <c r="E3089" t="s">
        <v>357</v>
      </c>
      <c r="F3089" t="s">
        <v>17</v>
      </c>
      <c r="G3089" t="s">
        <v>18</v>
      </c>
      <c r="H3089" s="3">
        <v>7</v>
      </c>
      <c r="I3089" s="3">
        <v>11900</v>
      </c>
      <c r="J3089" s="3">
        <v>83300</v>
      </c>
      <c r="K3089" s="3">
        <v>8500</v>
      </c>
      <c r="L3089" s="3">
        <v>59500</v>
      </c>
      <c r="M3089" s="3">
        <v>23800</v>
      </c>
      <c r="N3089" s="4">
        <v>0.2857142857142857</v>
      </c>
    </row>
    <row r="3090" spans="1:14" x14ac:dyDescent="0.3">
      <c r="A3090" s="6">
        <v>45878</v>
      </c>
      <c r="B3090" s="1" t="s">
        <v>3274</v>
      </c>
      <c r="C3090" s="1" t="s">
        <v>27</v>
      </c>
      <c r="D3090" t="s">
        <v>32</v>
      </c>
      <c r="E3090" t="s">
        <v>85</v>
      </c>
      <c r="F3090" t="s">
        <v>23</v>
      </c>
      <c r="G3090" t="s">
        <v>25</v>
      </c>
      <c r="H3090" s="3">
        <v>7</v>
      </c>
      <c r="I3090" s="3">
        <v>4352</v>
      </c>
      <c r="J3090" s="3">
        <v>30464</v>
      </c>
      <c r="K3090" s="3">
        <v>3200</v>
      </c>
      <c r="L3090" s="3">
        <v>22400</v>
      </c>
      <c r="M3090" s="3">
        <v>8064</v>
      </c>
      <c r="N3090" s="4">
        <v>0.26470588235294118</v>
      </c>
    </row>
    <row r="3091" spans="1:14" x14ac:dyDescent="0.3">
      <c r="A3091" s="6">
        <v>45878</v>
      </c>
      <c r="B3091" s="1" t="s">
        <v>3275</v>
      </c>
      <c r="C3091" s="1" t="s">
        <v>29</v>
      </c>
      <c r="D3091" t="s">
        <v>31</v>
      </c>
      <c r="E3091" t="s">
        <v>114</v>
      </c>
      <c r="F3091" t="s">
        <v>23</v>
      </c>
      <c r="G3091" t="s">
        <v>25</v>
      </c>
      <c r="H3091" s="3">
        <v>2</v>
      </c>
      <c r="I3091" s="3">
        <v>3936</v>
      </c>
      <c r="J3091" s="3">
        <v>7872</v>
      </c>
      <c r="K3091" s="3">
        <v>3200</v>
      </c>
      <c r="L3091" s="3">
        <v>6400</v>
      </c>
      <c r="M3091" s="3">
        <v>1472</v>
      </c>
      <c r="N3091" s="4">
        <v>0.18699186991869918</v>
      </c>
    </row>
    <row r="3092" spans="1:14" x14ac:dyDescent="0.3">
      <c r="A3092" s="6">
        <v>45878</v>
      </c>
      <c r="B3092" s="1" t="s">
        <v>3276</v>
      </c>
      <c r="C3092" s="1" t="s">
        <v>26</v>
      </c>
      <c r="D3092" t="s">
        <v>35</v>
      </c>
      <c r="E3092" t="s">
        <v>49</v>
      </c>
      <c r="F3092" t="s">
        <v>16</v>
      </c>
      <c r="G3092" t="s">
        <v>15</v>
      </c>
      <c r="H3092" s="3">
        <v>10</v>
      </c>
      <c r="I3092" s="3">
        <v>55100</v>
      </c>
      <c r="J3092" s="3">
        <v>551000</v>
      </c>
      <c r="K3092" s="3">
        <v>38000</v>
      </c>
      <c r="L3092" s="3">
        <v>380000</v>
      </c>
      <c r="M3092" s="3">
        <v>171000</v>
      </c>
      <c r="N3092" s="4">
        <v>0.31034482758620691</v>
      </c>
    </row>
    <row r="3093" spans="1:14" x14ac:dyDescent="0.3">
      <c r="A3093" s="6">
        <v>45878</v>
      </c>
      <c r="B3093" s="1" t="s">
        <v>3277</v>
      </c>
      <c r="C3093" s="1" t="s">
        <v>29</v>
      </c>
      <c r="D3093" t="s">
        <v>30</v>
      </c>
      <c r="E3093" t="s">
        <v>308</v>
      </c>
      <c r="F3093" t="s">
        <v>16</v>
      </c>
      <c r="G3093" t="s">
        <v>15</v>
      </c>
      <c r="H3093" s="3">
        <v>4</v>
      </c>
      <c r="I3093" s="3">
        <v>47120</v>
      </c>
      <c r="J3093" s="3">
        <v>188480</v>
      </c>
      <c r="K3093" s="3">
        <v>38000</v>
      </c>
      <c r="L3093" s="3">
        <v>152000</v>
      </c>
      <c r="M3093" s="3">
        <v>36480</v>
      </c>
      <c r="N3093" s="4">
        <v>0.19354838709677419</v>
      </c>
    </row>
    <row r="3094" spans="1:14" x14ac:dyDescent="0.3">
      <c r="A3094" s="6">
        <v>45879</v>
      </c>
      <c r="B3094" s="1" t="s">
        <v>3278</v>
      </c>
      <c r="C3094" s="1" t="s">
        <v>26</v>
      </c>
      <c r="D3094" t="s">
        <v>34</v>
      </c>
      <c r="E3094" t="s">
        <v>351</v>
      </c>
      <c r="F3094" t="s">
        <v>24</v>
      </c>
      <c r="G3094" t="s">
        <v>25</v>
      </c>
      <c r="H3094" s="3">
        <v>5</v>
      </c>
      <c r="I3094" s="3">
        <v>3125</v>
      </c>
      <c r="J3094" s="3">
        <v>15625</v>
      </c>
      <c r="K3094" s="3">
        <v>2500</v>
      </c>
      <c r="L3094" s="3">
        <v>12500</v>
      </c>
      <c r="M3094" s="3">
        <v>3125</v>
      </c>
      <c r="N3094" s="4">
        <v>0.2</v>
      </c>
    </row>
    <row r="3095" spans="1:14" x14ac:dyDescent="0.3">
      <c r="A3095" s="6">
        <v>45879</v>
      </c>
      <c r="B3095" s="1" t="s">
        <v>3279</v>
      </c>
      <c r="C3095" s="1" t="s">
        <v>27</v>
      </c>
      <c r="D3095" t="s">
        <v>33</v>
      </c>
      <c r="E3095" t="s">
        <v>319</v>
      </c>
      <c r="F3095" t="s">
        <v>23</v>
      </c>
      <c r="G3095" t="s">
        <v>25</v>
      </c>
      <c r="H3095" s="3">
        <v>7</v>
      </c>
      <c r="I3095" s="3">
        <v>4000</v>
      </c>
      <c r="J3095" s="3">
        <v>28000</v>
      </c>
      <c r="K3095" s="3">
        <v>3200</v>
      </c>
      <c r="L3095" s="3">
        <v>22400</v>
      </c>
      <c r="M3095" s="3">
        <v>5600</v>
      </c>
      <c r="N3095" s="4">
        <v>0.2</v>
      </c>
    </row>
    <row r="3096" spans="1:14" x14ac:dyDescent="0.3">
      <c r="A3096" s="6">
        <v>45879</v>
      </c>
      <c r="B3096" s="1" t="s">
        <v>3280</v>
      </c>
      <c r="C3096" s="1" t="s">
        <v>27</v>
      </c>
      <c r="D3096" t="s">
        <v>33</v>
      </c>
      <c r="E3096" t="s">
        <v>206</v>
      </c>
      <c r="F3096" t="s">
        <v>14</v>
      </c>
      <c r="G3096" t="s">
        <v>15</v>
      </c>
      <c r="H3096" s="3">
        <v>7</v>
      </c>
      <c r="I3096" s="3">
        <v>58050</v>
      </c>
      <c r="J3096" s="3">
        <v>406350</v>
      </c>
      <c r="K3096" s="3">
        <v>45000</v>
      </c>
      <c r="L3096" s="3">
        <v>315000</v>
      </c>
      <c r="M3096" s="3">
        <v>91350</v>
      </c>
      <c r="N3096" s="4">
        <v>0.22480620155038761</v>
      </c>
    </row>
    <row r="3097" spans="1:14" x14ac:dyDescent="0.3">
      <c r="A3097" s="6">
        <v>45879</v>
      </c>
      <c r="B3097" s="1" t="s">
        <v>3281</v>
      </c>
      <c r="C3097" s="1" t="s">
        <v>29</v>
      </c>
      <c r="D3097" t="s">
        <v>34</v>
      </c>
      <c r="E3097" t="s">
        <v>388</v>
      </c>
      <c r="F3097" t="s">
        <v>14</v>
      </c>
      <c r="G3097" t="s">
        <v>15</v>
      </c>
      <c r="H3097" s="3">
        <v>10</v>
      </c>
      <c r="I3097" s="3">
        <v>58950</v>
      </c>
      <c r="J3097" s="3">
        <v>589500</v>
      </c>
      <c r="K3097" s="3">
        <v>45000</v>
      </c>
      <c r="L3097" s="3">
        <v>450000</v>
      </c>
      <c r="M3097" s="3">
        <v>139500</v>
      </c>
      <c r="N3097" s="4">
        <v>0.23664122137404581</v>
      </c>
    </row>
    <row r="3098" spans="1:14" x14ac:dyDescent="0.3">
      <c r="A3098" s="6">
        <v>45879</v>
      </c>
      <c r="B3098" s="1" t="s">
        <v>3282</v>
      </c>
      <c r="C3098" s="1" t="s">
        <v>28</v>
      </c>
      <c r="D3098" t="s">
        <v>31</v>
      </c>
      <c r="E3098" t="s">
        <v>239</v>
      </c>
      <c r="F3098" t="s">
        <v>17</v>
      </c>
      <c r="G3098" t="s">
        <v>18</v>
      </c>
      <c r="H3098" s="3">
        <v>9</v>
      </c>
      <c r="I3098" s="3">
        <v>10965</v>
      </c>
      <c r="J3098" s="3">
        <v>98685</v>
      </c>
      <c r="K3098" s="3">
        <v>8500</v>
      </c>
      <c r="L3098" s="3">
        <v>76500</v>
      </c>
      <c r="M3098" s="3">
        <v>22185</v>
      </c>
      <c r="N3098" s="4">
        <v>0.22480620155038761</v>
      </c>
    </row>
    <row r="3099" spans="1:14" x14ac:dyDescent="0.3">
      <c r="A3099" s="6">
        <v>45879</v>
      </c>
      <c r="B3099" s="1" t="s">
        <v>3283</v>
      </c>
      <c r="C3099" s="1" t="s">
        <v>26</v>
      </c>
      <c r="D3099" t="s">
        <v>31</v>
      </c>
      <c r="E3099" t="s">
        <v>208</v>
      </c>
      <c r="F3099" t="s">
        <v>21</v>
      </c>
      <c r="G3099" t="s">
        <v>20</v>
      </c>
      <c r="H3099" s="3">
        <v>8</v>
      </c>
      <c r="I3099" s="3">
        <v>792</v>
      </c>
      <c r="J3099" s="3">
        <v>6336</v>
      </c>
      <c r="K3099" s="3">
        <v>600</v>
      </c>
      <c r="L3099" s="3">
        <v>4800</v>
      </c>
      <c r="M3099" s="3">
        <v>1536</v>
      </c>
      <c r="N3099" s="4">
        <v>0.24242424242424243</v>
      </c>
    </row>
    <row r="3100" spans="1:14" x14ac:dyDescent="0.3">
      <c r="A3100" s="6">
        <v>45879</v>
      </c>
      <c r="B3100" s="1" t="s">
        <v>3284</v>
      </c>
      <c r="C3100" s="1" t="s">
        <v>28</v>
      </c>
      <c r="D3100" t="s">
        <v>35</v>
      </c>
      <c r="E3100" t="s">
        <v>379</v>
      </c>
      <c r="F3100" t="s">
        <v>22</v>
      </c>
      <c r="G3100" t="s">
        <v>18</v>
      </c>
      <c r="H3100" s="3">
        <v>5</v>
      </c>
      <c r="I3100" s="3">
        <v>9030</v>
      </c>
      <c r="J3100" s="3">
        <v>45150</v>
      </c>
      <c r="K3100" s="3">
        <v>7000</v>
      </c>
      <c r="L3100" s="3">
        <v>35000</v>
      </c>
      <c r="M3100" s="3">
        <v>10150</v>
      </c>
      <c r="N3100" s="4">
        <v>0.22480620155038761</v>
      </c>
    </row>
    <row r="3101" spans="1:14" x14ac:dyDescent="0.3">
      <c r="A3101" s="6">
        <v>45879</v>
      </c>
      <c r="B3101" s="1" t="s">
        <v>3285</v>
      </c>
      <c r="C3101" s="1" t="s">
        <v>27</v>
      </c>
      <c r="D3101" t="s">
        <v>31</v>
      </c>
      <c r="E3101" t="s">
        <v>236</v>
      </c>
      <c r="F3101" t="s">
        <v>17</v>
      </c>
      <c r="G3101" t="s">
        <v>18</v>
      </c>
      <c r="H3101" s="3">
        <v>5</v>
      </c>
      <c r="I3101" s="3">
        <v>12070</v>
      </c>
      <c r="J3101" s="3">
        <v>60350</v>
      </c>
      <c r="K3101" s="3">
        <v>8500</v>
      </c>
      <c r="L3101" s="3">
        <v>42500</v>
      </c>
      <c r="M3101" s="3">
        <v>17850</v>
      </c>
      <c r="N3101" s="4">
        <v>0.29577464788732394</v>
      </c>
    </row>
    <row r="3102" spans="1:14" x14ac:dyDescent="0.3">
      <c r="A3102" s="6">
        <v>45879</v>
      </c>
      <c r="B3102" s="1" t="s">
        <v>3286</v>
      </c>
      <c r="C3102" s="1" t="s">
        <v>28</v>
      </c>
      <c r="D3102" t="s">
        <v>34</v>
      </c>
      <c r="E3102" t="s">
        <v>67</v>
      </c>
      <c r="F3102" t="s">
        <v>24</v>
      </c>
      <c r="G3102" t="s">
        <v>25</v>
      </c>
      <c r="H3102" s="3">
        <v>9</v>
      </c>
      <c r="I3102" s="3">
        <v>3550</v>
      </c>
      <c r="J3102" s="3">
        <v>31950</v>
      </c>
      <c r="K3102" s="3">
        <v>2500</v>
      </c>
      <c r="L3102" s="3">
        <v>22500</v>
      </c>
      <c r="M3102" s="3">
        <v>9450</v>
      </c>
      <c r="N3102" s="4">
        <v>0.29577464788732394</v>
      </c>
    </row>
    <row r="3103" spans="1:14" x14ac:dyDescent="0.3">
      <c r="A3103" s="6">
        <v>45879</v>
      </c>
      <c r="B3103" s="1" t="s">
        <v>3287</v>
      </c>
      <c r="C3103" s="1" t="s">
        <v>26</v>
      </c>
      <c r="D3103" t="s">
        <v>33</v>
      </c>
      <c r="E3103" t="s">
        <v>120</v>
      </c>
      <c r="F3103" t="s">
        <v>21</v>
      </c>
      <c r="G3103" t="s">
        <v>20</v>
      </c>
      <c r="H3103" s="3">
        <v>1</v>
      </c>
      <c r="I3103" s="3">
        <v>762</v>
      </c>
      <c r="J3103" s="3">
        <v>762</v>
      </c>
      <c r="K3103" s="3">
        <v>600</v>
      </c>
      <c r="L3103" s="3">
        <v>600</v>
      </c>
      <c r="M3103" s="3">
        <v>162</v>
      </c>
      <c r="N3103" s="4">
        <v>0.2125984251968504</v>
      </c>
    </row>
    <row r="3104" spans="1:14" x14ac:dyDescent="0.3">
      <c r="A3104" s="6">
        <v>45879</v>
      </c>
      <c r="B3104" s="1" t="s">
        <v>3288</v>
      </c>
      <c r="C3104" s="1" t="s">
        <v>29</v>
      </c>
      <c r="D3104" t="s">
        <v>35</v>
      </c>
      <c r="E3104" t="s">
        <v>310</v>
      </c>
      <c r="F3104" t="s">
        <v>21</v>
      </c>
      <c r="G3104" t="s">
        <v>20</v>
      </c>
      <c r="H3104" s="3">
        <v>7</v>
      </c>
      <c r="I3104" s="3">
        <v>864</v>
      </c>
      <c r="J3104" s="3">
        <v>6048</v>
      </c>
      <c r="K3104" s="3">
        <v>600</v>
      </c>
      <c r="L3104" s="3">
        <v>4200</v>
      </c>
      <c r="M3104" s="3">
        <v>1848</v>
      </c>
      <c r="N3104" s="4">
        <v>0.30555555555555558</v>
      </c>
    </row>
    <row r="3105" spans="1:14" x14ac:dyDescent="0.3">
      <c r="A3105" s="6">
        <v>45879</v>
      </c>
      <c r="B3105" s="1" t="s">
        <v>3289</v>
      </c>
      <c r="C3105" s="1" t="s">
        <v>28</v>
      </c>
      <c r="D3105" t="s">
        <v>31</v>
      </c>
      <c r="E3105" t="s">
        <v>88</v>
      </c>
      <c r="F3105" t="s">
        <v>24</v>
      </c>
      <c r="G3105" t="s">
        <v>25</v>
      </c>
      <c r="H3105" s="3">
        <v>3</v>
      </c>
      <c r="I3105" s="3">
        <v>3300</v>
      </c>
      <c r="J3105" s="3">
        <v>9900</v>
      </c>
      <c r="K3105" s="3">
        <v>2500</v>
      </c>
      <c r="L3105" s="3">
        <v>7500</v>
      </c>
      <c r="M3105" s="3">
        <v>2400</v>
      </c>
      <c r="N3105" s="4">
        <v>0.24242424242424243</v>
      </c>
    </row>
    <row r="3106" spans="1:14" x14ac:dyDescent="0.3">
      <c r="A3106" s="6">
        <v>45879</v>
      </c>
      <c r="B3106" s="1" t="s">
        <v>3290</v>
      </c>
      <c r="C3106" s="1" t="s">
        <v>29</v>
      </c>
      <c r="D3106" t="s">
        <v>34</v>
      </c>
      <c r="E3106" t="s">
        <v>139</v>
      </c>
      <c r="F3106" t="s">
        <v>22</v>
      </c>
      <c r="G3106" t="s">
        <v>18</v>
      </c>
      <c r="H3106" s="3">
        <v>5</v>
      </c>
      <c r="I3106" s="3">
        <v>9380</v>
      </c>
      <c r="J3106" s="3">
        <v>46900</v>
      </c>
      <c r="K3106" s="3">
        <v>7000</v>
      </c>
      <c r="L3106" s="3">
        <v>35000</v>
      </c>
      <c r="M3106" s="3">
        <v>11900</v>
      </c>
      <c r="N3106" s="4">
        <v>0.2537313432835821</v>
      </c>
    </row>
    <row r="3107" spans="1:14" x14ac:dyDescent="0.3">
      <c r="A3107" s="6">
        <v>45879</v>
      </c>
      <c r="B3107" s="1" t="s">
        <v>3291</v>
      </c>
      <c r="C3107" s="1" t="s">
        <v>28</v>
      </c>
      <c r="D3107" t="s">
        <v>35</v>
      </c>
      <c r="E3107" t="s">
        <v>57</v>
      </c>
      <c r="F3107" t="s">
        <v>23</v>
      </c>
      <c r="G3107" t="s">
        <v>25</v>
      </c>
      <c r="H3107" s="3">
        <v>3</v>
      </c>
      <c r="I3107" s="3">
        <v>4256</v>
      </c>
      <c r="J3107" s="3">
        <v>12768</v>
      </c>
      <c r="K3107" s="3">
        <v>3200</v>
      </c>
      <c r="L3107" s="3">
        <v>9600</v>
      </c>
      <c r="M3107" s="3">
        <v>3168</v>
      </c>
      <c r="N3107" s="4">
        <v>0.24812030075187969</v>
      </c>
    </row>
    <row r="3108" spans="1:14" x14ac:dyDescent="0.3">
      <c r="A3108" s="6">
        <v>45880</v>
      </c>
      <c r="B3108" s="1" t="s">
        <v>3292</v>
      </c>
      <c r="C3108" s="1" t="s">
        <v>26</v>
      </c>
      <c r="D3108" t="s">
        <v>30</v>
      </c>
      <c r="E3108" t="s">
        <v>137</v>
      </c>
      <c r="F3108" t="s">
        <v>23</v>
      </c>
      <c r="G3108" t="s">
        <v>25</v>
      </c>
      <c r="H3108" s="3">
        <v>9</v>
      </c>
      <c r="I3108" s="3">
        <v>4096</v>
      </c>
      <c r="J3108" s="3">
        <v>36864</v>
      </c>
      <c r="K3108" s="3">
        <v>3200</v>
      </c>
      <c r="L3108" s="3">
        <v>28800</v>
      </c>
      <c r="M3108" s="3">
        <v>8064</v>
      </c>
      <c r="N3108" s="4">
        <v>0.21875</v>
      </c>
    </row>
    <row r="3109" spans="1:14" x14ac:dyDescent="0.3">
      <c r="A3109" s="6">
        <v>45880</v>
      </c>
      <c r="B3109" s="1" t="s">
        <v>3293</v>
      </c>
      <c r="C3109" s="1" t="s">
        <v>27</v>
      </c>
      <c r="D3109" t="s">
        <v>32</v>
      </c>
      <c r="E3109" t="s">
        <v>204</v>
      </c>
      <c r="F3109" t="s">
        <v>17</v>
      </c>
      <c r="G3109" t="s">
        <v>18</v>
      </c>
      <c r="H3109" s="3">
        <v>8</v>
      </c>
      <c r="I3109" s="3">
        <v>10285</v>
      </c>
      <c r="J3109" s="3">
        <v>82280</v>
      </c>
      <c r="K3109" s="3">
        <v>8500</v>
      </c>
      <c r="L3109" s="3">
        <v>68000</v>
      </c>
      <c r="M3109" s="3">
        <v>14280</v>
      </c>
      <c r="N3109" s="4">
        <v>0.17355371900826447</v>
      </c>
    </row>
    <row r="3110" spans="1:14" x14ac:dyDescent="0.3">
      <c r="A3110" s="6">
        <v>45880</v>
      </c>
      <c r="B3110" s="1" t="s">
        <v>3294</v>
      </c>
      <c r="C3110" s="1" t="s">
        <v>27</v>
      </c>
      <c r="D3110" t="s">
        <v>35</v>
      </c>
      <c r="E3110" t="s">
        <v>65</v>
      </c>
      <c r="F3110" t="s">
        <v>19</v>
      </c>
      <c r="G3110" t="s">
        <v>20</v>
      </c>
      <c r="H3110" s="3">
        <v>3</v>
      </c>
      <c r="I3110" s="3">
        <v>1242</v>
      </c>
      <c r="J3110" s="3">
        <v>3726</v>
      </c>
      <c r="K3110" s="3">
        <v>900</v>
      </c>
      <c r="L3110" s="3">
        <v>2700</v>
      </c>
      <c r="M3110" s="3">
        <v>1026</v>
      </c>
      <c r="N3110" s="4">
        <v>0.27536231884057971</v>
      </c>
    </row>
    <row r="3111" spans="1:14" x14ac:dyDescent="0.3">
      <c r="A3111" s="6">
        <v>45880</v>
      </c>
      <c r="B3111" s="1" t="s">
        <v>3295</v>
      </c>
      <c r="C3111" s="1" t="s">
        <v>27</v>
      </c>
      <c r="D3111" t="s">
        <v>31</v>
      </c>
      <c r="E3111" t="s">
        <v>275</v>
      </c>
      <c r="F3111" t="s">
        <v>17</v>
      </c>
      <c r="G3111" t="s">
        <v>18</v>
      </c>
      <c r="H3111" s="3">
        <v>2</v>
      </c>
      <c r="I3111" s="3">
        <v>11730</v>
      </c>
      <c r="J3111" s="3">
        <v>23460</v>
      </c>
      <c r="K3111" s="3">
        <v>8500</v>
      </c>
      <c r="L3111" s="3">
        <v>17000</v>
      </c>
      <c r="M3111" s="3">
        <v>6460</v>
      </c>
      <c r="N3111" s="4">
        <v>0.27536231884057971</v>
      </c>
    </row>
    <row r="3112" spans="1:14" x14ac:dyDescent="0.3">
      <c r="A3112" s="6">
        <v>45880</v>
      </c>
      <c r="B3112" s="1" t="s">
        <v>3296</v>
      </c>
      <c r="C3112" s="1" t="s">
        <v>26</v>
      </c>
      <c r="D3112" t="s">
        <v>35</v>
      </c>
      <c r="E3112" t="s">
        <v>351</v>
      </c>
      <c r="F3112" t="s">
        <v>21</v>
      </c>
      <c r="G3112" t="s">
        <v>20</v>
      </c>
      <c r="H3112" s="3">
        <v>6</v>
      </c>
      <c r="I3112" s="3">
        <v>780</v>
      </c>
      <c r="J3112" s="3">
        <v>4680</v>
      </c>
      <c r="K3112" s="3">
        <v>600</v>
      </c>
      <c r="L3112" s="3">
        <v>3600</v>
      </c>
      <c r="M3112" s="3">
        <v>1080</v>
      </c>
      <c r="N3112" s="4">
        <v>0.23076923076923078</v>
      </c>
    </row>
    <row r="3113" spans="1:14" x14ac:dyDescent="0.3">
      <c r="A3113" s="6">
        <v>45880</v>
      </c>
      <c r="B3113" s="1" t="s">
        <v>3297</v>
      </c>
      <c r="C3113" s="1" t="s">
        <v>26</v>
      </c>
      <c r="D3113" t="s">
        <v>30</v>
      </c>
      <c r="E3113" t="s">
        <v>149</v>
      </c>
      <c r="F3113" t="s">
        <v>19</v>
      </c>
      <c r="G3113" t="s">
        <v>20</v>
      </c>
      <c r="H3113" s="3">
        <v>9</v>
      </c>
      <c r="I3113" s="3">
        <v>1260</v>
      </c>
      <c r="J3113" s="3">
        <v>11340</v>
      </c>
      <c r="K3113" s="3">
        <v>900</v>
      </c>
      <c r="L3113" s="3">
        <v>8100</v>
      </c>
      <c r="M3113" s="3">
        <v>3240</v>
      </c>
      <c r="N3113" s="4">
        <v>0.2857142857142857</v>
      </c>
    </row>
    <row r="3114" spans="1:14" x14ac:dyDescent="0.3">
      <c r="A3114" s="6">
        <v>45880</v>
      </c>
      <c r="B3114" s="1" t="s">
        <v>3298</v>
      </c>
      <c r="C3114" s="1" t="s">
        <v>27</v>
      </c>
      <c r="D3114" t="s">
        <v>30</v>
      </c>
      <c r="E3114" t="s">
        <v>751</v>
      </c>
      <c r="F3114" t="s">
        <v>14</v>
      </c>
      <c r="G3114" t="s">
        <v>15</v>
      </c>
      <c r="H3114" s="3">
        <v>4</v>
      </c>
      <c r="I3114" s="3">
        <v>54900</v>
      </c>
      <c r="J3114" s="3">
        <v>219600</v>
      </c>
      <c r="K3114" s="3">
        <v>45000</v>
      </c>
      <c r="L3114" s="3">
        <v>180000</v>
      </c>
      <c r="M3114" s="3">
        <v>39600</v>
      </c>
      <c r="N3114" s="4">
        <v>0.18032786885245902</v>
      </c>
    </row>
    <row r="3115" spans="1:14" x14ac:dyDescent="0.3">
      <c r="A3115" s="6">
        <v>45880</v>
      </c>
      <c r="B3115" s="1" t="s">
        <v>3299</v>
      </c>
      <c r="C3115" s="1" t="s">
        <v>27</v>
      </c>
      <c r="D3115" t="s">
        <v>34</v>
      </c>
      <c r="E3115" t="s">
        <v>102</v>
      </c>
      <c r="F3115" t="s">
        <v>23</v>
      </c>
      <c r="G3115" t="s">
        <v>25</v>
      </c>
      <c r="H3115" s="3">
        <v>9</v>
      </c>
      <c r="I3115" s="3">
        <v>3840</v>
      </c>
      <c r="J3115" s="3">
        <v>34560</v>
      </c>
      <c r="K3115" s="3">
        <v>3200</v>
      </c>
      <c r="L3115" s="3">
        <v>28800</v>
      </c>
      <c r="M3115" s="3">
        <v>5760</v>
      </c>
      <c r="N3115" s="4">
        <v>0.16666666666666666</v>
      </c>
    </row>
    <row r="3116" spans="1:14" x14ac:dyDescent="0.3">
      <c r="A3116" s="6">
        <v>45880</v>
      </c>
      <c r="B3116" s="1" t="s">
        <v>3300</v>
      </c>
      <c r="C3116" s="1" t="s">
        <v>27</v>
      </c>
      <c r="D3116" t="s">
        <v>34</v>
      </c>
      <c r="E3116" t="s">
        <v>698</v>
      </c>
      <c r="F3116" t="s">
        <v>24</v>
      </c>
      <c r="G3116" t="s">
        <v>25</v>
      </c>
      <c r="H3116" s="3">
        <v>8</v>
      </c>
      <c r="I3116" s="3">
        <v>3375</v>
      </c>
      <c r="J3116" s="3">
        <v>27000</v>
      </c>
      <c r="K3116" s="3">
        <v>2500</v>
      </c>
      <c r="L3116" s="3">
        <v>20000</v>
      </c>
      <c r="M3116" s="3">
        <v>7000</v>
      </c>
      <c r="N3116" s="4">
        <v>0.25925925925925924</v>
      </c>
    </row>
    <row r="3117" spans="1:14" x14ac:dyDescent="0.3">
      <c r="A3117" s="6">
        <v>45880</v>
      </c>
      <c r="B3117" s="1" t="s">
        <v>3301</v>
      </c>
      <c r="C3117" s="1" t="s">
        <v>28</v>
      </c>
      <c r="D3117" t="s">
        <v>34</v>
      </c>
      <c r="E3117" t="s">
        <v>220</v>
      </c>
      <c r="F3117" t="s">
        <v>14</v>
      </c>
      <c r="G3117" t="s">
        <v>15</v>
      </c>
      <c r="H3117" s="3">
        <v>9</v>
      </c>
      <c r="I3117" s="3">
        <v>62999.999999999993</v>
      </c>
      <c r="J3117" s="3">
        <v>566999.99999999988</v>
      </c>
      <c r="K3117" s="3">
        <v>45000</v>
      </c>
      <c r="L3117" s="3">
        <v>405000</v>
      </c>
      <c r="M3117" s="3">
        <v>161999.99999999988</v>
      </c>
      <c r="N3117" s="4">
        <v>0.28571428571428559</v>
      </c>
    </row>
    <row r="3118" spans="1:14" x14ac:dyDescent="0.3">
      <c r="A3118" s="6">
        <v>45880</v>
      </c>
      <c r="B3118" s="1" t="s">
        <v>3302</v>
      </c>
      <c r="C3118" s="1" t="s">
        <v>28</v>
      </c>
      <c r="D3118" t="s">
        <v>35</v>
      </c>
      <c r="E3118" t="s">
        <v>431</v>
      </c>
      <c r="F3118" t="s">
        <v>17</v>
      </c>
      <c r="G3118" t="s">
        <v>18</v>
      </c>
      <c r="H3118" s="3">
        <v>6</v>
      </c>
      <c r="I3118" s="3">
        <v>10625</v>
      </c>
      <c r="J3118" s="3">
        <v>63750</v>
      </c>
      <c r="K3118" s="3">
        <v>8500</v>
      </c>
      <c r="L3118" s="3">
        <v>51000</v>
      </c>
      <c r="M3118" s="3">
        <v>12750</v>
      </c>
      <c r="N3118" s="4">
        <v>0.2</v>
      </c>
    </row>
    <row r="3119" spans="1:14" x14ac:dyDescent="0.3">
      <c r="A3119" s="6">
        <v>45880</v>
      </c>
      <c r="B3119" s="1" t="s">
        <v>3303</v>
      </c>
      <c r="C3119" s="1" t="s">
        <v>27</v>
      </c>
      <c r="D3119" t="s">
        <v>34</v>
      </c>
      <c r="E3119" t="s">
        <v>698</v>
      </c>
      <c r="F3119" t="s">
        <v>22</v>
      </c>
      <c r="G3119" t="s">
        <v>18</v>
      </c>
      <c r="H3119" s="3">
        <v>2</v>
      </c>
      <c r="I3119" s="3">
        <v>9030</v>
      </c>
      <c r="J3119" s="3">
        <v>18060</v>
      </c>
      <c r="K3119" s="3">
        <v>7000</v>
      </c>
      <c r="L3119" s="3">
        <v>14000</v>
      </c>
      <c r="M3119" s="3">
        <v>4060</v>
      </c>
      <c r="N3119" s="4">
        <v>0.22480620155038761</v>
      </c>
    </row>
    <row r="3120" spans="1:14" x14ac:dyDescent="0.3">
      <c r="A3120" s="6">
        <v>45880</v>
      </c>
      <c r="B3120" s="1" t="s">
        <v>3304</v>
      </c>
      <c r="C3120" s="1" t="s">
        <v>28</v>
      </c>
      <c r="D3120" t="s">
        <v>31</v>
      </c>
      <c r="E3120" t="s">
        <v>283</v>
      </c>
      <c r="F3120" t="s">
        <v>16</v>
      </c>
      <c r="G3120" t="s">
        <v>15</v>
      </c>
      <c r="H3120" s="3">
        <v>4</v>
      </c>
      <c r="I3120" s="3">
        <v>45980</v>
      </c>
      <c r="J3120" s="3">
        <v>183920</v>
      </c>
      <c r="K3120" s="3">
        <v>38000</v>
      </c>
      <c r="L3120" s="3">
        <v>152000</v>
      </c>
      <c r="M3120" s="3">
        <v>31920</v>
      </c>
      <c r="N3120" s="4">
        <v>0.17355371900826447</v>
      </c>
    </row>
    <row r="3121" spans="1:14" x14ac:dyDescent="0.3">
      <c r="A3121" s="6">
        <v>45880</v>
      </c>
      <c r="B3121" s="1" t="s">
        <v>3305</v>
      </c>
      <c r="C3121" s="1" t="s">
        <v>29</v>
      </c>
      <c r="D3121" t="s">
        <v>33</v>
      </c>
      <c r="E3121" t="s">
        <v>53</v>
      </c>
      <c r="F3121" t="s">
        <v>21</v>
      </c>
      <c r="G3121" t="s">
        <v>20</v>
      </c>
      <c r="H3121" s="3">
        <v>3</v>
      </c>
      <c r="I3121" s="3">
        <v>858</v>
      </c>
      <c r="J3121" s="3">
        <v>2574</v>
      </c>
      <c r="K3121" s="3">
        <v>600</v>
      </c>
      <c r="L3121" s="3">
        <v>1800</v>
      </c>
      <c r="M3121" s="3">
        <v>774</v>
      </c>
      <c r="N3121" s="4">
        <v>0.30069930069930068</v>
      </c>
    </row>
    <row r="3122" spans="1:14" x14ac:dyDescent="0.3">
      <c r="A3122" s="6">
        <v>45881</v>
      </c>
      <c r="B3122" s="1" t="s">
        <v>3306</v>
      </c>
      <c r="C3122" s="1" t="s">
        <v>27</v>
      </c>
      <c r="D3122" t="s">
        <v>34</v>
      </c>
      <c r="E3122" t="s">
        <v>351</v>
      </c>
      <c r="F3122" t="s">
        <v>16</v>
      </c>
      <c r="G3122" t="s">
        <v>15</v>
      </c>
      <c r="H3122" s="3">
        <v>3</v>
      </c>
      <c r="I3122" s="3">
        <v>53200</v>
      </c>
      <c r="J3122" s="3">
        <v>159600</v>
      </c>
      <c r="K3122" s="3">
        <v>38000</v>
      </c>
      <c r="L3122" s="3">
        <v>114000</v>
      </c>
      <c r="M3122" s="3">
        <v>45600</v>
      </c>
      <c r="N3122" s="4">
        <v>0.2857142857142857</v>
      </c>
    </row>
    <row r="3123" spans="1:14" x14ac:dyDescent="0.3">
      <c r="A3123" s="6">
        <v>45881</v>
      </c>
      <c r="B3123" s="1" t="s">
        <v>3307</v>
      </c>
      <c r="C3123" s="1" t="s">
        <v>28</v>
      </c>
      <c r="D3123" t="s">
        <v>30</v>
      </c>
      <c r="E3123" t="s">
        <v>159</v>
      </c>
      <c r="F3123" t="s">
        <v>14</v>
      </c>
      <c r="G3123" t="s">
        <v>15</v>
      </c>
      <c r="H3123" s="3">
        <v>2</v>
      </c>
      <c r="I3123" s="3">
        <v>62550.000000000007</v>
      </c>
      <c r="J3123" s="3">
        <v>125100.00000000001</v>
      </c>
      <c r="K3123" s="3">
        <v>45000</v>
      </c>
      <c r="L3123" s="3">
        <v>90000</v>
      </c>
      <c r="M3123" s="3">
        <v>35100.000000000015</v>
      </c>
      <c r="N3123" s="4">
        <v>0.28057553956834541</v>
      </c>
    </row>
    <row r="3124" spans="1:14" x14ac:dyDescent="0.3">
      <c r="A3124" s="6">
        <v>45881</v>
      </c>
      <c r="B3124" s="1" t="s">
        <v>3308</v>
      </c>
      <c r="C3124" s="1" t="s">
        <v>29</v>
      </c>
      <c r="D3124" t="s">
        <v>31</v>
      </c>
      <c r="E3124" t="s">
        <v>548</v>
      </c>
      <c r="F3124" t="s">
        <v>21</v>
      </c>
      <c r="G3124" t="s">
        <v>20</v>
      </c>
      <c r="H3124" s="3">
        <v>1</v>
      </c>
      <c r="I3124" s="3">
        <v>870</v>
      </c>
      <c r="J3124" s="3">
        <v>870</v>
      </c>
      <c r="K3124" s="3">
        <v>600</v>
      </c>
      <c r="L3124" s="3">
        <v>600</v>
      </c>
      <c r="M3124" s="3">
        <v>270</v>
      </c>
      <c r="N3124" s="4">
        <v>0.31034482758620691</v>
      </c>
    </row>
    <row r="3125" spans="1:14" x14ac:dyDescent="0.3">
      <c r="A3125" s="6">
        <v>45881</v>
      </c>
      <c r="B3125" s="1" t="s">
        <v>3309</v>
      </c>
      <c r="C3125" s="1" t="s">
        <v>29</v>
      </c>
      <c r="D3125" t="s">
        <v>31</v>
      </c>
      <c r="E3125" t="s">
        <v>379</v>
      </c>
      <c r="F3125" t="s">
        <v>19</v>
      </c>
      <c r="G3125" t="s">
        <v>20</v>
      </c>
      <c r="H3125" s="3">
        <v>4</v>
      </c>
      <c r="I3125" s="3">
        <v>1080</v>
      </c>
      <c r="J3125" s="3">
        <v>4320</v>
      </c>
      <c r="K3125" s="3">
        <v>900</v>
      </c>
      <c r="L3125" s="3">
        <v>3600</v>
      </c>
      <c r="M3125" s="3">
        <v>720</v>
      </c>
      <c r="N3125" s="4">
        <v>0.16666666666666666</v>
      </c>
    </row>
    <row r="3126" spans="1:14" x14ac:dyDescent="0.3">
      <c r="A3126" s="6">
        <v>45881</v>
      </c>
      <c r="B3126" s="1" t="s">
        <v>3310</v>
      </c>
      <c r="C3126" s="1" t="s">
        <v>26</v>
      </c>
      <c r="D3126" t="s">
        <v>30</v>
      </c>
      <c r="E3126" t="s">
        <v>228</v>
      </c>
      <c r="F3126" t="s">
        <v>21</v>
      </c>
      <c r="G3126" t="s">
        <v>20</v>
      </c>
      <c r="H3126" s="3">
        <v>9</v>
      </c>
      <c r="I3126" s="3">
        <v>864</v>
      </c>
      <c r="J3126" s="3">
        <v>7776</v>
      </c>
      <c r="K3126" s="3">
        <v>600</v>
      </c>
      <c r="L3126" s="3">
        <v>5400</v>
      </c>
      <c r="M3126" s="3">
        <v>2376</v>
      </c>
      <c r="N3126" s="4">
        <v>0.30555555555555558</v>
      </c>
    </row>
    <row r="3127" spans="1:14" x14ac:dyDescent="0.3">
      <c r="A3127" s="6">
        <v>45881</v>
      </c>
      <c r="B3127" s="1" t="s">
        <v>3311</v>
      </c>
      <c r="C3127" s="1" t="s">
        <v>27</v>
      </c>
      <c r="D3127" t="s">
        <v>35</v>
      </c>
      <c r="E3127" t="s">
        <v>548</v>
      </c>
      <c r="F3127" t="s">
        <v>21</v>
      </c>
      <c r="G3127" t="s">
        <v>20</v>
      </c>
      <c r="H3127" s="3">
        <v>8</v>
      </c>
      <c r="I3127" s="3">
        <v>726</v>
      </c>
      <c r="J3127" s="3">
        <v>5808</v>
      </c>
      <c r="K3127" s="3">
        <v>600</v>
      </c>
      <c r="L3127" s="3">
        <v>4800</v>
      </c>
      <c r="M3127" s="3">
        <v>1008</v>
      </c>
      <c r="N3127" s="4">
        <v>0.17355371900826447</v>
      </c>
    </row>
    <row r="3128" spans="1:14" x14ac:dyDescent="0.3">
      <c r="A3128" s="6">
        <v>45881</v>
      </c>
      <c r="B3128" s="1" t="s">
        <v>3312</v>
      </c>
      <c r="C3128" s="1" t="s">
        <v>27</v>
      </c>
      <c r="D3128" t="s">
        <v>35</v>
      </c>
      <c r="E3128" t="s">
        <v>381</v>
      </c>
      <c r="F3128" t="s">
        <v>14</v>
      </c>
      <c r="G3128" t="s">
        <v>15</v>
      </c>
      <c r="H3128" s="3">
        <v>5</v>
      </c>
      <c r="I3128" s="3">
        <v>55350</v>
      </c>
      <c r="J3128" s="3">
        <v>276750</v>
      </c>
      <c r="K3128" s="3">
        <v>45000</v>
      </c>
      <c r="L3128" s="3">
        <v>225000</v>
      </c>
      <c r="M3128" s="3">
        <v>51750</v>
      </c>
      <c r="N3128" s="4">
        <v>0.18699186991869918</v>
      </c>
    </row>
    <row r="3129" spans="1:14" x14ac:dyDescent="0.3">
      <c r="A3129" s="6">
        <v>45881</v>
      </c>
      <c r="B3129" s="1" t="s">
        <v>3313</v>
      </c>
      <c r="C3129" s="1" t="s">
        <v>29</v>
      </c>
      <c r="D3129" t="s">
        <v>31</v>
      </c>
      <c r="E3129" t="s">
        <v>78</v>
      </c>
      <c r="F3129" t="s">
        <v>23</v>
      </c>
      <c r="G3129" t="s">
        <v>25</v>
      </c>
      <c r="H3129" s="3">
        <v>2</v>
      </c>
      <c r="I3129" s="3">
        <v>4576</v>
      </c>
      <c r="J3129" s="3">
        <v>9152</v>
      </c>
      <c r="K3129" s="3">
        <v>3200</v>
      </c>
      <c r="L3129" s="3">
        <v>6400</v>
      </c>
      <c r="M3129" s="3">
        <v>2752</v>
      </c>
      <c r="N3129" s="4">
        <v>0.30069930069930068</v>
      </c>
    </row>
    <row r="3130" spans="1:14" x14ac:dyDescent="0.3">
      <c r="A3130" s="6">
        <v>45881</v>
      </c>
      <c r="B3130" s="1" t="s">
        <v>3314</v>
      </c>
      <c r="C3130" s="1" t="s">
        <v>27</v>
      </c>
      <c r="D3130" t="s">
        <v>35</v>
      </c>
      <c r="E3130" t="s">
        <v>122</v>
      </c>
      <c r="F3130" t="s">
        <v>21</v>
      </c>
      <c r="G3130" t="s">
        <v>20</v>
      </c>
      <c r="H3130" s="3">
        <v>8</v>
      </c>
      <c r="I3130" s="3">
        <v>726</v>
      </c>
      <c r="J3130" s="3">
        <v>5808</v>
      </c>
      <c r="K3130" s="3">
        <v>600</v>
      </c>
      <c r="L3130" s="3">
        <v>4800</v>
      </c>
      <c r="M3130" s="3">
        <v>1008</v>
      </c>
      <c r="N3130" s="4">
        <v>0.17355371900826447</v>
      </c>
    </row>
    <row r="3131" spans="1:14" x14ac:dyDescent="0.3">
      <c r="A3131" s="6">
        <v>45881</v>
      </c>
      <c r="B3131" s="1" t="s">
        <v>3315</v>
      </c>
      <c r="C3131" s="1" t="s">
        <v>26</v>
      </c>
      <c r="D3131" t="s">
        <v>31</v>
      </c>
      <c r="E3131" t="s">
        <v>427</v>
      </c>
      <c r="F3131" t="s">
        <v>14</v>
      </c>
      <c r="G3131" t="s">
        <v>15</v>
      </c>
      <c r="H3131" s="3">
        <v>10</v>
      </c>
      <c r="I3131" s="3">
        <v>62099.999999999993</v>
      </c>
      <c r="J3131" s="3">
        <v>620999.99999999988</v>
      </c>
      <c r="K3131" s="3">
        <v>45000</v>
      </c>
      <c r="L3131" s="3">
        <v>450000</v>
      </c>
      <c r="M3131" s="3">
        <v>170999.99999999988</v>
      </c>
      <c r="N3131" s="4">
        <v>0.2753623188405796</v>
      </c>
    </row>
    <row r="3132" spans="1:14" x14ac:dyDescent="0.3">
      <c r="A3132" s="6">
        <v>45881</v>
      </c>
      <c r="B3132" s="1" t="s">
        <v>3316</v>
      </c>
      <c r="C3132" s="1" t="s">
        <v>28</v>
      </c>
      <c r="D3132" t="s">
        <v>30</v>
      </c>
      <c r="E3132" t="s">
        <v>110</v>
      </c>
      <c r="F3132" t="s">
        <v>17</v>
      </c>
      <c r="G3132" t="s">
        <v>18</v>
      </c>
      <c r="H3132" s="3">
        <v>2</v>
      </c>
      <c r="I3132" s="3">
        <v>11305</v>
      </c>
      <c r="J3132" s="3">
        <v>22610</v>
      </c>
      <c r="K3132" s="3">
        <v>8500</v>
      </c>
      <c r="L3132" s="3">
        <v>17000</v>
      </c>
      <c r="M3132" s="3">
        <v>5610</v>
      </c>
      <c r="N3132" s="4">
        <v>0.24812030075187969</v>
      </c>
    </row>
    <row r="3133" spans="1:14" x14ac:dyDescent="0.3">
      <c r="A3133" s="6">
        <v>45881</v>
      </c>
      <c r="B3133" s="1" t="s">
        <v>3317</v>
      </c>
      <c r="C3133" s="1" t="s">
        <v>27</v>
      </c>
      <c r="D3133" t="s">
        <v>33</v>
      </c>
      <c r="E3133" t="s">
        <v>186</v>
      </c>
      <c r="F3133" t="s">
        <v>22</v>
      </c>
      <c r="G3133" t="s">
        <v>18</v>
      </c>
      <c r="H3133" s="3">
        <v>3</v>
      </c>
      <c r="I3133" s="3">
        <v>9380</v>
      </c>
      <c r="J3133" s="3">
        <v>28140</v>
      </c>
      <c r="K3133" s="3">
        <v>7000</v>
      </c>
      <c r="L3133" s="3">
        <v>21000</v>
      </c>
      <c r="M3133" s="3">
        <v>7140</v>
      </c>
      <c r="N3133" s="4">
        <v>0.2537313432835821</v>
      </c>
    </row>
    <row r="3134" spans="1:14" x14ac:dyDescent="0.3">
      <c r="A3134" s="6">
        <v>45881</v>
      </c>
      <c r="B3134" s="1" t="s">
        <v>3318</v>
      </c>
      <c r="C3134" s="1" t="s">
        <v>27</v>
      </c>
      <c r="D3134" t="s">
        <v>30</v>
      </c>
      <c r="E3134" t="s">
        <v>935</v>
      </c>
      <c r="F3134" t="s">
        <v>16</v>
      </c>
      <c r="G3134" t="s">
        <v>15</v>
      </c>
      <c r="H3134" s="3">
        <v>6</v>
      </c>
      <c r="I3134" s="3">
        <v>53960</v>
      </c>
      <c r="J3134" s="3">
        <v>323760</v>
      </c>
      <c r="K3134" s="3">
        <v>38000</v>
      </c>
      <c r="L3134" s="3">
        <v>228000</v>
      </c>
      <c r="M3134" s="3">
        <v>95760</v>
      </c>
      <c r="N3134" s="4">
        <v>0.29577464788732394</v>
      </c>
    </row>
    <row r="3135" spans="1:14" x14ac:dyDescent="0.3">
      <c r="A3135" s="6">
        <v>45881</v>
      </c>
      <c r="B3135" s="1" t="s">
        <v>3319</v>
      </c>
      <c r="C3135" s="1" t="s">
        <v>26</v>
      </c>
      <c r="D3135" t="s">
        <v>33</v>
      </c>
      <c r="E3135" t="s">
        <v>102</v>
      </c>
      <c r="F3135" t="s">
        <v>23</v>
      </c>
      <c r="G3135" t="s">
        <v>25</v>
      </c>
      <c r="H3135" s="3">
        <v>7</v>
      </c>
      <c r="I3135" s="3">
        <v>3968</v>
      </c>
      <c r="J3135" s="3">
        <v>27776</v>
      </c>
      <c r="K3135" s="3">
        <v>3200</v>
      </c>
      <c r="L3135" s="3">
        <v>22400</v>
      </c>
      <c r="M3135" s="3">
        <v>5376</v>
      </c>
      <c r="N3135" s="4">
        <v>0.19354838709677419</v>
      </c>
    </row>
    <row r="3136" spans="1:14" x14ac:dyDescent="0.3">
      <c r="A3136" s="6">
        <v>45882</v>
      </c>
      <c r="B3136" s="1" t="s">
        <v>3320</v>
      </c>
      <c r="C3136" s="1" t="s">
        <v>28</v>
      </c>
      <c r="D3136" t="s">
        <v>35</v>
      </c>
      <c r="E3136" t="s">
        <v>47</v>
      </c>
      <c r="F3136" t="s">
        <v>19</v>
      </c>
      <c r="G3136" t="s">
        <v>20</v>
      </c>
      <c r="H3136" s="3">
        <v>5</v>
      </c>
      <c r="I3136" s="3">
        <v>1161</v>
      </c>
      <c r="J3136" s="3">
        <v>5805</v>
      </c>
      <c r="K3136" s="3">
        <v>900</v>
      </c>
      <c r="L3136" s="3">
        <v>4500</v>
      </c>
      <c r="M3136" s="3">
        <v>1305</v>
      </c>
      <c r="N3136" s="4">
        <v>0.22480620155038761</v>
      </c>
    </row>
    <row r="3137" spans="1:14" x14ac:dyDescent="0.3">
      <c r="A3137" s="6">
        <v>45882</v>
      </c>
      <c r="B3137" s="1" t="s">
        <v>3321</v>
      </c>
      <c r="C3137" s="1" t="s">
        <v>28</v>
      </c>
      <c r="D3137" t="s">
        <v>35</v>
      </c>
      <c r="E3137" t="s">
        <v>94</v>
      </c>
      <c r="F3137" t="s">
        <v>14</v>
      </c>
      <c r="G3137" t="s">
        <v>15</v>
      </c>
      <c r="H3137" s="3">
        <v>4</v>
      </c>
      <c r="I3137" s="3">
        <v>58500</v>
      </c>
      <c r="J3137" s="3">
        <v>234000</v>
      </c>
      <c r="K3137" s="3">
        <v>45000</v>
      </c>
      <c r="L3137" s="3">
        <v>180000</v>
      </c>
      <c r="M3137" s="3">
        <v>54000</v>
      </c>
      <c r="N3137" s="4">
        <v>0.23076923076923078</v>
      </c>
    </row>
    <row r="3138" spans="1:14" x14ac:dyDescent="0.3">
      <c r="A3138" s="6">
        <v>45882</v>
      </c>
      <c r="B3138" s="1" t="s">
        <v>3322</v>
      </c>
      <c r="C3138" s="1" t="s">
        <v>29</v>
      </c>
      <c r="D3138" t="s">
        <v>35</v>
      </c>
      <c r="E3138" t="s">
        <v>327</v>
      </c>
      <c r="F3138" t="s">
        <v>21</v>
      </c>
      <c r="G3138" t="s">
        <v>20</v>
      </c>
      <c r="H3138" s="3">
        <v>2</v>
      </c>
      <c r="I3138" s="3">
        <v>732</v>
      </c>
      <c r="J3138" s="3">
        <v>1464</v>
      </c>
      <c r="K3138" s="3">
        <v>600</v>
      </c>
      <c r="L3138" s="3">
        <v>1200</v>
      </c>
      <c r="M3138" s="3">
        <v>264</v>
      </c>
      <c r="N3138" s="4">
        <v>0.18032786885245902</v>
      </c>
    </row>
    <row r="3139" spans="1:14" x14ac:dyDescent="0.3">
      <c r="A3139" s="6">
        <v>45882</v>
      </c>
      <c r="B3139" s="1" t="s">
        <v>3323</v>
      </c>
      <c r="C3139" s="1" t="s">
        <v>29</v>
      </c>
      <c r="D3139" t="s">
        <v>34</v>
      </c>
      <c r="E3139" t="s">
        <v>228</v>
      </c>
      <c r="F3139" t="s">
        <v>16</v>
      </c>
      <c r="G3139" t="s">
        <v>15</v>
      </c>
      <c r="H3139" s="3">
        <v>10</v>
      </c>
      <c r="I3139" s="3">
        <v>50920</v>
      </c>
      <c r="J3139" s="3">
        <v>509200</v>
      </c>
      <c r="K3139" s="3">
        <v>38000</v>
      </c>
      <c r="L3139" s="3">
        <v>380000</v>
      </c>
      <c r="M3139" s="3">
        <v>129200</v>
      </c>
      <c r="N3139" s="4">
        <v>0.2537313432835821</v>
      </c>
    </row>
    <row r="3140" spans="1:14" x14ac:dyDescent="0.3">
      <c r="A3140" s="6">
        <v>45882</v>
      </c>
      <c r="B3140" s="1" t="s">
        <v>3324</v>
      </c>
      <c r="C3140" s="1" t="s">
        <v>28</v>
      </c>
      <c r="D3140" t="s">
        <v>34</v>
      </c>
      <c r="E3140" t="s">
        <v>214</v>
      </c>
      <c r="F3140" t="s">
        <v>14</v>
      </c>
      <c r="G3140" t="s">
        <v>15</v>
      </c>
      <c r="H3140" s="3">
        <v>6</v>
      </c>
      <c r="I3140" s="3">
        <v>63900</v>
      </c>
      <c r="J3140" s="3">
        <v>383400</v>
      </c>
      <c r="K3140" s="3">
        <v>45000</v>
      </c>
      <c r="L3140" s="3">
        <v>270000</v>
      </c>
      <c r="M3140" s="3">
        <v>113400</v>
      </c>
      <c r="N3140" s="4">
        <v>0.29577464788732394</v>
      </c>
    </row>
    <row r="3141" spans="1:14" x14ac:dyDescent="0.3">
      <c r="A3141" s="6">
        <v>45882</v>
      </c>
      <c r="B3141" s="1" t="s">
        <v>3325</v>
      </c>
      <c r="C3141" s="1" t="s">
        <v>29</v>
      </c>
      <c r="D3141" t="s">
        <v>31</v>
      </c>
      <c r="E3141" t="s">
        <v>409</v>
      </c>
      <c r="F3141" t="s">
        <v>24</v>
      </c>
      <c r="G3141" t="s">
        <v>25</v>
      </c>
      <c r="H3141" s="3">
        <v>9</v>
      </c>
      <c r="I3141" s="3">
        <v>3449.9999999999995</v>
      </c>
      <c r="J3141" s="3">
        <v>31049.999999999996</v>
      </c>
      <c r="K3141" s="3">
        <v>2500</v>
      </c>
      <c r="L3141" s="3">
        <v>22500</v>
      </c>
      <c r="M3141" s="3">
        <v>8549.9999999999964</v>
      </c>
      <c r="N3141" s="4">
        <v>0.2753623188405796</v>
      </c>
    </row>
    <row r="3142" spans="1:14" x14ac:dyDescent="0.3">
      <c r="A3142" s="6">
        <v>45882</v>
      </c>
      <c r="B3142" s="1" t="s">
        <v>3326</v>
      </c>
      <c r="C3142" s="1" t="s">
        <v>28</v>
      </c>
      <c r="D3142" t="s">
        <v>31</v>
      </c>
      <c r="E3142" t="s">
        <v>506</v>
      </c>
      <c r="F3142" t="s">
        <v>22</v>
      </c>
      <c r="G3142" t="s">
        <v>18</v>
      </c>
      <c r="H3142" s="3">
        <v>7</v>
      </c>
      <c r="I3142" s="3">
        <v>9170</v>
      </c>
      <c r="J3142" s="3">
        <v>64190</v>
      </c>
      <c r="K3142" s="3">
        <v>7000</v>
      </c>
      <c r="L3142" s="3">
        <v>49000</v>
      </c>
      <c r="M3142" s="3">
        <v>15190</v>
      </c>
      <c r="N3142" s="4">
        <v>0.23664122137404581</v>
      </c>
    </row>
    <row r="3143" spans="1:14" x14ac:dyDescent="0.3">
      <c r="A3143" s="6">
        <v>45882</v>
      </c>
      <c r="B3143" s="1" t="s">
        <v>3327</v>
      </c>
      <c r="C3143" s="1" t="s">
        <v>28</v>
      </c>
      <c r="D3143" t="s">
        <v>35</v>
      </c>
      <c r="E3143" t="s">
        <v>273</v>
      </c>
      <c r="F3143" t="s">
        <v>22</v>
      </c>
      <c r="G3143" t="s">
        <v>18</v>
      </c>
      <c r="H3143" s="3">
        <v>5</v>
      </c>
      <c r="I3143" s="3">
        <v>9940</v>
      </c>
      <c r="J3143" s="3">
        <v>49700</v>
      </c>
      <c r="K3143" s="3">
        <v>7000</v>
      </c>
      <c r="L3143" s="3">
        <v>35000</v>
      </c>
      <c r="M3143" s="3">
        <v>14700</v>
      </c>
      <c r="N3143" s="4">
        <v>0.29577464788732394</v>
      </c>
    </row>
    <row r="3144" spans="1:14" x14ac:dyDescent="0.3">
      <c r="A3144" s="6">
        <v>45882</v>
      </c>
      <c r="B3144" s="1" t="s">
        <v>3328</v>
      </c>
      <c r="C3144" s="1" t="s">
        <v>29</v>
      </c>
      <c r="D3144" t="s">
        <v>35</v>
      </c>
      <c r="E3144" t="s">
        <v>365</v>
      </c>
      <c r="F3144" t="s">
        <v>19</v>
      </c>
      <c r="G3144" t="s">
        <v>20</v>
      </c>
      <c r="H3144" s="3">
        <v>7</v>
      </c>
      <c r="I3144" s="3">
        <v>1161</v>
      </c>
      <c r="J3144" s="3">
        <v>8127</v>
      </c>
      <c r="K3144" s="3">
        <v>900</v>
      </c>
      <c r="L3144" s="3">
        <v>6300</v>
      </c>
      <c r="M3144" s="3">
        <v>1827</v>
      </c>
      <c r="N3144" s="4">
        <v>0.22480620155038761</v>
      </c>
    </row>
    <row r="3145" spans="1:14" x14ac:dyDescent="0.3">
      <c r="A3145" s="6">
        <v>45882</v>
      </c>
      <c r="B3145" s="1" t="s">
        <v>3329</v>
      </c>
      <c r="C3145" s="1" t="s">
        <v>27</v>
      </c>
      <c r="D3145" t="s">
        <v>30</v>
      </c>
      <c r="E3145" t="s">
        <v>63</v>
      </c>
      <c r="F3145" t="s">
        <v>16</v>
      </c>
      <c r="G3145" t="s">
        <v>15</v>
      </c>
      <c r="H3145" s="3">
        <v>10</v>
      </c>
      <c r="I3145" s="3">
        <v>47120</v>
      </c>
      <c r="J3145" s="3">
        <v>471200</v>
      </c>
      <c r="K3145" s="3">
        <v>38000</v>
      </c>
      <c r="L3145" s="3">
        <v>380000</v>
      </c>
      <c r="M3145" s="3">
        <v>91200</v>
      </c>
      <c r="N3145" s="4">
        <v>0.19354838709677419</v>
      </c>
    </row>
    <row r="3146" spans="1:14" x14ac:dyDescent="0.3">
      <c r="A3146" s="6">
        <v>45882</v>
      </c>
      <c r="B3146" s="1" t="s">
        <v>3330</v>
      </c>
      <c r="C3146" s="1" t="s">
        <v>27</v>
      </c>
      <c r="D3146" t="s">
        <v>35</v>
      </c>
      <c r="E3146" t="s">
        <v>49</v>
      </c>
      <c r="F3146" t="s">
        <v>16</v>
      </c>
      <c r="G3146" t="s">
        <v>15</v>
      </c>
      <c r="H3146" s="3">
        <v>5</v>
      </c>
      <c r="I3146" s="3">
        <v>53580</v>
      </c>
      <c r="J3146" s="3">
        <v>267900</v>
      </c>
      <c r="K3146" s="3">
        <v>38000</v>
      </c>
      <c r="L3146" s="3">
        <v>190000</v>
      </c>
      <c r="M3146" s="3">
        <v>77900</v>
      </c>
      <c r="N3146" s="4">
        <v>0.29078014184397161</v>
      </c>
    </row>
    <row r="3147" spans="1:14" x14ac:dyDescent="0.3">
      <c r="A3147" s="6">
        <v>45882</v>
      </c>
      <c r="B3147" s="1" t="s">
        <v>3331</v>
      </c>
      <c r="C3147" s="1" t="s">
        <v>27</v>
      </c>
      <c r="D3147" t="s">
        <v>34</v>
      </c>
      <c r="E3147" t="s">
        <v>65</v>
      </c>
      <c r="F3147" t="s">
        <v>19</v>
      </c>
      <c r="G3147" t="s">
        <v>20</v>
      </c>
      <c r="H3147" s="3">
        <v>3</v>
      </c>
      <c r="I3147" s="3">
        <v>1224</v>
      </c>
      <c r="J3147" s="3">
        <v>3672</v>
      </c>
      <c r="K3147" s="3">
        <v>900</v>
      </c>
      <c r="L3147" s="3">
        <v>2700</v>
      </c>
      <c r="M3147" s="3">
        <v>972</v>
      </c>
      <c r="N3147" s="4">
        <v>0.26470588235294118</v>
      </c>
    </row>
    <row r="3148" spans="1:14" x14ac:dyDescent="0.3">
      <c r="A3148" s="6">
        <v>45882</v>
      </c>
      <c r="B3148" s="1" t="s">
        <v>3332</v>
      </c>
      <c r="C3148" s="1" t="s">
        <v>27</v>
      </c>
      <c r="D3148" t="s">
        <v>31</v>
      </c>
      <c r="E3148" t="s">
        <v>161</v>
      </c>
      <c r="F3148" t="s">
        <v>24</v>
      </c>
      <c r="G3148" t="s">
        <v>25</v>
      </c>
      <c r="H3148" s="3">
        <v>3</v>
      </c>
      <c r="I3148" s="3">
        <v>3175</v>
      </c>
      <c r="J3148" s="3">
        <v>9525</v>
      </c>
      <c r="K3148" s="3">
        <v>2500</v>
      </c>
      <c r="L3148" s="3">
        <v>7500</v>
      </c>
      <c r="M3148" s="3">
        <v>2025</v>
      </c>
      <c r="N3148" s="4">
        <v>0.2125984251968504</v>
      </c>
    </row>
    <row r="3149" spans="1:14" x14ac:dyDescent="0.3">
      <c r="A3149" s="6">
        <v>45882</v>
      </c>
      <c r="B3149" s="1" t="s">
        <v>3333</v>
      </c>
      <c r="C3149" s="1" t="s">
        <v>29</v>
      </c>
      <c r="D3149" t="s">
        <v>31</v>
      </c>
      <c r="E3149" t="s">
        <v>57</v>
      </c>
      <c r="F3149" t="s">
        <v>22</v>
      </c>
      <c r="G3149" t="s">
        <v>18</v>
      </c>
      <c r="H3149" s="3">
        <v>8</v>
      </c>
      <c r="I3149" s="3">
        <v>8400</v>
      </c>
      <c r="J3149" s="3">
        <v>67200</v>
      </c>
      <c r="K3149" s="3">
        <v>7000</v>
      </c>
      <c r="L3149" s="3">
        <v>56000</v>
      </c>
      <c r="M3149" s="3">
        <v>11200</v>
      </c>
      <c r="N3149" s="4">
        <v>0.16666666666666666</v>
      </c>
    </row>
    <row r="3150" spans="1:14" x14ac:dyDescent="0.3">
      <c r="A3150" s="6">
        <v>45883</v>
      </c>
      <c r="B3150" s="1" t="s">
        <v>3334</v>
      </c>
      <c r="C3150" s="1" t="s">
        <v>29</v>
      </c>
      <c r="D3150" t="s">
        <v>31</v>
      </c>
      <c r="E3150" t="s">
        <v>400</v>
      </c>
      <c r="F3150" t="s">
        <v>19</v>
      </c>
      <c r="G3150" t="s">
        <v>20</v>
      </c>
      <c r="H3150" s="3">
        <v>3</v>
      </c>
      <c r="I3150" s="3">
        <v>1098</v>
      </c>
      <c r="J3150" s="3">
        <v>3294</v>
      </c>
      <c r="K3150" s="3">
        <v>900</v>
      </c>
      <c r="L3150" s="3">
        <v>2700</v>
      </c>
      <c r="M3150" s="3">
        <v>594</v>
      </c>
      <c r="N3150" s="4">
        <v>0.18032786885245902</v>
      </c>
    </row>
    <row r="3151" spans="1:14" x14ac:dyDescent="0.3">
      <c r="A3151" s="6">
        <v>45883</v>
      </c>
      <c r="B3151" s="1" t="s">
        <v>3335</v>
      </c>
      <c r="C3151" s="1" t="s">
        <v>28</v>
      </c>
      <c r="D3151" t="s">
        <v>33</v>
      </c>
      <c r="E3151" t="s">
        <v>102</v>
      </c>
      <c r="F3151" t="s">
        <v>19</v>
      </c>
      <c r="G3151" t="s">
        <v>20</v>
      </c>
      <c r="H3151" s="3">
        <v>5</v>
      </c>
      <c r="I3151" s="3">
        <v>1107</v>
      </c>
      <c r="J3151" s="3">
        <v>5535</v>
      </c>
      <c r="K3151" s="3">
        <v>900</v>
      </c>
      <c r="L3151" s="3">
        <v>4500</v>
      </c>
      <c r="M3151" s="3">
        <v>1035</v>
      </c>
      <c r="N3151" s="4">
        <v>0.18699186991869918</v>
      </c>
    </row>
    <row r="3152" spans="1:14" x14ac:dyDescent="0.3">
      <c r="A3152" s="6">
        <v>45883</v>
      </c>
      <c r="B3152" s="1" t="s">
        <v>3336</v>
      </c>
      <c r="C3152" s="1" t="s">
        <v>27</v>
      </c>
      <c r="D3152" t="s">
        <v>30</v>
      </c>
      <c r="E3152" t="s">
        <v>147</v>
      </c>
      <c r="F3152" t="s">
        <v>19</v>
      </c>
      <c r="G3152" t="s">
        <v>20</v>
      </c>
      <c r="H3152" s="3">
        <v>3</v>
      </c>
      <c r="I3152" s="3">
        <v>1305</v>
      </c>
      <c r="J3152" s="3">
        <v>3915</v>
      </c>
      <c r="K3152" s="3">
        <v>900</v>
      </c>
      <c r="L3152" s="3">
        <v>2700</v>
      </c>
      <c r="M3152" s="3">
        <v>1215</v>
      </c>
      <c r="N3152" s="4">
        <v>0.31034482758620691</v>
      </c>
    </row>
    <row r="3153" spans="1:14" x14ac:dyDescent="0.3">
      <c r="A3153" s="6">
        <v>45883</v>
      </c>
      <c r="B3153" s="1" t="s">
        <v>3337</v>
      </c>
      <c r="C3153" s="1" t="s">
        <v>26</v>
      </c>
      <c r="D3153" t="s">
        <v>31</v>
      </c>
      <c r="E3153" t="s">
        <v>163</v>
      </c>
      <c r="F3153" t="s">
        <v>24</v>
      </c>
      <c r="G3153" t="s">
        <v>25</v>
      </c>
      <c r="H3153" s="3">
        <v>10</v>
      </c>
      <c r="I3153" s="3">
        <v>3475.0000000000005</v>
      </c>
      <c r="J3153" s="3">
        <v>34750.000000000007</v>
      </c>
      <c r="K3153" s="3">
        <v>2500</v>
      </c>
      <c r="L3153" s="3">
        <v>25000</v>
      </c>
      <c r="M3153" s="3">
        <v>9750.0000000000073</v>
      </c>
      <c r="N3153" s="4">
        <v>0.28057553956834547</v>
      </c>
    </row>
    <row r="3154" spans="1:14" x14ac:dyDescent="0.3">
      <c r="A3154" s="6">
        <v>45883</v>
      </c>
      <c r="B3154" s="1" t="s">
        <v>3338</v>
      </c>
      <c r="C3154" s="1" t="s">
        <v>28</v>
      </c>
      <c r="D3154" t="s">
        <v>30</v>
      </c>
      <c r="E3154" t="s">
        <v>369</v>
      </c>
      <c r="F3154" t="s">
        <v>23</v>
      </c>
      <c r="G3154" t="s">
        <v>25</v>
      </c>
      <c r="H3154" s="3">
        <v>5</v>
      </c>
      <c r="I3154" s="3">
        <v>4352</v>
      </c>
      <c r="J3154" s="3">
        <v>21760</v>
      </c>
      <c r="K3154" s="3">
        <v>3200</v>
      </c>
      <c r="L3154" s="3">
        <v>16000</v>
      </c>
      <c r="M3154" s="3">
        <v>5760</v>
      </c>
      <c r="N3154" s="4">
        <v>0.26470588235294118</v>
      </c>
    </row>
    <row r="3155" spans="1:14" x14ac:dyDescent="0.3">
      <c r="A3155" s="6">
        <v>45883</v>
      </c>
      <c r="B3155" s="1" t="s">
        <v>3339</v>
      </c>
      <c r="C3155" s="1" t="s">
        <v>29</v>
      </c>
      <c r="D3155" t="s">
        <v>35</v>
      </c>
      <c r="E3155" t="s">
        <v>83</v>
      </c>
      <c r="F3155" t="s">
        <v>17</v>
      </c>
      <c r="G3155" t="s">
        <v>18</v>
      </c>
      <c r="H3155" s="3">
        <v>8</v>
      </c>
      <c r="I3155" s="3">
        <v>11985</v>
      </c>
      <c r="J3155" s="3">
        <v>95880</v>
      </c>
      <c r="K3155" s="3">
        <v>8500</v>
      </c>
      <c r="L3155" s="3">
        <v>68000</v>
      </c>
      <c r="M3155" s="3">
        <v>27880</v>
      </c>
      <c r="N3155" s="4">
        <v>0.29078014184397161</v>
      </c>
    </row>
    <row r="3156" spans="1:14" x14ac:dyDescent="0.3">
      <c r="A3156" s="6">
        <v>45883</v>
      </c>
      <c r="B3156" s="1" t="s">
        <v>3340</v>
      </c>
      <c r="C3156" s="1" t="s">
        <v>28</v>
      </c>
      <c r="D3156" t="s">
        <v>32</v>
      </c>
      <c r="E3156" t="s">
        <v>157</v>
      </c>
      <c r="F3156" t="s">
        <v>14</v>
      </c>
      <c r="G3156" t="s">
        <v>15</v>
      </c>
      <c r="H3156" s="3">
        <v>6</v>
      </c>
      <c r="I3156" s="3">
        <v>55800</v>
      </c>
      <c r="J3156" s="3">
        <v>334800</v>
      </c>
      <c r="K3156" s="3">
        <v>45000</v>
      </c>
      <c r="L3156" s="3">
        <v>270000</v>
      </c>
      <c r="M3156" s="3">
        <v>64800</v>
      </c>
      <c r="N3156" s="4">
        <v>0.19354838709677419</v>
      </c>
    </row>
    <row r="3157" spans="1:14" x14ac:dyDescent="0.3">
      <c r="A3157" s="6">
        <v>45883</v>
      </c>
      <c r="B3157" s="1" t="s">
        <v>3341</v>
      </c>
      <c r="C3157" s="1" t="s">
        <v>26</v>
      </c>
      <c r="D3157" t="s">
        <v>34</v>
      </c>
      <c r="E3157" t="s">
        <v>198</v>
      </c>
      <c r="F3157" t="s">
        <v>19</v>
      </c>
      <c r="G3157" t="s">
        <v>20</v>
      </c>
      <c r="H3157" s="3">
        <v>3</v>
      </c>
      <c r="I3157" s="3">
        <v>1242</v>
      </c>
      <c r="J3157" s="3">
        <v>3726</v>
      </c>
      <c r="K3157" s="3">
        <v>900</v>
      </c>
      <c r="L3157" s="3">
        <v>2700</v>
      </c>
      <c r="M3157" s="3">
        <v>1026</v>
      </c>
      <c r="N3157" s="4">
        <v>0.27536231884057971</v>
      </c>
    </row>
    <row r="3158" spans="1:14" x14ac:dyDescent="0.3">
      <c r="A3158" s="6">
        <v>45883</v>
      </c>
      <c r="B3158" s="1" t="s">
        <v>3342</v>
      </c>
      <c r="C3158" s="1" t="s">
        <v>28</v>
      </c>
      <c r="D3158" t="s">
        <v>34</v>
      </c>
      <c r="E3158" t="s">
        <v>112</v>
      </c>
      <c r="F3158" t="s">
        <v>16</v>
      </c>
      <c r="G3158" t="s">
        <v>15</v>
      </c>
      <c r="H3158" s="3">
        <v>5</v>
      </c>
      <c r="I3158" s="3">
        <v>49780</v>
      </c>
      <c r="J3158" s="3">
        <v>248900</v>
      </c>
      <c r="K3158" s="3">
        <v>38000</v>
      </c>
      <c r="L3158" s="3">
        <v>190000</v>
      </c>
      <c r="M3158" s="3">
        <v>58900</v>
      </c>
      <c r="N3158" s="4">
        <v>0.23664122137404581</v>
      </c>
    </row>
    <row r="3159" spans="1:14" x14ac:dyDescent="0.3">
      <c r="A3159" s="6">
        <v>45883</v>
      </c>
      <c r="B3159" s="1" t="s">
        <v>3343</v>
      </c>
      <c r="C3159" s="1" t="s">
        <v>29</v>
      </c>
      <c r="D3159" t="s">
        <v>32</v>
      </c>
      <c r="E3159" t="s">
        <v>415</v>
      </c>
      <c r="F3159" t="s">
        <v>19</v>
      </c>
      <c r="G3159" t="s">
        <v>20</v>
      </c>
      <c r="H3159" s="3">
        <v>6</v>
      </c>
      <c r="I3159" s="3">
        <v>1152</v>
      </c>
      <c r="J3159" s="3">
        <v>6912</v>
      </c>
      <c r="K3159" s="3">
        <v>900</v>
      </c>
      <c r="L3159" s="3">
        <v>5400</v>
      </c>
      <c r="M3159" s="3">
        <v>1512</v>
      </c>
      <c r="N3159" s="4">
        <v>0.21875</v>
      </c>
    </row>
    <row r="3160" spans="1:14" x14ac:dyDescent="0.3">
      <c r="A3160" s="6">
        <v>45883</v>
      </c>
      <c r="B3160" s="1" t="s">
        <v>3344</v>
      </c>
      <c r="C3160" s="1" t="s">
        <v>26</v>
      </c>
      <c r="D3160" t="s">
        <v>31</v>
      </c>
      <c r="E3160" t="s">
        <v>55</v>
      </c>
      <c r="F3160" t="s">
        <v>24</v>
      </c>
      <c r="G3160" t="s">
        <v>25</v>
      </c>
      <c r="H3160" s="3">
        <v>8</v>
      </c>
      <c r="I3160" s="3">
        <v>3600</v>
      </c>
      <c r="J3160" s="3">
        <v>28800</v>
      </c>
      <c r="K3160" s="3">
        <v>2500</v>
      </c>
      <c r="L3160" s="3">
        <v>20000</v>
      </c>
      <c r="M3160" s="3">
        <v>8800</v>
      </c>
      <c r="N3160" s="4">
        <v>0.30555555555555558</v>
      </c>
    </row>
    <row r="3161" spans="1:14" x14ac:dyDescent="0.3">
      <c r="A3161" s="6">
        <v>45883</v>
      </c>
      <c r="B3161" s="1" t="s">
        <v>3345</v>
      </c>
      <c r="C3161" s="1" t="s">
        <v>26</v>
      </c>
      <c r="D3161" t="s">
        <v>33</v>
      </c>
      <c r="E3161" t="s">
        <v>151</v>
      </c>
      <c r="F3161" t="s">
        <v>16</v>
      </c>
      <c r="G3161" t="s">
        <v>15</v>
      </c>
      <c r="H3161" s="3">
        <v>9</v>
      </c>
      <c r="I3161" s="3">
        <v>50920</v>
      </c>
      <c r="J3161" s="3">
        <v>458280</v>
      </c>
      <c r="K3161" s="3">
        <v>38000</v>
      </c>
      <c r="L3161" s="3">
        <v>342000</v>
      </c>
      <c r="M3161" s="3">
        <v>116280</v>
      </c>
      <c r="N3161" s="4">
        <v>0.2537313432835821</v>
      </c>
    </row>
    <row r="3162" spans="1:14" x14ac:dyDescent="0.3">
      <c r="A3162" s="6">
        <v>45883</v>
      </c>
      <c r="B3162" s="1" t="s">
        <v>3346</v>
      </c>
      <c r="C3162" s="1" t="s">
        <v>27</v>
      </c>
      <c r="D3162" t="s">
        <v>30</v>
      </c>
      <c r="E3162" t="s">
        <v>506</v>
      </c>
      <c r="F3162" t="s">
        <v>22</v>
      </c>
      <c r="G3162" t="s">
        <v>18</v>
      </c>
      <c r="H3162" s="3">
        <v>7</v>
      </c>
      <c r="I3162" s="3">
        <v>8890</v>
      </c>
      <c r="J3162" s="3">
        <v>62230</v>
      </c>
      <c r="K3162" s="3">
        <v>7000</v>
      </c>
      <c r="L3162" s="3">
        <v>49000</v>
      </c>
      <c r="M3162" s="3">
        <v>13230</v>
      </c>
      <c r="N3162" s="4">
        <v>0.2125984251968504</v>
      </c>
    </row>
    <row r="3163" spans="1:14" x14ac:dyDescent="0.3">
      <c r="A3163" s="6">
        <v>45883</v>
      </c>
      <c r="B3163" s="1" t="s">
        <v>3347</v>
      </c>
      <c r="C3163" s="1" t="s">
        <v>26</v>
      </c>
      <c r="D3163" t="s">
        <v>33</v>
      </c>
      <c r="E3163" t="s">
        <v>186</v>
      </c>
      <c r="F3163" t="s">
        <v>24</v>
      </c>
      <c r="G3163" t="s">
        <v>25</v>
      </c>
      <c r="H3163" s="3">
        <v>8</v>
      </c>
      <c r="I3163" s="3">
        <v>3250</v>
      </c>
      <c r="J3163" s="3">
        <v>26000</v>
      </c>
      <c r="K3163" s="3">
        <v>2500</v>
      </c>
      <c r="L3163" s="3">
        <v>20000</v>
      </c>
      <c r="M3163" s="3">
        <v>6000</v>
      </c>
      <c r="N3163" s="4">
        <v>0.23076923076923078</v>
      </c>
    </row>
    <row r="3164" spans="1:14" x14ac:dyDescent="0.3">
      <c r="A3164" s="6">
        <v>45884</v>
      </c>
      <c r="B3164" s="1" t="s">
        <v>3348</v>
      </c>
      <c r="C3164" s="1" t="s">
        <v>29</v>
      </c>
      <c r="D3164" t="s">
        <v>35</v>
      </c>
      <c r="E3164" t="s">
        <v>239</v>
      </c>
      <c r="F3164" t="s">
        <v>17</v>
      </c>
      <c r="G3164" t="s">
        <v>18</v>
      </c>
      <c r="H3164" s="3">
        <v>3</v>
      </c>
      <c r="I3164" s="3">
        <v>11050</v>
      </c>
      <c r="J3164" s="3">
        <v>33150</v>
      </c>
      <c r="K3164" s="3">
        <v>8500</v>
      </c>
      <c r="L3164" s="3">
        <v>25500</v>
      </c>
      <c r="M3164" s="3">
        <v>7650</v>
      </c>
      <c r="N3164" s="4">
        <v>0.23076923076923078</v>
      </c>
    </row>
    <row r="3165" spans="1:14" x14ac:dyDescent="0.3">
      <c r="A3165" s="6">
        <v>45884</v>
      </c>
      <c r="B3165" s="1" t="s">
        <v>3349</v>
      </c>
      <c r="C3165" s="1" t="s">
        <v>28</v>
      </c>
      <c r="D3165" t="s">
        <v>34</v>
      </c>
      <c r="E3165" t="s">
        <v>236</v>
      </c>
      <c r="F3165" t="s">
        <v>23</v>
      </c>
      <c r="G3165" t="s">
        <v>25</v>
      </c>
      <c r="H3165" s="3">
        <v>5</v>
      </c>
      <c r="I3165" s="3">
        <v>4640</v>
      </c>
      <c r="J3165" s="3">
        <v>23200</v>
      </c>
      <c r="K3165" s="3">
        <v>3200</v>
      </c>
      <c r="L3165" s="3">
        <v>16000</v>
      </c>
      <c r="M3165" s="3">
        <v>7200</v>
      </c>
      <c r="N3165" s="4">
        <v>0.31034482758620691</v>
      </c>
    </row>
    <row r="3166" spans="1:14" x14ac:dyDescent="0.3">
      <c r="A3166" s="6">
        <v>45884</v>
      </c>
      <c r="B3166" s="1" t="s">
        <v>3350</v>
      </c>
      <c r="C3166" s="1" t="s">
        <v>27</v>
      </c>
      <c r="D3166" t="s">
        <v>33</v>
      </c>
      <c r="E3166" t="s">
        <v>263</v>
      </c>
      <c r="F3166" t="s">
        <v>24</v>
      </c>
      <c r="G3166" t="s">
        <v>25</v>
      </c>
      <c r="H3166" s="3">
        <v>4</v>
      </c>
      <c r="I3166" s="3">
        <v>3050</v>
      </c>
      <c r="J3166" s="3">
        <v>12200</v>
      </c>
      <c r="K3166" s="3">
        <v>2500</v>
      </c>
      <c r="L3166" s="3">
        <v>10000</v>
      </c>
      <c r="M3166" s="3">
        <v>2200</v>
      </c>
      <c r="N3166" s="4">
        <v>0.18032786885245902</v>
      </c>
    </row>
    <row r="3167" spans="1:14" x14ac:dyDescent="0.3">
      <c r="A3167" s="6">
        <v>45884</v>
      </c>
      <c r="B3167" s="1" t="s">
        <v>3351</v>
      </c>
      <c r="C3167" s="1" t="s">
        <v>29</v>
      </c>
      <c r="D3167" t="s">
        <v>32</v>
      </c>
      <c r="E3167" t="s">
        <v>96</v>
      </c>
      <c r="F3167" t="s">
        <v>16</v>
      </c>
      <c r="G3167" t="s">
        <v>15</v>
      </c>
      <c r="H3167" s="3">
        <v>5</v>
      </c>
      <c r="I3167" s="3">
        <v>53580</v>
      </c>
      <c r="J3167" s="3">
        <v>267900</v>
      </c>
      <c r="K3167" s="3">
        <v>38000</v>
      </c>
      <c r="L3167" s="3">
        <v>190000</v>
      </c>
      <c r="M3167" s="3">
        <v>77900</v>
      </c>
      <c r="N3167" s="4">
        <v>0.29078014184397161</v>
      </c>
    </row>
    <row r="3168" spans="1:14" x14ac:dyDescent="0.3">
      <c r="A3168" s="6">
        <v>45884</v>
      </c>
      <c r="B3168" s="1" t="s">
        <v>3352</v>
      </c>
      <c r="C3168" s="1" t="s">
        <v>28</v>
      </c>
      <c r="D3168" t="s">
        <v>32</v>
      </c>
      <c r="E3168" t="s">
        <v>37</v>
      </c>
      <c r="F3168" t="s">
        <v>19</v>
      </c>
      <c r="G3168" t="s">
        <v>20</v>
      </c>
      <c r="H3168" s="3">
        <v>9</v>
      </c>
      <c r="I3168" s="3">
        <v>1224</v>
      </c>
      <c r="J3168" s="3">
        <v>11016</v>
      </c>
      <c r="K3168" s="3">
        <v>900</v>
      </c>
      <c r="L3168" s="3">
        <v>8100</v>
      </c>
      <c r="M3168" s="3">
        <v>2916</v>
      </c>
      <c r="N3168" s="4">
        <v>0.26470588235294118</v>
      </c>
    </row>
    <row r="3169" spans="1:14" x14ac:dyDescent="0.3">
      <c r="A3169" s="6">
        <v>45884</v>
      </c>
      <c r="B3169" s="1" t="s">
        <v>3353</v>
      </c>
      <c r="C3169" s="1" t="s">
        <v>28</v>
      </c>
      <c r="D3169" t="s">
        <v>34</v>
      </c>
      <c r="E3169" t="s">
        <v>447</v>
      </c>
      <c r="F3169" t="s">
        <v>17</v>
      </c>
      <c r="G3169" t="s">
        <v>18</v>
      </c>
      <c r="H3169" s="3">
        <v>6</v>
      </c>
      <c r="I3169" s="3">
        <v>10200</v>
      </c>
      <c r="J3169" s="3">
        <v>61200</v>
      </c>
      <c r="K3169" s="3">
        <v>8500</v>
      </c>
      <c r="L3169" s="3">
        <v>51000</v>
      </c>
      <c r="M3169" s="3">
        <v>10200</v>
      </c>
      <c r="N3169" s="4">
        <v>0.16666666666666666</v>
      </c>
    </row>
    <row r="3170" spans="1:14" x14ac:dyDescent="0.3">
      <c r="A3170" s="6">
        <v>45884</v>
      </c>
      <c r="B3170" s="1" t="s">
        <v>3354</v>
      </c>
      <c r="C3170" s="1" t="s">
        <v>28</v>
      </c>
      <c r="D3170" t="s">
        <v>34</v>
      </c>
      <c r="E3170" t="s">
        <v>41</v>
      </c>
      <c r="F3170" t="s">
        <v>24</v>
      </c>
      <c r="G3170" t="s">
        <v>25</v>
      </c>
      <c r="H3170" s="3">
        <v>1</v>
      </c>
      <c r="I3170" s="3">
        <v>3275</v>
      </c>
      <c r="J3170" s="3">
        <v>3275</v>
      </c>
      <c r="K3170" s="3">
        <v>2500</v>
      </c>
      <c r="L3170" s="3">
        <v>2500</v>
      </c>
      <c r="M3170" s="3">
        <v>775</v>
      </c>
      <c r="N3170" s="4">
        <v>0.23664122137404581</v>
      </c>
    </row>
    <row r="3171" spans="1:14" x14ac:dyDescent="0.3">
      <c r="A3171" s="6">
        <v>45884</v>
      </c>
      <c r="B3171" s="1" t="s">
        <v>3355</v>
      </c>
      <c r="C3171" s="1" t="s">
        <v>27</v>
      </c>
      <c r="D3171" t="s">
        <v>33</v>
      </c>
      <c r="E3171" t="s">
        <v>189</v>
      </c>
      <c r="F3171" t="s">
        <v>14</v>
      </c>
      <c r="G3171" t="s">
        <v>15</v>
      </c>
      <c r="H3171" s="3">
        <v>2</v>
      </c>
      <c r="I3171" s="3">
        <v>58500</v>
      </c>
      <c r="J3171" s="3">
        <v>117000</v>
      </c>
      <c r="K3171" s="3">
        <v>45000</v>
      </c>
      <c r="L3171" s="3">
        <v>90000</v>
      </c>
      <c r="M3171" s="3">
        <v>27000</v>
      </c>
      <c r="N3171" s="4">
        <v>0.23076923076923078</v>
      </c>
    </row>
    <row r="3172" spans="1:14" x14ac:dyDescent="0.3">
      <c r="A3172" s="6">
        <v>45884</v>
      </c>
      <c r="B3172" s="1" t="s">
        <v>3356</v>
      </c>
      <c r="C3172" s="1" t="s">
        <v>27</v>
      </c>
      <c r="D3172" t="s">
        <v>31</v>
      </c>
      <c r="E3172" t="s">
        <v>206</v>
      </c>
      <c r="F3172" t="s">
        <v>21</v>
      </c>
      <c r="G3172" t="s">
        <v>20</v>
      </c>
      <c r="H3172" s="3">
        <v>2</v>
      </c>
      <c r="I3172" s="3">
        <v>810</v>
      </c>
      <c r="J3172" s="3">
        <v>1620</v>
      </c>
      <c r="K3172" s="3">
        <v>600</v>
      </c>
      <c r="L3172" s="3">
        <v>1200</v>
      </c>
      <c r="M3172" s="3">
        <v>420</v>
      </c>
      <c r="N3172" s="4">
        <v>0.25925925925925924</v>
      </c>
    </row>
    <row r="3173" spans="1:14" x14ac:dyDescent="0.3">
      <c r="A3173" s="6">
        <v>45884</v>
      </c>
      <c r="B3173" s="1" t="s">
        <v>3357</v>
      </c>
      <c r="C3173" s="1" t="s">
        <v>26</v>
      </c>
      <c r="D3173" t="s">
        <v>33</v>
      </c>
      <c r="E3173" t="s">
        <v>255</v>
      </c>
      <c r="F3173" t="s">
        <v>17</v>
      </c>
      <c r="G3173" t="s">
        <v>18</v>
      </c>
      <c r="H3173" s="3">
        <v>9</v>
      </c>
      <c r="I3173" s="3">
        <v>10625</v>
      </c>
      <c r="J3173" s="3">
        <v>95625</v>
      </c>
      <c r="K3173" s="3">
        <v>8500</v>
      </c>
      <c r="L3173" s="3">
        <v>76500</v>
      </c>
      <c r="M3173" s="3">
        <v>19125</v>
      </c>
      <c r="N3173" s="4">
        <v>0.2</v>
      </c>
    </row>
    <row r="3174" spans="1:14" x14ac:dyDescent="0.3">
      <c r="A3174" s="6">
        <v>45884</v>
      </c>
      <c r="B3174" s="1" t="s">
        <v>3358</v>
      </c>
      <c r="C3174" s="1" t="s">
        <v>27</v>
      </c>
      <c r="D3174" t="s">
        <v>33</v>
      </c>
      <c r="E3174" t="s">
        <v>153</v>
      </c>
      <c r="F3174" t="s">
        <v>21</v>
      </c>
      <c r="G3174" t="s">
        <v>20</v>
      </c>
      <c r="H3174" s="3">
        <v>6</v>
      </c>
      <c r="I3174" s="3">
        <v>846</v>
      </c>
      <c r="J3174" s="3">
        <v>5076</v>
      </c>
      <c r="K3174" s="3">
        <v>600</v>
      </c>
      <c r="L3174" s="3">
        <v>3600</v>
      </c>
      <c r="M3174" s="3">
        <v>1476</v>
      </c>
      <c r="N3174" s="4">
        <v>0.29078014184397161</v>
      </c>
    </row>
    <row r="3175" spans="1:14" x14ac:dyDescent="0.3">
      <c r="A3175" s="6">
        <v>45884</v>
      </c>
      <c r="B3175" s="1" t="s">
        <v>3359</v>
      </c>
      <c r="C3175" s="1" t="s">
        <v>27</v>
      </c>
      <c r="D3175" t="s">
        <v>33</v>
      </c>
      <c r="E3175" t="s">
        <v>268</v>
      </c>
      <c r="F3175" t="s">
        <v>17</v>
      </c>
      <c r="G3175" t="s">
        <v>18</v>
      </c>
      <c r="H3175" s="3">
        <v>1</v>
      </c>
      <c r="I3175" s="3">
        <v>10285</v>
      </c>
      <c r="J3175" s="3">
        <v>10285</v>
      </c>
      <c r="K3175" s="3">
        <v>8500</v>
      </c>
      <c r="L3175" s="3">
        <v>8500</v>
      </c>
      <c r="M3175" s="3">
        <v>1785</v>
      </c>
      <c r="N3175" s="4">
        <v>0.17355371900826447</v>
      </c>
    </row>
    <row r="3176" spans="1:14" x14ac:dyDescent="0.3">
      <c r="A3176" s="6">
        <v>45884</v>
      </c>
      <c r="B3176" s="1" t="s">
        <v>3360</v>
      </c>
      <c r="C3176" s="1" t="s">
        <v>26</v>
      </c>
      <c r="D3176" t="s">
        <v>33</v>
      </c>
      <c r="E3176" t="s">
        <v>407</v>
      </c>
      <c r="F3176" t="s">
        <v>21</v>
      </c>
      <c r="G3176" t="s">
        <v>20</v>
      </c>
      <c r="H3176" s="3">
        <v>2</v>
      </c>
      <c r="I3176" s="3">
        <v>804</v>
      </c>
      <c r="J3176" s="3">
        <v>1608</v>
      </c>
      <c r="K3176" s="3">
        <v>600</v>
      </c>
      <c r="L3176" s="3">
        <v>1200</v>
      </c>
      <c r="M3176" s="3">
        <v>408</v>
      </c>
      <c r="N3176" s="4">
        <v>0.2537313432835821</v>
      </c>
    </row>
    <row r="3177" spans="1:14" x14ac:dyDescent="0.3">
      <c r="A3177" s="6">
        <v>45884</v>
      </c>
      <c r="B3177" s="1" t="s">
        <v>3361</v>
      </c>
      <c r="C3177" s="1" t="s">
        <v>27</v>
      </c>
      <c r="D3177" t="s">
        <v>31</v>
      </c>
      <c r="E3177" t="s">
        <v>379</v>
      </c>
      <c r="F3177" t="s">
        <v>23</v>
      </c>
      <c r="G3177" t="s">
        <v>25</v>
      </c>
      <c r="H3177" s="3">
        <v>1</v>
      </c>
      <c r="I3177" s="3">
        <v>4032</v>
      </c>
      <c r="J3177" s="3">
        <v>4032</v>
      </c>
      <c r="K3177" s="3">
        <v>3200</v>
      </c>
      <c r="L3177" s="3">
        <v>3200</v>
      </c>
      <c r="M3177" s="3">
        <v>832</v>
      </c>
      <c r="N3177" s="4">
        <v>0.20634920634920634</v>
      </c>
    </row>
    <row r="3178" spans="1:14" x14ac:dyDescent="0.3">
      <c r="A3178" s="6">
        <v>45885</v>
      </c>
      <c r="B3178" s="1" t="s">
        <v>3362</v>
      </c>
      <c r="C3178" s="1" t="s">
        <v>28</v>
      </c>
      <c r="D3178" t="s">
        <v>33</v>
      </c>
      <c r="E3178" t="s">
        <v>379</v>
      </c>
      <c r="F3178" t="s">
        <v>14</v>
      </c>
      <c r="G3178" t="s">
        <v>15</v>
      </c>
      <c r="H3178" s="3">
        <v>5</v>
      </c>
      <c r="I3178" s="3">
        <v>65250</v>
      </c>
      <c r="J3178" s="3">
        <v>326250</v>
      </c>
      <c r="K3178" s="3">
        <v>45000</v>
      </c>
      <c r="L3178" s="3">
        <v>225000</v>
      </c>
      <c r="M3178" s="3">
        <v>101250</v>
      </c>
      <c r="N3178" s="4">
        <v>0.31034482758620691</v>
      </c>
    </row>
    <row r="3179" spans="1:14" x14ac:dyDescent="0.3">
      <c r="A3179" s="6">
        <v>45885</v>
      </c>
      <c r="B3179" s="1" t="s">
        <v>3363</v>
      </c>
      <c r="C3179" s="1" t="s">
        <v>29</v>
      </c>
      <c r="D3179" t="s">
        <v>35</v>
      </c>
      <c r="E3179" t="s">
        <v>306</v>
      </c>
      <c r="F3179" t="s">
        <v>19</v>
      </c>
      <c r="G3179" t="s">
        <v>20</v>
      </c>
      <c r="H3179" s="3">
        <v>2</v>
      </c>
      <c r="I3179" s="3">
        <v>1098</v>
      </c>
      <c r="J3179" s="3">
        <v>2196</v>
      </c>
      <c r="K3179" s="3">
        <v>900</v>
      </c>
      <c r="L3179" s="3">
        <v>1800</v>
      </c>
      <c r="M3179" s="3">
        <v>396</v>
      </c>
      <c r="N3179" s="4">
        <v>0.18032786885245902</v>
      </c>
    </row>
    <row r="3180" spans="1:14" x14ac:dyDescent="0.3">
      <c r="A3180" s="6">
        <v>45885</v>
      </c>
      <c r="B3180" s="1" t="s">
        <v>3364</v>
      </c>
      <c r="C3180" s="1" t="s">
        <v>28</v>
      </c>
      <c r="D3180" t="s">
        <v>33</v>
      </c>
      <c r="E3180" t="s">
        <v>379</v>
      </c>
      <c r="F3180" t="s">
        <v>24</v>
      </c>
      <c r="G3180" t="s">
        <v>25</v>
      </c>
      <c r="H3180" s="3">
        <v>10</v>
      </c>
      <c r="I3180" s="3">
        <v>3550</v>
      </c>
      <c r="J3180" s="3">
        <v>35500</v>
      </c>
      <c r="K3180" s="3">
        <v>2500</v>
      </c>
      <c r="L3180" s="3">
        <v>25000</v>
      </c>
      <c r="M3180" s="3">
        <v>10500</v>
      </c>
      <c r="N3180" s="4">
        <v>0.29577464788732394</v>
      </c>
    </row>
    <row r="3181" spans="1:14" x14ac:dyDescent="0.3">
      <c r="A3181" s="6">
        <v>45885</v>
      </c>
      <c r="B3181" s="1" t="s">
        <v>3365</v>
      </c>
      <c r="C3181" s="1" t="s">
        <v>27</v>
      </c>
      <c r="D3181" t="s">
        <v>32</v>
      </c>
      <c r="E3181" t="s">
        <v>216</v>
      </c>
      <c r="F3181" t="s">
        <v>23</v>
      </c>
      <c r="G3181" t="s">
        <v>25</v>
      </c>
      <c r="H3181" s="3">
        <v>3</v>
      </c>
      <c r="I3181" s="3">
        <v>4064</v>
      </c>
      <c r="J3181" s="3">
        <v>12192</v>
      </c>
      <c r="K3181" s="3">
        <v>3200</v>
      </c>
      <c r="L3181" s="3">
        <v>9600</v>
      </c>
      <c r="M3181" s="3">
        <v>2592</v>
      </c>
      <c r="N3181" s="4">
        <v>0.2125984251968504</v>
      </c>
    </row>
    <row r="3182" spans="1:14" x14ac:dyDescent="0.3">
      <c r="A3182" s="6">
        <v>45885</v>
      </c>
      <c r="B3182" s="1" t="s">
        <v>3366</v>
      </c>
      <c r="C3182" s="1" t="s">
        <v>29</v>
      </c>
      <c r="D3182" t="s">
        <v>34</v>
      </c>
      <c r="E3182" t="s">
        <v>110</v>
      </c>
      <c r="F3182" t="s">
        <v>16</v>
      </c>
      <c r="G3182" t="s">
        <v>15</v>
      </c>
      <c r="H3182" s="3">
        <v>5</v>
      </c>
      <c r="I3182" s="3">
        <v>45600</v>
      </c>
      <c r="J3182" s="3">
        <v>228000</v>
      </c>
      <c r="K3182" s="3">
        <v>38000</v>
      </c>
      <c r="L3182" s="3">
        <v>190000</v>
      </c>
      <c r="M3182" s="3">
        <v>38000</v>
      </c>
      <c r="N3182" s="4">
        <v>0.16666666666666666</v>
      </c>
    </row>
    <row r="3183" spans="1:14" x14ac:dyDescent="0.3">
      <c r="A3183" s="6">
        <v>45885</v>
      </c>
      <c r="B3183" s="1" t="s">
        <v>3367</v>
      </c>
      <c r="C3183" s="1" t="s">
        <v>29</v>
      </c>
      <c r="D3183" t="s">
        <v>34</v>
      </c>
      <c r="E3183" t="s">
        <v>163</v>
      </c>
      <c r="F3183" t="s">
        <v>14</v>
      </c>
      <c r="G3183" t="s">
        <v>15</v>
      </c>
      <c r="H3183" s="3">
        <v>7</v>
      </c>
      <c r="I3183" s="3">
        <v>54000</v>
      </c>
      <c r="J3183" s="3">
        <v>378000</v>
      </c>
      <c r="K3183" s="3">
        <v>45000</v>
      </c>
      <c r="L3183" s="3">
        <v>315000</v>
      </c>
      <c r="M3183" s="3">
        <v>63000</v>
      </c>
      <c r="N3183" s="4">
        <v>0.16666666666666666</v>
      </c>
    </row>
    <row r="3184" spans="1:14" x14ac:dyDescent="0.3">
      <c r="A3184" s="6">
        <v>45885</v>
      </c>
      <c r="B3184" s="1" t="s">
        <v>3368</v>
      </c>
      <c r="C3184" s="1" t="s">
        <v>29</v>
      </c>
      <c r="D3184" t="s">
        <v>33</v>
      </c>
      <c r="E3184" t="s">
        <v>935</v>
      </c>
      <c r="F3184" t="s">
        <v>22</v>
      </c>
      <c r="G3184" t="s">
        <v>18</v>
      </c>
      <c r="H3184" s="3">
        <v>9</v>
      </c>
      <c r="I3184" s="3">
        <v>8540</v>
      </c>
      <c r="J3184" s="3">
        <v>76860</v>
      </c>
      <c r="K3184" s="3">
        <v>7000</v>
      </c>
      <c r="L3184" s="3">
        <v>63000</v>
      </c>
      <c r="M3184" s="3">
        <v>13860</v>
      </c>
      <c r="N3184" s="4">
        <v>0.18032786885245902</v>
      </c>
    </row>
    <row r="3185" spans="1:14" x14ac:dyDescent="0.3">
      <c r="A3185" s="6">
        <v>45885</v>
      </c>
      <c r="B3185" s="1" t="s">
        <v>3369</v>
      </c>
      <c r="C3185" s="1" t="s">
        <v>27</v>
      </c>
      <c r="D3185" t="s">
        <v>30</v>
      </c>
      <c r="E3185" t="s">
        <v>137</v>
      </c>
      <c r="F3185" t="s">
        <v>14</v>
      </c>
      <c r="G3185" t="s">
        <v>15</v>
      </c>
      <c r="H3185" s="3">
        <v>1</v>
      </c>
      <c r="I3185" s="3">
        <v>56250</v>
      </c>
      <c r="J3185" s="3">
        <v>56250</v>
      </c>
      <c r="K3185" s="3">
        <v>45000</v>
      </c>
      <c r="L3185" s="3">
        <v>45000</v>
      </c>
      <c r="M3185" s="3">
        <v>11250</v>
      </c>
      <c r="N3185" s="4">
        <v>0.2</v>
      </c>
    </row>
    <row r="3186" spans="1:14" x14ac:dyDescent="0.3">
      <c r="A3186" s="6">
        <v>45885</v>
      </c>
      <c r="B3186" s="1" t="s">
        <v>3370</v>
      </c>
      <c r="C3186" s="1" t="s">
        <v>28</v>
      </c>
      <c r="D3186" t="s">
        <v>34</v>
      </c>
      <c r="E3186" t="s">
        <v>114</v>
      </c>
      <c r="F3186" t="s">
        <v>17</v>
      </c>
      <c r="G3186" t="s">
        <v>18</v>
      </c>
      <c r="H3186" s="3">
        <v>3</v>
      </c>
      <c r="I3186" s="3">
        <v>11135</v>
      </c>
      <c r="J3186" s="3">
        <v>33405</v>
      </c>
      <c r="K3186" s="3">
        <v>8500</v>
      </c>
      <c r="L3186" s="3">
        <v>25500</v>
      </c>
      <c r="M3186" s="3">
        <v>7905</v>
      </c>
      <c r="N3186" s="4">
        <v>0.23664122137404581</v>
      </c>
    </row>
    <row r="3187" spans="1:14" x14ac:dyDescent="0.3">
      <c r="A3187" s="6">
        <v>45885</v>
      </c>
      <c r="B3187" s="1" t="s">
        <v>3371</v>
      </c>
      <c r="C3187" s="1" t="s">
        <v>27</v>
      </c>
      <c r="D3187" t="s">
        <v>30</v>
      </c>
      <c r="E3187" t="s">
        <v>110</v>
      </c>
      <c r="F3187" t="s">
        <v>16</v>
      </c>
      <c r="G3187" t="s">
        <v>15</v>
      </c>
      <c r="H3187" s="3">
        <v>1</v>
      </c>
      <c r="I3187" s="3">
        <v>53200</v>
      </c>
      <c r="J3187" s="3">
        <v>53200</v>
      </c>
      <c r="K3187" s="3">
        <v>38000</v>
      </c>
      <c r="L3187" s="3">
        <v>38000</v>
      </c>
      <c r="M3187" s="3">
        <v>15200</v>
      </c>
      <c r="N3187" s="4">
        <v>0.2857142857142857</v>
      </c>
    </row>
    <row r="3188" spans="1:14" x14ac:dyDescent="0.3">
      <c r="A3188" s="6">
        <v>45885</v>
      </c>
      <c r="B3188" s="1" t="s">
        <v>3372</v>
      </c>
      <c r="C3188" s="1" t="s">
        <v>29</v>
      </c>
      <c r="D3188" t="s">
        <v>31</v>
      </c>
      <c r="E3188" t="s">
        <v>524</v>
      </c>
      <c r="F3188" t="s">
        <v>22</v>
      </c>
      <c r="G3188" t="s">
        <v>18</v>
      </c>
      <c r="H3188" s="3">
        <v>9</v>
      </c>
      <c r="I3188" s="3">
        <v>9450</v>
      </c>
      <c r="J3188" s="3">
        <v>85050</v>
      </c>
      <c r="K3188" s="3">
        <v>7000</v>
      </c>
      <c r="L3188" s="3">
        <v>63000</v>
      </c>
      <c r="M3188" s="3">
        <v>22050</v>
      </c>
      <c r="N3188" s="4">
        <v>0.25925925925925924</v>
      </c>
    </row>
    <row r="3189" spans="1:14" x14ac:dyDescent="0.3">
      <c r="A3189" s="6">
        <v>45885</v>
      </c>
      <c r="B3189" s="1" t="s">
        <v>3373</v>
      </c>
      <c r="C3189" s="1" t="s">
        <v>28</v>
      </c>
      <c r="D3189" t="s">
        <v>35</v>
      </c>
      <c r="E3189" t="s">
        <v>157</v>
      </c>
      <c r="F3189" t="s">
        <v>22</v>
      </c>
      <c r="G3189" t="s">
        <v>18</v>
      </c>
      <c r="H3189" s="3">
        <v>4</v>
      </c>
      <c r="I3189" s="3">
        <v>8610</v>
      </c>
      <c r="J3189" s="3">
        <v>34440</v>
      </c>
      <c r="K3189" s="3">
        <v>7000</v>
      </c>
      <c r="L3189" s="3">
        <v>28000</v>
      </c>
      <c r="M3189" s="3">
        <v>6440</v>
      </c>
      <c r="N3189" s="4">
        <v>0.18699186991869918</v>
      </c>
    </row>
    <row r="3190" spans="1:14" x14ac:dyDescent="0.3">
      <c r="A3190" s="6">
        <v>45885</v>
      </c>
      <c r="B3190" s="1" t="s">
        <v>3374</v>
      </c>
      <c r="C3190" s="1" t="s">
        <v>29</v>
      </c>
      <c r="D3190" t="s">
        <v>33</v>
      </c>
      <c r="E3190" t="s">
        <v>196</v>
      </c>
      <c r="F3190" t="s">
        <v>21</v>
      </c>
      <c r="G3190" t="s">
        <v>20</v>
      </c>
      <c r="H3190" s="3">
        <v>9</v>
      </c>
      <c r="I3190" s="3">
        <v>827.99999999999989</v>
      </c>
      <c r="J3190" s="3">
        <v>7451.9999999999991</v>
      </c>
      <c r="K3190" s="3">
        <v>600</v>
      </c>
      <c r="L3190" s="3">
        <v>5400</v>
      </c>
      <c r="M3190" s="3">
        <v>2051.9999999999991</v>
      </c>
      <c r="N3190" s="4">
        <v>0.2753623188405796</v>
      </c>
    </row>
    <row r="3191" spans="1:14" x14ac:dyDescent="0.3">
      <c r="A3191" s="6">
        <v>45885</v>
      </c>
      <c r="B3191" s="1" t="s">
        <v>3375</v>
      </c>
      <c r="C3191" s="1" t="s">
        <v>29</v>
      </c>
      <c r="D3191" t="s">
        <v>35</v>
      </c>
      <c r="E3191" t="s">
        <v>365</v>
      </c>
      <c r="F3191" t="s">
        <v>14</v>
      </c>
      <c r="G3191" t="s">
        <v>15</v>
      </c>
      <c r="H3191" s="3">
        <v>4</v>
      </c>
      <c r="I3191" s="3">
        <v>63450</v>
      </c>
      <c r="J3191" s="3">
        <v>253800</v>
      </c>
      <c r="K3191" s="3">
        <v>45000</v>
      </c>
      <c r="L3191" s="3">
        <v>180000</v>
      </c>
      <c r="M3191" s="3">
        <v>73800</v>
      </c>
      <c r="N3191" s="4">
        <v>0.29078014184397161</v>
      </c>
    </row>
    <row r="3192" spans="1:14" x14ac:dyDescent="0.3">
      <c r="A3192" s="6">
        <v>45886</v>
      </c>
      <c r="B3192" s="1" t="s">
        <v>3376</v>
      </c>
      <c r="C3192" s="1" t="s">
        <v>29</v>
      </c>
      <c r="D3192" t="s">
        <v>31</v>
      </c>
      <c r="E3192" t="s">
        <v>220</v>
      </c>
      <c r="F3192" t="s">
        <v>24</v>
      </c>
      <c r="G3192" t="s">
        <v>25</v>
      </c>
      <c r="H3192" s="3">
        <v>5</v>
      </c>
      <c r="I3192" s="3">
        <v>3175</v>
      </c>
      <c r="J3192" s="3">
        <v>15875</v>
      </c>
      <c r="K3192" s="3">
        <v>2500</v>
      </c>
      <c r="L3192" s="3">
        <v>12500</v>
      </c>
      <c r="M3192" s="3">
        <v>3375</v>
      </c>
      <c r="N3192" s="4">
        <v>0.2125984251968504</v>
      </c>
    </row>
    <row r="3193" spans="1:14" x14ac:dyDescent="0.3">
      <c r="A3193" s="6">
        <v>45886</v>
      </c>
      <c r="B3193" s="1" t="s">
        <v>3377</v>
      </c>
      <c r="C3193" s="1" t="s">
        <v>26</v>
      </c>
      <c r="D3193" t="s">
        <v>33</v>
      </c>
      <c r="E3193" t="s">
        <v>286</v>
      </c>
      <c r="F3193" t="s">
        <v>14</v>
      </c>
      <c r="G3193" t="s">
        <v>15</v>
      </c>
      <c r="H3193" s="3">
        <v>2</v>
      </c>
      <c r="I3193" s="3">
        <v>63900</v>
      </c>
      <c r="J3193" s="3">
        <v>127800</v>
      </c>
      <c r="K3193" s="3">
        <v>45000</v>
      </c>
      <c r="L3193" s="3">
        <v>90000</v>
      </c>
      <c r="M3193" s="3">
        <v>37800</v>
      </c>
      <c r="N3193" s="4">
        <v>0.29577464788732394</v>
      </c>
    </row>
    <row r="3194" spans="1:14" x14ac:dyDescent="0.3">
      <c r="A3194" s="6">
        <v>45886</v>
      </c>
      <c r="B3194" s="1" t="s">
        <v>3378</v>
      </c>
      <c r="C3194" s="1" t="s">
        <v>27</v>
      </c>
      <c r="D3194" t="s">
        <v>33</v>
      </c>
      <c r="E3194" t="s">
        <v>349</v>
      </c>
      <c r="F3194" t="s">
        <v>16</v>
      </c>
      <c r="G3194" t="s">
        <v>15</v>
      </c>
      <c r="H3194" s="3">
        <v>2</v>
      </c>
      <c r="I3194" s="3">
        <v>46740</v>
      </c>
      <c r="J3194" s="3">
        <v>93480</v>
      </c>
      <c r="K3194" s="3">
        <v>38000</v>
      </c>
      <c r="L3194" s="3">
        <v>76000</v>
      </c>
      <c r="M3194" s="3">
        <v>17480</v>
      </c>
      <c r="N3194" s="4">
        <v>0.18699186991869918</v>
      </c>
    </row>
    <row r="3195" spans="1:14" x14ac:dyDescent="0.3">
      <c r="A3195" s="6">
        <v>45886</v>
      </c>
      <c r="B3195" s="1" t="s">
        <v>3379</v>
      </c>
      <c r="C3195" s="1" t="s">
        <v>26</v>
      </c>
      <c r="D3195" t="s">
        <v>35</v>
      </c>
      <c r="E3195" t="s">
        <v>280</v>
      </c>
      <c r="F3195" t="s">
        <v>17</v>
      </c>
      <c r="G3195" t="s">
        <v>18</v>
      </c>
      <c r="H3195" s="3">
        <v>6</v>
      </c>
      <c r="I3195" s="3">
        <v>10880</v>
      </c>
      <c r="J3195" s="3">
        <v>65280</v>
      </c>
      <c r="K3195" s="3">
        <v>8500</v>
      </c>
      <c r="L3195" s="3">
        <v>51000</v>
      </c>
      <c r="M3195" s="3">
        <v>14280</v>
      </c>
      <c r="N3195" s="4">
        <v>0.21875</v>
      </c>
    </row>
    <row r="3196" spans="1:14" x14ac:dyDescent="0.3">
      <c r="A3196" s="6">
        <v>45886</v>
      </c>
      <c r="B3196" s="1" t="s">
        <v>3380</v>
      </c>
      <c r="C3196" s="1" t="s">
        <v>26</v>
      </c>
      <c r="D3196" t="s">
        <v>30</v>
      </c>
      <c r="E3196" t="s">
        <v>308</v>
      </c>
      <c r="F3196" t="s">
        <v>24</v>
      </c>
      <c r="G3196" t="s">
        <v>25</v>
      </c>
      <c r="H3196" s="3">
        <v>7</v>
      </c>
      <c r="I3196" s="3">
        <v>3625</v>
      </c>
      <c r="J3196" s="3">
        <v>25375</v>
      </c>
      <c r="K3196" s="3">
        <v>2500</v>
      </c>
      <c r="L3196" s="3">
        <v>17500</v>
      </c>
      <c r="M3196" s="3">
        <v>7875</v>
      </c>
      <c r="N3196" s="4">
        <v>0.31034482758620691</v>
      </c>
    </row>
    <row r="3197" spans="1:14" x14ac:dyDescent="0.3">
      <c r="A3197" s="6">
        <v>45886</v>
      </c>
      <c r="B3197" s="1" t="s">
        <v>3381</v>
      </c>
      <c r="C3197" s="1" t="s">
        <v>27</v>
      </c>
      <c r="D3197" t="s">
        <v>34</v>
      </c>
      <c r="E3197" t="s">
        <v>49</v>
      </c>
      <c r="F3197" t="s">
        <v>22</v>
      </c>
      <c r="G3197" t="s">
        <v>18</v>
      </c>
      <c r="H3197" s="3">
        <v>5</v>
      </c>
      <c r="I3197" s="3">
        <v>8680</v>
      </c>
      <c r="J3197" s="3">
        <v>43400</v>
      </c>
      <c r="K3197" s="3">
        <v>7000</v>
      </c>
      <c r="L3197" s="3">
        <v>35000</v>
      </c>
      <c r="M3197" s="3">
        <v>8400</v>
      </c>
      <c r="N3197" s="4">
        <v>0.19354838709677419</v>
      </c>
    </row>
    <row r="3198" spans="1:14" x14ac:dyDescent="0.3">
      <c r="A3198" s="6">
        <v>45886</v>
      </c>
      <c r="B3198" s="1" t="s">
        <v>3382</v>
      </c>
      <c r="C3198" s="1" t="s">
        <v>26</v>
      </c>
      <c r="D3198" t="s">
        <v>31</v>
      </c>
      <c r="E3198" t="s">
        <v>302</v>
      </c>
      <c r="F3198" t="s">
        <v>22</v>
      </c>
      <c r="G3198" t="s">
        <v>18</v>
      </c>
      <c r="H3198" s="3">
        <v>4</v>
      </c>
      <c r="I3198" s="3">
        <v>8540</v>
      </c>
      <c r="J3198" s="3">
        <v>34160</v>
      </c>
      <c r="K3198" s="3">
        <v>7000</v>
      </c>
      <c r="L3198" s="3">
        <v>28000</v>
      </c>
      <c r="M3198" s="3">
        <v>6160</v>
      </c>
      <c r="N3198" s="4">
        <v>0.18032786885245902</v>
      </c>
    </row>
    <row r="3199" spans="1:14" x14ac:dyDescent="0.3">
      <c r="A3199" s="6">
        <v>45886</v>
      </c>
      <c r="B3199" s="1" t="s">
        <v>3383</v>
      </c>
      <c r="C3199" s="1" t="s">
        <v>28</v>
      </c>
      <c r="D3199" t="s">
        <v>33</v>
      </c>
      <c r="E3199" t="s">
        <v>74</v>
      </c>
      <c r="F3199" t="s">
        <v>21</v>
      </c>
      <c r="G3199" t="s">
        <v>20</v>
      </c>
      <c r="H3199" s="3">
        <v>1</v>
      </c>
      <c r="I3199" s="3">
        <v>756</v>
      </c>
      <c r="J3199" s="3">
        <v>756</v>
      </c>
      <c r="K3199" s="3">
        <v>600</v>
      </c>
      <c r="L3199" s="3">
        <v>600</v>
      </c>
      <c r="M3199" s="3">
        <v>156</v>
      </c>
      <c r="N3199" s="4">
        <v>0.20634920634920634</v>
      </c>
    </row>
    <row r="3200" spans="1:14" x14ac:dyDescent="0.3">
      <c r="A3200" s="6">
        <v>45886</v>
      </c>
      <c r="B3200" s="1" t="s">
        <v>3384</v>
      </c>
      <c r="C3200" s="1" t="s">
        <v>28</v>
      </c>
      <c r="D3200" t="s">
        <v>34</v>
      </c>
      <c r="E3200" t="s">
        <v>359</v>
      </c>
      <c r="F3200" t="s">
        <v>19</v>
      </c>
      <c r="G3200" t="s">
        <v>20</v>
      </c>
      <c r="H3200" s="3">
        <v>10</v>
      </c>
      <c r="I3200" s="3">
        <v>1296</v>
      </c>
      <c r="J3200" s="3">
        <v>12960</v>
      </c>
      <c r="K3200" s="3">
        <v>900</v>
      </c>
      <c r="L3200" s="3">
        <v>9000</v>
      </c>
      <c r="M3200" s="3">
        <v>3960</v>
      </c>
      <c r="N3200" s="4">
        <v>0.30555555555555558</v>
      </c>
    </row>
    <row r="3201" spans="1:14" x14ac:dyDescent="0.3">
      <c r="A3201" s="6">
        <v>45886</v>
      </c>
      <c r="B3201" s="1" t="s">
        <v>3385</v>
      </c>
      <c r="C3201" s="1" t="s">
        <v>27</v>
      </c>
      <c r="D3201" t="s">
        <v>33</v>
      </c>
      <c r="E3201" t="s">
        <v>231</v>
      </c>
      <c r="F3201" t="s">
        <v>22</v>
      </c>
      <c r="G3201" t="s">
        <v>18</v>
      </c>
      <c r="H3201" s="3">
        <v>1</v>
      </c>
      <c r="I3201" s="3">
        <v>9800</v>
      </c>
      <c r="J3201" s="3">
        <v>9800</v>
      </c>
      <c r="K3201" s="3">
        <v>7000</v>
      </c>
      <c r="L3201" s="3">
        <v>7000</v>
      </c>
      <c r="M3201" s="3">
        <v>2800</v>
      </c>
      <c r="N3201" s="4">
        <v>0.2857142857142857</v>
      </c>
    </row>
    <row r="3202" spans="1:14" x14ac:dyDescent="0.3">
      <c r="A3202" s="6">
        <v>45886</v>
      </c>
      <c r="B3202" s="1" t="s">
        <v>3386</v>
      </c>
      <c r="C3202" s="1" t="s">
        <v>28</v>
      </c>
      <c r="D3202" t="s">
        <v>32</v>
      </c>
      <c r="E3202" t="s">
        <v>193</v>
      </c>
      <c r="F3202" t="s">
        <v>24</v>
      </c>
      <c r="G3202" t="s">
        <v>25</v>
      </c>
      <c r="H3202" s="3">
        <v>9</v>
      </c>
      <c r="I3202" s="3">
        <v>3525</v>
      </c>
      <c r="J3202" s="3">
        <v>31725</v>
      </c>
      <c r="K3202" s="3">
        <v>2500</v>
      </c>
      <c r="L3202" s="3">
        <v>22500</v>
      </c>
      <c r="M3202" s="3">
        <v>9225</v>
      </c>
      <c r="N3202" s="4">
        <v>0.29078014184397161</v>
      </c>
    </row>
    <row r="3203" spans="1:14" x14ac:dyDescent="0.3">
      <c r="A3203" s="6">
        <v>45886</v>
      </c>
      <c r="B3203" s="1" t="s">
        <v>3387</v>
      </c>
      <c r="C3203" s="1" t="s">
        <v>26</v>
      </c>
      <c r="D3203" t="s">
        <v>35</v>
      </c>
      <c r="E3203" t="s">
        <v>442</v>
      </c>
      <c r="F3203" t="s">
        <v>24</v>
      </c>
      <c r="G3203" t="s">
        <v>25</v>
      </c>
      <c r="H3203" s="3">
        <v>9</v>
      </c>
      <c r="I3203" s="3">
        <v>3300</v>
      </c>
      <c r="J3203" s="3">
        <v>29700</v>
      </c>
      <c r="K3203" s="3">
        <v>2500</v>
      </c>
      <c r="L3203" s="3">
        <v>22500</v>
      </c>
      <c r="M3203" s="3">
        <v>7200</v>
      </c>
      <c r="N3203" s="4">
        <v>0.24242424242424243</v>
      </c>
    </row>
    <row r="3204" spans="1:14" x14ac:dyDescent="0.3">
      <c r="A3204" s="6">
        <v>45886</v>
      </c>
      <c r="B3204" s="1" t="s">
        <v>3388</v>
      </c>
      <c r="C3204" s="1" t="s">
        <v>27</v>
      </c>
      <c r="D3204" t="s">
        <v>31</v>
      </c>
      <c r="E3204" t="s">
        <v>45</v>
      </c>
      <c r="F3204" t="s">
        <v>14</v>
      </c>
      <c r="G3204" t="s">
        <v>15</v>
      </c>
      <c r="H3204" s="3">
        <v>7</v>
      </c>
      <c r="I3204" s="3">
        <v>62099.999999999993</v>
      </c>
      <c r="J3204" s="3">
        <v>434699.99999999994</v>
      </c>
      <c r="K3204" s="3">
        <v>45000</v>
      </c>
      <c r="L3204" s="3">
        <v>315000</v>
      </c>
      <c r="M3204" s="3">
        <v>119699.99999999994</v>
      </c>
      <c r="N3204" s="4">
        <v>0.2753623188405796</v>
      </c>
    </row>
    <row r="3205" spans="1:14" x14ac:dyDescent="0.3">
      <c r="A3205" s="6">
        <v>45886</v>
      </c>
      <c r="B3205" s="1" t="s">
        <v>3389</v>
      </c>
      <c r="C3205" s="1" t="s">
        <v>28</v>
      </c>
      <c r="D3205" t="s">
        <v>32</v>
      </c>
      <c r="E3205" t="s">
        <v>351</v>
      </c>
      <c r="F3205" t="s">
        <v>14</v>
      </c>
      <c r="G3205" t="s">
        <v>15</v>
      </c>
      <c r="H3205" s="3">
        <v>4</v>
      </c>
      <c r="I3205" s="3">
        <v>62099.999999999993</v>
      </c>
      <c r="J3205" s="3">
        <v>248399.99999999997</v>
      </c>
      <c r="K3205" s="3">
        <v>45000</v>
      </c>
      <c r="L3205" s="3">
        <v>180000</v>
      </c>
      <c r="M3205" s="3">
        <v>68399.999999999971</v>
      </c>
      <c r="N3205" s="4">
        <v>0.2753623188405796</v>
      </c>
    </row>
    <row r="3206" spans="1:14" x14ac:dyDescent="0.3">
      <c r="A3206" s="6">
        <v>45887</v>
      </c>
      <c r="B3206" s="1" t="s">
        <v>3390</v>
      </c>
      <c r="C3206" s="1" t="s">
        <v>27</v>
      </c>
      <c r="D3206" t="s">
        <v>32</v>
      </c>
      <c r="E3206" t="s">
        <v>249</v>
      </c>
      <c r="F3206" t="s">
        <v>16</v>
      </c>
      <c r="G3206" t="s">
        <v>15</v>
      </c>
      <c r="H3206" s="3">
        <v>3</v>
      </c>
      <c r="I3206" s="3">
        <v>54340</v>
      </c>
      <c r="J3206" s="3">
        <v>163020</v>
      </c>
      <c r="K3206" s="3">
        <v>38000</v>
      </c>
      <c r="L3206" s="3">
        <v>114000</v>
      </c>
      <c r="M3206" s="3">
        <v>49020</v>
      </c>
      <c r="N3206" s="4">
        <v>0.30069930069930068</v>
      </c>
    </row>
    <row r="3207" spans="1:14" x14ac:dyDescent="0.3">
      <c r="A3207" s="6">
        <v>45887</v>
      </c>
      <c r="B3207" s="1" t="s">
        <v>3391</v>
      </c>
      <c r="C3207" s="1" t="s">
        <v>29</v>
      </c>
      <c r="D3207" t="s">
        <v>35</v>
      </c>
      <c r="E3207" t="s">
        <v>302</v>
      </c>
      <c r="F3207" t="s">
        <v>23</v>
      </c>
      <c r="G3207" t="s">
        <v>25</v>
      </c>
      <c r="H3207" s="3">
        <v>5</v>
      </c>
      <c r="I3207" s="3">
        <v>4256</v>
      </c>
      <c r="J3207" s="3">
        <v>21280</v>
      </c>
      <c r="K3207" s="3">
        <v>3200</v>
      </c>
      <c r="L3207" s="3">
        <v>16000</v>
      </c>
      <c r="M3207" s="3">
        <v>5280</v>
      </c>
      <c r="N3207" s="4">
        <v>0.24812030075187969</v>
      </c>
    </row>
    <row r="3208" spans="1:14" x14ac:dyDescent="0.3">
      <c r="A3208" s="6">
        <v>45887</v>
      </c>
      <c r="B3208" s="1" t="s">
        <v>3392</v>
      </c>
      <c r="C3208" s="1" t="s">
        <v>28</v>
      </c>
      <c r="D3208" t="s">
        <v>33</v>
      </c>
      <c r="E3208" t="s">
        <v>126</v>
      </c>
      <c r="F3208" t="s">
        <v>22</v>
      </c>
      <c r="G3208" t="s">
        <v>18</v>
      </c>
      <c r="H3208" s="3">
        <v>9</v>
      </c>
      <c r="I3208" s="3">
        <v>9590</v>
      </c>
      <c r="J3208" s="3">
        <v>86310</v>
      </c>
      <c r="K3208" s="3">
        <v>7000</v>
      </c>
      <c r="L3208" s="3">
        <v>63000</v>
      </c>
      <c r="M3208" s="3">
        <v>23310</v>
      </c>
      <c r="N3208" s="4">
        <v>0.27007299270072993</v>
      </c>
    </row>
    <row r="3209" spans="1:14" x14ac:dyDescent="0.3">
      <c r="A3209" s="6">
        <v>45887</v>
      </c>
      <c r="B3209" s="1" t="s">
        <v>3393</v>
      </c>
      <c r="C3209" s="1" t="s">
        <v>26</v>
      </c>
      <c r="D3209" t="s">
        <v>34</v>
      </c>
      <c r="E3209" t="s">
        <v>49</v>
      </c>
      <c r="F3209" t="s">
        <v>21</v>
      </c>
      <c r="G3209" t="s">
        <v>20</v>
      </c>
      <c r="H3209" s="3">
        <v>10</v>
      </c>
      <c r="I3209" s="3">
        <v>810</v>
      </c>
      <c r="J3209" s="3">
        <v>8100</v>
      </c>
      <c r="K3209" s="3">
        <v>600</v>
      </c>
      <c r="L3209" s="3">
        <v>6000</v>
      </c>
      <c r="M3209" s="3">
        <v>2100</v>
      </c>
      <c r="N3209" s="4">
        <v>0.25925925925925924</v>
      </c>
    </row>
    <row r="3210" spans="1:14" x14ac:dyDescent="0.3">
      <c r="A3210" s="6">
        <v>45887</v>
      </c>
      <c r="B3210" s="1" t="s">
        <v>3394</v>
      </c>
      <c r="C3210" s="1" t="s">
        <v>26</v>
      </c>
      <c r="D3210" t="s">
        <v>32</v>
      </c>
      <c r="E3210" t="s">
        <v>233</v>
      </c>
      <c r="F3210" t="s">
        <v>21</v>
      </c>
      <c r="G3210" t="s">
        <v>20</v>
      </c>
      <c r="H3210" s="3">
        <v>6</v>
      </c>
      <c r="I3210" s="3">
        <v>834.00000000000011</v>
      </c>
      <c r="J3210" s="3">
        <v>5004.0000000000009</v>
      </c>
      <c r="K3210" s="3">
        <v>600</v>
      </c>
      <c r="L3210" s="3">
        <v>3600</v>
      </c>
      <c r="M3210" s="3">
        <v>1404.0000000000009</v>
      </c>
      <c r="N3210" s="4">
        <v>0.28057553956834547</v>
      </c>
    </row>
    <row r="3211" spans="1:14" x14ac:dyDescent="0.3">
      <c r="A3211" s="6">
        <v>45887</v>
      </c>
      <c r="B3211" s="1" t="s">
        <v>3395</v>
      </c>
      <c r="C3211" s="1" t="s">
        <v>27</v>
      </c>
      <c r="D3211" t="s">
        <v>34</v>
      </c>
      <c r="E3211" t="s">
        <v>100</v>
      </c>
      <c r="F3211" t="s">
        <v>23</v>
      </c>
      <c r="G3211" t="s">
        <v>25</v>
      </c>
      <c r="H3211" s="3">
        <v>10</v>
      </c>
      <c r="I3211" s="3">
        <v>4032</v>
      </c>
      <c r="J3211" s="3">
        <v>40320</v>
      </c>
      <c r="K3211" s="3">
        <v>3200</v>
      </c>
      <c r="L3211" s="3">
        <v>32000</v>
      </c>
      <c r="M3211" s="3">
        <v>8320</v>
      </c>
      <c r="N3211" s="4">
        <v>0.20634920634920634</v>
      </c>
    </row>
    <row r="3212" spans="1:14" x14ac:dyDescent="0.3">
      <c r="A3212" s="6">
        <v>45887</v>
      </c>
      <c r="B3212" s="1" t="s">
        <v>3396</v>
      </c>
      <c r="C3212" s="1" t="s">
        <v>28</v>
      </c>
      <c r="D3212" t="s">
        <v>30</v>
      </c>
      <c r="E3212" t="s">
        <v>424</v>
      </c>
      <c r="F3212" t="s">
        <v>23</v>
      </c>
      <c r="G3212" t="s">
        <v>25</v>
      </c>
      <c r="H3212" s="3">
        <v>3</v>
      </c>
      <c r="I3212" s="3">
        <v>3968</v>
      </c>
      <c r="J3212" s="3">
        <v>11904</v>
      </c>
      <c r="K3212" s="3">
        <v>3200</v>
      </c>
      <c r="L3212" s="3">
        <v>9600</v>
      </c>
      <c r="M3212" s="3">
        <v>2304</v>
      </c>
      <c r="N3212" s="4">
        <v>0.19354838709677419</v>
      </c>
    </row>
    <row r="3213" spans="1:14" x14ac:dyDescent="0.3">
      <c r="A3213" s="6">
        <v>45887</v>
      </c>
      <c r="B3213" s="1" t="s">
        <v>3397</v>
      </c>
      <c r="C3213" s="1" t="s">
        <v>27</v>
      </c>
      <c r="D3213" t="s">
        <v>35</v>
      </c>
      <c r="E3213" t="s">
        <v>286</v>
      </c>
      <c r="F3213" t="s">
        <v>24</v>
      </c>
      <c r="G3213" t="s">
        <v>25</v>
      </c>
      <c r="H3213" s="3">
        <v>7</v>
      </c>
      <c r="I3213" s="3">
        <v>3350</v>
      </c>
      <c r="J3213" s="3">
        <v>23450</v>
      </c>
      <c r="K3213" s="3">
        <v>2500</v>
      </c>
      <c r="L3213" s="3">
        <v>17500</v>
      </c>
      <c r="M3213" s="3">
        <v>5950</v>
      </c>
      <c r="N3213" s="4">
        <v>0.2537313432835821</v>
      </c>
    </row>
    <row r="3214" spans="1:14" x14ac:dyDescent="0.3">
      <c r="A3214" s="6">
        <v>45887</v>
      </c>
      <c r="B3214" s="1" t="s">
        <v>3398</v>
      </c>
      <c r="C3214" s="1" t="s">
        <v>27</v>
      </c>
      <c r="D3214" t="s">
        <v>31</v>
      </c>
      <c r="E3214" t="s">
        <v>55</v>
      </c>
      <c r="F3214" t="s">
        <v>22</v>
      </c>
      <c r="G3214" t="s">
        <v>18</v>
      </c>
      <c r="H3214" s="3">
        <v>3</v>
      </c>
      <c r="I3214" s="3">
        <v>9450</v>
      </c>
      <c r="J3214" s="3">
        <v>28350</v>
      </c>
      <c r="K3214" s="3">
        <v>7000</v>
      </c>
      <c r="L3214" s="3">
        <v>21000</v>
      </c>
      <c r="M3214" s="3">
        <v>7350</v>
      </c>
      <c r="N3214" s="4">
        <v>0.25925925925925924</v>
      </c>
    </row>
    <row r="3215" spans="1:14" x14ac:dyDescent="0.3">
      <c r="A3215" s="6">
        <v>45887</v>
      </c>
      <c r="B3215" s="1" t="s">
        <v>3399</v>
      </c>
      <c r="C3215" s="1" t="s">
        <v>26</v>
      </c>
      <c r="D3215" t="s">
        <v>31</v>
      </c>
      <c r="E3215" t="s">
        <v>175</v>
      </c>
      <c r="F3215" t="s">
        <v>23</v>
      </c>
      <c r="G3215" t="s">
        <v>25</v>
      </c>
      <c r="H3215" s="3">
        <v>1</v>
      </c>
      <c r="I3215" s="3">
        <v>4448</v>
      </c>
      <c r="J3215" s="3">
        <v>4448</v>
      </c>
      <c r="K3215" s="3">
        <v>3200</v>
      </c>
      <c r="L3215" s="3">
        <v>3200</v>
      </c>
      <c r="M3215" s="3">
        <v>1248</v>
      </c>
      <c r="N3215" s="4">
        <v>0.2805755395683453</v>
      </c>
    </row>
    <row r="3216" spans="1:14" x14ac:dyDescent="0.3">
      <c r="A3216" s="6">
        <v>45887</v>
      </c>
      <c r="B3216" s="1" t="s">
        <v>3400</v>
      </c>
      <c r="C3216" s="1" t="s">
        <v>27</v>
      </c>
      <c r="D3216" t="s">
        <v>31</v>
      </c>
      <c r="E3216" t="s">
        <v>231</v>
      </c>
      <c r="F3216" t="s">
        <v>22</v>
      </c>
      <c r="G3216" t="s">
        <v>18</v>
      </c>
      <c r="H3216" s="3">
        <v>10</v>
      </c>
      <c r="I3216" s="3">
        <v>8400</v>
      </c>
      <c r="J3216" s="3">
        <v>84000</v>
      </c>
      <c r="K3216" s="3">
        <v>7000</v>
      </c>
      <c r="L3216" s="3">
        <v>70000</v>
      </c>
      <c r="M3216" s="3">
        <v>14000</v>
      </c>
      <c r="N3216" s="4">
        <v>0.16666666666666666</v>
      </c>
    </row>
    <row r="3217" spans="1:14" x14ac:dyDescent="0.3">
      <c r="A3217" s="6">
        <v>45887</v>
      </c>
      <c r="B3217" s="1" t="s">
        <v>3401</v>
      </c>
      <c r="C3217" s="1" t="s">
        <v>28</v>
      </c>
      <c r="D3217" t="s">
        <v>31</v>
      </c>
      <c r="E3217" t="s">
        <v>308</v>
      </c>
      <c r="F3217" t="s">
        <v>14</v>
      </c>
      <c r="G3217" t="s">
        <v>15</v>
      </c>
      <c r="H3217" s="3">
        <v>10</v>
      </c>
      <c r="I3217" s="3">
        <v>59400</v>
      </c>
      <c r="J3217" s="3">
        <v>594000</v>
      </c>
      <c r="K3217" s="3">
        <v>45000</v>
      </c>
      <c r="L3217" s="3">
        <v>450000</v>
      </c>
      <c r="M3217" s="3">
        <v>144000</v>
      </c>
      <c r="N3217" s="4">
        <v>0.24242424242424243</v>
      </c>
    </row>
    <row r="3218" spans="1:14" x14ac:dyDescent="0.3">
      <c r="A3218" s="6">
        <v>45887</v>
      </c>
      <c r="B3218" s="1" t="s">
        <v>3402</v>
      </c>
      <c r="C3218" s="1" t="s">
        <v>26</v>
      </c>
      <c r="D3218" t="s">
        <v>35</v>
      </c>
      <c r="E3218" t="s">
        <v>524</v>
      </c>
      <c r="F3218" t="s">
        <v>14</v>
      </c>
      <c r="G3218" t="s">
        <v>15</v>
      </c>
      <c r="H3218" s="3">
        <v>9</v>
      </c>
      <c r="I3218" s="3">
        <v>55800</v>
      </c>
      <c r="J3218" s="3">
        <v>502200</v>
      </c>
      <c r="K3218" s="3">
        <v>45000</v>
      </c>
      <c r="L3218" s="3">
        <v>405000</v>
      </c>
      <c r="M3218" s="3">
        <v>97200</v>
      </c>
      <c r="N3218" s="4">
        <v>0.19354838709677419</v>
      </c>
    </row>
    <row r="3219" spans="1:14" x14ac:dyDescent="0.3">
      <c r="A3219" s="6">
        <v>45887</v>
      </c>
      <c r="B3219" s="1" t="s">
        <v>3403</v>
      </c>
      <c r="C3219" s="1" t="s">
        <v>29</v>
      </c>
      <c r="D3219" t="s">
        <v>34</v>
      </c>
      <c r="E3219" t="s">
        <v>114</v>
      </c>
      <c r="F3219" t="s">
        <v>23</v>
      </c>
      <c r="G3219" t="s">
        <v>25</v>
      </c>
      <c r="H3219" s="3">
        <v>5</v>
      </c>
      <c r="I3219" s="3">
        <v>4384</v>
      </c>
      <c r="J3219" s="3">
        <v>21920</v>
      </c>
      <c r="K3219" s="3">
        <v>3200</v>
      </c>
      <c r="L3219" s="3">
        <v>16000</v>
      </c>
      <c r="M3219" s="3">
        <v>5920</v>
      </c>
      <c r="N3219" s="4">
        <v>0.27007299270072993</v>
      </c>
    </row>
    <row r="3220" spans="1:14" x14ac:dyDescent="0.3">
      <c r="A3220" s="6">
        <v>45888</v>
      </c>
      <c r="B3220" s="1" t="s">
        <v>3404</v>
      </c>
      <c r="C3220" s="1" t="s">
        <v>28</v>
      </c>
      <c r="D3220" t="s">
        <v>35</v>
      </c>
      <c r="E3220" t="s">
        <v>145</v>
      </c>
      <c r="F3220" t="s">
        <v>22</v>
      </c>
      <c r="G3220" t="s">
        <v>18</v>
      </c>
      <c r="H3220" s="3">
        <v>9</v>
      </c>
      <c r="I3220" s="3">
        <v>9660</v>
      </c>
      <c r="J3220" s="3">
        <v>86940</v>
      </c>
      <c r="K3220" s="3">
        <v>7000</v>
      </c>
      <c r="L3220" s="3">
        <v>63000</v>
      </c>
      <c r="M3220" s="3">
        <v>23940</v>
      </c>
      <c r="N3220" s="4">
        <v>0.27536231884057971</v>
      </c>
    </row>
    <row r="3221" spans="1:14" x14ac:dyDescent="0.3">
      <c r="A3221" s="6">
        <v>45888</v>
      </c>
      <c r="B3221" s="1" t="s">
        <v>3405</v>
      </c>
      <c r="C3221" s="1" t="s">
        <v>29</v>
      </c>
      <c r="D3221" t="s">
        <v>30</v>
      </c>
      <c r="E3221" t="s">
        <v>100</v>
      </c>
      <c r="F3221" t="s">
        <v>23</v>
      </c>
      <c r="G3221" t="s">
        <v>25</v>
      </c>
      <c r="H3221" s="3">
        <v>8</v>
      </c>
      <c r="I3221" s="3">
        <v>4160</v>
      </c>
      <c r="J3221" s="3">
        <v>33280</v>
      </c>
      <c r="K3221" s="3">
        <v>3200</v>
      </c>
      <c r="L3221" s="3">
        <v>25600</v>
      </c>
      <c r="M3221" s="3">
        <v>7680</v>
      </c>
      <c r="N3221" s="4">
        <v>0.23076923076923078</v>
      </c>
    </row>
    <row r="3222" spans="1:14" x14ac:dyDescent="0.3">
      <c r="A3222" s="6">
        <v>45888</v>
      </c>
      <c r="B3222" s="1" t="s">
        <v>3406</v>
      </c>
      <c r="C3222" s="1" t="s">
        <v>28</v>
      </c>
      <c r="D3222" t="s">
        <v>31</v>
      </c>
      <c r="E3222" t="s">
        <v>331</v>
      </c>
      <c r="F3222" t="s">
        <v>21</v>
      </c>
      <c r="G3222" t="s">
        <v>20</v>
      </c>
      <c r="H3222" s="3">
        <v>9</v>
      </c>
      <c r="I3222" s="3">
        <v>815.99999999999989</v>
      </c>
      <c r="J3222" s="3">
        <v>7343.9999999999991</v>
      </c>
      <c r="K3222" s="3">
        <v>600</v>
      </c>
      <c r="L3222" s="3">
        <v>5400</v>
      </c>
      <c r="M3222" s="3">
        <v>1943.9999999999991</v>
      </c>
      <c r="N3222" s="4">
        <v>0.26470588235294107</v>
      </c>
    </row>
    <row r="3223" spans="1:14" x14ac:dyDescent="0.3">
      <c r="A3223" s="6">
        <v>45888</v>
      </c>
      <c r="B3223" s="1" t="s">
        <v>3407</v>
      </c>
      <c r="C3223" s="1" t="s">
        <v>26</v>
      </c>
      <c r="D3223" t="s">
        <v>30</v>
      </c>
      <c r="E3223" t="s">
        <v>331</v>
      </c>
      <c r="F3223" t="s">
        <v>19</v>
      </c>
      <c r="G3223" t="s">
        <v>20</v>
      </c>
      <c r="H3223" s="3">
        <v>9</v>
      </c>
      <c r="I3223" s="3">
        <v>1170</v>
      </c>
      <c r="J3223" s="3">
        <v>10530</v>
      </c>
      <c r="K3223" s="3">
        <v>900</v>
      </c>
      <c r="L3223" s="3">
        <v>8100</v>
      </c>
      <c r="M3223" s="3">
        <v>2430</v>
      </c>
      <c r="N3223" s="4">
        <v>0.23076923076923078</v>
      </c>
    </row>
    <row r="3224" spans="1:14" x14ac:dyDescent="0.3">
      <c r="A3224" s="6">
        <v>45888</v>
      </c>
      <c r="B3224" s="1" t="s">
        <v>3408</v>
      </c>
      <c r="C3224" s="1" t="s">
        <v>27</v>
      </c>
      <c r="D3224" t="s">
        <v>30</v>
      </c>
      <c r="E3224" t="s">
        <v>369</v>
      </c>
      <c r="F3224" t="s">
        <v>21</v>
      </c>
      <c r="G3224" t="s">
        <v>20</v>
      </c>
      <c r="H3224" s="3">
        <v>1</v>
      </c>
      <c r="I3224" s="3">
        <v>827.99999999999989</v>
      </c>
      <c r="J3224" s="3">
        <v>827.99999999999989</v>
      </c>
      <c r="K3224" s="3">
        <v>600</v>
      </c>
      <c r="L3224" s="3">
        <v>600</v>
      </c>
      <c r="M3224" s="3">
        <v>227.99999999999989</v>
      </c>
      <c r="N3224" s="4">
        <v>0.2753623188405796</v>
      </c>
    </row>
    <row r="3225" spans="1:14" x14ac:dyDescent="0.3">
      <c r="A3225" s="6">
        <v>45888</v>
      </c>
      <c r="B3225" s="1" t="s">
        <v>3409</v>
      </c>
      <c r="C3225" s="1" t="s">
        <v>27</v>
      </c>
      <c r="D3225" t="s">
        <v>31</v>
      </c>
      <c r="E3225" t="s">
        <v>159</v>
      </c>
      <c r="F3225" t="s">
        <v>22</v>
      </c>
      <c r="G3225" t="s">
        <v>18</v>
      </c>
      <c r="H3225" s="3">
        <v>8</v>
      </c>
      <c r="I3225" s="3">
        <v>9730</v>
      </c>
      <c r="J3225" s="3">
        <v>77840</v>
      </c>
      <c r="K3225" s="3">
        <v>7000</v>
      </c>
      <c r="L3225" s="3">
        <v>56000</v>
      </c>
      <c r="M3225" s="3">
        <v>21840</v>
      </c>
      <c r="N3225" s="4">
        <v>0.2805755395683453</v>
      </c>
    </row>
    <row r="3226" spans="1:14" x14ac:dyDescent="0.3">
      <c r="A3226" s="6">
        <v>45888</v>
      </c>
      <c r="B3226" s="1" t="s">
        <v>3410</v>
      </c>
      <c r="C3226" s="1" t="s">
        <v>29</v>
      </c>
      <c r="D3226" t="s">
        <v>34</v>
      </c>
      <c r="E3226" t="s">
        <v>72</v>
      </c>
      <c r="F3226" t="s">
        <v>21</v>
      </c>
      <c r="G3226" t="s">
        <v>20</v>
      </c>
      <c r="H3226" s="3">
        <v>3</v>
      </c>
      <c r="I3226" s="3">
        <v>827.99999999999989</v>
      </c>
      <c r="J3226" s="3">
        <v>2483.9999999999995</v>
      </c>
      <c r="K3226" s="3">
        <v>600</v>
      </c>
      <c r="L3226" s="3">
        <v>1800</v>
      </c>
      <c r="M3226" s="3">
        <v>683.99999999999955</v>
      </c>
      <c r="N3226" s="4">
        <v>0.2753623188405796</v>
      </c>
    </row>
    <row r="3227" spans="1:14" x14ac:dyDescent="0.3">
      <c r="A3227" s="6">
        <v>45888</v>
      </c>
      <c r="B3227" s="1" t="s">
        <v>3411</v>
      </c>
      <c r="C3227" s="1" t="s">
        <v>29</v>
      </c>
      <c r="D3227" t="s">
        <v>31</v>
      </c>
      <c r="E3227" t="s">
        <v>565</v>
      </c>
      <c r="F3227" t="s">
        <v>23</v>
      </c>
      <c r="G3227" t="s">
        <v>25</v>
      </c>
      <c r="H3227" s="3">
        <v>7</v>
      </c>
      <c r="I3227" s="3">
        <v>4192</v>
      </c>
      <c r="J3227" s="3">
        <v>29344</v>
      </c>
      <c r="K3227" s="3">
        <v>3200</v>
      </c>
      <c r="L3227" s="3">
        <v>22400</v>
      </c>
      <c r="M3227" s="3">
        <v>6944</v>
      </c>
      <c r="N3227" s="4">
        <v>0.23664122137404581</v>
      </c>
    </row>
    <row r="3228" spans="1:14" x14ac:dyDescent="0.3">
      <c r="A3228" s="6">
        <v>45888</v>
      </c>
      <c r="B3228" s="1" t="s">
        <v>3412</v>
      </c>
      <c r="C3228" s="1" t="s">
        <v>29</v>
      </c>
      <c r="D3228" t="s">
        <v>30</v>
      </c>
      <c r="E3228" t="s">
        <v>218</v>
      </c>
      <c r="F3228" t="s">
        <v>23</v>
      </c>
      <c r="G3228" t="s">
        <v>25</v>
      </c>
      <c r="H3228" s="3">
        <v>3</v>
      </c>
      <c r="I3228" s="3">
        <v>3872</v>
      </c>
      <c r="J3228" s="3">
        <v>11616</v>
      </c>
      <c r="K3228" s="3">
        <v>3200</v>
      </c>
      <c r="L3228" s="3">
        <v>9600</v>
      </c>
      <c r="M3228" s="3">
        <v>2016</v>
      </c>
      <c r="N3228" s="4">
        <v>0.17355371900826447</v>
      </c>
    </row>
    <row r="3229" spans="1:14" x14ac:dyDescent="0.3">
      <c r="A3229" s="6">
        <v>45888</v>
      </c>
      <c r="B3229" s="1" t="s">
        <v>3413</v>
      </c>
      <c r="C3229" s="1" t="s">
        <v>29</v>
      </c>
      <c r="D3229" t="s">
        <v>33</v>
      </c>
      <c r="E3229" t="s">
        <v>538</v>
      </c>
      <c r="F3229" t="s">
        <v>19</v>
      </c>
      <c r="G3229" t="s">
        <v>20</v>
      </c>
      <c r="H3229" s="3">
        <v>10</v>
      </c>
      <c r="I3229" s="3">
        <v>1215</v>
      </c>
      <c r="J3229" s="3">
        <v>12150</v>
      </c>
      <c r="K3229" s="3">
        <v>900</v>
      </c>
      <c r="L3229" s="3">
        <v>9000</v>
      </c>
      <c r="M3229" s="3">
        <v>3150</v>
      </c>
      <c r="N3229" s="4">
        <v>0.25925925925925924</v>
      </c>
    </row>
    <row r="3230" spans="1:14" x14ac:dyDescent="0.3">
      <c r="A3230" s="6">
        <v>45888</v>
      </c>
      <c r="B3230" s="1" t="s">
        <v>3414</v>
      </c>
      <c r="C3230" s="1" t="s">
        <v>29</v>
      </c>
      <c r="D3230" t="s">
        <v>34</v>
      </c>
      <c r="E3230" t="s">
        <v>424</v>
      </c>
      <c r="F3230" t="s">
        <v>14</v>
      </c>
      <c r="G3230" t="s">
        <v>15</v>
      </c>
      <c r="H3230" s="3">
        <v>7</v>
      </c>
      <c r="I3230" s="3">
        <v>58050</v>
      </c>
      <c r="J3230" s="3">
        <v>406350</v>
      </c>
      <c r="K3230" s="3">
        <v>45000</v>
      </c>
      <c r="L3230" s="3">
        <v>315000</v>
      </c>
      <c r="M3230" s="3">
        <v>91350</v>
      </c>
      <c r="N3230" s="4">
        <v>0.22480620155038761</v>
      </c>
    </row>
    <row r="3231" spans="1:14" x14ac:dyDescent="0.3">
      <c r="A3231" s="6">
        <v>45888</v>
      </c>
      <c r="B3231" s="1" t="s">
        <v>3415</v>
      </c>
      <c r="C3231" s="1" t="s">
        <v>28</v>
      </c>
      <c r="D3231" t="s">
        <v>31</v>
      </c>
      <c r="E3231" t="s">
        <v>153</v>
      </c>
      <c r="F3231" t="s">
        <v>16</v>
      </c>
      <c r="G3231" t="s">
        <v>15</v>
      </c>
      <c r="H3231" s="3">
        <v>1</v>
      </c>
      <c r="I3231" s="3">
        <v>53960</v>
      </c>
      <c r="J3231" s="3">
        <v>53960</v>
      </c>
      <c r="K3231" s="3">
        <v>38000</v>
      </c>
      <c r="L3231" s="3">
        <v>38000</v>
      </c>
      <c r="M3231" s="3">
        <v>15960</v>
      </c>
      <c r="N3231" s="4">
        <v>0.29577464788732394</v>
      </c>
    </row>
    <row r="3232" spans="1:14" x14ac:dyDescent="0.3">
      <c r="A3232" s="6">
        <v>45888</v>
      </c>
      <c r="B3232" s="1" t="s">
        <v>3416</v>
      </c>
      <c r="C3232" s="1" t="s">
        <v>27</v>
      </c>
      <c r="D3232" t="s">
        <v>35</v>
      </c>
      <c r="E3232" t="s">
        <v>381</v>
      </c>
      <c r="F3232" t="s">
        <v>19</v>
      </c>
      <c r="G3232" t="s">
        <v>20</v>
      </c>
      <c r="H3232" s="3">
        <v>4</v>
      </c>
      <c r="I3232" s="3">
        <v>1206</v>
      </c>
      <c r="J3232" s="3">
        <v>4824</v>
      </c>
      <c r="K3232" s="3">
        <v>900</v>
      </c>
      <c r="L3232" s="3">
        <v>3600</v>
      </c>
      <c r="M3232" s="3">
        <v>1224</v>
      </c>
      <c r="N3232" s="4">
        <v>0.2537313432835821</v>
      </c>
    </row>
    <row r="3233" spans="1:14" x14ac:dyDescent="0.3">
      <c r="A3233" s="6">
        <v>45888</v>
      </c>
      <c r="B3233" s="1" t="s">
        <v>3417</v>
      </c>
      <c r="C3233" s="1" t="s">
        <v>29</v>
      </c>
      <c r="D3233" t="s">
        <v>31</v>
      </c>
      <c r="E3233" t="s">
        <v>155</v>
      </c>
      <c r="F3233" t="s">
        <v>23</v>
      </c>
      <c r="G3233" t="s">
        <v>25</v>
      </c>
      <c r="H3233" s="3">
        <v>8</v>
      </c>
      <c r="I3233" s="3">
        <v>4160</v>
      </c>
      <c r="J3233" s="3">
        <v>33280</v>
      </c>
      <c r="K3233" s="3">
        <v>3200</v>
      </c>
      <c r="L3233" s="3">
        <v>25600</v>
      </c>
      <c r="M3233" s="3">
        <v>7680</v>
      </c>
      <c r="N3233" s="4">
        <v>0.23076923076923078</v>
      </c>
    </row>
    <row r="3234" spans="1:14" x14ac:dyDescent="0.3">
      <c r="A3234" s="6">
        <v>45889</v>
      </c>
      <c r="B3234" s="1" t="s">
        <v>3418</v>
      </c>
      <c r="C3234" s="1" t="s">
        <v>26</v>
      </c>
      <c r="D3234" t="s">
        <v>35</v>
      </c>
      <c r="E3234" t="s">
        <v>186</v>
      </c>
      <c r="F3234" t="s">
        <v>19</v>
      </c>
      <c r="G3234" t="s">
        <v>20</v>
      </c>
      <c r="H3234" s="3">
        <v>4</v>
      </c>
      <c r="I3234" s="3">
        <v>1287</v>
      </c>
      <c r="J3234" s="3">
        <v>5148</v>
      </c>
      <c r="K3234" s="3">
        <v>900</v>
      </c>
      <c r="L3234" s="3">
        <v>3600</v>
      </c>
      <c r="M3234" s="3">
        <v>1548</v>
      </c>
      <c r="N3234" s="4">
        <v>0.30069930069930068</v>
      </c>
    </row>
    <row r="3235" spans="1:14" x14ac:dyDescent="0.3">
      <c r="A3235" s="6">
        <v>45889</v>
      </c>
      <c r="B3235" s="1" t="s">
        <v>3419</v>
      </c>
      <c r="C3235" s="1" t="s">
        <v>29</v>
      </c>
      <c r="D3235" t="s">
        <v>33</v>
      </c>
      <c r="E3235" t="s">
        <v>411</v>
      </c>
      <c r="F3235" t="s">
        <v>16</v>
      </c>
      <c r="G3235" t="s">
        <v>15</v>
      </c>
      <c r="H3235" s="3">
        <v>7</v>
      </c>
      <c r="I3235" s="3">
        <v>50160</v>
      </c>
      <c r="J3235" s="3">
        <v>351120</v>
      </c>
      <c r="K3235" s="3">
        <v>38000</v>
      </c>
      <c r="L3235" s="3">
        <v>266000</v>
      </c>
      <c r="M3235" s="3">
        <v>85120</v>
      </c>
      <c r="N3235" s="4">
        <v>0.24242424242424243</v>
      </c>
    </row>
    <row r="3236" spans="1:14" x14ac:dyDescent="0.3">
      <c r="A3236" s="6">
        <v>45889</v>
      </c>
      <c r="B3236" s="1" t="s">
        <v>3420</v>
      </c>
      <c r="C3236" s="1" t="s">
        <v>26</v>
      </c>
      <c r="D3236" t="s">
        <v>30</v>
      </c>
      <c r="E3236" t="s">
        <v>317</v>
      </c>
      <c r="F3236" t="s">
        <v>21</v>
      </c>
      <c r="G3236" t="s">
        <v>20</v>
      </c>
      <c r="H3236" s="3">
        <v>6</v>
      </c>
      <c r="I3236" s="3">
        <v>834.00000000000011</v>
      </c>
      <c r="J3236" s="3">
        <v>5004.0000000000009</v>
      </c>
      <c r="K3236" s="3">
        <v>600</v>
      </c>
      <c r="L3236" s="3">
        <v>3600</v>
      </c>
      <c r="M3236" s="3">
        <v>1404.0000000000009</v>
      </c>
      <c r="N3236" s="4">
        <v>0.28057553956834547</v>
      </c>
    </row>
    <row r="3237" spans="1:14" x14ac:dyDescent="0.3">
      <c r="A3237" s="6">
        <v>45889</v>
      </c>
      <c r="B3237" s="1" t="s">
        <v>3421</v>
      </c>
      <c r="C3237" s="1" t="s">
        <v>28</v>
      </c>
      <c r="D3237" t="s">
        <v>32</v>
      </c>
      <c r="E3237" t="s">
        <v>184</v>
      </c>
      <c r="F3237" t="s">
        <v>24</v>
      </c>
      <c r="G3237" t="s">
        <v>25</v>
      </c>
      <c r="H3237" s="3">
        <v>7</v>
      </c>
      <c r="I3237" s="3">
        <v>3025</v>
      </c>
      <c r="J3237" s="3">
        <v>21175</v>
      </c>
      <c r="K3237" s="3">
        <v>2500</v>
      </c>
      <c r="L3237" s="3">
        <v>17500</v>
      </c>
      <c r="M3237" s="3">
        <v>3675</v>
      </c>
      <c r="N3237" s="4">
        <v>0.17355371900826447</v>
      </c>
    </row>
    <row r="3238" spans="1:14" x14ac:dyDescent="0.3">
      <c r="A3238" s="6">
        <v>45889</v>
      </c>
      <c r="B3238" s="1" t="s">
        <v>3422</v>
      </c>
      <c r="C3238" s="1" t="s">
        <v>28</v>
      </c>
      <c r="D3238" t="s">
        <v>31</v>
      </c>
      <c r="E3238" t="s">
        <v>147</v>
      </c>
      <c r="F3238" t="s">
        <v>24</v>
      </c>
      <c r="G3238" t="s">
        <v>25</v>
      </c>
      <c r="H3238" s="3">
        <v>9</v>
      </c>
      <c r="I3238" s="3">
        <v>3375</v>
      </c>
      <c r="J3238" s="3">
        <v>30375</v>
      </c>
      <c r="K3238" s="3">
        <v>2500</v>
      </c>
      <c r="L3238" s="3">
        <v>22500</v>
      </c>
      <c r="M3238" s="3">
        <v>7875</v>
      </c>
      <c r="N3238" s="4">
        <v>0.25925925925925924</v>
      </c>
    </row>
    <row r="3239" spans="1:14" x14ac:dyDescent="0.3">
      <c r="A3239" s="6">
        <v>45889</v>
      </c>
      <c r="B3239" s="1" t="s">
        <v>3423</v>
      </c>
      <c r="C3239" s="1" t="s">
        <v>28</v>
      </c>
      <c r="D3239" t="s">
        <v>33</v>
      </c>
      <c r="E3239" t="s">
        <v>220</v>
      </c>
      <c r="F3239" t="s">
        <v>22</v>
      </c>
      <c r="G3239" t="s">
        <v>18</v>
      </c>
      <c r="H3239" s="3">
        <v>3</v>
      </c>
      <c r="I3239" s="3">
        <v>9940</v>
      </c>
      <c r="J3239" s="3">
        <v>29820</v>
      </c>
      <c r="K3239" s="3">
        <v>7000</v>
      </c>
      <c r="L3239" s="3">
        <v>21000</v>
      </c>
      <c r="M3239" s="3">
        <v>8820</v>
      </c>
      <c r="N3239" s="4">
        <v>0.29577464788732394</v>
      </c>
    </row>
    <row r="3240" spans="1:14" x14ac:dyDescent="0.3">
      <c r="A3240" s="6">
        <v>45889</v>
      </c>
      <c r="B3240" s="1" t="s">
        <v>3424</v>
      </c>
      <c r="C3240" s="1" t="s">
        <v>28</v>
      </c>
      <c r="D3240" t="s">
        <v>30</v>
      </c>
      <c r="E3240" t="s">
        <v>175</v>
      </c>
      <c r="F3240" t="s">
        <v>14</v>
      </c>
      <c r="G3240" t="s">
        <v>15</v>
      </c>
      <c r="H3240" s="3">
        <v>4</v>
      </c>
      <c r="I3240" s="3">
        <v>55800</v>
      </c>
      <c r="J3240" s="3">
        <v>223200</v>
      </c>
      <c r="K3240" s="3">
        <v>45000</v>
      </c>
      <c r="L3240" s="3">
        <v>180000</v>
      </c>
      <c r="M3240" s="3">
        <v>43200</v>
      </c>
      <c r="N3240" s="4">
        <v>0.19354838709677419</v>
      </c>
    </row>
    <row r="3241" spans="1:14" x14ac:dyDescent="0.3">
      <c r="A3241" s="6">
        <v>45889</v>
      </c>
      <c r="B3241" s="1" t="s">
        <v>3425</v>
      </c>
      <c r="C3241" s="1" t="s">
        <v>28</v>
      </c>
      <c r="D3241" t="s">
        <v>34</v>
      </c>
      <c r="E3241" t="s">
        <v>436</v>
      </c>
      <c r="F3241" t="s">
        <v>24</v>
      </c>
      <c r="G3241" t="s">
        <v>25</v>
      </c>
      <c r="H3241" s="3">
        <v>8</v>
      </c>
      <c r="I3241" s="3">
        <v>3500</v>
      </c>
      <c r="J3241" s="3">
        <v>28000</v>
      </c>
      <c r="K3241" s="3">
        <v>2500</v>
      </c>
      <c r="L3241" s="3">
        <v>20000</v>
      </c>
      <c r="M3241" s="3">
        <v>8000</v>
      </c>
      <c r="N3241" s="4">
        <v>0.2857142857142857</v>
      </c>
    </row>
    <row r="3242" spans="1:14" x14ac:dyDescent="0.3">
      <c r="A3242" s="6">
        <v>45889</v>
      </c>
      <c r="B3242" s="1" t="s">
        <v>3426</v>
      </c>
      <c r="C3242" s="1" t="s">
        <v>26</v>
      </c>
      <c r="D3242" t="s">
        <v>32</v>
      </c>
      <c r="E3242" t="s">
        <v>331</v>
      </c>
      <c r="F3242" t="s">
        <v>16</v>
      </c>
      <c r="G3242" t="s">
        <v>15</v>
      </c>
      <c r="H3242" s="3">
        <v>2</v>
      </c>
      <c r="I3242" s="3">
        <v>52820.000000000007</v>
      </c>
      <c r="J3242" s="3">
        <v>105640.00000000001</v>
      </c>
      <c r="K3242" s="3">
        <v>38000</v>
      </c>
      <c r="L3242" s="3">
        <v>76000</v>
      </c>
      <c r="M3242" s="3">
        <v>29640.000000000015</v>
      </c>
      <c r="N3242" s="4">
        <v>0.28057553956834541</v>
      </c>
    </row>
    <row r="3243" spans="1:14" x14ac:dyDescent="0.3">
      <c r="A3243" s="6">
        <v>45889</v>
      </c>
      <c r="B3243" s="1" t="s">
        <v>3427</v>
      </c>
      <c r="C3243" s="1" t="s">
        <v>26</v>
      </c>
      <c r="D3243" t="s">
        <v>35</v>
      </c>
      <c r="E3243" t="s">
        <v>321</v>
      </c>
      <c r="F3243" t="s">
        <v>22</v>
      </c>
      <c r="G3243" t="s">
        <v>18</v>
      </c>
      <c r="H3243" s="3">
        <v>4</v>
      </c>
      <c r="I3243" s="3">
        <v>9030</v>
      </c>
      <c r="J3243" s="3">
        <v>36120</v>
      </c>
      <c r="K3243" s="3">
        <v>7000</v>
      </c>
      <c r="L3243" s="3">
        <v>28000</v>
      </c>
      <c r="M3243" s="3">
        <v>8120</v>
      </c>
      <c r="N3243" s="4">
        <v>0.22480620155038761</v>
      </c>
    </row>
    <row r="3244" spans="1:14" x14ac:dyDescent="0.3">
      <c r="A3244" s="6">
        <v>45889</v>
      </c>
      <c r="B3244" s="1" t="s">
        <v>3428</v>
      </c>
      <c r="C3244" s="1" t="s">
        <v>27</v>
      </c>
      <c r="D3244" t="s">
        <v>34</v>
      </c>
      <c r="E3244" t="s">
        <v>45</v>
      </c>
      <c r="F3244" t="s">
        <v>19</v>
      </c>
      <c r="G3244" t="s">
        <v>20</v>
      </c>
      <c r="H3244" s="3">
        <v>3</v>
      </c>
      <c r="I3244" s="3">
        <v>1188</v>
      </c>
      <c r="J3244" s="3">
        <v>3564</v>
      </c>
      <c r="K3244" s="3">
        <v>900</v>
      </c>
      <c r="L3244" s="3">
        <v>2700</v>
      </c>
      <c r="M3244" s="3">
        <v>864</v>
      </c>
      <c r="N3244" s="4">
        <v>0.24242424242424243</v>
      </c>
    </row>
    <row r="3245" spans="1:14" x14ac:dyDescent="0.3">
      <c r="A3245" s="6">
        <v>45889</v>
      </c>
      <c r="B3245" s="1" t="s">
        <v>3429</v>
      </c>
      <c r="C3245" s="1" t="s">
        <v>26</v>
      </c>
      <c r="D3245" t="s">
        <v>33</v>
      </c>
      <c r="E3245" t="s">
        <v>319</v>
      </c>
      <c r="F3245" t="s">
        <v>19</v>
      </c>
      <c r="G3245" t="s">
        <v>20</v>
      </c>
      <c r="H3245" s="3">
        <v>4</v>
      </c>
      <c r="I3245" s="3">
        <v>1170</v>
      </c>
      <c r="J3245" s="3">
        <v>4680</v>
      </c>
      <c r="K3245" s="3">
        <v>900</v>
      </c>
      <c r="L3245" s="3">
        <v>3600</v>
      </c>
      <c r="M3245" s="3">
        <v>1080</v>
      </c>
      <c r="N3245" s="4">
        <v>0.23076923076923078</v>
      </c>
    </row>
    <row r="3246" spans="1:14" x14ac:dyDescent="0.3">
      <c r="A3246" s="6">
        <v>45889</v>
      </c>
      <c r="B3246" s="1" t="s">
        <v>3430</v>
      </c>
      <c r="C3246" s="1" t="s">
        <v>29</v>
      </c>
      <c r="D3246" t="s">
        <v>33</v>
      </c>
      <c r="E3246" t="s">
        <v>151</v>
      </c>
      <c r="F3246" t="s">
        <v>21</v>
      </c>
      <c r="G3246" t="s">
        <v>20</v>
      </c>
      <c r="H3246" s="3">
        <v>7</v>
      </c>
      <c r="I3246" s="3">
        <v>822.00000000000011</v>
      </c>
      <c r="J3246" s="3">
        <v>5754.0000000000009</v>
      </c>
      <c r="K3246" s="3">
        <v>600</v>
      </c>
      <c r="L3246" s="3">
        <v>4200</v>
      </c>
      <c r="M3246" s="3">
        <v>1554.0000000000009</v>
      </c>
      <c r="N3246" s="4">
        <v>0.27007299270073004</v>
      </c>
    </row>
    <row r="3247" spans="1:14" x14ac:dyDescent="0.3">
      <c r="A3247" s="6">
        <v>45889</v>
      </c>
      <c r="B3247" s="1" t="s">
        <v>3431</v>
      </c>
      <c r="C3247" s="1" t="s">
        <v>26</v>
      </c>
      <c r="D3247" t="s">
        <v>30</v>
      </c>
      <c r="E3247" t="s">
        <v>184</v>
      </c>
      <c r="F3247" t="s">
        <v>14</v>
      </c>
      <c r="G3247" t="s">
        <v>15</v>
      </c>
      <c r="H3247" s="3">
        <v>1</v>
      </c>
      <c r="I3247" s="3">
        <v>65250</v>
      </c>
      <c r="J3247" s="3">
        <v>65250</v>
      </c>
      <c r="K3247" s="3">
        <v>45000</v>
      </c>
      <c r="L3247" s="3">
        <v>45000</v>
      </c>
      <c r="M3247" s="3">
        <v>20250</v>
      </c>
      <c r="N3247" s="4">
        <v>0.31034482758620691</v>
      </c>
    </row>
    <row r="3248" spans="1:14" x14ac:dyDescent="0.3">
      <c r="A3248" s="6">
        <v>45890</v>
      </c>
      <c r="B3248" s="1" t="s">
        <v>3432</v>
      </c>
      <c r="C3248" s="1" t="s">
        <v>26</v>
      </c>
      <c r="D3248" t="s">
        <v>33</v>
      </c>
      <c r="E3248" t="s">
        <v>222</v>
      </c>
      <c r="F3248" t="s">
        <v>21</v>
      </c>
      <c r="G3248" t="s">
        <v>20</v>
      </c>
      <c r="H3248" s="3">
        <v>6</v>
      </c>
      <c r="I3248" s="3">
        <v>798</v>
      </c>
      <c r="J3248" s="3">
        <v>4788</v>
      </c>
      <c r="K3248" s="3">
        <v>600</v>
      </c>
      <c r="L3248" s="3">
        <v>3600</v>
      </c>
      <c r="M3248" s="3">
        <v>1188</v>
      </c>
      <c r="N3248" s="4">
        <v>0.24812030075187969</v>
      </c>
    </row>
    <row r="3249" spans="1:14" x14ac:dyDescent="0.3">
      <c r="A3249" s="6">
        <v>45890</v>
      </c>
      <c r="B3249" s="1" t="s">
        <v>3433</v>
      </c>
      <c r="C3249" s="1" t="s">
        <v>27</v>
      </c>
      <c r="D3249" t="s">
        <v>35</v>
      </c>
      <c r="E3249" t="s">
        <v>935</v>
      </c>
      <c r="F3249" t="s">
        <v>17</v>
      </c>
      <c r="G3249" t="s">
        <v>18</v>
      </c>
      <c r="H3249" s="3">
        <v>10</v>
      </c>
      <c r="I3249" s="3">
        <v>10625</v>
      </c>
      <c r="J3249" s="3">
        <v>106250</v>
      </c>
      <c r="K3249" s="3">
        <v>8500</v>
      </c>
      <c r="L3249" s="3">
        <v>85000</v>
      </c>
      <c r="M3249" s="3">
        <v>21250</v>
      </c>
      <c r="N3249" s="4">
        <v>0.2</v>
      </c>
    </row>
    <row r="3250" spans="1:14" x14ac:dyDescent="0.3">
      <c r="A3250" s="6">
        <v>45890</v>
      </c>
      <c r="B3250" s="1" t="s">
        <v>3434</v>
      </c>
      <c r="C3250" s="1" t="s">
        <v>26</v>
      </c>
      <c r="D3250" t="s">
        <v>32</v>
      </c>
      <c r="E3250" t="s">
        <v>124</v>
      </c>
      <c r="F3250" t="s">
        <v>19</v>
      </c>
      <c r="G3250" t="s">
        <v>20</v>
      </c>
      <c r="H3250" s="3">
        <v>1</v>
      </c>
      <c r="I3250" s="3">
        <v>1107</v>
      </c>
      <c r="J3250" s="3">
        <v>1107</v>
      </c>
      <c r="K3250" s="3">
        <v>900</v>
      </c>
      <c r="L3250" s="3">
        <v>900</v>
      </c>
      <c r="M3250" s="3">
        <v>207</v>
      </c>
      <c r="N3250" s="4">
        <v>0.18699186991869918</v>
      </c>
    </row>
    <row r="3251" spans="1:14" x14ac:dyDescent="0.3">
      <c r="A3251" s="6">
        <v>45890</v>
      </c>
      <c r="B3251" s="1" t="s">
        <v>3435</v>
      </c>
      <c r="C3251" s="1" t="s">
        <v>27</v>
      </c>
      <c r="D3251" t="s">
        <v>32</v>
      </c>
      <c r="E3251" t="s">
        <v>166</v>
      </c>
      <c r="F3251" t="s">
        <v>23</v>
      </c>
      <c r="G3251" t="s">
        <v>25</v>
      </c>
      <c r="H3251" s="3">
        <v>8</v>
      </c>
      <c r="I3251" s="3">
        <v>3840</v>
      </c>
      <c r="J3251" s="3">
        <v>30720</v>
      </c>
      <c r="K3251" s="3">
        <v>3200</v>
      </c>
      <c r="L3251" s="3">
        <v>25600</v>
      </c>
      <c r="M3251" s="3">
        <v>5120</v>
      </c>
      <c r="N3251" s="4">
        <v>0.16666666666666666</v>
      </c>
    </row>
    <row r="3252" spans="1:14" x14ac:dyDescent="0.3">
      <c r="A3252" s="6">
        <v>45890</v>
      </c>
      <c r="B3252" s="1" t="s">
        <v>3436</v>
      </c>
      <c r="C3252" s="1" t="s">
        <v>27</v>
      </c>
      <c r="D3252" t="s">
        <v>34</v>
      </c>
      <c r="E3252" t="s">
        <v>112</v>
      </c>
      <c r="F3252" t="s">
        <v>17</v>
      </c>
      <c r="G3252" t="s">
        <v>18</v>
      </c>
      <c r="H3252" s="3">
        <v>5</v>
      </c>
      <c r="I3252" s="3">
        <v>10710</v>
      </c>
      <c r="J3252" s="3">
        <v>53550</v>
      </c>
      <c r="K3252" s="3">
        <v>8500</v>
      </c>
      <c r="L3252" s="3">
        <v>42500</v>
      </c>
      <c r="M3252" s="3">
        <v>11050</v>
      </c>
      <c r="N3252" s="4">
        <v>0.20634920634920634</v>
      </c>
    </row>
    <row r="3253" spans="1:14" x14ac:dyDescent="0.3">
      <c r="A3253" s="6">
        <v>45890</v>
      </c>
      <c r="B3253" s="1" t="s">
        <v>3437</v>
      </c>
      <c r="C3253" s="1" t="s">
        <v>26</v>
      </c>
      <c r="D3253" t="s">
        <v>35</v>
      </c>
      <c r="E3253" t="s">
        <v>369</v>
      </c>
      <c r="F3253" t="s">
        <v>19</v>
      </c>
      <c r="G3253" t="s">
        <v>20</v>
      </c>
      <c r="H3253" s="3">
        <v>3</v>
      </c>
      <c r="I3253" s="3">
        <v>1089</v>
      </c>
      <c r="J3253" s="3">
        <v>3267</v>
      </c>
      <c r="K3253" s="3">
        <v>900</v>
      </c>
      <c r="L3253" s="3">
        <v>2700</v>
      </c>
      <c r="M3253" s="3">
        <v>567</v>
      </c>
      <c r="N3253" s="4">
        <v>0.17355371900826447</v>
      </c>
    </row>
    <row r="3254" spans="1:14" x14ac:dyDescent="0.3">
      <c r="A3254" s="6">
        <v>45890</v>
      </c>
      <c r="B3254" s="1" t="s">
        <v>3438</v>
      </c>
      <c r="C3254" s="1" t="s">
        <v>28</v>
      </c>
      <c r="D3254" t="s">
        <v>30</v>
      </c>
      <c r="E3254" t="s">
        <v>365</v>
      </c>
      <c r="F3254" t="s">
        <v>17</v>
      </c>
      <c r="G3254" t="s">
        <v>18</v>
      </c>
      <c r="H3254" s="3">
        <v>2</v>
      </c>
      <c r="I3254" s="3">
        <v>11220</v>
      </c>
      <c r="J3254" s="3">
        <v>22440</v>
      </c>
      <c r="K3254" s="3">
        <v>8500</v>
      </c>
      <c r="L3254" s="3">
        <v>17000</v>
      </c>
      <c r="M3254" s="3">
        <v>5440</v>
      </c>
      <c r="N3254" s="4">
        <v>0.24242424242424243</v>
      </c>
    </row>
    <row r="3255" spans="1:14" x14ac:dyDescent="0.3">
      <c r="A3255" s="6">
        <v>45890</v>
      </c>
      <c r="B3255" s="1" t="s">
        <v>3439</v>
      </c>
      <c r="C3255" s="1" t="s">
        <v>26</v>
      </c>
      <c r="D3255" t="s">
        <v>34</v>
      </c>
      <c r="E3255" t="s">
        <v>208</v>
      </c>
      <c r="F3255" t="s">
        <v>19</v>
      </c>
      <c r="G3255" t="s">
        <v>20</v>
      </c>
      <c r="H3255" s="3">
        <v>5</v>
      </c>
      <c r="I3255" s="3">
        <v>1107</v>
      </c>
      <c r="J3255" s="3">
        <v>5535</v>
      </c>
      <c r="K3255" s="3">
        <v>900</v>
      </c>
      <c r="L3255" s="3">
        <v>4500</v>
      </c>
      <c r="M3255" s="3">
        <v>1035</v>
      </c>
      <c r="N3255" s="4">
        <v>0.18699186991869918</v>
      </c>
    </row>
    <row r="3256" spans="1:14" x14ac:dyDescent="0.3">
      <c r="A3256" s="6">
        <v>45890</v>
      </c>
      <c r="B3256" s="1" t="s">
        <v>3440</v>
      </c>
      <c r="C3256" s="1" t="s">
        <v>29</v>
      </c>
      <c r="D3256" t="s">
        <v>33</v>
      </c>
      <c r="E3256" t="s">
        <v>935</v>
      </c>
      <c r="F3256" t="s">
        <v>24</v>
      </c>
      <c r="G3256" t="s">
        <v>25</v>
      </c>
      <c r="H3256" s="3">
        <v>3</v>
      </c>
      <c r="I3256" s="3">
        <v>3300</v>
      </c>
      <c r="J3256" s="3">
        <v>9900</v>
      </c>
      <c r="K3256" s="3">
        <v>2500</v>
      </c>
      <c r="L3256" s="3">
        <v>7500</v>
      </c>
      <c r="M3256" s="3">
        <v>2400</v>
      </c>
      <c r="N3256" s="4">
        <v>0.24242424242424243</v>
      </c>
    </row>
    <row r="3257" spans="1:14" x14ac:dyDescent="0.3">
      <c r="A3257" s="6">
        <v>45890</v>
      </c>
      <c r="B3257" s="1" t="s">
        <v>3441</v>
      </c>
      <c r="C3257" s="1" t="s">
        <v>27</v>
      </c>
      <c r="D3257" t="s">
        <v>32</v>
      </c>
      <c r="E3257" t="s">
        <v>69</v>
      </c>
      <c r="F3257" t="s">
        <v>19</v>
      </c>
      <c r="G3257" t="s">
        <v>20</v>
      </c>
      <c r="H3257" s="3">
        <v>5</v>
      </c>
      <c r="I3257" s="3">
        <v>1305</v>
      </c>
      <c r="J3257" s="3">
        <v>6525</v>
      </c>
      <c r="K3257" s="3">
        <v>900</v>
      </c>
      <c r="L3257" s="3">
        <v>4500</v>
      </c>
      <c r="M3257" s="3">
        <v>2025</v>
      </c>
      <c r="N3257" s="4">
        <v>0.31034482758620691</v>
      </c>
    </row>
    <row r="3258" spans="1:14" x14ac:dyDescent="0.3">
      <c r="A3258" s="6">
        <v>45890</v>
      </c>
      <c r="B3258" s="1" t="s">
        <v>3442</v>
      </c>
      <c r="C3258" s="1" t="s">
        <v>29</v>
      </c>
      <c r="D3258" t="s">
        <v>33</v>
      </c>
      <c r="E3258" t="s">
        <v>206</v>
      </c>
      <c r="F3258" t="s">
        <v>17</v>
      </c>
      <c r="G3258" t="s">
        <v>18</v>
      </c>
      <c r="H3258" s="3">
        <v>9</v>
      </c>
      <c r="I3258" s="3">
        <v>11900</v>
      </c>
      <c r="J3258" s="3">
        <v>107100</v>
      </c>
      <c r="K3258" s="3">
        <v>8500</v>
      </c>
      <c r="L3258" s="3">
        <v>76500</v>
      </c>
      <c r="M3258" s="3">
        <v>30600</v>
      </c>
      <c r="N3258" s="4">
        <v>0.2857142857142857</v>
      </c>
    </row>
    <row r="3259" spans="1:14" x14ac:dyDescent="0.3">
      <c r="A3259" s="6">
        <v>45890</v>
      </c>
      <c r="B3259" s="1" t="s">
        <v>3443</v>
      </c>
      <c r="C3259" s="1" t="s">
        <v>28</v>
      </c>
      <c r="D3259" t="s">
        <v>31</v>
      </c>
      <c r="E3259" t="s">
        <v>302</v>
      </c>
      <c r="F3259" t="s">
        <v>24</v>
      </c>
      <c r="G3259" t="s">
        <v>25</v>
      </c>
      <c r="H3259" s="3">
        <v>10</v>
      </c>
      <c r="I3259" s="3">
        <v>3025</v>
      </c>
      <c r="J3259" s="3">
        <v>30250</v>
      </c>
      <c r="K3259" s="3">
        <v>2500</v>
      </c>
      <c r="L3259" s="3">
        <v>25000</v>
      </c>
      <c r="M3259" s="3">
        <v>5250</v>
      </c>
      <c r="N3259" s="4">
        <v>0.17355371900826447</v>
      </c>
    </row>
    <row r="3260" spans="1:14" x14ac:dyDescent="0.3">
      <c r="A3260" s="6">
        <v>45890</v>
      </c>
      <c r="B3260" s="1" t="s">
        <v>3444</v>
      </c>
      <c r="C3260" s="1" t="s">
        <v>27</v>
      </c>
      <c r="D3260" t="s">
        <v>34</v>
      </c>
      <c r="E3260" t="s">
        <v>265</v>
      </c>
      <c r="F3260" t="s">
        <v>24</v>
      </c>
      <c r="G3260" t="s">
        <v>25</v>
      </c>
      <c r="H3260" s="3">
        <v>7</v>
      </c>
      <c r="I3260" s="3">
        <v>3575</v>
      </c>
      <c r="J3260" s="3">
        <v>25025</v>
      </c>
      <c r="K3260" s="3">
        <v>2500</v>
      </c>
      <c r="L3260" s="3">
        <v>17500</v>
      </c>
      <c r="M3260" s="3">
        <v>7525</v>
      </c>
      <c r="N3260" s="4">
        <v>0.30069930069930068</v>
      </c>
    </row>
    <row r="3261" spans="1:14" x14ac:dyDescent="0.3">
      <c r="A3261" s="6">
        <v>45890</v>
      </c>
      <c r="B3261" s="1" t="s">
        <v>3445</v>
      </c>
      <c r="C3261" s="1" t="s">
        <v>27</v>
      </c>
      <c r="D3261" t="s">
        <v>30</v>
      </c>
      <c r="E3261" t="s">
        <v>431</v>
      </c>
      <c r="F3261" t="s">
        <v>14</v>
      </c>
      <c r="G3261" t="s">
        <v>15</v>
      </c>
      <c r="H3261" s="3">
        <v>5</v>
      </c>
      <c r="I3261" s="3">
        <v>60300</v>
      </c>
      <c r="J3261" s="3">
        <v>301500</v>
      </c>
      <c r="K3261" s="3">
        <v>45000</v>
      </c>
      <c r="L3261" s="3">
        <v>225000</v>
      </c>
      <c r="M3261" s="3">
        <v>76500</v>
      </c>
      <c r="N3261" s="4">
        <v>0.2537313432835821</v>
      </c>
    </row>
    <row r="3262" spans="1:14" x14ac:dyDescent="0.3">
      <c r="A3262" s="6">
        <v>45891</v>
      </c>
      <c r="B3262" s="1" t="s">
        <v>3446</v>
      </c>
      <c r="C3262" s="1" t="s">
        <v>26</v>
      </c>
      <c r="D3262" t="s">
        <v>33</v>
      </c>
      <c r="E3262" t="s">
        <v>427</v>
      </c>
      <c r="F3262" t="s">
        <v>14</v>
      </c>
      <c r="G3262" t="s">
        <v>15</v>
      </c>
      <c r="H3262" s="3">
        <v>3</v>
      </c>
      <c r="I3262" s="3">
        <v>65250</v>
      </c>
      <c r="J3262" s="3">
        <v>195750</v>
      </c>
      <c r="K3262" s="3">
        <v>45000</v>
      </c>
      <c r="L3262" s="3">
        <v>135000</v>
      </c>
      <c r="M3262" s="3">
        <v>60750</v>
      </c>
      <c r="N3262" s="4">
        <v>0.31034482758620691</v>
      </c>
    </row>
    <row r="3263" spans="1:14" x14ac:dyDescent="0.3">
      <c r="A3263" s="6">
        <v>45891</v>
      </c>
      <c r="B3263" s="1" t="s">
        <v>3447</v>
      </c>
      <c r="C3263" s="1" t="s">
        <v>26</v>
      </c>
      <c r="D3263" t="s">
        <v>33</v>
      </c>
      <c r="E3263" t="s">
        <v>302</v>
      </c>
      <c r="F3263" t="s">
        <v>21</v>
      </c>
      <c r="G3263" t="s">
        <v>20</v>
      </c>
      <c r="H3263" s="3">
        <v>2</v>
      </c>
      <c r="I3263" s="3">
        <v>810</v>
      </c>
      <c r="J3263" s="3">
        <v>1620</v>
      </c>
      <c r="K3263" s="3">
        <v>600</v>
      </c>
      <c r="L3263" s="3">
        <v>1200</v>
      </c>
      <c r="M3263" s="3">
        <v>420</v>
      </c>
      <c r="N3263" s="4">
        <v>0.25925925925925924</v>
      </c>
    </row>
    <row r="3264" spans="1:14" x14ac:dyDescent="0.3">
      <c r="A3264" s="6">
        <v>45891</v>
      </c>
      <c r="B3264" s="1" t="s">
        <v>3448</v>
      </c>
      <c r="C3264" s="1" t="s">
        <v>28</v>
      </c>
      <c r="D3264" t="s">
        <v>35</v>
      </c>
      <c r="E3264" t="s">
        <v>321</v>
      </c>
      <c r="F3264" t="s">
        <v>21</v>
      </c>
      <c r="G3264" t="s">
        <v>20</v>
      </c>
      <c r="H3264" s="3">
        <v>7</v>
      </c>
      <c r="I3264" s="3">
        <v>834.00000000000011</v>
      </c>
      <c r="J3264" s="3">
        <v>5838.0000000000009</v>
      </c>
      <c r="K3264" s="3">
        <v>600</v>
      </c>
      <c r="L3264" s="3">
        <v>4200</v>
      </c>
      <c r="M3264" s="3">
        <v>1638.0000000000009</v>
      </c>
      <c r="N3264" s="4">
        <v>0.28057553956834541</v>
      </c>
    </row>
    <row r="3265" spans="1:14" x14ac:dyDescent="0.3">
      <c r="A3265" s="6">
        <v>45891</v>
      </c>
      <c r="B3265" s="1" t="s">
        <v>3449</v>
      </c>
      <c r="C3265" s="1" t="s">
        <v>28</v>
      </c>
      <c r="D3265" t="s">
        <v>34</v>
      </c>
      <c r="E3265" t="s">
        <v>116</v>
      </c>
      <c r="F3265" t="s">
        <v>24</v>
      </c>
      <c r="G3265" t="s">
        <v>25</v>
      </c>
      <c r="H3265" s="3">
        <v>6</v>
      </c>
      <c r="I3265" s="3">
        <v>3325</v>
      </c>
      <c r="J3265" s="3">
        <v>19950</v>
      </c>
      <c r="K3265" s="3">
        <v>2500</v>
      </c>
      <c r="L3265" s="3">
        <v>15000</v>
      </c>
      <c r="M3265" s="3">
        <v>4950</v>
      </c>
      <c r="N3265" s="4">
        <v>0.24812030075187969</v>
      </c>
    </row>
    <row r="3266" spans="1:14" x14ac:dyDescent="0.3">
      <c r="A3266" s="6">
        <v>45891</v>
      </c>
      <c r="B3266" s="1" t="s">
        <v>3450</v>
      </c>
      <c r="C3266" s="1" t="s">
        <v>28</v>
      </c>
      <c r="D3266" t="s">
        <v>30</v>
      </c>
      <c r="E3266" t="s">
        <v>582</v>
      </c>
      <c r="F3266" t="s">
        <v>22</v>
      </c>
      <c r="G3266" t="s">
        <v>18</v>
      </c>
      <c r="H3266" s="3">
        <v>2</v>
      </c>
      <c r="I3266" s="3">
        <v>8540</v>
      </c>
      <c r="J3266" s="3">
        <v>17080</v>
      </c>
      <c r="K3266" s="3">
        <v>7000</v>
      </c>
      <c r="L3266" s="3">
        <v>14000</v>
      </c>
      <c r="M3266" s="3">
        <v>3080</v>
      </c>
      <c r="N3266" s="4">
        <v>0.18032786885245902</v>
      </c>
    </row>
    <row r="3267" spans="1:14" x14ac:dyDescent="0.3">
      <c r="A3267" s="6">
        <v>45891</v>
      </c>
      <c r="B3267" s="1" t="s">
        <v>3451</v>
      </c>
      <c r="C3267" s="1" t="s">
        <v>26</v>
      </c>
      <c r="D3267" t="s">
        <v>35</v>
      </c>
      <c r="E3267" t="s">
        <v>280</v>
      </c>
      <c r="F3267" t="s">
        <v>16</v>
      </c>
      <c r="G3267" t="s">
        <v>15</v>
      </c>
      <c r="H3267" s="3">
        <v>10</v>
      </c>
      <c r="I3267" s="3">
        <v>45980</v>
      </c>
      <c r="J3267" s="3">
        <v>459800</v>
      </c>
      <c r="K3267" s="3">
        <v>38000</v>
      </c>
      <c r="L3267" s="3">
        <v>380000</v>
      </c>
      <c r="M3267" s="3">
        <v>79800</v>
      </c>
      <c r="N3267" s="4">
        <v>0.17355371900826447</v>
      </c>
    </row>
    <row r="3268" spans="1:14" x14ac:dyDescent="0.3">
      <c r="A3268" s="6">
        <v>45891</v>
      </c>
      <c r="B3268" s="1" t="s">
        <v>3452</v>
      </c>
      <c r="C3268" s="1" t="s">
        <v>27</v>
      </c>
      <c r="D3268" t="s">
        <v>35</v>
      </c>
      <c r="E3268" t="s">
        <v>308</v>
      </c>
      <c r="F3268" t="s">
        <v>23</v>
      </c>
      <c r="G3268" t="s">
        <v>25</v>
      </c>
      <c r="H3268" s="3">
        <v>6</v>
      </c>
      <c r="I3268" s="3">
        <v>4416</v>
      </c>
      <c r="J3268" s="3">
        <v>26496</v>
      </c>
      <c r="K3268" s="3">
        <v>3200</v>
      </c>
      <c r="L3268" s="3">
        <v>19200</v>
      </c>
      <c r="M3268" s="3">
        <v>7296</v>
      </c>
      <c r="N3268" s="4">
        <v>0.27536231884057971</v>
      </c>
    </row>
    <row r="3269" spans="1:14" x14ac:dyDescent="0.3">
      <c r="A3269" s="6">
        <v>45891</v>
      </c>
      <c r="B3269" s="1" t="s">
        <v>3453</v>
      </c>
      <c r="C3269" s="1" t="s">
        <v>28</v>
      </c>
      <c r="D3269" t="s">
        <v>30</v>
      </c>
      <c r="E3269" t="s">
        <v>112</v>
      </c>
      <c r="F3269" t="s">
        <v>16</v>
      </c>
      <c r="G3269" t="s">
        <v>15</v>
      </c>
      <c r="H3269" s="3">
        <v>9</v>
      </c>
      <c r="I3269" s="3">
        <v>46360</v>
      </c>
      <c r="J3269" s="3">
        <v>417240</v>
      </c>
      <c r="K3269" s="3">
        <v>38000</v>
      </c>
      <c r="L3269" s="3">
        <v>342000</v>
      </c>
      <c r="M3269" s="3">
        <v>75240</v>
      </c>
      <c r="N3269" s="4">
        <v>0.18032786885245902</v>
      </c>
    </row>
    <row r="3270" spans="1:14" x14ac:dyDescent="0.3">
      <c r="A3270" s="6">
        <v>45891</v>
      </c>
      <c r="B3270" s="1" t="s">
        <v>3454</v>
      </c>
      <c r="C3270" s="1" t="s">
        <v>28</v>
      </c>
      <c r="D3270" t="s">
        <v>30</v>
      </c>
      <c r="E3270" t="s">
        <v>319</v>
      </c>
      <c r="F3270" t="s">
        <v>14</v>
      </c>
      <c r="G3270" t="s">
        <v>15</v>
      </c>
      <c r="H3270" s="3">
        <v>7</v>
      </c>
      <c r="I3270" s="3">
        <v>64800</v>
      </c>
      <c r="J3270" s="3">
        <v>453600</v>
      </c>
      <c r="K3270" s="3">
        <v>45000</v>
      </c>
      <c r="L3270" s="3">
        <v>315000</v>
      </c>
      <c r="M3270" s="3">
        <v>138600</v>
      </c>
      <c r="N3270" s="4">
        <v>0.30555555555555558</v>
      </c>
    </row>
    <row r="3271" spans="1:14" x14ac:dyDescent="0.3">
      <c r="A3271" s="6">
        <v>45891</v>
      </c>
      <c r="B3271" s="1" t="s">
        <v>3455</v>
      </c>
      <c r="C3271" s="1" t="s">
        <v>28</v>
      </c>
      <c r="D3271" t="s">
        <v>32</v>
      </c>
      <c r="E3271" t="s">
        <v>275</v>
      </c>
      <c r="F3271" t="s">
        <v>23</v>
      </c>
      <c r="G3271" t="s">
        <v>25</v>
      </c>
      <c r="H3271" s="3">
        <v>1</v>
      </c>
      <c r="I3271" s="3">
        <v>4640</v>
      </c>
      <c r="J3271" s="3">
        <v>4640</v>
      </c>
      <c r="K3271" s="3">
        <v>3200</v>
      </c>
      <c r="L3271" s="3">
        <v>3200</v>
      </c>
      <c r="M3271" s="3">
        <v>1440</v>
      </c>
      <c r="N3271" s="4">
        <v>0.31034482758620691</v>
      </c>
    </row>
    <row r="3272" spans="1:14" x14ac:dyDescent="0.3">
      <c r="A3272" s="6">
        <v>45891</v>
      </c>
      <c r="B3272" s="1" t="s">
        <v>3456</v>
      </c>
      <c r="C3272" s="1" t="s">
        <v>28</v>
      </c>
      <c r="D3272" t="s">
        <v>30</v>
      </c>
      <c r="E3272" t="s">
        <v>175</v>
      </c>
      <c r="F3272" t="s">
        <v>14</v>
      </c>
      <c r="G3272" t="s">
        <v>15</v>
      </c>
      <c r="H3272" s="3">
        <v>1</v>
      </c>
      <c r="I3272" s="3">
        <v>60300</v>
      </c>
      <c r="J3272" s="3">
        <v>60300</v>
      </c>
      <c r="K3272" s="3">
        <v>45000</v>
      </c>
      <c r="L3272" s="3">
        <v>45000</v>
      </c>
      <c r="M3272" s="3">
        <v>15300</v>
      </c>
      <c r="N3272" s="4">
        <v>0.2537313432835821</v>
      </c>
    </row>
    <row r="3273" spans="1:14" x14ac:dyDescent="0.3">
      <c r="A3273" s="6">
        <v>45891</v>
      </c>
      <c r="B3273" s="1" t="s">
        <v>3457</v>
      </c>
      <c r="C3273" s="1" t="s">
        <v>28</v>
      </c>
      <c r="D3273" t="s">
        <v>32</v>
      </c>
      <c r="E3273" t="s">
        <v>90</v>
      </c>
      <c r="F3273" t="s">
        <v>16</v>
      </c>
      <c r="G3273" t="s">
        <v>15</v>
      </c>
      <c r="H3273" s="3">
        <v>10</v>
      </c>
      <c r="I3273" s="3">
        <v>52060.000000000007</v>
      </c>
      <c r="J3273" s="3">
        <v>520600.00000000006</v>
      </c>
      <c r="K3273" s="3">
        <v>38000</v>
      </c>
      <c r="L3273" s="3">
        <v>380000</v>
      </c>
      <c r="M3273" s="3">
        <v>140600.00000000006</v>
      </c>
      <c r="N3273" s="4">
        <v>0.27007299270072999</v>
      </c>
    </row>
    <row r="3274" spans="1:14" x14ac:dyDescent="0.3">
      <c r="A3274" s="6">
        <v>45891</v>
      </c>
      <c r="B3274" s="1" t="s">
        <v>3458</v>
      </c>
      <c r="C3274" s="1" t="s">
        <v>29</v>
      </c>
      <c r="D3274" t="s">
        <v>34</v>
      </c>
      <c r="E3274" t="s">
        <v>379</v>
      </c>
      <c r="F3274" t="s">
        <v>22</v>
      </c>
      <c r="G3274" t="s">
        <v>18</v>
      </c>
      <c r="H3274" s="3">
        <v>5</v>
      </c>
      <c r="I3274" s="3">
        <v>8610</v>
      </c>
      <c r="J3274" s="3">
        <v>43050</v>
      </c>
      <c r="K3274" s="3">
        <v>7000</v>
      </c>
      <c r="L3274" s="3">
        <v>35000</v>
      </c>
      <c r="M3274" s="3">
        <v>8050</v>
      </c>
      <c r="N3274" s="4">
        <v>0.18699186991869918</v>
      </c>
    </row>
    <row r="3275" spans="1:14" x14ac:dyDescent="0.3">
      <c r="A3275" s="6">
        <v>45891</v>
      </c>
      <c r="B3275" s="1" t="s">
        <v>3459</v>
      </c>
      <c r="C3275" s="1" t="s">
        <v>29</v>
      </c>
      <c r="D3275" t="s">
        <v>31</v>
      </c>
      <c r="E3275" t="s">
        <v>53</v>
      </c>
      <c r="F3275" t="s">
        <v>22</v>
      </c>
      <c r="G3275" t="s">
        <v>18</v>
      </c>
      <c r="H3275" s="3">
        <v>1</v>
      </c>
      <c r="I3275" s="3">
        <v>9940</v>
      </c>
      <c r="J3275" s="3">
        <v>9940</v>
      </c>
      <c r="K3275" s="3">
        <v>7000</v>
      </c>
      <c r="L3275" s="3">
        <v>7000</v>
      </c>
      <c r="M3275" s="3">
        <v>2940</v>
      </c>
      <c r="N3275" s="4">
        <v>0.29577464788732394</v>
      </c>
    </row>
    <row r="3276" spans="1:14" x14ac:dyDescent="0.3">
      <c r="A3276" s="6">
        <v>45892</v>
      </c>
      <c r="B3276" s="1" t="s">
        <v>3460</v>
      </c>
      <c r="C3276" s="1" t="s">
        <v>28</v>
      </c>
      <c r="D3276" t="s">
        <v>31</v>
      </c>
      <c r="E3276" t="s">
        <v>65</v>
      </c>
      <c r="F3276" t="s">
        <v>24</v>
      </c>
      <c r="G3276" t="s">
        <v>25</v>
      </c>
      <c r="H3276" s="3">
        <v>4</v>
      </c>
      <c r="I3276" s="3">
        <v>3449.9999999999995</v>
      </c>
      <c r="J3276" s="3">
        <v>13799.999999999998</v>
      </c>
      <c r="K3276" s="3">
        <v>2500</v>
      </c>
      <c r="L3276" s="3">
        <v>10000</v>
      </c>
      <c r="M3276" s="3">
        <v>3799.9999999999982</v>
      </c>
      <c r="N3276" s="4">
        <v>0.2753623188405796</v>
      </c>
    </row>
    <row r="3277" spans="1:14" x14ac:dyDescent="0.3">
      <c r="A3277" s="6">
        <v>45892</v>
      </c>
      <c r="B3277" s="1" t="s">
        <v>3461</v>
      </c>
      <c r="C3277" s="1" t="s">
        <v>27</v>
      </c>
      <c r="D3277" t="s">
        <v>30</v>
      </c>
      <c r="E3277" t="s">
        <v>126</v>
      </c>
      <c r="F3277" t="s">
        <v>21</v>
      </c>
      <c r="G3277" t="s">
        <v>20</v>
      </c>
      <c r="H3277" s="3">
        <v>6</v>
      </c>
      <c r="I3277" s="3">
        <v>726</v>
      </c>
      <c r="J3277" s="3">
        <v>4356</v>
      </c>
      <c r="K3277" s="3">
        <v>600</v>
      </c>
      <c r="L3277" s="3">
        <v>3600</v>
      </c>
      <c r="M3277" s="3">
        <v>756</v>
      </c>
      <c r="N3277" s="4">
        <v>0.17355371900826447</v>
      </c>
    </row>
    <row r="3278" spans="1:14" x14ac:dyDescent="0.3">
      <c r="A3278" s="6">
        <v>45892</v>
      </c>
      <c r="B3278" s="1" t="s">
        <v>3462</v>
      </c>
      <c r="C3278" s="1" t="s">
        <v>28</v>
      </c>
      <c r="D3278" t="s">
        <v>33</v>
      </c>
      <c r="E3278" t="s">
        <v>255</v>
      </c>
      <c r="F3278" t="s">
        <v>22</v>
      </c>
      <c r="G3278" t="s">
        <v>18</v>
      </c>
      <c r="H3278" s="3">
        <v>3</v>
      </c>
      <c r="I3278" s="3">
        <v>8890</v>
      </c>
      <c r="J3278" s="3">
        <v>26670</v>
      </c>
      <c r="K3278" s="3">
        <v>7000</v>
      </c>
      <c r="L3278" s="3">
        <v>21000</v>
      </c>
      <c r="M3278" s="3">
        <v>5670</v>
      </c>
      <c r="N3278" s="4">
        <v>0.2125984251968504</v>
      </c>
    </row>
    <row r="3279" spans="1:14" x14ac:dyDescent="0.3">
      <c r="A3279" s="6">
        <v>45892</v>
      </c>
      <c r="B3279" s="1" t="s">
        <v>3463</v>
      </c>
      <c r="C3279" s="1" t="s">
        <v>28</v>
      </c>
      <c r="D3279" t="s">
        <v>33</v>
      </c>
      <c r="E3279" t="s">
        <v>137</v>
      </c>
      <c r="F3279" t="s">
        <v>24</v>
      </c>
      <c r="G3279" t="s">
        <v>25</v>
      </c>
      <c r="H3279" s="3">
        <v>7</v>
      </c>
      <c r="I3279" s="3">
        <v>3449.9999999999995</v>
      </c>
      <c r="J3279" s="3">
        <v>24149.999999999996</v>
      </c>
      <c r="K3279" s="3">
        <v>2500</v>
      </c>
      <c r="L3279" s="3">
        <v>17500</v>
      </c>
      <c r="M3279" s="3">
        <v>6649.9999999999964</v>
      </c>
      <c r="N3279" s="4">
        <v>0.2753623188405796</v>
      </c>
    </row>
    <row r="3280" spans="1:14" x14ac:dyDescent="0.3">
      <c r="A3280" s="6">
        <v>45892</v>
      </c>
      <c r="B3280" s="1" t="s">
        <v>3464</v>
      </c>
      <c r="C3280" s="1" t="s">
        <v>29</v>
      </c>
      <c r="D3280" t="s">
        <v>35</v>
      </c>
      <c r="E3280" t="s">
        <v>65</v>
      </c>
      <c r="F3280" t="s">
        <v>21</v>
      </c>
      <c r="G3280" t="s">
        <v>20</v>
      </c>
      <c r="H3280" s="3">
        <v>6</v>
      </c>
      <c r="I3280" s="3">
        <v>822.00000000000011</v>
      </c>
      <c r="J3280" s="3">
        <v>4932.0000000000009</v>
      </c>
      <c r="K3280" s="3">
        <v>600</v>
      </c>
      <c r="L3280" s="3">
        <v>3600</v>
      </c>
      <c r="M3280" s="3">
        <v>1332.0000000000009</v>
      </c>
      <c r="N3280" s="4">
        <v>0.27007299270073004</v>
      </c>
    </row>
    <row r="3281" spans="1:14" x14ac:dyDescent="0.3">
      <c r="A3281" s="6">
        <v>45892</v>
      </c>
      <c r="B3281" s="1" t="s">
        <v>3465</v>
      </c>
      <c r="C3281" s="1" t="s">
        <v>27</v>
      </c>
      <c r="D3281" t="s">
        <v>34</v>
      </c>
      <c r="E3281" t="s">
        <v>321</v>
      </c>
      <c r="F3281" t="s">
        <v>21</v>
      </c>
      <c r="G3281" t="s">
        <v>20</v>
      </c>
      <c r="H3281" s="3">
        <v>7</v>
      </c>
      <c r="I3281" s="3">
        <v>834.00000000000011</v>
      </c>
      <c r="J3281" s="3">
        <v>5838.0000000000009</v>
      </c>
      <c r="K3281" s="3">
        <v>600</v>
      </c>
      <c r="L3281" s="3">
        <v>4200</v>
      </c>
      <c r="M3281" s="3">
        <v>1638.0000000000009</v>
      </c>
      <c r="N3281" s="4">
        <v>0.28057553956834541</v>
      </c>
    </row>
    <row r="3282" spans="1:14" x14ac:dyDescent="0.3">
      <c r="A3282" s="6">
        <v>45892</v>
      </c>
      <c r="B3282" s="1" t="s">
        <v>3466</v>
      </c>
      <c r="C3282" s="1" t="s">
        <v>29</v>
      </c>
      <c r="D3282" t="s">
        <v>35</v>
      </c>
      <c r="E3282" t="s">
        <v>51</v>
      </c>
      <c r="F3282" t="s">
        <v>24</v>
      </c>
      <c r="G3282" t="s">
        <v>25</v>
      </c>
      <c r="H3282" s="3">
        <v>10</v>
      </c>
      <c r="I3282" s="3">
        <v>3500</v>
      </c>
      <c r="J3282" s="3">
        <v>35000</v>
      </c>
      <c r="K3282" s="3">
        <v>2500</v>
      </c>
      <c r="L3282" s="3">
        <v>25000</v>
      </c>
      <c r="M3282" s="3">
        <v>10000</v>
      </c>
      <c r="N3282" s="4">
        <v>0.2857142857142857</v>
      </c>
    </row>
    <row r="3283" spans="1:14" x14ac:dyDescent="0.3">
      <c r="A3283" s="6">
        <v>45892</v>
      </c>
      <c r="B3283" s="1" t="s">
        <v>3467</v>
      </c>
      <c r="C3283" s="1" t="s">
        <v>29</v>
      </c>
      <c r="D3283" t="s">
        <v>30</v>
      </c>
      <c r="E3283" t="s">
        <v>255</v>
      </c>
      <c r="F3283" t="s">
        <v>23</v>
      </c>
      <c r="G3283" t="s">
        <v>25</v>
      </c>
      <c r="H3283" s="3">
        <v>6</v>
      </c>
      <c r="I3283" s="3">
        <v>4544</v>
      </c>
      <c r="J3283" s="3">
        <v>27264</v>
      </c>
      <c r="K3283" s="3">
        <v>3200</v>
      </c>
      <c r="L3283" s="3">
        <v>19200</v>
      </c>
      <c r="M3283" s="3">
        <v>8064</v>
      </c>
      <c r="N3283" s="4">
        <v>0.29577464788732394</v>
      </c>
    </row>
    <row r="3284" spans="1:14" x14ac:dyDescent="0.3">
      <c r="A3284" s="6">
        <v>45892</v>
      </c>
      <c r="B3284" s="1" t="s">
        <v>3468</v>
      </c>
      <c r="C3284" s="1" t="s">
        <v>28</v>
      </c>
      <c r="D3284" t="s">
        <v>31</v>
      </c>
      <c r="E3284" t="s">
        <v>336</v>
      </c>
      <c r="F3284" t="s">
        <v>16</v>
      </c>
      <c r="G3284" t="s">
        <v>15</v>
      </c>
      <c r="H3284" s="3">
        <v>5</v>
      </c>
      <c r="I3284" s="3">
        <v>49400</v>
      </c>
      <c r="J3284" s="3">
        <v>247000</v>
      </c>
      <c r="K3284" s="3">
        <v>38000</v>
      </c>
      <c r="L3284" s="3">
        <v>190000</v>
      </c>
      <c r="M3284" s="3">
        <v>57000</v>
      </c>
      <c r="N3284" s="4">
        <v>0.23076923076923078</v>
      </c>
    </row>
    <row r="3285" spans="1:14" x14ac:dyDescent="0.3">
      <c r="A3285" s="6">
        <v>45892</v>
      </c>
      <c r="B3285" s="1" t="s">
        <v>3469</v>
      </c>
      <c r="C3285" s="1" t="s">
        <v>28</v>
      </c>
      <c r="D3285" t="s">
        <v>35</v>
      </c>
      <c r="E3285" t="s">
        <v>265</v>
      </c>
      <c r="F3285" t="s">
        <v>14</v>
      </c>
      <c r="G3285" t="s">
        <v>15</v>
      </c>
      <c r="H3285" s="3">
        <v>7</v>
      </c>
      <c r="I3285" s="3">
        <v>58500</v>
      </c>
      <c r="J3285" s="3">
        <v>409500</v>
      </c>
      <c r="K3285" s="3">
        <v>45000</v>
      </c>
      <c r="L3285" s="3">
        <v>315000</v>
      </c>
      <c r="M3285" s="3">
        <v>94500</v>
      </c>
      <c r="N3285" s="4">
        <v>0.23076923076923078</v>
      </c>
    </row>
    <row r="3286" spans="1:14" x14ac:dyDescent="0.3">
      <c r="A3286" s="6">
        <v>45892</v>
      </c>
      <c r="B3286" s="1" t="s">
        <v>3470</v>
      </c>
      <c r="C3286" s="1" t="s">
        <v>26</v>
      </c>
      <c r="D3286" t="s">
        <v>30</v>
      </c>
      <c r="E3286" t="s">
        <v>698</v>
      </c>
      <c r="F3286" t="s">
        <v>17</v>
      </c>
      <c r="G3286" t="s">
        <v>18</v>
      </c>
      <c r="H3286" s="3">
        <v>10</v>
      </c>
      <c r="I3286" s="3">
        <v>11985</v>
      </c>
      <c r="J3286" s="3">
        <v>119850</v>
      </c>
      <c r="K3286" s="3">
        <v>8500</v>
      </c>
      <c r="L3286" s="3">
        <v>85000</v>
      </c>
      <c r="M3286" s="3">
        <v>34850</v>
      </c>
      <c r="N3286" s="4">
        <v>0.29078014184397161</v>
      </c>
    </row>
    <row r="3287" spans="1:14" x14ac:dyDescent="0.3">
      <c r="A3287" s="6">
        <v>45892</v>
      </c>
      <c r="B3287" s="1" t="s">
        <v>3471</v>
      </c>
      <c r="C3287" s="1" t="s">
        <v>28</v>
      </c>
      <c r="D3287" t="s">
        <v>31</v>
      </c>
      <c r="E3287" t="s">
        <v>220</v>
      </c>
      <c r="F3287" t="s">
        <v>17</v>
      </c>
      <c r="G3287" t="s">
        <v>18</v>
      </c>
      <c r="H3287" s="3">
        <v>5</v>
      </c>
      <c r="I3287" s="3">
        <v>11985</v>
      </c>
      <c r="J3287" s="3">
        <v>59925</v>
      </c>
      <c r="K3287" s="3">
        <v>8500</v>
      </c>
      <c r="L3287" s="3">
        <v>42500</v>
      </c>
      <c r="M3287" s="3">
        <v>17425</v>
      </c>
      <c r="N3287" s="4">
        <v>0.29078014184397161</v>
      </c>
    </row>
    <row r="3288" spans="1:14" x14ac:dyDescent="0.3">
      <c r="A3288" s="6">
        <v>45892</v>
      </c>
      <c r="B3288" s="1" t="s">
        <v>3472</v>
      </c>
      <c r="C3288" s="1" t="s">
        <v>27</v>
      </c>
      <c r="D3288" t="s">
        <v>33</v>
      </c>
      <c r="E3288" t="s">
        <v>193</v>
      </c>
      <c r="F3288" t="s">
        <v>22</v>
      </c>
      <c r="G3288" t="s">
        <v>18</v>
      </c>
      <c r="H3288" s="3">
        <v>2</v>
      </c>
      <c r="I3288" s="3">
        <v>9030</v>
      </c>
      <c r="J3288" s="3">
        <v>18060</v>
      </c>
      <c r="K3288" s="3">
        <v>7000</v>
      </c>
      <c r="L3288" s="3">
        <v>14000</v>
      </c>
      <c r="M3288" s="3">
        <v>4060</v>
      </c>
      <c r="N3288" s="4">
        <v>0.22480620155038761</v>
      </c>
    </row>
    <row r="3289" spans="1:14" x14ac:dyDescent="0.3">
      <c r="A3289" s="6">
        <v>45892</v>
      </c>
      <c r="B3289" s="1" t="s">
        <v>3473</v>
      </c>
      <c r="C3289" s="1" t="s">
        <v>29</v>
      </c>
      <c r="D3289" t="s">
        <v>33</v>
      </c>
      <c r="E3289" t="s">
        <v>751</v>
      </c>
      <c r="F3289" t="s">
        <v>14</v>
      </c>
      <c r="G3289" t="s">
        <v>15</v>
      </c>
      <c r="H3289" s="3">
        <v>10</v>
      </c>
      <c r="I3289" s="3">
        <v>55350</v>
      </c>
      <c r="J3289" s="3">
        <v>553500</v>
      </c>
      <c r="K3289" s="3">
        <v>45000</v>
      </c>
      <c r="L3289" s="3">
        <v>450000</v>
      </c>
      <c r="M3289" s="3">
        <v>103500</v>
      </c>
      <c r="N3289" s="4">
        <v>0.18699186991869918</v>
      </c>
    </row>
    <row r="3290" spans="1:14" x14ac:dyDescent="0.3">
      <c r="A3290" s="6">
        <v>45893</v>
      </c>
      <c r="B3290" s="1" t="s">
        <v>3474</v>
      </c>
      <c r="C3290" s="1" t="s">
        <v>29</v>
      </c>
      <c r="D3290" t="s">
        <v>34</v>
      </c>
      <c r="E3290" t="s">
        <v>169</v>
      </c>
      <c r="F3290" t="s">
        <v>17</v>
      </c>
      <c r="G3290" t="s">
        <v>18</v>
      </c>
      <c r="H3290" s="3">
        <v>9</v>
      </c>
      <c r="I3290" s="3">
        <v>11985</v>
      </c>
      <c r="J3290" s="3">
        <v>107865</v>
      </c>
      <c r="K3290" s="3">
        <v>8500</v>
      </c>
      <c r="L3290" s="3">
        <v>76500</v>
      </c>
      <c r="M3290" s="3">
        <v>31365</v>
      </c>
      <c r="N3290" s="4">
        <v>0.29078014184397161</v>
      </c>
    </row>
    <row r="3291" spans="1:14" x14ac:dyDescent="0.3">
      <c r="A3291" s="6">
        <v>45893</v>
      </c>
      <c r="B3291" s="1" t="s">
        <v>3475</v>
      </c>
      <c r="C3291" s="1" t="s">
        <v>26</v>
      </c>
      <c r="D3291" t="s">
        <v>35</v>
      </c>
      <c r="E3291" t="s">
        <v>411</v>
      </c>
      <c r="F3291" t="s">
        <v>14</v>
      </c>
      <c r="G3291" t="s">
        <v>15</v>
      </c>
      <c r="H3291" s="3">
        <v>1</v>
      </c>
      <c r="I3291" s="3">
        <v>62550.000000000007</v>
      </c>
      <c r="J3291" s="3">
        <v>62550.000000000007</v>
      </c>
      <c r="K3291" s="3">
        <v>45000</v>
      </c>
      <c r="L3291" s="3">
        <v>45000</v>
      </c>
      <c r="M3291" s="3">
        <v>17550.000000000007</v>
      </c>
      <c r="N3291" s="4">
        <v>0.28057553956834541</v>
      </c>
    </row>
    <row r="3292" spans="1:14" x14ac:dyDescent="0.3">
      <c r="A3292" s="6">
        <v>45893</v>
      </c>
      <c r="B3292" s="1" t="s">
        <v>3476</v>
      </c>
      <c r="C3292" s="1" t="s">
        <v>28</v>
      </c>
      <c r="D3292" t="s">
        <v>32</v>
      </c>
      <c r="E3292" t="s">
        <v>286</v>
      </c>
      <c r="F3292" t="s">
        <v>22</v>
      </c>
      <c r="G3292" t="s">
        <v>18</v>
      </c>
      <c r="H3292" s="3">
        <v>8</v>
      </c>
      <c r="I3292" s="3">
        <v>8540</v>
      </c>
      <c r="J3292" s="3">
        <v>68320</v>
      </c>
      <c r="K3292" s="3">
        <v>7000</v>
      </c>
      <c r="L3292" s="3">
        <v>56000</v>
      </c>
      <c r="M3292" s="3">
        <v>12320</v>
      </c>
      <c r="N3292" s="4">
        <v>0.18032786885245902</v>
      </c>
    </row>
    <row r="3293" spans="1:14" x14ac:dyDescent="0.3">
      <c r="A3293" s="6">
        <v>45893</v>
      </c>
      <c r="B3293" s="1" t="s">
        <v>3477</v>
      </c>
      <c r="C3293" s="1" t="s">
        <v>28</v>
      </c>
      <c r="D3293" t="s">
        <v>35</v>
      </c>
      <c r="E3293" t="s">
        <v>163</v>
      </c>
      <c r="F3293" t="s">
        <v>24</v>
      </c>
      <c r="G3293" t="s">
        <v>25</v>
      </c>
      <c r="H3293" s="3">
        <v>3</v>
      </c>
      <c r="I3293" s="3">
        <v>3375</v>
      </c>
      <c r="J3293" s="3">
        <v>10125</v>
      </c>
      <c r="K3293" s="3">
        <v>2500</v>
      </c>
      <c r="L3293" s="3">
        <v>7500</v>
      </c>
      <c r="M3293" s="3">
        <v>2625</v>
      </c>
      <c r="N3293" s="4">
        <v>0.25925925925925924</v>
      </c>
    </row>
    <row r="3294" spans="1:14" x14ac:dyDescent="0.3">
      <c r="A3294" s="6">
        <v>45893</v>
      </c>
      <c r="B3294" s="1" t="s">
        <v>3478</v>
      </c>
      <c r="C3294" s="1" t="s">
        <v>27</v>
      </c>
      <c r="D3294" t="s">
        <v>30</v>
      </c>
      <c r="E3294" t="s">
        <v>336</v>
      </c>
      <c r="F3294" t="s">
        <v>24</v>
      </c>
      <c r="G3294" t="s">
        <v>25</v>
      </c>
      <c r="H3294" s="3">
        <v>8</v>
      </c>
      <c r="I3294" s="3">
        <v>3550</v>
      </c>
      <c r="J3294" s="3">
        <v>28400</v>
      </c>
      <c r="K3294" s="3">
        <v>2500</v>
      </c>
      <c r="L3294" s="3">
        <v>20000</v>
      </c>
      <c r="M3294" s="3">
        <v>8400</v>
      </c>
      <c r="N3294" s="4">
        <v>0.29577464788732394</v>
      </c>
    </row>
    <row r="3295" spans="1:14" x14ac:dyDescent="0.3">
      <c r="A3295" s="6">
        <v>45893</v>
      </c>
      <c r="B3295" s="1" t="s">
        <v>3479</v>
      </c>
      <c r="C3295" s="1" t="s">
        <v>29</v>
      </c>
      <c r="D3295" t="s">
        <v>32</v>
      </c>
      <c r="E3295" t="s">
        <v>159</v>
      </c>
      <c r="F3295" t="s">
        <v>16</v>
      </c>
      <c r="G3295" t="s">
        <v>15</v>
      </c>
      <c r="H3295" s="3">
        <v>9</v>
      </c>
      <c r="I3295" s="3">
        <v>54340</v>
      </c>
      <c r="J3295" s="3">
        <v>489060</v>
      </c>
      <c r="K3295" s="3">
        <v>38000</v>
      </c>
      <c r="L3295" s="3">
        <v>342000</v>
      </c>
      <c r="M3295" s="3">
        <v>147060</v>
      </c>
      <c r="N3295" s="4">
        <v>0.30069930069930068</v>
      </c>
    </row>
    <row r="3296" spans="1:14" x14ac:dyDescent="0.3">
      <c r="A3296" s="6">
        <v>45893</v>
      </c>
      <c r="B3296" s="1" t="s">
        <v>3480</v>
      </c>
      <c r="C3296" s="1" t="s">
        <v>27</v>
      </c>
      <c r="D3296" t="s">
        <v>33</v>
      </c>
      <c r="E3296" t="s">
        <v>524</v>
      </c>
      <c r="F3296" t="s">
        <v>23</v>
      </c>
      <c r="G3296" t="s">
        <v>25</v>
      </c>
      <c r="H3296" s="3">
        <v>8</v>
      </c>
      <c r="I3296" s="3">
        <v>4352</v>
      </c>
      <c r="J3296" s="3">
        <v>34816</v>
      </c>
      <c r="K3296" s="3">
        <v>3200</v>
      </c>
      <c r="L3296" s="3">
        <v>25600</v>
      </c>
      <c r="M3296" s="3">
        <v>9216</v>
      </c>
      <c r="N3296" s="4">
        <v>0.26470588235294118</v>
      </c>
    </row>
    <row r="3297" spans="1:14" x14ac:dyDescent="0.3">
      <c r="A3297" s="6">
        <v>45893</v>
      </c>
      <c r="B3297" s="1" t="s">
        <v>3481</v>
      </c>
      <c r="C3297" s="1" t="s">
        <v>26</v>
      </c>
      <c r="D3297" t="s">
        <v>30</v>
      </c>
      <c r="E3297" t="s">
        <v>196</v>
      </c>
      <c r="F3297" t="s">
        <v>14</v>
      </c>
      <c r="G3297" t="s">
        <v>15</v>
      </c>
      <c r="H3297" s="3">
        <v>3</v>
      </c>
      <c r="I3297" s="3">
        <v>56250</v>
      </c>
      <c r="J3297" s="3">
        <v>168750</v>
      </c>
      <c r="K3297" s="3">
        <v>45000</v>
      </c>
      <c r="L3297" s="3">
        <v>135000</v>
      </c>
      <c r="M3297" s="3">
        <v>33750</v>
      </c>
      <c r="N3297" s="4">
        <v>0.2</v>
      </c>
    </row>
    <row r="3298" spans="1:14" x14ac:dyDescent="0.3">
      <c r="A3298" s="6">
        <v>45893</v>
      </c>
      <c r="B3298" s="1" t="s">
        <v>3482</v>
      </c>
      <c r="C3298" s="1" t="s">
        <v>28</v>
      </c>
      <c r="D3298" t="s">
        <v>33</v>
      </c>
      <c r="E3298" t="s">
        <v>319</v>
      </c>
      <c r="F3298" t="s">
        <v>16</v>
      </c>
      <c r="G3298" t="s">
        <v>15</v>
      </c>
      <c r="H3298" s="3">
        <v>4</v>
      </c>
      <c r="I3298" s="3">
        <v>55100</v>
      </c>
      <c r="J3298" s="3">
        <v>220400</v>
      </c>
      <c r="K3298" s="3">
        <v>38000</v>
      </c>
      <c r="L3298" s="3">
        <v>152000</v>
      </c>
      <c r="M3298" s="3">
        <v>68400</v>
      </c>
      <c r="N3298" s="4">
        <v>0.31034482758620691</v>
      </c>
    </row>
    <row r="3299" spans="1:14" x14ac:dyDescent="0.3">
      <c r="A3299" s="6">
        <v>45893</v>
      </c>
      <c r="B3299" s="1" t="s">
        <v>3483</v>
      </c>
      <c r="C3299" s="1" t="s">
        <v>29</v>
      </c>
      <c r="D3299" t="s">
        <v>35</v>
      </c>
      <c r="E3299" t="s">
        <v>355</v>
      </c>
      <c r="F3299" t="s">
        <v>23</v>
      </c>
      <c r="G3299" t="s">
        <v>25</v>
      </c>
      <c r="H3299" s="3">
        <v>4</v>
      </c>
      <c r="I3299" s="3">
        <v>4000</v>
      </c>
      <c r="J3299" s="3">
        <v>16000</v>
      </c>
      <c r="K3299" s="3">
        <v>3200</v>
      </c>
      <c r="L3299" s="3">
        <v>12800</v>
      </c>
      <c r="M3299" s="3">
        <v>3200</v>
      </c>
      <c r="N3299" s="4">
        <v>0.2</v>
      </c>
    </row>
    <row r="3300" spans="1:14" x14ac:dyDescent="0.3">
      <c r="A3300" s="6">
        <v>45893</v>
      </c>
      <c r="B3300" s="1" t="s">
        <v>3484</v>
      </c>
      <c r="C3300" s="1" t="s">
        <v>29</v>
      </c>
      <c r="D3300" t="s">
        <v>34</v>
      </c>
      <c r="E3300" t="s">
        <v>147</v>
      </c>
      <c r="F3300" t="s">
        <v>22</v>
      </c>
      <c r="G3300" t="s">
        <v>18</v>
      </c>
      <c r="H3300" s="3">
        <v>6</v>
      </c>
      <c r="I3300" s="3">
        <v>9310</v>
      </c>
      <c r="J3300" s="3">
        <v>55860</v>
      </c>
      <c r="K3300" s="3">
        <v>7000</v>
      </c>
      <c r="L3300" s="3">
        <v>42000</v>
      </c>
      <c r="M3300" s="3">
        <v>13860</v>
      </c>
      <c r="N3300" s="4">
        <v>0.24812030075187969</v>
      </c>
    </row>
    <row r="3301" spans="1:14" x14ac:dyDescent="0.3">
      <c r="A3301" s="6">
        <v>45893</v>
      </c>
      <c r="B3301" s="1" t="s">
        <v>3485</v>
      </c>
      <c r="C3301" s="1" t="s">
        <v>29</v>
      </c>
      <c r="D3301" t="s">
        <v>30</v>
      </c>
      <c r="E3301" t="s">
        <v>249</v>
      </c>
      <c r="F3301" t="s">
        <v>22</v>
      </c>
      <c r="G3301" t="s">
        <v>18</v>
      </c>
      <c r="H3301" s="3">
        <v>1</v>
      </c>
      <c r="I3301" s="3">
        <v>8960</v>
      </c>
      <c r="J3301" s="3">
        <v>8960</v>
      </c>
      <c r="K3301" s="3">
        <v>7000</v>
      </c>
      <c r="L3301" s="3">
        <v>7000</v>
      </c>
      <c r="M3301" s="3">
        <v>1960</v>
      </c>
      <c r="N3301" s="4">
        <v>0.21875</v>
      </c>
    </row>
    <row r="3302" spans="1:14" x14ac:dyDescent="0.3">
      <c r="A3302" s="6">
        <v>45893</v>
      </c>
      <c r="B3302" s="1" t="s">
        <v>3486</v>
      </c>
      <c r="C3302" s="1" t="s">
        <v>29</v>
      </c>
      <c r="D3302" t="s">
        <v>35</v>
      </c>
      <c r="E3302" t="s">
        <v>116</v>
      </c>
      <c r="F3302" t="s">
        <v>17</v>
      </c>
      <c r="G3302" t="s">
        <v>18</v>
      </c>
      <c r="H3302" s="3">
        <v>10</v>
      </c>
      <c r="I3302" s="3">
        <v>12070</v>
      </c>
      <c r="J3302" s="3">
        <v>120700</v>
      </c>
      <c r="K3302" s="3">
        <v>8500</v>
      </c>
      <c r="L3302" s="3">
        <v>85000</v>
      </c>
      <c r="M3302" s="3">
        <v>35700</v>
      </c>
      <c r="N3302" s="4">
        <v>0.29577464788732394</v>
      </c>
    </row>
    <row r="3303" spans="1:14" x14ac:dyDescent="0.3">
      <c r="A3303" s="6">
        <v>45893</v>
      </c>
      <c r="B3303" s="1" t="s">
        <v>3487</v>
      </c>
      <c r="C3303" s="1" t="s">
        <v>29</v>
      </c>
      <c r="D3303" t="s">
        <v>33</v>
      </c>
      <c r="E3303" t="s">
        <v>371</v>
      </c>
      <c r="F3303" t="s">
        <v>21</v>
      </c>
      <c r="G3303" t="s">
        <v>20</v>
      </c>
      <c r="H3303" s="3">
        <v>4</v>
      </c>
      <c r="I3303" s="3">
        <v>798</v>
      </c>
      <c r="J3303" s="3">
        <v>3192</v>
      </c>
      <c r="K3303" s="3">
        <v>600</v>
      </c>
      <c r="L3303" s="3">
        <v>2400</v>
      </c>
      <c r="M3303" s="3">
        <v>792</v>
      </c>
      <c r="N3303" s="4">
        <v>0.24812030075187969</v>
      </c>
    </row>
    <row r="3304" spans="1:14" x14ac:dyDescent="0.3">
      <c r="A3304" s="6">
        <v>45894</v>
      </c>
      <c r="B3304" s="1" t="s">
        <v>3488</v>
      </c>
      <c r="C3304" s="1" t="s">
        <v>28</v>
      </c>
      <c r="D3304" t="s">
        <v>30</v>
      </c>
      <c r="E3304" t="s">
        <v>96</v>
      </c>
      <c r="F3304" t="s">
        <v>23</v>
      </c>
      <c r="G3304" t="s">
        <v>25</v>
      </c>
      <c r="H3304" s="3">
        <v>6</v>
      </c>
      <c r="I3304" s="3">
        <v>4512</v>
      </c>
      <c r="J3304" s="3">
        <v>27072</v>
      </c>
      <c r="K3304" s="3">
        <v>3200</v>
      </c>
      <c r="L3304" s="3">
        <v>19200</v>
      </c>
      <c r="M3304" s="3">
        <v>7872</v>
      </c>
      <c r="N3304" s="4">
        <v>0.29078014184397161</v>
      </c>
    </row>
    <row r="3305" spans="1:14" x14ac:dyDescent="0.3">
      <c r="A3305" s="6">
        <v>45894</v>
      </c>
      <c r="B3305" s="1" t="s">
        <v>3489</v>
      </c>
      <c r="C3305" s="1" t="s">
        <v>27</v>
      </c>
      <c r="D3305" t="s">
        <v>30</v>
      </c>
      <c r="E3305" t="s">
        <v>57</v>
      </c>
      <c r="F3305" t="s">
        <v>22</v>
      </c>
      <c r="G3305" t="s">
        <v>18</v>
      </c>
      <c r="H3305" s="3">
        <v>6</v>
      </c>
      <c r="I3305" s="3">
        <v>8890</v>
      </c>
      <c r="J3305" s="3">
        <v>53340</v>
      </c>
      <c r="K3305" s="3">
        <v>7000</v>
      </c>
      <c r="L3305" s="3">
        <v>42000</v>
      </c>
      <c r="M3305" s="3">
        <v>11340</v>
      </c>
      <c r="N3305" s="4">
        <v>0.2125984251968504</v>
      </c>
    </row>
    <row r="3306" spans="1:14" x14ac:dyDescent="0.3">
      <c r="A3306" s="6">
        <v>45894</v>
      </c>
      <c r="B3306" s="1" t="s">
        <v>3490</v>
      </c>
      <c r="C3306" s="1" t="s">
        <v>26</v>
      </c>
      <c r="D3306" t="s">
        <v>30</v>
      </c>
      <c r="E3306" t="s">
        <v>576</v>
      </c>
      <c r="F3306" t="s">
        <v>21</v>
      </c>
      <c r="G3306" t="s">
        <v>20</v>
      </c>
      <c r="H3306" s="3">
        <v>9</v>
      </c>
      <c r="I3306" s="3">
        <v>827.99999999999989</v>
      </c>
      <c r="J3306" s="3">
        <v>7451.9999999999991</v>
      </c>
      <c r="K3306" s="3">
        <v>600</v>
      </c>
      <c r="L3306" s="3">
        <v>5400</v>
      </c>
      <c r="M3306" s="3">
        <v>2051.9999999999991</v>
      </c>
      <c r="N3306" s="4">
        <v>0.2753623188405796</v>
      </c>
    </row>
    <row r="3307" spans="1:14" x14ac:dyDescent="0.3">
      <c r="A3307" s="6">
        <v>45894</v>
      </c>
      <c r="B3307" s="1" t="s">
        <v>3491</v>
      </c>
      <c r="C3307" s="1" t="s">
        <v>27</v>
      </c>
      <c r="D3307" t="s">
        <v>30</v>
      </c>
      <c r="E3307" t="s">
        <v>506</v>
      </c>
      <c r="F3307" t="s">
        <v>19</v>
      </c>
      <c r="G3307" t="s">
        <v>20</v>
      </c>
      <c r="H3307" s="3">
        <v>10</v>
      </c>
      <c r="I3307" s="3">
        <v>1251</v>
      </c>
      <c r="J3307" s="3">
        <v>12510</v>
      </c>
      <c r="K3307" s="3">
        <v>900</v>
      </c>
      <c r="L3307" s="3">
        <v>9000</v>
      </c>
      <c r="M3307" s="3">
        <v>3510</v>
      </c>
      <c r="N3307" s="4">
        <v>0.2805755395683453</v>
      </c>
    </row>
    <row r="3308" spans="1:14" x14ac:dyDescent="0.3">
      <c r="A3308" s="6">
        <v>45894</v>
      </c>
      <c r="B3308" s="1" t="s">
        <v>3492</v>
      </c>
      <c r="C3308" s="1" t="s">
        <v>29</v>
      </c>
      <c r="D3308" t="s">
        <v>31</v>
      </c>
      <c r="E3308" t="s">
        <v>129</v>
      </c>
      <c r="F3308" t="s">
        <v>21</v>
      </c>
      <c r="G3308" t="s">
        <v>20</v>
      </c>
      <c r="H3308" s="3">
        <v>5</v>
      </c>
      <c r="I3308" s="3">
        <v>810</v>
      </c>
      <c r="J3308" s="3">
        <v>4050</v>
      </c>
      <c r="K3308" s="3">
        <v>600</v>
      </c>
      <c r="L3308" s="3">
        <v>3000</v>
      </c>
      <c r="M3308" s="3">
        <v>1050</v>
      </c>
      <c r="N3308" s="4">
        <v>0.25925925925925924</v>
      </c>
    </row>
    <row r="3309" spans="1:14" x14ac:dyDescent="0.3">
      <c r="A3309" s="6">
        <v>45894</v>
      </c>
      <c r="B3309" s="1" t="s">
        <v>3493</v>
      </c>
      <c r="C3309" s="1" t="s">
        <v>28</v>
      </c>
      <c r="D3309" t="s">
        <v>33</v>
      </c>
      <c r="E3309" t="s">
        <v>153</v>
      </c>
      <c r="F3309" t="s">
        <v>19</v>
      </c>
      <c r="G3309" t="s">
        <v>20</v>
      </c>
      <c r="H3309" s="3">
        <v>1</v>
      </c>
      <c r="I3309" s="3">
        <v>1260</v>
      </c>
      <c r="J3309" s="3">
        <v>1260</v>
      </c>
      <c r="K3309" s="3">
        <v>900</v>
      </c>
      <c r="L3309" s="3">
        <v>900</v>
      </c>
      <c r="M3309" s="3">
        <v>360</v>
      </c>
      <c r="N3309" s="4">
        <v>0.2857142857142857</v>
      </c>
    </row>
    <row r="3310" spans="1:14" x14ac:dyDescent="0.3">
      <c r="A3310" s="6">
        <v>45894</v>
      </c>
      <c r="B3310" s="1" t="s">
        <v>3494</v>
      </c>
      <c r="C3310" s="1" t="s">
        <v>28</v>
      </c>
      <c r="D3310" t="s">
        <v>30</v>
      </c>
      <c r="E3310" t="s">
        <v>206</v>
      </c>
      <c r="F3310" t="s">
        <v>22</v>
      </c>
      <c r="G3310" t="s">
        <v>18</v>
      </c>
      <c r="H3310" s="3">
        <v>3</v>
      </c>
      <c r="I3310" s="3">
        <v>10010</v>
      </c>
      <c r="J3310" s="3">
        <v>30030</v>
      </c>
      <c r="K3310" s="3">
        <v>7000</v>
      </c>
      <c r="L3310" s="3">
        <v>21000</v>
      </c>
      <c r="M3310" s="3">
        <v>9030</v>
      </c>
      <c r="N3310" s="4">
        <v>0.30069930069930068</v>
      </c>
    </row>
    <row r="3311" spans="1:14" x14ac:dyDescent="0.3">
      <c r="A3311" s="6">
        <v>45894</v>
      </c>
      <c r="B3311" s="1" t="s">
        <v>3495</v>
      </c>
      <c r="C3311" s="1" t="s">
        <v>28</v>
      </c>
      <c r="D3311" t="s">
        <v>32</v>
      </c>
      <c r="E3311" t="s">
        <v>357</v>
      </c>
      <c r="F3311" t="s">
        <v>24</v>
      </c>
      <c r="G3311" t="s">
        <v>25</v>
      </c>
      <c r="H3311" s="3">
        <v>1</v>
      </c>
      <c r="I3311" s="3">
        <v>3125</v>
      </c>
      <c r="J3311" s="3">
        <v>3125</v>
      </c>
      <c r="K3311" s="3">
        <v>2500</v>
      </c>
      <c r="L3311" s="3">
        <v>2500</v>
      </c>
      <c r="M3311" s="3">
        <v>625</v>
      </c>
      <c r="N3311" s="4">
        <v>0.2</v>
      </c>
    </row>
    <row r="3312" spans="1:14" x14ac:dyDescent="0.3">
      <c r="A3312" s="6">
        <v>45894</v>
      </c>
      <c r="B3312" s="1" t="s">
        <v>3496</v>
      </c>
      <c r="C3312" s="1" t="s">
        <v>29</v>
      </c>
      <c r="D3312" t="s">
        <v>31</v>
      </c>
      <c r="E3312" t="s">
        <v>106</v>
      </c>
      <c r="F3312" t="s">
        <v>19</v>
      </c>
      <c r="G3312" t="s">
        <v>20</v>
      </c>
      <c r="H3312" s="3">
        <v>2</v>
      </c>
      <c r="I3312" s="3">
        <v>1233</v>
      </c>
      <c r="J3312" s="3">
        <v>2466</v>
      </c>
      <c r="K3312" s="3">
        <v>900</v>
      </c>
      <c r="L3312" s="3">
        <v>1800</v>
      </c>
      <c r="M3312" s="3">
        <v>666</v>
      </c>
      <c r="N3312" s="4">
        <v>0.27007299270072993</v>
      </c>
    </row>
    <row r="3313" spans="1:14" x14ac:dyDescent="0.3">
      <c r="A3313" s="6">
        <v>45894</v>
      </c>
      <c r="B3313" s="1" t="s">
        <v>3497</v>
      </c>
      <c r="C3313" s="1" t="s">
        <v>29</v>
      </c>
      <c r="D3313" t="s">
        <v>32</v>
      </c>
      <c r="E3313" t="s">
        <v>331</v>
      </c>
      <c r="F3313" t="s">
        <v>16</v>
      </c>
      <c r="G3313" t="s">
        <v>15</v>
      </c>
      <c r="H3313" s="3">
        <v>1</v>
      </c>
      <c r="I3313" s="3">
        <v>51300</v>
      </c>
      <c r="J3313" s="3">
        <v>51300</v>
      </c>
      <c r="K3313" s="3">
        <v>38000</v>
      </c>
      <c r="L3313" s="3">
        <v>38000</v>
      </c>
      <c r="M3313" s="3">
        <v>13300</v>
      </c>
      <c r="N3313" s="4">
        <v>0.25925925925925924</v>
      </c>
    </row>
    <row r="3314" spans="1:14" x14ac:dyDescent="0.3">
      <c r="A3314" s="6">
        <v>45894</v>
      </c>
      <c r="B3314" s="1" t="s">
        <v>3498</v>
      </c>
      <c r="C3314" s="1" t="s">
        <v>26</v>
      </c>
      <c r="D3314" t="s">
        <v>30</v>
      </c>
      <c r="E3314" t="s">
        <v>280</v>
      </c>
      <c r="F3314" t="s">
        <v>17</v>
      </c>
      <c r="G3314" t="s">
        <v>18</v>
      </c>
      <c r="H3314" s="3">
        <v>2</v>
      </c>
      <c r="I3314" s="3">
        <v>10625</v>
      </c>
      <c r="J3314" s="3">
        <v>21250</v>
      </c>
      <c r="K3314" s="3">
        <v>8500</v>
      </c>
      <c r="L3314" s="3">
        <v>17000</v>
      </c>
      <c r="M3314" s="3">
        <v>4250</v>
      </c>
      <c r="N3314" s="4">
        <v>0.2</v>
      </c>
    </row>
    <row r="3315" spans="1:14" x14ac:dyDescent="0.3">
      <c r="A3315" s="6">
        <v>45894</v>
      </c>
      <c r="B3315" s="1" t="s">
        <v>3499</v>
      </c>
      <c r="C3315" s="1" t="s">
        <v>26</v>
      </c>
      <c r="D3315" t="s">
        <v>31</v>
      </c>
      <c r="E3315" t="s">
        <v>379</v>
      </c>
      <c r="F3315" t="s">
        <v>21</v>
      </c>
      <c r="G3315" t="s">
        <v>20</v>
      </c>
      <c r="H3315" s="3">
        <v>3</v>
      </c>
      <c r="I3315" s="3">
        <v>768</v>
      </c>
      <c r="J3315" s="3">
        <v>2304</v>
      </c>
      <c r="K3315" s="3">
        <v>600</v>
      </c>
      <c r="L3315" s="3">
        <v>1800</v>
      </c>
      <c r="M3315" s="3">
        <v>504</v>
      </c>
      <c r="N3315" s="4">
        <v>0.21875</v>
      </c>
    </row>
    <row r="3316" spans="1:14" x14ac:dyDescent="0.3">
      <c r="A3316" s="6">
        <v>45894</v>
      </c>
      <c r="B3316" s="1" t="s">
        <v>3500</v>
      </c>
      <c r="C3316" s="1" t="s">
        <v>29</v>
      </c>
      <c r="D3316" t="s">
        <v>34</v>
      </c>
      <c r="E3316" t="s">
        <v>751</v>
      </c>
      <c r="F3316" t="s">
        <v>16</v>
      </c>
      <c r="G3316" t="s">
        <v>15</v>
      </c>
      <c r="H3316" s="3">
        <v>10</v>
      </c>
      <c r="I3316" s="3">
        <v>53580</v>
      </c>
      <c r="J3316" s="3">
        <v>535800</v>
      </c>
      <c r="K3316" s="3">
        <v>38000</v>
      </c>
      <c r="L3316" s="3">
        <v>380000</v>
      </c>
      <c r="M3316" s="3">
        <v>155800</v>
      </c>
      <c r="N3316" s="4">
        <v>0.29078014184397161</v>
      </c>
    </row>
    <row r="3317" spans="1:14" x14ac:dyDescent="0.3">
      <c r="A3317" s="6">
        <v>45894</v>
      </c>
      <c r="B3317" s="1" t="s">
        <v>3501</v>
      </c>
      <c r="C3317" s="1" t="s">
        <v>29</v>
      </c>
      <c r="D3317" t="s">
        <v>32</v>
      </c>
      <c r="E3317" t="s">
        <v>355</v>
      </c>
      <c r="F3317" t="s">
        <v>19</v>
      </c>
      <c r="G3317" t="s">
        <v>20</v>
      </c>
      <c r="H3317" s="3">
        <v>10</v>
      </c>
      <c r="I3317" s="3">
        <v>1215</v>
      </c>
      <c r="J3317" s="3">
        <v>12150</v>
      </c>
      <c r="K3317" s="3">
        <v>900</v>
      </c>
      <c r="L3317" s="3">
        <v>9000</v>
      </c>
      <c r="M3317" s="3">
        <v>3150</v>
      </c>
      <c r="N3317" s="4">
        <v>0.25925925925925924</v>
      </c>
    </row>
    <row r="3318" spans="1:14" x14ac:dyDescent="0.3">
      <c r="A3318" s="6">
        <v>45895</v>
      </c>
      <c r="B3318" s="1" t="s">
        <v>3502</v>
      </c>
      <c r="C3318" s="1" t="s">
        <v>28</v>
      </c>
      <c r="D3318" t="s">
        <v>35</v>
      </c>
      <c r="E3318" t="s">
        <v>427</v>
      </c>
      <c r="F3318" t="s">
        <v>22</v>
      </c>
      <c r="G3318" t="s">
        <v>18</v>
      </c>
      <c r="H3318" s="3">
        <v>2</v>
      </c>
      <c r="I3318" s="3">
        <v>9310</v>
      </c>
      <c r="J3318" s="3">
        <v>18620</v>
      </c>
      <c r="K3318" s="3">
        <v>7000</v>
      </c>
      <c r="L3318" s="3">
        <v>14000</v>
      </c>
      <c r="M3318" s="3">
        <v>4620</v>
      </c>
      <c r="N3318" s="4">
        <v>0.24812030075187969</v>
      </c>
    </row>
    <row r="3319" spans="1:14" x14ac:dyDescent="0.3">
      <c r="A3319" s="6">
        <v>45895</v>
      </c>
      <c r="B3319" s="1" t="s">
        <v>3503</v>
      </c>
      <c r="C3319" s="1" t="s">
        <v>28</v>
      </c>
      <c r="D3319" t="s">
        <v>31</v>
      </c>
      <c r="E3319" t="s">
        <v>361</v>
      </c>
      <c r="F3319" t="s">
        <v>22</v>
      </c>
      <c r="G3319" t="s">
        <v>18</v>
      </c>
      <c r="H3319" s="3">
        <v>6</v>
      </c>
      <c r="I3319" s="3">
        <v>8610</v>
      </c>
      <c r="J3319" s="3">
        <v>51660</v>
      </c>
      <c r="K3319" s="3">
        <v>7000</v>
      </c>
      <c r="L3319" s="3">
        <v>42000</v>
      </c>
      <c r="M3319" s="3">
        <v>9660</v>
      </c>
      <c r="N3319" s="4">
        <v>0.18699186991869918</v>
      </c>
    </row>
    <row r="3320" spans="1:14" x14ac:dyDescent="0.3">
      <c r="A3320" s="6">
        <v>45895</v>
      </c>
      <c r="B3320" s="1" t="s">
        <v>3504</v>
      </c>
      <c r="C3320" s="1" t="s">
        <v>29</v>
      </c>
      <c r="D3320" t="s">
        <v>34</v>
      </c>
      <c r="E3320" t="s">
        <v>349</v>
      </c>
      <c r="F3320" t="s">
        <v>23</v>
      </c>
      <c r="G3320" t="s">
        <v>25</v>
      </c>
      <c r="H3320" s="3">
        <v>1</v>
      </c>
      <c r="I3320" s="3">
        <v>4096</v>
      </c>
      <c r="J3320" s="3">
        <v>4096</v>
      </c>
      <c r="K3320" s="3">
        <v>3200</v>
      </c>
      <c r="L3320" s="3">
        <v>3200</v>
      </c>
      <c r="M3320" s="3">
        <v>896</v>
      </c>
      <c r="N3320" s="4">
        <v>0.21875</v>
      </c>
    </row>
    <row r="3321" spans="1:14" x14ac:dyDescent="0.3">
      <c r="A3321" s="6">
        <v>45895</v>
      </c>
      <c r="B3321" s="1" t="s">
        <v>3505</v>
      </c>
      <c r="C3321" s="1" t="s">
        <v>29</v>
      </c>
      <c r="D3321" t="s">
        <v>34</v>
      </c>
      <c r="E3321" t="s">
        <v>268</v>
      </c>
      <c r="F3321" t="s">
        <v>21</v>
      </c>
      <c r="G3321" t="s">
        <v>20</v>
      </c>
      <c r="H3321" s="3">
        <v>5</v>
      </c>
      <c r="I3321" s="3">
        <v>780</v>
      </c>
      <c r="J3321" s="3">
        <v>3900</v>
      </c>
      <c r="K3321" s="3">
        <v>600</v>
      </c>
      <c r="L3321" s="3">
        <v>3000</v>
      </c>
      <c r="M3321" s="3">
        <v>900</v>
      </c>
      <c r="N3321" s="4">
        <v>0.23076923076923078</v>
      </c>
    </row>
    <row r="3322" spans="1:14" x14ac:dyDescent="0.3">
      <c r="A3322" s="6">
        <v>45895</v>
      </c>
      <c r="B3322" s="1" t="s">
        <v>3506</v>
      </c>
      <c r="C3322" s="1" t="s">
        <v>26</v>
      </c>
      <c r="D3322" t="s">
        <v>33</v>
      </c>
      <c r="E3322" t="s">
        <v>400</v>
      </c>
      <c r="F3322" t="s">
        <v>14</v>
      </c>
      <c r="G3322" t="s">
        <v>15</v>
      </c>
      <c r="H3322" s="3">
        <v>10</v>
      </c>
      <c r="I3322" s="3">
        <v>58050</v>
      </c>
      <c r="J3322" s="3">
        <v>580500</v>
      </c>
      <c r="K3322" s="3">
        <v>45000</v>
      </c>
      <c r="L3322" s="3">
        <v>450000</v>
      </c>
      <c r="M3322" s="3">
        <v>130500</v>
      </c>
      <c r="N3322" s="4">
        <v>0.22480620155038761</v>
      </c>
    </row>
    <row r="3323" spans="1:14" x14ac:dyDescent="0.3">
      <c r="A3323" s="6">
        <v>45895</v>
      </c>
      <c r="B3323" s="1" t="s">
        <v>3507</v>
      </c>
      <c r="C3323" s="1" t="s">
        <v>26</v>
      </c>
      <c r="D3323" t="s">
        <v>35</v>
      </c>
      <c r="E3323" t="s">
        <v>59</v>
      </c>
      <c r="F3323" t="s">
        <v>23</v>
      </c>
      <c r="G3323" t="s">
        <v>25</v>
      </c>
      <c r="H3323" s="3">
        <v>3</v>
      </c>
      <c r="I3323" s="3">
        <v>4608</v>
      </c>
      <c r="J3323" s="3">
        <v>13824</v>
      </c>
      <c r="K3323" s="3">
        <v>3200</v>
      </c>
      <c r="L3323" s="3">
        <v>9600</v>
      </c>
      <c r="M3323" s="3">
        <v>4224</v>
      </c>
      <c r="N3323" s="4">
        <v>0.30555555555555558</v>
      </c>
    </row>
    <row r="3324" spans="1:14" x14ac:dyDescent="0.3">
      <c r="A3324" s="6">
        <v>45895</v>
      </c>
      <c r="B3324" s="1" t="s">
        <v>3508</v>
      </c>
      <c r="C3324" s="1" t="s">
        <v>26</v>
      </c>
      <c r="D3324" t="s">
        <v>31</v>
      </c>
      <c r="E3324" t="s">
        <v>369</v>
      </c>
      <c r="F3324" t="s">
        <v>19</v>
      </c>
      <c r="G3324" t="s">
        <v>20</v>
      </c>
      <c r="H3324" s="3">
        <v>5</v>
      </c>
      <c r="I3324" s="3">
        <v>1260</v>
      </c>
      <c r="J3324" s="3">
        <v>6300</v>
      </c>
      <c r="K3324" s="3">
        <v>900</v>
      </c>
      <c r="L3324" s="3">
        <v>4500</v>
      </c>
      <c r="M3324" s="3">
        <v>1800</v>
      </c>
      <c r="N3324" s="4">
        <v>0.2857142857142857</v>
      </c>
    </row>
    <row r="3325" spans="1:14" x14ac:dyDescent="0.3">
      <c r="A3325" s="6">
        <v>45895</v>
      </c>
      <c r="B3325" s="1" t="s">
        <v>3509</v>
      </c>
      <c r="C3325" s="1" t="s">
        <v>29</v>
      </c>
      <c r="D3325" t="s">
        <v>31</v>
      </c>
      <c r="E3325" t="s">
        <v>233</v>
      </c>
      <c r="F3325" t="s">
        <v>16</v>
      </c>
      <c r="G3325" t="s">
        <v>15</v>
      </c>
      <c r="H3325" s="3">
        <v>7</v>
      </c>
      <c r="I3325" s="3">
        <v>51300</v>
      </c>
      <c r="J3325" s="3">
        <v>359100</v>
      </c>
      <c r="K3325" s="3">
        <v>38000</v>
      </c>
      <c r="L3325" s="3">
        <v>266000</v>
      </c>
      <c r="M3325" s="3">
        <v>93100</v>
      </c>
      <c r="N3325" s="4">
        <v>0.25925925925925924</v>
      </c>
    </row>
    <row r="3326" spans="1:14" x14ac:dyDescent="0.3">
      <c r="A3326" s="6">
        <v>45895</v>
      </c>
      <c r="B3326" s="1" t="s">
        <v>3510</v>
      </c>
      <c r="C3326" s="1" t="s">
        <v>27</v>
      </c>
      <c r="D3326" t="s">
        <v>30</v>
      </c>
      <c r="E3326" t="s">
        <v>263</v>
      </c>
      <c r="F3326" t="s">
        <v>14</v>
      </c>
      <c r="G3326" t="s">
        <v>15</v>
      </c>
      <c r="H3326" s="3">
        <v>8</v>
      </c>
      <c r="I3326" s="3">
        <v>58500</v>
      </c>
      <c r="J3326" s="3">
        <v>468000</v>
      </c>
      <c r="K3326" s="3">
        <v>45000</v>
      </c>
      <c r="L3326" s="3">
        <v>360000</v>
      </c>
      <c r="M3326" s="3">
        <v>108000</v>
      </c>
      <c r="N3326" s="4">
        <v>0.23076923076923078</v>
      </c>
    </row>
    <row r="3327" spans="1:14" x14ac:dyDescent="0.3">
      <c r="A3327" s="6">
        <v>45895</v>
      </c>
      <c r="B3327" s="1" t="s">
        <v>3511</v>
      </c>
      <c r="C3327" s="1" t="s">
        <v>27</v>
      </c>
      <c r="D3327" t="s">
        <v>30</v>
      </c>
      <c r="E3327" t="s">
        <v>222</v>
      </c>
      <c r="F3327" t="s">
        <v>19</v>
      </c>
      <c r="G3327" t="s">
        <v>20</v>
      </c>
      <c r="H3327" s="3">
        <v>8</v>
      </c>
      <c r="I3327" s="3">
        <v>1116</v>
      </c>
      <c r="J3327" s="3">
        <v>8928</v>
      </c>
      <c r="K3327" s="3">
        <v>900</v>
      </c>
      <c r="L3327" s="3">
        <v>7200</v>
      </c>
      <c r="M3327" s="3">
        <v>1728</v>
      </c>
      <c r="N3327" s="4">
        <v>0.19354838709677419</v>
      </c>
    </row>
    <row r="3328" spans="1:14" x14ac:dyDescent="0.3">
      <c r="A3328" s="6">
        <v>45895</v>
      </c>
      <c r="B3328" s="1" t="s">
        <v>3512</v>
      </c>
      <c r="C3328" s="1" t="s">
        <v>26</v>
      </c>
      <c r="D3328" t="s">
        <v>30</v>
      </c>
      <c r="E3328" t="s">
        <v>371</v>
      </c>
      <c r="F3328" t="s">
        <v>17</v>
      </c>
      <c r="G3328" t="s">
        <v>18</v>
      </c>
      <c r="H3328" s="3">
        <v>5</v>
      </c>
      <c r="I3328" s="3">
        <v>11220</v>
      </c>
      <c r="J3328" s="3">
        <v>56100</v>
      </c>
      <c r="K3328" s="3">
        <v>8500</v>
      </c>
      <c r="L3328" s="3">
        <v>42500</v>
      </c>
      <c r="M3328" s="3">
        <v>13600</v>
      </c>
      <c r="N3328" s="4">
        <v>0.24242424242424243</v>
      </c>
    </row>
    <row r="3329" spans="1:14" x14ac:dyDescent="0.3">
      <c r="A3329" s="6">
        <v>45895</v>
      </c>
      <c r="B3329" s="1" t="s">
        <v>3513</v>
      </c>
      <c r="C3329" s="1" t="s">
        <v>28</v>
      </c>
      <c r="D3329" t="s">
        <v>32</v>
      </c>
      <c r="E3329" t="s">
        <v>304</v>
      </c>
      <c r="F3329" t="s">
        <v>21</v>
      </c>
      <c r="G3329" t="s">
        <v>20</v>
      </c>
      <c r="H3329" s="3">
        <v>8</v>
      </c>
      <c r="I3329" s="3">
        <v>786</v>
      </c>
      <c r="J3329" s="3">
        <v>6288</v>
      </c>
      <c r="K3329" s="3">
        <v>600</v>
      </c>
      <c r="L3329" s="3">
        <v>4800</v>
      </c>
      <c r="M3329" s="3">
        <v>1488</v>
      </c>
      <c r="N3329" s="4">
        <v>0.23664122137404581</v>
      </c>
    </row>
    <row r="3330" spans="1:14" x14ac:dyDescent="0.3">
      <c r="A3330" s="6">
        <v>45895</v>
      </c>
      <c r="B3330" s="1" t="s">
        <v>3514</v>
      </c>
      <c r="C3330" s="1" t="s">
        <v>27</v>
      </c>
      <c r="D3330" t="s">
        <v>32</v>
      </c>
      <c r="E3330" t="s">
        <v>147</v>
      </c>
      <c r="F3330" t="s">
        <v>22</v>
      </c>
      <c r="G3330" t="s">
        <v>18</v>
      </c>
      <c r="H3330" s="3">
        <v>5</v>
      </c>
      <c r="I3330" s="3">
        <v>8680</v>
      </c>
      <c r="J3330" s="3">
        <v>43400</v>
      </c>
      <c r="K3330" s="3">
        <v>7000</v>
      </c>
      <c r="L3330" s="3">
        <v>35000</v>
      </c>
      <c r="M3330" s="3">
        <v>8400</v>
      </c>
      <c r="N3330" s="4">
        <v>0.19354838709677419</v>
      </c>
    </row>
    <row r="3331" spans="1:14" x14ac:dyDescent="0.3">
      <c r="A3331" s="6">
        <v>45895</v>
      </c>
      <c r="B3331" s="1" t="s">
        <v>3515</v>
      </c>
      <c r="C3331" s="1" t="s">
        <v>27</v>
      </c>
      <c r="D3331" t="s">
        <v>30</v>
      </c>
      <c r="E3331" t="s">
        <v>147</v>
      </c>
      <c r="F3331" t="s">
        <v>14</v>
      </c>
      <c r="G3331" t="s">
        <v>15</v>
      </c>
      <c r="H3331" s="3">
        <v>3</v>
      </c>
      <c r="I3331" s="3">
        <v>62099.999999999993</v>
      </c>
      <c r="J3331" s="3">
        <v>186299.99999999997</v>
      </c>
      <c r="K3331" s="3">
        <v>45000</v>
      </c>
      <c r="L3331" s="3">
        <v>135000</v>
      </c>
      <c r="M3331" s="3">
        <v>51299.999999999971</v>
      </c>
      <c r="N3331" s="4">
        <v>0.2753623188405796</v>
      </c>
    </row>
    <row r="3332" spans="1:14" x14ac:dyDescent="0.3">
      <c r="A3332" s="6">
        <v>45896</v>
      </c>
      <c r="B3332" s="1" t="s">
        <v>3516</v>
      </c>
      <c r="C3332" s="1" t="s">
        <v>26</v>
      </c>
      <c r="D3332" t="s">
        <v>35</v>
      </c>
      <c r="E3332" t="s">
        <v>175</v>
      </c>
      <c r="F3332" t="s">
        <v>17</v>
      </c>
      <c r="G3332" t="s">
        <v>18</v>
      </c>
      <c r="H3332" s="3">
        <v>8</v>
      </c>
      <c r="I3332" s="3">
        <v>10880</v>
      </c>
      <c r="J3332" s="3">
        <v>87040</v>
      </c>
      <c r="K3332" s="3">
        <v>8500</v>
      </c>
      <c r="L3332" s="3">
        <v>68000</v>
      </c>
      <c r="M3332" s="3">
        <v>19040</v>
      </c>
      <c r="N3332" s="4">
        <v>0.21875</v>
      </c>
    </row>
    <row r="3333" spans="1:14" x14ac:dyDescent="0.3">
      <c r="A3333" s="6">
        <v>45896</v>
      </c>
      <c r="B3333" s="1" t="s">
        <v>3517</v>
      </c>
      <c r="C3333" s="1" t="s">
        <v>27</v>
      </c>
      <c r="D3333" t="s">
        <v>32</v>
      </c>
      <c r="E3333" t="s">
        <v>361</v>
      </c>
      <c r="F3333" t="s">
        <v>14</v>
      </c>
      <c r="G3333" t="s">
        <v>15</v>
      </c>
      <c r="H3333" s="3">
        <v>6</v>
      </c>
      <c r="I3333" s="3">
        <v>55350</v>
      </c>
      <c r="J3333" s="3">
        <v>332100</v>
      </c>
      <c r="K3333" s="3">
        <v>45000</v>
      </c>
      <c r="L3333" s="3">
        <v>270000</v>
      </c>
      <c r="M3333" s="3">
        <v>62100</v>
      </c>
      <c r="N3333" s="4">
        <v>0.18699186991869918</v>
      </c>
    </row>
    <row r="3334" spans="1:14" x14ac:dyDescent="0.3">
      <c r="A3334" s="6">
        <v>45896</v>
      </c>
      <c r="B3334" s="1" t="s">
        <v>3518</v>
      </c>
      <c r="C3334" s="1" t="s">
        <v>26</v>
      </c>
      <c r="D3334" t="s">
        <v>33</v>
      </c>
      <c r="E3334" t="s">
        <v>206</v>
      </c>
      <c r="F3334" t="s">
        <v>21</v>
      </c>
      <c r="G3334" t="s">
        <v>20</v>
      </c>
      <c r="H3334" s="3">
        <v>9</v>
      </c>
      <c r="I3334" s="3">
        <v>870</v>
      </c>
      <c r="J3334" s="3">
        <v>7830</v>
      </c>
      <c r="K3334" s="3">
        <v>600</v>
      </c>
      <c r="L3334" s="3">
        <v>5400</v>
      </c>
      <c r="M3334" s="3">
        <v>2430</v>
      </c>
      <c r="N3334" s="4">
        <v>0.31034482758620691</v>
      </c>
    </row>
    <row r="3335" spans="1:14" x14ac:dyDescent="0.3">
      <c r="A3335" s="6">
        <v>45896</v>
      </c>
      <c r="B3335" s="1" t="s">
        <v>3519</v>
      </c>
      <c r="C3335" s="1" t="s">
        <v>27</v>
      </c>
      <c r="D3335" t="s">
        <v>34</v>
      </c>
      <c r="E3335" t="s">
        <v>349</v>
      </c>
      <c r="F3335" t="s">
        <v>23</v>
      </c>
      <c r="G3335" t="s">
        <v>25</v>
      </c>
      <c r="H3335" s="3">
        <v>2</v>
      </c>
      <c r="I3335" s="3">
        <v>4256</v>
      </c>
      <c r="J3335" s="3">
        <v>8512</v>
      </c>
      <c r="K3335" s="3">
        <v>3200</v>
      </c>
      <c r="L3335" s="3">
        <v>6400</v>
      </c>
      <c r="M3335" s="3">
        <v>2112</v>
      </c>
      <c r="N3335" s="4">
        <v>0.24812030075187969</v>
      </c>
    </row>
    <row r="3336" spans="1:14" x14ac:dyDescent="0.3">
      <c r="A3336" s="6">
        <v>45896</v>
      </c>
      <c r="B3336" s="1" t="s">
        <v>3520</v>
      </c>
      <c r="C3336" s="1" t="s">
        <v>28</v>
      </c>
      <c r="D3336" t="s">
        <v>35</v>
      </c>
      <c r="E3336" t="s">
        <v>120</v>
      </c>
      <c r="F3336" t="s">
        <v>17</v>
      </c>
      <c r="G3336" t="s">
        <v>18</v>
      </c>
      <c r="H3336" s="3">
        <v>9</v>
      </c>
      <c r="I3336" s="3">
        <v>11220</v>
      </c>
      <c r="J3336" s="3">
        <v>100980</v>
      </c>
      <c r="K3336" s="3">
        <v>8500</v>
      </c>
      <c r="L3336" s="3">
        <v>76500</v>
      </c>
      <c r="M3336" s="3">
        <v>24480</v>
      </c>
      <c r="N3336" s="4">
        <v>0.24242424242424243</v>
      </c>
    </row>
    <row r="3337" spans="1:14" x14ac:dyDescent="0.3">
      <c r="A3337" s="6">
        <v>45896</v>
      </c>
      <c r="B3337" s="1" t="s">
        <v>3521</v>
      </c>
      <c r="C3337" s="1" t="s">
        <v>29</v>
      </c>
      <c r="D3337" t="s">
        <v>34</v>
      </c>
      <c r="E3337" t="s">
        <v>222</v>
      </c>
      <c r="F3337" t="s">
        <v>14</v>
      </c>
      <c r="G3337" t="s">
        <v>15</v>
      </c>
      <c r="H3337" s="3">
        <v>6</v>
      </c>
      <c r="I3337" s="3">
        <v>61650.000000000007</v>
      </c>
      <c r="J3337" s="3">
        <v>369900.00000000006</v>
      </c>
      <c r="K3337" s="3">
        <v>45000</v>
      </c>
      <c r="L3337" s="3">
        <v>270000</v>
      </c>
      <c r="M3337" s="3">
        <v>99900.000000000058</v>
      </c>
      <c r="N3337" s="4">
        <v>0.27007299270073004</v>
      </c>
    </row>
    <row r="3338" spans="1:14" x14ac:dyDescent="0.3">
      <c r="A3338" s="6">
        <v>45896</v>
      </c>
      <c r="B3338" s="1" t="s">
        <v>3522</v>
      </c>
      <c r="C3338" s="1" t="s">
        <v>29</v>
      </c>
      <c r="D3338" t="s">
        <v>33</v>
      </c>
      <c r="E3338" t="s">
        <v>538</v>
      </c>
      <c r="F3338" t="s">
        <v>16</v>
      </c>
      <c r="G3338" t="s">
        <v>15</v>
      </c>
      <c r="H3338" s="3">
        <v>3</v>
      </c>
      <c r="I3338" s="3">
        <v>53200</v>
      </c>
      <c r="J3338" s="3">
        <v>159600</v>
      </c>
      <c r="K3338" s="3">
        <v>38000</v>
      </c>
      <c r="L3338" s="3">
        <v>114000</v>
      </c>
      <c r="M3338" s="3">
        <v>45600</v>
      </c>
      <c r="N3338" s="4">
        <v>0.2857142857142857</v>
      </c>
    </row>
    <row r="3339" spans="1:14" x14ac:dyDescent="0.3">
      <c r="A3339" s="6">
        <v>45896</v>
      </c>
      <c r="B3339" s="1" t="s">
        <v>3523</v>
      </c>
      <c r="C3339" s="1" t="s">
        <v>28</v>
      </c>
      <c r="D3339" t="s">
        <v>33</v>
      </c>
      <c r="E3339" t="s">
        <v>206</v>
      </c>
      <c r="F3339" t="s">
        <v>24</v>
      </c>
      <c r="G3339" t="s">
        <v>25</v>
      </c>
      <c r="H3339" s="3">
        <v>10</v>
      </c>
      <c r="I3339" s="3">
        <v>3100</v>
      </c>
      <c r="J3339" s="3">
        <v>31000</v>
      </c>
      <c r="K3339" s="3">
        <v>2500</v>
      </c>
      <c r="L3339" s="3">
        <v>25000</v>
      </c>
      <c r="M3339" s="3">
        <v>6000</v>
      </c>
      <c r="N3339" s="4">
        <v>0.19354838709677419</v>
      </c>
    </row>
    <row r="3340" spans="1:14" x14ac:dyDescent="0.3">
      <c r="A3340" s="6">
        <v>45896</v>
      </c>
      <c r="B3340" s="1" t="s">
        <v>3524</v>
      </c>
      <c r="C3340" s="1" t="s">
        <v>28</v>
      </c>
      <c r="D3340" t="s">
        <v>35</v>
      </c>
      <c r="E3340" t="s">
        <v>204</v>
      </c>
      <c r="F3340" t="s">
        <v>14</v>
      </c>
      <c r="G3340" t="s">
        <v>15</v>
      </c>
      <c r="H3340" s="3">
        <v>9</v>
      </c>
      <c r="I3340" s="3">
        <v>54450</v>
      </c>
      <c r="J3340" s="3">
        <v>490050</v>
      </c>
      <c r="K3340" s="3">
        <v>45000</v>
      </c>
      <c r="L3340" s="3">
        <v>405000</v>
      </c>
      <c r="M3340" s="3">
        <v>85050</v>
      </c>
      <c r="N3340" s="4">
        <v>0.17355371900826447</v>
      </c>
    </row>
    <row r="3341" spans="1:14" x14ac:dyDescent="0.3">
      <c r="A3341" s="6">
        <v>45896</v>
      </c>
      <c r="B3341" s="1" t="s">
        <v>3525</v>
      </c>
      <c r="C3341" s="1" t="s">
        <v>28</v>
      </c>
      <c r="D3341" t="s">
        <v>35</v>
      </c>
      <c r="E3341" t="s">
        <v>427</v>
      </c>
      <c r="F3341" t="s">
        <v>14</v>
      </c>
      <c r="G3341" t="s">
        <v>15</v>
      </c>
      <c r="H3341" s="3">
        <v>6</v>
      </c>
      <c r="I3341" s="3">
        <v>54900</v>
      </c>
      <c r="J3341" s="3">
        <v>329400</v>
      </c>
      <c r="K3341" s="3">
        <v>45000</v>
      </c>
      <c r="L3341" s="3">
        <v>270000</v>
      </c>
      <c r="M3341" s="3">
        <v>59400</v>
      </c>
      <c r="N3341" s="4">
        <v>0.18032786885245902</v>
      </c>
    </row>
    <row r="3342" spans="1:14" x14ac:dyDescent="0.3">
      <c r="A3342" s="6">
        <v>45896</v>
      </c>
      <c r="B3342" s="1" t="s">
        <v>3526</v>
      </c>
      <c r="C3342" s="1" t="s">
        <v>29</v>
      </c>
      <c r="D3342" t="s">
        <v>31</v>
      </c>
      <c r="E3342" t="s">
        <v>65</v>
      </c>
      <c r="F3342" t="s">
        <v>21</v>
      </c>
      <c r="G3342" t="s">
        <v>20</v>
      </c>
      <c r="H3342" s="3">
        <v>2</v>
      </c>
      <c r="I3342" s="3">
        <v>756</v>
      </c>
      <c r="J3342" s="3">
        <v>1512</v>
      </c>
      <c r="K3342" s="3">
        <v>600</v>
      </c>
      <c r="L3342" s="3">
        <v>1200</v>
      </c>
      <c r="M3342" s="3">
        <v>312</v>
      </c>
      <c r="N3342" s="4">
        <v>0.20634920634920634</v>
      </c>
    </row>
    <row r="3343" spans="1:14" x14ac:dyDescent="0.3">
      <c r="A3343" s="6">
        <v>45896</v>
      </c>
      <c r="B3343" s="1" t="s">
        <v>3527</v>
      </c>
      <c r="C3343" s="1" t="s">
        <v>29</v>
      </c>
      <c r="D3343" t="s">
        <v>33</v>
      </c>
      <c r="E3343" t="s">
        <v>363</v>
      </c>
      <c r="F3343" t="s">
        <v>17</v>
      </c>
      <c r="G3343" t="s">
        <v>18</v>
      </c>
      <c r="H3343" s="3">
        <v>5</v>
      </c>
      <c r="I3343" s="3">
        <v>11390</v>
      </c>
      <c r="J3343" s="3">
        <v>56950</v>
      </c>
      <c r="K3343" s="3">
        <v>8500</v>
      </c>
      <c r="L3343" s="3">
        <v>42500</v>
      </c>
      <c r="M3343" s="3">
        <v>14450</v>
      </c>
      <c r="N3343" s="4">
        <v>0.2537313432835821</v>
      </c>
    </row>
    <row r="3344" spans="1:14" x14ac:dyDescent="0.3">
      <c r="A3344" s="6">
        <v>45896</v>
      </c>
      <c r="B3344" s="1" t="s">
        <v>3528</v>
      </c>
      <c r="C3344" s="1" t="s">
        <v>26</v>
      </c>
      <c r="D3344" t="s">
        <v>31</v>
      </c>
      <c r="E3344" t="s">
        <v>390</v>
      </c>
      <c r="F3344" t="s">
        <v>14</v>
      </c>
      <c r="G3344" t="s">
        <v>15</v>
      </c>
      <c r="H3344" s="3">
        <v>3</v>
      </c>
      <c r="I3344" s="3">
        <v>54450</v>
      </c>
      <c r="J3344" s="3">
        <v>163350</v>
      </c>
      <c r="K3344" s="3">
        <v>45000</v>
      </c>
      <c r="L3344" s="3">
        <v>135000</v>
      </c>
      <c r="M3344" s="3">
        <v>28350</v>
      </c>
      <c r="N3344" s="4">
        <v>0.17355371900826447</v>
      </c>
    </row>
    <row r="3345" spans="1:14" x14ac:dyDescent="0.3">
      <c r="A3345" s="6">
        <v>45896</v>
      </c>
      <c r="B3345" s="1" t="s">
        <v>3529</v>
      </c>
      <c r="C3345" s="1" t="s">
        <v>28</v>
      </c>
      <c r="D3345" t="s">
        <v>31</v>
      </c>
      <c r="E3345" t="s">
        <v>180</v>
      </c>
      <c r="F3345" t="s">
        <v>17</v>
      </c>
      <c r="G3345" t="s">
        <v>18</v>
      </c>
      <c r="H3345" s="3">
        <v>5</v>
      </c>
      <c r="I3345" s="3">
        <v>12240</v>
      </c>
      <c r="J3345" s="3">
        <v>61200</v>
      </c>
      <c r="K3345" s="3">
        <v>8500</v>
      </c>
      <c r="L3345" s="3">
        <v>42500</v>
      </c>
      <c r="M3345" s="3">
        <v>18700</v>
      </c>
      <c r="N3345" s="4">
        <v>0.30555555555555558</v>
      </c>
    </row>
    <row r="3346" spans="1:14" x14ac:dyDescent="0.3">
      <c r="A3346" s="6">
        <v>45897</v>
      </c>
      <c r="B3346" s="1" t="s">
        <v>3530</v>
      </c>
      <c r="C3346" s="1" t="s">
        <v>29</v>
      </c>
      <c r="D3346" t="s">
        <v>34</v>
      </c>
      <c r="E3346" t="s">
        <v>582</v>
      </c>
      <c r="F3346" t="s">
        <v>17</v>
      </c>
      <c r="G3346" t="s">
        <v>18</v>
      </c>
      <c r="H3346" s="3">
        <v>9</v>
      </c>
      <c r="I3346" s="3">
        <v>11220</v>
      </c>
      <c r="J3346" s="3">
        <v>100980</v>
      </c>
      <c r="K3346" s="3">
        <v>8500</v>
      </c>
      <c r="L3346" s="3">
        <v>76500</v>
      </c>
      <c r="M3346" s="3">
        <v>24480</v>
      </c>
      <c r="N3346" s="4">
        <v>0.24242424242424243</v>
      </c>
    </row>
    <row r="3347" spans="1:14" x14ac:dyDescent="0.3">
      <c r="A3347" s="6">
        <v>45897</v>
      </c>
      <c r="B3347" s="1" t="s">
        <v>3531</v>
      </c>
      <c r="C3347" s="1" t="s">
        <v>29</v>
      </c>
      <c r="D3347" t="s">
        <v>34</v>
      </c>
      <c r="E3347" t="s">
        <v>94</v>
      </c>
      <c r="F3347" t="s">
        <v>22</v>
      </c>
      <c r="G3347" t="s">
        <v>18</v>
      </c>
      <c r="H3347" s="3">
        <v>10</v>
      </c>
      <c r="I3347" s="3">
        <v>9590</v>
      </c>
      <c r="J3347" s="3">
        <v>95900</v>
      </c>
      <c r="K3347" s="3">
        <v>7000</v>
      </c>
      <c r="L3347" s="3">
        <v>70000</v>
      </c>
      <c r="M3347" s="3">
        <v>25900</v>
      </c>
      <c r="N3347" s="4">
        <v>0.27007299270072993</v>
      </c>
    </row>
    <row r="3348" spans="1:14" x14ac:dyDescent="0.3">
      <c r="A3348" s="6">
        <v>45897</v>
      </c>
      <c r="B3348" s="1" t="s">
        <v>3532</v>
      </c>
      <c r="C3348" s="1" t="s">
        <v>26</v>
      </c>
      <c r="D3348" t="s">
        <v>34</v>
      </c>
      <c r="E3348" t="s">
        <v>379</v>
      </c>
      <c r="F3348" t="s">
        <v>23</v>
      </c>
      <c r="G3348" t="s">
        <v>25</v>
      </c>
      <c r="H3348" s="3">
        <v>3</v>
      </c>
      <c r="I3348" s="3">
        <v>4352</v>
      </c>
      <c r="J3348" s="3">
        <v>13056</v>
      </c>
      <c r="K3348" s="3">
        <v>3200</v>
      </c>
      <c r="L3348" s="3">
        <v>9600</v>
      </c>
      <c r="M3348" s="3">
        <v>3456</v>
      </c>
      <c r="N3348" s="4">
        <v>0.26470588235294118</v>
      </c>
    </row>
    <row r="3349" spans="1:14" x14ac:dyDescent="0.3">
      <c r="A3349" s="6">
        <v>45897</v>
      </c>
      <c r="B3349" s="1" t="s">
        <v>3533</v>
      </c>
      <c r="C3349" s="1" t="s">
        <v>26</v>
      </c>
      <c r="D3349" t="s">
        <v>33</v>
      </c>
      <c r="E3349" t="s">
        <v>94</v>
      </c>
      <c r="F3349" t="s">
        <v>23</v>
      </c>
      <c r="G3349" t="s">
        <v>25</v>
      </c>
      <c r="H3349" s="3">
        <v>10</v>
      </c>
      <c r="I3349" s="3">
        <v>4128</v>
      </c>
      <c r="J3349" s="3">
        <v>41280</v>
      </c>
      <c r="K3349" s="3">
        <v>3200</v>
      </c>
      <c r="L3349" s="3">
        <v>32000</v>
      </c>
      <c r="M3349" s="3">
        <v>9280</v>
      </c>
      <c r="N3349" s="4">
        <v>0.22480620155038761</v>
      </c>
    </row>
    <row r="3350" spans="1:14" x14ac:dyDescent="0.3">
      <c r="A3350" s="6">
        <v>45897</v>
      </c>
      <c r="B3350" s="1" t="s">
        <v>3534</v>
      </c>
      <c r="C3350" s="1" t="s">
        <v>28</v>
      </c>
      <c r="D3350" t="s">
        <v>32</v>
      </c>
      <c r="E3350" t="s">
        <v>112</v>
      </c>
      <c r="F3350" t="s">
        <v>19</v>
      </c>
      <c r="G3350" t="s">
        <v>20</v>
      </c>
      <c r="H3350" s="3">
        <v>2</v>
      </c>
      <c r="I3350" s="3">
        <v>1251</v>
      </c>
      <c r="J3350" s="3">
        <v>2502</v>
      </c>
      <c r="K3350" s="3">
        <v>900</v>
      </c>
      <c r="L3350" s="3">
        <v>1800</v>
      </c>
      <c r="M3350" s="3">
        <v>702</v>
      </c>
      <c r="N3350" s="4">
        <v>0.2805755395683453</v>
      </c>
    </row>
    <row r="3351" spans="1:14" x14ac:dyDescent="0.3">
      <c r="A3351" s="6">
        <v>45897</v>
      </c>
      <c r="B3351" s="1" t="s">
        <v>3535</v>
      </c>
      <c r="C3351" s="1" t="s">
        <v>29</v>
      </c>
      <c r="D3351" t="s">
        <v>33</v>
      </c>
      <c r="E3351" t="s">
        <v>521</v>
      </c>
      <c r="F3351" t="s">
        <v>19</v>
      </c>
      <c r="G3351" t="s">
        <v>20</v>
      </c>
      <c r="H3351" s="3">
        <v>10</v>
      </c>
      <c r="I3351" s="3">
        <v>1080</v>
      </c>
      <c r="J3351" s="3">
        <v>10800</v>
      </c>
      <c r="K3351" s="3">
        <v>900</v>
      </c>
      <c r="L3351" s="3">
        <v>9000</v>
      </c>
      <c r="M3351" s="3">
        <v>1800</v>
      </c>
      <c r="N3351" s="4">
        <v>0.16666666666666666</v>
      </c>
    </row>
    <row r="3352" spans="1:14" x14ac:dyDescent="0.3">
      <c r="A3352" s="6">
        <v>45897</v>
      </c>
      <c r="B3352" s="1" t="s">
        <v>3536</v>
      </c>
      <c r="C3352" s="1" t="s">
        <v>28</v>
      </c>
      <c r="D3352" t="s">
        <v>35</v>
      </c>
      <c r="E3352" t="s">
        <v>807</v>
      </c>
      <c r="F3352" t="s">
        <v>17</v>
      </c>
      <c r="G3352" t="s">
        <v>18</v>
      </c>
      <c r="H3352" s="3">
        <v>10</v>
      </c>
      <c r="I3352" s="3">
        <v>10540</v>
      </c>
      <c r="J3352" s="3">
        <v>105400</v>
      </c>
      <c r="K3352" s="3">
        <v>8500</v>
      </c>
      <c r="L3352" s="3">
        <v>85000</v>
      </c>
      <c r="M3352" s="3">
        <v>20400</v>
      </c>
      <c r="N3352" s="4">
        <v>0.19354838709677419</v>
      </c>
    </row>
    <row r="3353" spans="1:14" x14ac:dyDescent="0.3">
      <c r="A3353" s="6">
        <v>45897</v>
      </c>
      <c r="B3353" s="1" t="s">
        <v>3537</v>
      </c>
      <c r="C3353" s="1" t="s">
        <v>29</v>
      </c>
      <c r="D3353" t="s">
        <v>35</v>
      </c>
      <c r="E3353" t="s">
        <v>118</v>
      </c>
      <c r="F3353" t="s">
        <v>16</v>
      </c>
      <c r="G3353" t="s">
        <v>15</v>
      </c>
      <c r="H3353" s="3">
        <v>4</v>
      </c>
      <c r="I3353" s="3">
        <v>50540</v>
      </c>
      <c r="J3353" s="3">
        <v>202160</v>
      </c>
      <c r="K3353" s="3">
        <v>38000</v>
      </c>
      <c r="L3353" s="3">
        <v>152000</v>
      </c>
      <c r="M3353" s="3">
        <v>50160</v>
      </c>
      <c r="N3353" s="4">
        <v>0.24812030075187969</v>
      </c>
    </row>
    <row r="3354" spans="1:14" x14ac:dyDescent="0.3">
      <c r="A3354" s="6">
        <v>45897</v>
      </c>
      <c r="B3354" s="1" t="s">
        <v>3538</v>
      </c>
      <c r="C3354" s="1" t="s">
        <v>26</v>
      </c>
      <c r="D3354" t="s">
        <v>34</v>
      </c>
      <c r="E3354" t="s">
        <v>427</v>
      </c>
      <c r="F3354" t="s">
        <v>24</v>
      </c>
      <c r="G3354" t="s">
        <v>25</v>
      </c>
      <c r="H3354" s="3">
        <v>6</v>
      </c>
      <c r="I3354" s="3">
        <v>3350</v>
      </c>
      <c r="J3354" s="3">
        <v>20100</v>
      </c>
      <c r="K3354" s="3">
        <v>2500</v>
      </c>
      <c r="L3354" s="3">
        <v>15000</v>
      </c>
      <c r="M3354" s="3">
        <v>5100</v>
      </c>
      <c r="N3354" s="4">
        <v>0.2537313432835821</v>
      </c>
    </row>
    <row r="3355" spans="1:14" x14ac:dyDescent="0.3">
      <c r="A3355" s="6">
        <v>45897</v>
      </c>
      <c r="B3355" s="1" t="s">
        <v>3539</v>
      </c>
      <c r="C3355" s="1" t="s">
        <v>26</v>
      </c>
      <c r="D3355" t="s">
        <v>32</v>
      </c>
      <c r="E3355" t="s">
        <v>239</v>
      </c>
      <c r="F3355" t="s">
        <v>14</v>
      </c>
      <c r="G3355" t="s">
        <v>15</v>
      </c>
      <c r="H3355" s="3">
        <v>1</v>
      </c>
      <c r="I3355" s="3">
        <v>54900</v>
      </c>
      <c r="J3355" s="3">
        <v>54900</v>
      </c>
      <c r="K3355" s="3">
        <v>45000</v>
      </c>
      <c r="L3355" s="3">
        <v>45000</v>
      </c>
      <c r="M3355" s="3">
        <v>9900</v>
      </c>
      <c r="N3355" s="4">
        <v>0.18032786885245902</v>
      </c>
    </row>
    <row r="3356" spans="1:14" x14ac:dyDescent="0.3">
      <c r="A3356" s="6">
        <v>45897</v>
      </c>
      <c r="B3356" s="1" t="s">
        <v>3540</v>
      </c>
      <c r="C3356" s="1" t="s">
        <v>27</v>
      </c>
      <c r="D3356" t="s">
        <v>30</v>
      </c>
      <c r="E3356" t="s">
        <v>310</v>
      </c>
      <c r="F3356" t="s">
        <v>22</v>
      </c>
      <c r="G3356" t="s">
        <v>18</v>
      </c>
      <c r="H3356" s="3">
        <v>4</v>
      </c>
      <c r="I3356" s="3">
        <v>10010</v>
      </c>
      <c r="J3356" s="3">
        <v>40040</v>
      </c>
      <c r="K3356" s="3">
        <v>7000</v>
      </c>
      <c r="L3356" s="3">
        <v>28000</v>
      </c>
      <c r="M3356" s="3">
        <v>12040</v>
      </c>
      <c r="N3356" s="4">
        <v>0.30069930069930068</v>
      </c>
    </row>
    <row r="3357" spans="1:14" x14ac:dyDescent="0.3">
      <c r="A3357" s="6">
        <v>45897</v>
      </c>
      <c r="B3357" s="1" t="s">
        <v>3541</v>
      </c>
      <c r="C3357" s="1" t="s">
        <v>27</v>
      </c>
      <c r="D3357" t="s">
        <v>35</v>
      </c>
      <c r="E3357" t="s">
        <v>222</v>
      </c>
      <c r="F3357" t="s">
        <v>23</v>
      </c>
      <c r="G3357" t="s">
        <v>25</v>
      </c>
      <c r="H3357" s="3">
        <v>2</v>
      </c>
      <c r="I3357" s="3">
        <v>4384</v>
      </c>
      <c r="J3357" s="3">
        <v>8768</v>
      </c>
      <c r="K3357" s="3">
        <v>3200</v>
      </c>
      <c r="L3357" s="3">
        <v>6400</v>
      </c>
      <c r="M3357" s="3">
        <v>2368</v>
      </c>
      <c r="N3357" s="4">
        <v>0.27007299270072993</v>
      </c>
    </row>
    <row r="3358" spans="1:14" x14ac:dyDescent="0.3">
      <c r="A3358" s="6">
        <v>45897</v>
      </c>
      <c r="B3358" s="1" t="s">
        <v>3542</v>
      </c>
      <c r="C3358" s="1" t="s">
        <v>28</v>
      </c>
      <c r="D3358" t="s">
        <v>31</v>
      </c>
      <c r="E3358" t="s">
        <v>116</v>
      </c>
      <c r="F3358" t="s">
        <v>19</v>
      </c>
      <c r="G3358" t="s">
        <v>20</v>
      </c>
      <c r="H3358" s="3">
        <v>5</v>
      </c>
      <c r="I3358" s="3">
        <v>1161</v>
      </c>
      <c r="J3358" s="3">
        <v>5805</v>
      </c>
      <c r="K3358" s="3">
        <v>900</v>
      </c>
      <c r="L3358" s="3">
        <v>4500</v>
      </c>
      <c r="M3358" s="3">
        <v>1305</v>
      </c>
      <c r="N3358" s="4">
        <v>0.22480620155038761</v>
      </c>
    </row>
    <row r="3359" spans="1:14" x14ac:dyDescent="0.3">
      <c r="A3359" s="6">
        <v>45897</v>
      </c>
      <c r="B3359" s="1" t="s">
        <v>3543</v>
      </c>
      <c r="C3359" s="1" t="s">
        <v>27</v>
      </c>
      <c r="D3359" t="s">
        <v>30</v>
      </c>
      <c r="E3359" t="s">
        <v>359</v>
      </c>
      <c r="F3359" t="s">
        <v>19</v>
      </c>
      <c r="G3359" t="s">
        <v>20</v>
      </c>
      <c r="H3359" s="3">
        <v>2</v>
      </c>
      <c r="I3359" s="3">
        <v>1260</v>
      </c>
      <c r="J3359" s="3">
        <v>2520</v>
      </c>
      <c r="K3359" s="3">
        <v>900</v>
      </c>
      <c r="L3359" s="3">
        <v>1800</v>
      </c>
      <c r="M3359" s="3">
        <v>720</v>
      </c>
      <c r="N3359" s="4">
        <v>0.2857142857142857</v>
      </c>
    </row>
    <row r="3360" spans="1:14" x14ac:dyDescent="0.3">
      <c r="A3360" s="6">
        <v>45898</v>
      </c>
      <c r="B3360" s="1" t="s">
        <v>3544</v>
      </c>
      <c r="C3360" s="1" t="s">
        <v>29</v>
      </c>
      <c r="D3360" t="s">
        <v>33</v>
      </c>
      <c r="E3360" t="s">
        <v>129</v>
      </c>
      <c r="F3360" t="s">
        <v>19</v>
      </c>
      <c r="G3360" t="s">
        <v>20</v>
      </c>
      <c r="H3360" s="3">
        <v>8</v>
      </c>
      <c r="I3360" s="3">
        <v>1278</v>
      </c>
      <c r="J3360" s="3">
        <v>10224</v>
      </c>
      <c r="K3360" s="3">
        <v>900</v>
      </c>
      <c r="L3360" s="3">
        <v>7200</v>
      </c>
      <c r="M3360" s="3">
        <v>3024</v>
      </c>
      <c r="N3360" s="4">
        <v>0.29577464788732394</v>
      </c>
    </row>
    <row r="3361" spans="1:14" x14ac:dyDescent="0.3">
      <c r="A3361" s="6">
        <v>45898</v>
      </c>
      <c r="B3361" s="1" t="s">
        <v>3545</v>
      </c>
      <c r="C3361" s="1" t="s">
        <v>29</v>
      </c>
      <c r="D3361" t="s">
        <v>32</v>
      </c>
      <c r="E3361" t="s">
        <v>427</v>
      </c>
      <c r="F3361" t="s">
        <v>22</v>
      </c>
      <c r="G3361" t="s">
        <v>18</v>
      </c>
      <c r="H3361" s="3">
        <v>9</v>
      </c>
      <c r="I3361" s="3">
        <v>10010</v>
      </c>
      <c r="J3361" s="3">
        <v>90090</v>
      </c>
      <c r="K3361" s="3">
        <v>7000</v>
      </c>
      <c r="L3361" s="3">
        <v>63000</v>
      </c>
      <c r="M3361" s="3">
        <v>27090</v>
      </c>
      <c r="N3361" s="4">
        <v>0.30069930069930068</v>
      </c>
    </row>
    <row r="3362" spans="1:14" x14ac:dyDescent="0.3">
      <c r="A3362" s="6">
        <v>45898</v>
      </c>
      <c r="B3362" s="1" t="s">
        <v>3546</v>
      </c>
      <c r="C3362" s="1" t="s">
        <v>27</v>
      </c>
      <c r="D3362" t="s">
        <v>30</v>
      </c>
      <c r="E3362" t="s">
        <v>411</v>
      </c>
      <c r="F3362" t="s">
        <v>23</v>
      </c>
      <c r="G3362" t="s">
        <v>25</v>
      </c>
      <c r="H3362" s="3">
        <v>7</v>
      </c>
      <c r="I3362" s="3">
        <v>4608</v>
      </c>
      <c r="J3362" s="3">
        <v>32256</v>
      </c>
      <c r="K3362" s="3">
        <v>3200</v>
      </c>
      <c r="L3362" s="3">
        <v>22400</v>
      </c>
      <c r="M3362" s="3">
        <v>9856</v>
      </c>
      <c r="N3362" s="4">
        <v>0.30555555555555558</v>
      </c>
    </row>
    <row r="3363" spans="1:14" x14ac:dyDescent="0.3">
      <c r="A3363" s="6">
        <v>45898</v>
      </c>
      <c r="B3363" s="1" t="s">
        <v>3547</v>
      </c>
      <c r="C3363" s="1" t="s">
        <v>26</v>
      </c>
      <c r="D3363" t="s">
        <v>31</v>
      </c>
      <c r="E3363" t="s">
        <v>327</v>
      </c>
      <c r="F3363" t="s">
        <v>23</v>
      </c>
      <c r="G3363" t="s">
        <v>25</v>
      </c>
      <c r="H3363" s="3">
        <v>9</v>
      </c>
      <c r="I3363" s="3">
        <v>4640</v>
      </c>
      <c r="J3363" s="3">
        <v>41760</v>
      </c>
      <c r="K3363" s="3">
        <v>3200</v>
      </c>
      <c r="L3363" s="3">
        <v>28800</v>
      </c>
      <c r="M3363" s="3">
        <v>12960</v>
      </c>
      <c r="N3363" s="4">
        <v>0.31034482758620691</v>
      </c>
    </row>
    <row r="3364" spans="1:14" x14ac:dyDescent="0.3">
      <c r="A3364" s="6">
        <v>45898</v>
      </c>
      <c r="B3364" s="1" t="s">
        <v>3548</v>
      </c>
      <c r="C3364" s="1" t="s">
        <v>29</v>
      </c>
      <c r="D3364" t="s">
        <v>34</v>
      </c>
      <c r="E3364" t="s">
        <v>228</v>
      </c>
      <c r="F3364" t="s">
        <v>24</v>
      </c>
      <c r="G3364" t="s">
        <v>25</v>
      </c>
      <c r="H3364" s="3">
        <v>6</v>
      </c>
      <c r="I3364" s="3">
        <v>3100</v>
      </c>
      <c r="J3364" s="3">
        <v>18600</v>
      </c>
      <c r="K3364" s="3">
        <v>2500</v>
      </c>
      <c r="L3364" s="3">
        <v>15000</v>
      </c>
      <c r="M3364" s="3">
        <v>3600</v>
      </c>
      <c r="N3364" s="4">
        <v>0.19354838709677419</v>
      </c>
    </row>
    <row r="3365" spans="1:14" x14ac:dyDescent="0.3">
      <c r="A3365" s="6">
        <v>45898</v>
      </c>
      <c r="B3365" s="1" t="s">
        <v>3549</v>
      </c>
      <c r="C3365" s="1" t="s">
        <v>29</v>
      </c>
      <c r="D3365" t="s">
        <v>34</v>
      </c>
      <c r="E3365" t="s">
        <v>351</v>
      </c>
      <c r="F3365" t="s">
        <v>21</v>
      </c>
      <c r="G3365" t="s">
        <v>20</v>
      </c>
      <c r="H3365" s="3">
        <v>2</v>
      </c>
      <c r="I3365" s="3">
        <v>870</v>
      </c>
      <c r="J3365" s="3">
        <v>1740</v>
      </c>
      <c r="K3365" s="3">
        <v>600</v>
      </c>
      <c r="L3365" s="3">
        <v>1200</v>
      </c>
      <c r="M3365" s="3">
        <v>540</v>
      </c>
      <c r="N3365" s="4">
        <v>0.31034482758620691</v>
      </c>
    </row>
    <row r="3366" spans="1:14" x14ac:dyDescent="0.3">
      <c r="A3366" s="6">
        <v>45898</v>
      </c>
      <c r="B3366" s="1" t="s">
        <v>3550</v>
      </c>
      <c r="C3366" s="1" t="s">
        <v>29</v>
      </c>
      <c r="D3366" t="s">
        <v>31</v>
      </c>
      <c r="E3366" t="s">
        <v>321</v>
      </c>
      <c r="F3366" t="s">
        <v>21</v>
      </c>
      <c r="G3366" t="s">
        <v>20</v>
      </c>
      <c r="H3366" s="3">
        <v>2</v>
      </c>
      <c r="I3366" s="3">
        <v>750</v>
      </c>
      <c r="J3366" s="3">
        <v>1500</v>
      </c>
      <c r="K3366" s="3">
        <v>600</v>
      </c>
      <c r="L3366" s="3">
        <v>1200</v>
      </c>
      <c r="M3366" s="3">
        <v>300</v>
      </c>
      <c r="N3366" s="4">
        <v>0.2</v>
      </c>
    </row>
    <row r="3367" spans="1:14" x14ac:dyDescent="0.3">
      <c r="A3367" s="6">
        <v>45898</v>
      </c>
      <c r="B3367" s="1" t="s">
        <v>3551</v>
      </c>
      <c r="C3367" s="1" t="s">
        <v>27</v>
      </c>
      <c r="D3367" t="s">
        <v>33</v>
      </c>
      <c r="E3367" t="s">
        <v>508</v>
      </c>
      <c r="F3367" t="s">
        <v>23</v>
      </c>
      <c r="G3367" t="s">
        <v>25</v>
      </c>
      <c r="H3367" s="3">
        <v>6</v>
      </c>
      <c r="I3367" s="3">
        <v>4608</v>
      </c>
      <c r="J3367" s="3">
        <v>27648</v>
      </c>
      <c r="K3367" s="3">
        <v>3200</v>
      </c>
      <c r="L3367" s="3">
        <v>19200</v>
      </c>
      <c r="M3367" s="3">
        <v>8448</v>
      </c>
      <c r="N3367" s="4">
        <v>0.30555555555555558</v>
      </c>
    </row>
    <row r="3368" spans="1:14" x14ac:dyDescent="0.3">
      <c r="A3368" s="6">
        <v>45898</v>
      </c>
      <c r="B3368" s="1" t="s">
        <v>3552</v>
      </c>
      <c r="C3368" s="1" t="s">
        <v>28</v>
      </c>
      <c r="D3368" t="s">
        <v>33</v>
      </c>
      <c r="E3368" t="s">
        <v>206</v>
      </c>
      <c r="F3368" t="s">
        <v>22</v>
      </c>
      <c r="G3368" t="s">
        <v>18</v>
      </c>
      <c r="H3368" s="3">
        <v>9</v>
      </c>
      <c r="I3368" s="3">
        <v>9310</v>
      </c>
      <c r="J3368" s="3">
        <v>83790</v>
      </c>
      <c r="K3368" s="3">
        <v>7000</v>
      </c>
      <c r="L3368" s="3">
        <v>63000</v>
      </c>
      <c r="M3368" s="3">
        <v>20790</v>
      </c>
      <c r="N3368" s="4">
        <v>0.24812030075187969</v>
      </c>
    </row>
    <row r="3369" spans="1:14" x14ac:dyDescent="0.3">
      <c r="A3369" s="6">
        <v>45898</v>
      </c>
      <c r="B3369" s="1" t="s">
        <v>3553</v>
      </c>
      <c r="C3369" s="1" t="s">
        <v>28</v>
      </c>
      <c r="D3369" t="s">
        <v>32</v>
      </c>
      <c r="E3369" t="s">
        <v>85</v>
      </c>
      <c r="F3369" t="s">
        <v>22</v>
      </c>
      <c r="G3369" t="s">
        <v>18</v>
      </c>
      <c r="H3369" s="3">
        <v>6</v>
      </c>
      <c r="I3369" s="3">
        <v>9870</v>
      </c>
      <c r="J3369" s="3">
        <v>59220</v>
      </c>
      <c r="K3369" s="3">
        <v>7000</v>
      </c>
      <c r="L3369" s="3">
        <v>42000</v>
      </c>
      <c r="M3369" s="3">
        <v>17220</v>
      </c>
      <c r="N3369" s="4">
        <v>0.29078014184397161</v>
      </c>
    </row>
    <row r="3370" spans="1:14" x14ac:dyDescent="0.3">
      <c r="A3370" s="6">
        <v>45898</v>
      </c>
      <c r="B3370" s="1" t="s">
        <v>3554</v>
      </c>
      <c r="C3370" s="1" t="s">
        <v>26</v>
      </c>
      <c r="D3370" t="s">
        <v>34</v>
      </c>
      <c r="E3370" t="s">
        <v>538</v>
      </c>
      <c r="F3370" t="s">
        <v>24</v>
      </c>
      <c r="G3370" t="s">
        <v>25</v>
      </c>
      <c r="H3370" s="3">
        <v>4</v>
      </c>
      <c r="I3370" s="3">
        <v>3125</v>
      </c>
      <c r="J3370" s="3">
        <v>12500</v>
      </c>
      <c r="K3370" s="3">
        <v>2500</v>
      </c>
      <c r="L3370" s="3">
        <v>10000</v>
      </c>
      <c r="M3370" s="3">
        <v>2500</v>
      </c>
      <c r="N3370" s="4">
        <v>0.2</v>
      </c>
    </row>
    <row r="3371" spans="1:14" x14ac:dyDescent="0.3">
      <c r="A3371" s="6">
        <v>45898</v>
      </c>
      <c r="B3371" s="1" t="s">
        <v>3555</v>
      </c>
      <c r="C3371" s="1" t="s">
        <v>28</v>
      </c>
      <c r="D3371" t="s">
        <v>31</v>
      </c>
      <c r="E3371" t="s">
        <v>275</v>
      </c>
      <c r="F3371" t="s">
        <v>17</v>
      </c>
      <c r="G3371" t="s">
        <v>18</v>
      </c>
      <c r="H3371" s="3">
        <v>3</v>
      </c>
      <c r="I3371" s="3">
        <v>10965</v>
      </c>
      <c r="J3371" s="3">
        <v>32895</v>
      </c>
      <c r="K3371" s="3">
        <v>8500</v>
      </c>
      <c r="L3371" s="3">
        <v>25500</v>
      </c>
      <c r="M3371" s="3">
        <v>7395</v>
      </c>
      <c r="N3371" s="4">
        <v>0.22480620155038761</v>
      </c>
    </row>
    <row r="3372" spans="1:14" x14ac:dyDescent="0.3">
      <c r="A3372" s="6">
        <v>45898</v>
      </c>
      <c r="B3372" s="1" t="s">
        <v>3556</v>
      </c>
      <c r="C3372" s="1" t="s">
        <v>27</v>
      </c>
      <c r="D3372" t="s">
        <v>35</v>
      </c>
      <c r="E3372" t="s">
        <v>381</v>
      </c>
      <c r="F3372" t="s">
        <v>21</v>
      </c>
      <c r="G3372" t="s">
        <v>20</v>
      </c>
      <c r="H3372" s="3">
        <v>9</v>
      </c>
      <c r="I3372" s="3">
        <v>840</v>
      </c>
      <c r="J3372" s="3">
        <v>7560</v>
      </c>
      <c r="K3372" s="3">
        <v>600</v>
      </c>
      <c r="L3372" s="3">
        <v>5400</v>
      </c>
      <c r="M3372" s="3">
        <v>2160</v>
      </c>
      <c r="N3372" s="4">
        <v>0.2857142857142857</v>
      </c>
    </row>
    <row r="3373" spans="1:14" x14ac:dyDescent="0.3">
      <c r="A3373" s="6">
        <v>45898</v>
      </c>
      <c r="B3373" s="1" t="s">
        <v>3557</v>
      </c>
      <c r="C3373" s="1" t="s">
        <v>26</v>
      </c>
      <c r="D3373" t="s">
        <v>33</v>
      </c>
      <c r="E3373" t="s">
        <v>236</v>
      </c>
      <c r="F3373" t="s">
        <v>22</v>
      </c>
      <c r="G3373" t="s">
        <v>18</v>
      </c>
      <c r="H3373" s="3">
        <v>1</v>
      </c>
      <c r="I3373" s="3">
        <v>10010</v>
      </c>
      <c r="J3373" s="3">
        <v>10010</v>
      </c>
      <c r="K3373" s="3">
        <v>7000</v>
      </c>
      <c r="L3373" s="3">
        <v>7000</v>
      </c>
      <c r="M3373" s="3">
        <v>3010</v>
      </c>
      <c r="N3373" s="4">
        <v>0.30069930069930068</v>
      </c>
    </row>
    <row r="3374" spans="1:14" x14ac:dyDescent="0.3">
      <c r="A3374" s="6">
        <v>45899</v>
      </c>
      <c r="B3374" s="1" t="s">
        <v>3558</v>
      </c>
      <c r="C3374" s="1" t="s">
        <v>27</v>
      </c>
      <c r="D3374" t="s">
        <v>32</v>
      </c>
      <c r="E3374" t="s">
        <v>208</v>
      </c>
      <c r="F3374" t="s">
        <v>14</v>
      </c>
      <c r="G3374" t="s">
        <v>15</v>
      </c>
      <c r="H3374" s="3">
        <v>6</v>
      </c>
      <c r="I3374" s="3">
        <v>59400</v>
      </c>
      <c r="J3374" s="3">
        <v>356400</v>
      </c>
      <c r="K3374" s="3">
        <v>45000</v>
      </c>
      <c r="L3374" s="3">
        <v>270000</v>
      </c>
      <c r="M3374" s="3">
        <v>86400</v>
      </c>
      <c r="N3374" s="4">
        <v>0.24242424242424243</v>
      </c>
    </row>
    <row r="3375" spans="1:14" x14ac:dyDescent="0.3">
      <c r="A3375" s="6">
        <v>45899</v>
      </c>
      <c r="B3375" s="1" t="s">
        <v>3559</v>
      </c>
      <c r="C3375" s="1" t="s">
        <v>28</v>
      </c>
      <c r="D3375" t="s">
        <v>33</v>
      </c>
      <c r="E3375" t="s">
        <v>222</v>
      </c>
      <c r="F3375" t="s">
        <v>16</v>
      </c>
      <c r="G3375" t="s">
        <v>15</v>
      </c>
      <c r="H3375" s="3">
        <v>9</v>
      </c>
      <c r="I3375" s="3">
        <v>46740</v>
      </c>
      <c r="J3375" s="3">
        <v>420660</v>
      </c>
      <c r="K3375" s="3">
        <v>38000</v>
      </c>
      <c r="L3375" s="3">
        <v>342000</v>
      </c>
      <c r="M3375" s="3">
        <v>78660</v>
      </c>
      <c r="N3375" s="4">
        <v>0.18699186991869918</v>
      </c>
    </row>
    <row r="3376" spans="1:14" x14ac:dyDescent="0.3">
      <c r="A3376" s="6">
        <v>45899</v>
      </c>
      <c r="B3376" s="1" t="s">
        <v>3560</v>
      </c>
      <c r="C3376" s="1" t="s">
        <v>26</v>
      </c>
      <c r="D3376" t="s">
        <v>35</v>
      </c>
      <c r="E3376" t="s">
        <v>41</v>
      </c>
      <c r="F3376" t="s">
        <v>17</v>
      </c>
      <c r="G3376" t="s">
        <v>18</v>
      </c>
      <c r="H3376" s="3">
        <v>2</v>
      </c>
      <c r="I3376" s="3">
        <v>10625</v>
      </c>
      <c r="J3376" s="3">
        <v>21250</v>
      </c>
      <c r="K3376" s="3">
        <v>8500</v>
      </c>
      <c r="L3376" s="3">
        <v>17000</v>
      </c>
      <c r="M3376" s="3">
        <v>4250</v>
      </c>
      <c r="N3376" s="4">
        <v>0.2</v>
      </c>
    </row>
    <row r="3377" spans="1:14" x14ac:dyDescent="0.3">
      <c r="A3377" s="6">
        <v>45899</v>
      </c>
      <c r="B3377" s="1" t="s">
        <v>3561</v>
      </c>
      <c r="C3377" s="1" t="s">
        <v>27</v>
      </c>
      <c r="D3377" t="s">
        <v>31</v>
      </c>
      <c r="E3377" t="s">
        <v>574</v>
      </c>
      <c r="F3377" t="s">
        <v>17</v>
      </c>
      <c r="G3377" t="s">
        <v>18</v>
      </c>
      <c r="H3377" s="3">
        <v>7</v>
      </c>
      <c r="I3377" s="3">
        <v>11135</v>
      </c>
      <c r="J3377" s="3">
        <v>77945</v>
      </c>
      <c r="K3377" s="3">
        <v>8500</v>
      </c>
      <c r="L3377" s="3">
        <v>59500</v>
      </c>
      <c r="M3377" s="3">
        <v>18445</v>
      </c>
      <c r="N3377" s="4">
        <v>0.23664122137404581</v>
      </c>
    </row>
    <row r="3378" spans="1:14" x14ac:dyDescent="0.3">
      <c r="A3378" s="6">
        <v>45899</v>
      </c>
      <c r="B3378" s="1" t="s">
        <v>3562</v>
      </c>
      <c r="C3378" s="1" t="s">
        <v>27</v>
      </c>
      <c r="D3378" t="s">
        <v>32</v>
      </c>
      <c r="E3378" t="s">
        <v>47</v>
      </c>
      <c r="F3378" t="s">
        <v>17</v>
      </c>
      <c r="G3378" t="s">
        <v>18</v>
      </c>
      <c r="H3378" s="3">
        <v>1</v>
      </c>
      <c r="I3378" s="3">
        <v>10540</v>
      </c>
      <c r="J3378" s="3">
        <v>10540</v>
      </c>
      <c r="K3378" s="3">
        <v>8500</v>
      </c>
      <c r="L3378" s="3">
        <v>8500</v>
      </c>
      <c r="M3378" s="3">
        <v>2040</v>
      </c>
      <c r="N3378" s="4">
        <v>0.19354838709677419</v>
      </c>
    </row>
    <row r="3379" spans="1:14" x14ac:dyDescent="0.3">
      <c r="A3379" s="6">
        <v>45899</v>
      </c>
      <c r="B3379" s="1" t="s">
        <v>3563</v>
      </c>
      <c r="C3379" s="1" t="s">
        <v>28</v>
      </c>
      <c r="D3379" t="s">
        <v>33</v>
      </c>
      <c r="E3379" t="s">
        <v>349</v>
      </c>
      <c r="F3379" t="s">
        <v>14</v>
      </c>
      <c r="G3379" t="s">
        <v>15</v>
      </c>
      <c r="H3379" s="3">
        <v>3</v>
      </c>
      <c r="I3379" s="3">
        <v>58050</v>
      </c>
      <c r="J3379" s="3">
        <v>174150</v>
      </c>
      <c r="K3379" s="3">
        <v>45000</v>
      </c>
      <c r="L3379" s="3">
        <v>135000</v>
      </c>
      <c r="M3379" s="3">
        <v>39150</v>
      </c>
      <c r="N3379" s="4">
        <v>0.22480620155038761</v>
      </c>
    </row>
    <row r="3380" spans="1:14" x14ac:dyDescent="0.3">
      <c r="A3380" s="6">
        <v>45899</v>
      </c>
      <c r="B3380" s="1" t="s">
        <v>3564</v>
      </c>
      <c r="C3380" s="1" t="s">
        <v>28</v>
      </c>
      <c r="D3380" t="s">
        <v>30</v>
      </c>
      <c r="E3380" t="s">
        <v>538</v>
      </c>
      <c r="F3380" t="s">
        <v>21</v>
      </c>
      <c r="G3380" t="s">
        <v>20</v>
      </c>
      <c r="H3380" s="3">
        <v>9</v>
      </c>
      <c r="I3380" s="3">
        <v>750</v>
      </c>
      <c r="J3380" s="3">
        <v>6750</v>
      </c>
      <c r="K3380" s="3">
        <v>600</v>
      </c>
      <c r="L3380" s="3">
        <v>5400</v>
      </c>
      <c r="M3380" s="3">
        <v>1350</v>
      </c>
      <c r="N3380" s="4">
        <v>0.2</v>
      </c>
    </row>
    <row r="3381" spans="1:14" x14ac:dyDescent="0.3">
      <c r="A3381" s="6">
        <v>45899</v>
      </c>
      <c r="B3381" s="1" t="s">
        <v>3565</v>
      </c>
      <c r="C3381" s="1" t="s">
        <v>26</v>
      </c>
      <c r="D3381" t="s">
        <v>33</v>
      </c>
      <c r="E3381" t="s">
        <v>98</v>
      </c>
      <c r="F3381" t="s">
        <v>14</v>
      </c>
      <c r="G3381" t="s">
        <v>15</v>
      </c>
      <c r="H3381" s="3">
        <v>4</v>
      </c>
      <c r="I3381" s="3">
        <v>55350</v>
      </c>
      <c r="J3381" s="3">
        <v>221400</v>
      </c>
      <c r="K3381" s="3">
        <v>45000</v>
      </c>
      <c r="L3381" s="3">
        <v>180000</v>
      </c>
      <c r="M3381" s="3">
        <v>41400</v>
      </c>
      <c r="N3381" s="4">
        <v>0.18699186991869918</v>
      </c>
    </row>
    <row r="3382" spans="1:14" x14ac:dyDescent="0.3">
      <c r="A3382" s="6">
        <v>45899</v>
      </c>
      <c r="B3382" s="1" t="s">
        <v>3566</v>
      </c>
      <c r="C3382" s="1" t="s">
        <v>28</v>
      </c>
      <c r="D3382" t="s">
        <v>32</v>
      </c>
      <c r="E3382" t="s">
        <v>51</v>
      </c>
      <c r="F3382" t="s">
        <v>16</v>
      </c>
      <c r="G3382" t="s">
        <v>15</v>
      </c>
      <c r="H3382" s="3">
        <v>7</v>
      </c>
      <c r="I3382" s="3">
        <v>45600</v>
      </c>
      <c r="J3382" s="3">
        <v>319200</v>
      </c>
      <c r="K3382" s="3">
        <v>38000</v>
      </c>
      <c r="L3382" s="3">
        <v>266000</v>
      </c>
      <c r="M3382" s="3">
        <v>53200</v>
      </c>
      <c r="N3382" s="4">
        <v>0.16666666666666666</v>
      </c>
    </row>
    <row r="3383" spans="1:14" x14ac:dyDescent="0.3">
      <c r="A3383" s="6">
        <v>45899</v>
      </c>
      <c r="B3383" s="1" t="s">
        <v>3567</v>
      </c>
      <c r="C3383" s="1" t="s">
        <v>29</v>
      </c>
      <c r="D3383" t="s">
        <v>31</v>
      </c>
      <c r="E3383" t="s">
        <v>129</v>
      </c>
      <c r="F3383" t="s">
        <v>24</v>
      </c>
      <c r="G3383" t="s">
        <v>25</v>
      </c>
      <c r="H3383" s="3">
        <v>5</v>
      </c>
      <c r="I3383" s="3">
        <v>3625</v>
      </c>
      <c r="J3383" s="3">
        <v>18125</v>
      </c>
      <c r="K3383" s="3">
        <v>2500</v>
      </c>
      <c r="L3383" s="3">
        <v>12500</v>
      </c>
      <c r="M3383" s="3">
        <v>5625</v>
      </c>
      <c r="N3383" s="4">
        <v>0.31034482758620691</v>
      </c>
    </row>
    <row r="3384" spans="1:14" x14ac:dyDescent="0.3">
      <c r="A3384" s="6">
        <v>45899</v>
      </c>
      <c r="B3384" s="1" t="s">
        <v>3568</v>
      </c>
      <c r="C3384" s="1" t="s">
        <v>28</v>
      </c>
      <c r="D3384" t="s">
        <v>31</v>
      </c>
      <c r="E3384" t="s">
        <v>129</v>
      </c>
      <c r="F3384" t="s">
        <v>24</v>
      </c>
      <c r="G3384" t="s">
        <v>25</v>
      </c>
      <c r="H3384" s="3">
        <v>4</v>
      </c>
      <c r="I3384" s="3">
        <v>3250</v>
      </c>
      <c r="J3384" s="3">
        <v>13000</v>
      </c>
      <c r="K3384" s="3">
        <v>2500</v>
      </c>
      <c r="L3384" s="3">
        <v>10000</v>
      </c>
      <c r="M3384" s="3">
        <v>3000</v>
      </c>
      <c r="N3384" s="4">
        <v>0.23076923076923078</v>
      </c>
    </row>
    <row r="3385" spans="1:14" x14ac:dyDescent="0.3">
      <c r="A3385" s="6">
        <v>45899</v>
      </c>
      <c r="B3385" s="1" t="s">
        <v>3569</v>
      </c>
      <c r="C3385" s="1" t="s">
        <v>27</v>
      </c>
      <c r="D3385" t="s">
        <v>35</v>
      </c>
      <c r="E3385" t="s">
        <v>409</v>
      </c>
      <c r="F3385" t="s">
        <v>14</v>
      </c>
      <c r="G3385" t="s">
        <v>15</v>
      </c>
      <c r="H3385" s="3">
        <v>7</v>
      </c>
      <c r="I3385" s="3">
        <v>60750.000000000007</v>
      </c>
      <c r="J3385" s="3">
        <v>425250.00000000006</v>
      </c>
      <c r="K3385" s="3">
        <v>45000</v>
      </c>
      <c r="L3385" s="3">
        <v>315000</v>
      </c>
      <c r="M3385" s="3">
        <v>110250.00000000006</v>
      </c>
      <c r="N3385" s="4">
        <v>0.25925925925925936</v>
      </c>
    </row>
    <row r="3386" spans="1:14" x14ac:dyDescent="0.3">
      <c r="A3386" s="6">
        <v>45899</v>
      </c>
      <c r="B3386" s="1" t="s">
        <v>3570</v>
      </c>
      <c r="C3386" s="1" t="s">
        <v>27</v>
      </c>
      <c r="D3386" t="s">
        <v>31</v>
      </c>
      <c r="E3386" t="s">
        <v>198</v>
      </c>
      <c r="F3386" t="s">
        <v>22</v>
      </c>
      <c r="G3386" t="s">
        <v>18</v>
      </c>
      <c r="H3386" s="3">
        <v>2</v>
      </c>
      <c r="I3386" s="3">
        <v>8400</v>
      </c>
      <c r="J3386" s="3">
        <v>16800</v>
      </c>
      <c r="K3386" s="3">
        <v>7000</v>
      </c>
      <c r="L3386" s="3">
        <v>14000</v>
      </c>
      <c r="M3386" s="3">
        <v>2800</v>
      </c>
      <c r="N3386" s="4">
        <v>0.16666666666666666</v>
      </c>
    </row>
    <row r="3387" spans="1:14" x14ac:dyDescent="0.3">
      <c r="A3387" s="6">
        <v>45899</v>
      </c>
      <c r="B3387" s="1" t="s">
        <v>3571</v>
      </c>
      <c r="C3387" s="1" t="s">
        <v>29</v>
      </c>
      <c r="D3387" t="s">
        <v>35</v>
      </c>
      <c r="E3387" t="s">
        <v>153</v>
      </c>
      <c r="F3387" t="s">
        <v>17</v>
      </c>
      <c r="G3387" t="s">
        <v>18</v>
      </c>
      <c r="H3387" s="3">
        <v>3</v>
      </c>
      <c r="I3387" s="3">
        <v>10625</v>
      </c>
      <c r="J3387" s="3">
        <v>31875</v>
      </c>
      <c r="K3387" s="3">
        <v>8500</v>
      </c>
      <c r="L3387" s="3">
        <v>25500</v>
      </c>
      <c r="M3387" s="3">
        <v>6375</v>
      </c>
      <c r="N3387" s="4">
        <v>0.2</v>
      </c>
    </row>
    <row r="3388" spans="1:14" x14ac:dyDescent="0.3">
      <c r="A3388" s="6">
        <v>45900</v>
      </c>
      <c r="B3388" s="1" t="s">
        <v>3572</v>
      </c>
      <c r="C3388" s="1" t="s">
        <v>27</v>
      </c>
      <c r="D3388" t="s">
        <v>30</v>
      </c>
      <c r="E3388" t="s">
        <v>116</v>
      </c>
      <c r="F3388" t="s">
        <v>24</v>
      </c>
      <c r="G3388" t="s">
        <v>25</v>
      </c>
      <c r="H3388" s="3">
        <v>1</v>
      </c>
      <c r="I3388" s="3">
        <v>3399.9999999999995</v>
      </c>
      <c r="J3388" s="3">
        <v>3399.9999999999995</v>
      </c>
      <c r="K3388" s="3">
        <v>2500</v>
      </c>
      <c r="L3388" s="3">
        <v>2500</v>
      </c>
      <c r="M3388" s="3">
        <v>899.99999999999955</v>
      </c>
      <c r="N3388" s="4">
        <v>0.26470588235294107</v>
      </c>
    </row>
    <row r="3389" spans="1:14" x14ac:dyDescent="0.3">
      <c r="A3389" s="6">
        <v>45900</v>
      </c>
      <c r="B3389" s="1" t="s">
        <v>3573</v>
      </c>
      <c r="C3389" s="1" t="s">
        <v>26</v>
      </c>
      <c r="D3389" t="s">
        <v>32</v>
      </c>
      <c r="E3389" t="s">
        <v>72</v>
      </c>
      <c r="F3389" t="s">
        <v>23</v>
      </c>
      <c r="G3389" t="s">
        <v>25</v>
      </c>
      <c r="H3389" s="3">
        <v>5</v>
      </c>
      <c r="I3389" s="3">
        <v>4640</v>
      </c>
      <c r="J3389" s="3">
        <v>23200</v>
      </c>
      <c r="K3389" s="3">
        <v>3200</v>
      </c>
      <c r="L3389" s="3">
        <v>16000</v>
      </c>
      <c r="M3389" s="3">
        <v>7200</v>
      </c>
      <c r="N3389" s="4">
        <v>0.31034482758620691</v>
      </c>
    </row>
    <row r="3390" spans="1:14" x14ac:dyDescent="0.3">
      <c r="A3390" s="6">
        <v>45900</v>
      </c>
      <c r="B3390" s="1" t="s">
        <v>3574</v>
      </c>
      <c r="C3390" s="1" t="s">
        <v>29</v>
      </c>
      <c r="D3390" t="s">
        <v>32</v>
      </c>
      <c r="E3390" t="s">
        <v>69</v>
      </c>
      <c r="F3390" t="s">
        <v>14</v>
      </c>
      <c r="G3390" t="s">
        <v>15</v>
      </c>
      <c r="H3390" s="3">
        <v>9</v>
      </c>
      <c r="I3390" s="3">
        <v>57600</v>
      </c>
      <c r="J3390" s="3">
        <v>518400</v>
      </c>
      <c r="K3390" s="3">
        <v>45000</v>
      </c>
      <c r="L3390" s="3">
        <v>405000</v>
      </c>
      <c r="M3390" s="3">
        <v>113400</v>
      </c>
      <c r="N3390" s="4">
        <v>0.21875</v>
      </c>
    </row>
    <row r="3391" spans="1:14" x14ac:dyDescent="0.3">
      <c r="A3391" s="6">
        <v>45900</v>
      </c>
      <c r="B3391" s="1" t="s">
        <v>3575</v>
      </c>
      <c r="C3391" s="1" t="s">
        <v>29</v>
      </c>
      <c r="D3391" t="s">
        <v>34</v>
      </c>
      <c r="E3391" t="s">
        <v>388</v>
      </c>
      <c r="F3391" t="s">
        <v>23</v>
      </c>
      <c r="G3391" t="s">
        <v>25</v>
      </c>
      <c r="H3391" s="3">
        <v>7</v>
      </c>
      <c r="I3391" s="3">
        <v>3968</v>
      </c>
      <c r="J3391" s="3">
        <v>27776</v>
      </c>
      <c r="K3391" s="3">
        <v>3200</v>
      </c>
      <c r="L3391" s="3">
        <v>22400</v>
      </c>
      <c r="M3391" s="3">
        <v>5376</v>
      </c>
      <c r="N3391" s="4">
        <v>0.19354838709677419</v>
      </c>
    </row>
    <row r="3392" spans="1:14" x14ac:dyDescent="0.3">
      <c r="A3392" s="6">
        <v>45900</v>
      </c>
      <c r="B3392" s="1" t="s">
        <v>3576</v>
      </c>
      <c r="C3392" s="1" t="s">
        <v>26</v>
      </c>
      <c r="D3392" t="s">
        <v>32</v>
      </c>
      <c r="E3392" t="s">
        <v>390</v>
      </c>
      <c r="F3392" t="s">
        <v>22</v>
      </c>
      <c r="G3392" t="s">
        <v>18</v>
      </c>
      <c r="H3392" s="3">
        <v>8</v>
      </c>
      <c r="I3392" s="3">
        <v>8680</v>
      </c>
      <c r="J3392" s="3">
        <v>69440</v>
      </c>
      <c r="K3392" s="3">
        <v>7000</v>
      </c>
      <c r="L3392" s="3">
        <v>56000</v>
      </c>
      <c r="M3392" s="3">
        <v>13440</v>
      </c>
      <c r="N3392" s="4">
        <v>0.19354838709677419</v>
      </c>
    </row>
    <row r="3393" spans="1:14" x14ac:dyDescent="0.3">
      <c r="A3393" s="6">
        <v>45900</v>
      </c>
      <c r="B3393" s="1" t="s">
        <v>3577</v>
      </c>
      <c r="C3393" s="1" t="s">
        <v>28</v>
      </c>
      <c r="D3393" t="s">
        <v>34</v>
      </c>
      <c r="E3393" t="s">
        <v>134</v>
      </c>
      <c r="F3393" t="s">
        <v>14</v>
      </c>
      <c r="G3393" t="s">
        <v>15</v>
      </c>
      <c r="H3393" s="3">
        <v>3</v>
      </c>
      <c r="I3393" s="3">
        <v>63900</v>
      </c>
      <c r="J3393" s="3">
        <v>191700</v>
      </c>
      <c r="K3393" s="3">
        <v>45000</v>
      </c>
      <c r="L3393" s="3">
        <v>135000</v>
      </c>
      <c r="M3393" s="3">
        <v>56700</v>
      </c>
      <c r="N3393" s="4">
        <v>0.29577464788732394</v>
      </c>
    </row>
    <row r="3394" spans="1:14" x14ac:dyDescent="0.3">
      <c r="A3394" s="6">
        <v>45900</v>
      </c>
      <c r="B3394" s="1" t="s">
        <v>3578</v>
      </c>
      <c r="C3394" s="1" t="s">
        <v>27</v>
      </c>
      <c r="D3394" t="s">
        <v>35</v>
      </c>
      <c r="E3394" t="s">
        <v>447</v>
      </c>
      <c r="F3394" t="s">
        <v>14</v>
      </c>
      <c r="G3394" t="s">
        <v>15</v>
      </c>
      <c r="H3394" s="3">
        <v>5</v>
      </c>
      <c r="I3394" s="3">
        <v>59850</v>
      </c>
      <c r="J3394" s="3">
        <v>299250</v>
      </c>
      <c r="K3394" s="3">
        <v>45000</v>
      </c>
      <c r="L3394" s="3">
        <v>225000</v>
      </c>
      <c r="M3394" s="3">
        <v>74250</v>
      </c>
      <c r="N3394" s="4">
        <v>0.24812030075187969</v>
      </c>
    </row>
    <row r="3395" spans="1:14" x14ac:dyDescent="0.3">
      <c r="A3395" s="6">
        <v>45900</v>
      </c>
      <c r="B3395" s="1" t="s">
        <v>3579</v>
      </c>
      <c r="C3395" s="1" t="s">
        <v>28</v>
      </c>
      <c r="D3395" t="s">
        <v>35</v>
      </c>
      <c r="E3395" t="s">
        <v>151</v>
      </c>
      <c r="F3395" t="s">
        <v>17</v>
      </c>
      <c r="G3395" t="s">
        <v>18</v>
      </c>
      <c r="H3395" s="3">
        <v>3</v>
      </c>
      <c r="I3395" s="3">
        <v>11475</v>
      </c>
      <c r="J3395" s="3">
        <v>34425</v>
      </c>
      <c r="K3395" s="3">
        <v>8500</v>
      </c>
      <c r="L3395" s="3">
        <v>25500</v>
      </c>
      <c r="M3395" s="3">
        <v>8925</v>
      </c>
      <c r="N3395" s="4">
        <v>0.25925925925925924</v>
      </c>
    </row>
    <row r="3396" spans="1:14" x14ac:dyDescent="0.3">
      <c r="A3396" s="6">
        <v>45900</v>
      </c>
      <c r="B3396" s="1" t="s">
        <v>3580</v>
      </c>
      <c r="C3396" s="1" t="s">
        <v>27</v>
      </c>
      <c r="D3396" t="s">
        <v>33</v>
      </c>
      <c r="E3396" t="s">
        <v>69</v>
      </c>
      <c r="F3396" t="s">
        <v>23</v>
      </c>
      <c r="G3396" t="s">
        <v>25</v>
      </c>
      <c r="H3396" s="3">
        <v>3</v>
      </c>
      <c r="I3396" s="3">
        <v>4224</v>
      </c>
      <c r="J3396" s="3">
        <v>12672</v>
      </c>
      <c r="K3396" s="3">
        <v>3200</v>
      </c>
      <c r="L3396" s="3">
        <v>9600</v>
      </c>
      <c r="M3396" s="3">
        <v>3072</v>
      </c>
      <c r="N3396" s="4">
        <v>0.24242424242424243</v>
      </c>
    </row>
    <row r="3397" spans="1:14" x14ac:dyDescent="0.3">
      <c r="A3397" s="6">
        <v>45900</v>
      </c>
      <c r="B3397" s="1" t="s">
        <v>3581</v>
      </c>
      <c r="C3397" s="1" t="s">
        <v>29</v>
      </c>
      <c r="D3397" t="s">
        <v>34</v>
      </c>
      <c r="E3397" t="s">
        <v>218</v>
      </c>
      <c r="F3397" t="s">
        <v>19</v>
      </c>
      <c r="G3397" t="s">
        <v>20</v>
      </c>
      <c r="H3397" s="3">
        <v>8</v>
      </c>
      <c r="I3397" s="3">
        <v>1107</v>
      </c>
      <c r="J3397" s="3">
        <v>8856</v>
      </c>
      <c r="K3397" s="3">
        <v>900</v>
      </c>
      <c r="L3397" s="3">
        <v>7200</v>
      </c>
      <c r="M3397" s="3">
        <v>1656</v>
      </c>
      <c r="N3397" s="4">
        <v>0.18699186991869918</v>
      </c>
    </row>
    <row r="3398" spans="1:14" x14ac:dyDescent="0.3">
      <c r="A3398" s="6">
        <v>45900</v>
      </c>
      <c r="B3398" s="1" t="s">
        <v>3582</v>
      </c>
      <c r="C3398" s="1" t="s">
        <v>27</v>
      </c>
      <c r="D3398" t="s">
        <v>32</v>
      </c>
      <c r="E3398" t="s">
        <v>166</v>
      </c>
      <c r="F3398" t="s">
        <v>19</v>
      </c>
      <c r="G3398" t="s">
        <v>20</v>
      </c>
      <c r="H3398" s="3">
        <v>3</v>
      </c>
      <c r="I3398" s="3">
        <v>1215</v>
      </c>
      <c r="J3398" s="3">
        <v>3645</v>
      </c>
      <c r="K3398" s="3">
        <v>900</v>
      </c>
      <c r="L3398" s="3">
        <v>2700</v>
      </c>
      <c r="M3398" s="3">
        <v>945</v>
      </c>
      <c r="N3398" s="4">
        <v>0.25925925925925924</v>
      </c>
    </row>
    <row r="3399" spans="1:14" x14ac:dyDescent="0.3">
      <c r="A3399" s="6">
        <v>45900</v>
      </c>
      <c r="B3399" s="1" t="s">
        <v>3583</v>
      </c>
      <c r="C3399" s="1" t="s">
        <v>27</v>
      </c>
      <c r="D3399" t="s">
        <v>31</v>
      </c>
      <c r="E3399" t="s">
        <v>201</v>
      </c>
      <c r="F3399" t="s">
        <v>19</v>
      </c>
      <c r="G3399" t="s">
        <v>20</v>
      </c>
      <c r="H3399" s="3">
        <v>1</v>
      </c>
      <c r="I3399" s="3">
        <v>1179</v>
      </c>
      <c r="J3399" s="3">
        <v>1179</v>
      </c>
      <c r="K3399" s="3">
        <v>900</v>
      </c>
      <c r="L3399" s="3">
        <v>900</v>
      </c>
      <c r="M3399" s="3">
        <v>279</v>
      </c>
      <c r="N3399" s="4">
        <v>0.23664122137404581</v>
      </c>
    </row>
    <row r="3400" spans="1:14" x14ac:dyDescent="0.3">
      <c r="A3400" s="6">
        <v>45900</v>
      </c>
      <c r="B3400" s="1" t="s">
        <v>3584</v>
      </c>
      <c r="C3400" s="1" t="s">
        <v>26</v>
      </c>
      <c r="D3400" t="s">
        <v>32</v>
      </c>
      <c r="E3400" t="s">
        <v>308</v>
      </c>
      <c r="F3400" t="s">
        <v>14</v>
      </c>
      <c r="G3400" t="s">
        <v>15</v>
      </c>
      <c r="H3400" s="3">
        <v>7</v>
      </c>
      <c r="I3400" s="3">
        <v>56250</v>
      </c>
      <c r="J3400" s="3">
        <v>393750</v>
      </c>
      <c r="K3400" s="3">
        <v>45000</v>
      </c>
      <c r="L3400" s="3">
        <v>315000</v>
      </c>
      <c r="M3400" s="3">
        <v>78750</v>
      </c>
      <c r="N3400" s="4">
        <v>0.2</v>
      </c>
    </row>
    <row r="3401" spans="1:14" x14ac:dyDescent="0.3">
      <c r="A3401" s="6">
        <v>45900</v>
      </c>
      <c r="B3401" s="1" t="s">
        <v>3585</v>
      </c>
      <c r="C3401" s="1" t="s">
        <v>26</v>
      </c>
      <c r="D3401" t="s">
        <v>31</v>
      </c>
      <c r="E3401" t="s">
        <v>159</v>
      </c>
      <c r="F3401" t="s">
        <v>19</v>
      </c>
      <c r="G3401" t="s">
        <v>20</v>
      </c>
      <c r="H3401" s="3">
        <v>4</v>
      </c>
      <c r="I3401" s="3">
        <v>1305</v>
      </c>
      <c r="J3401" s="3">
        <v>5220</v>
      </c>
      <c r="K3401" s="3">
        <v>900</v>
      </c>
      <c r="L3401" s="3">
        <v>3600</v>
      </c>
      <c r="M3401" s="3">
        <v>1620</v>
      </c>
      <c r="N3401" s="4">
        <v>0.31034482758620691</v>
      </c>
    </row>
    <row r="3402" spans="1:14" x14ac:dyDescent="0.3">
      <c r="A3402" s="6">
        <v>45901</v>
      </c>
      <c r="B3402" s="1" t="s">
        <v>3586</v>
      </c>
      <c r="C3402" s="1" t="s">
        <v>26</v>
      </c>
      <c r="D3402" t="s">
        <v>32</v>
      </c>
      <c r="E3402" t="s">
        <v>576</v>
      </c>
      <c r="F3402" t="s">
        <v>22</v>
      </c>
      <c r="G3402" t="s">
        <v>18</v>
      </c>
      <c r="H3402" s="3">
        <v>5</v>
      </c>
      <c r="I3402" s="3">
        <v>8470</v>
      </c>
      <c r="J3402" s="3">
        <v>42350</v>
      </c>
      <c r="K3402" s="3">
        <v>7000</v>
      </c>
      <c r="L3402" s="3">
        <v>35000</v>
      </c>
      <c r="M3402" s="3">
        <v>7350</v>
      </c>
      <c r="N3402" s="4">
        <v>0.17355371900826447</v>
      </c>
    </row>
    <row r="3403" spans="1:14" x14ac:dyDescent="0.3">
      <c r="A3403" s="6">
        <v>45901</v>
      </c>
      <c r="B3403" s="1" t="s">
        <v>3587</v>
      </c>
      <c r="C3403" s="1" t="s">
        <v>27</v>
      </c>
      <c r="D3403" t="s">
        <v>30</v>
      </c>
      <c r="E3403" t="s">
        <v>88</v>
      </c>
      <c r="F3403" t="s">
        <v>16</v>
      </c>
      <c r="G3403" t="s">
        <v>15</v>
      </c>
      <c r="H3403" s="3">
        <v>4</v>
      </c>
      <c r="I3403" s="3">
        <v>50540</v>
      </c>
      <c r="J3403" s="3">
        <v>202160</v>
      </c>
      <c r="K3403" s="3">
        <v>38000</v>
      </c>
      <c r="L3403" s="3">
        <v>152000</v>
      </c>
      <c r="M3403" s="3">
        <v>50160</v>
      </c>
      <c r="N3403" s="4">
        <v>0.24812030075187969</v>
      </c>
    </row>
    <row r="3404" spans="1:14" x14ac:dyDescent="0.3">
      <c r="A3404" s="6">
        <v>45901</v>
      </c>
      <c r="B3404" s="1" t="s">
        <v>3588</v>
      </c>
      <c r="C3404" s="1" t="s">
        <v>26</v>
      </c>
      <c r="D3404" t="s">
        <v>31</v>
      </c>
      <c r="E3404" t="s">
        <v>336</v>
      </c>
      <c r="F3404" t="s">
        <v>22</v>
      </c>
      <c r="G3404" t="s">
        <v>18</v>
      </c>
      <c r="H3404" s="3">
        <v>7</v>
      </c>
      <c r="I3404" s="3">
        <v>8960</v>
      </c>
      <c r="J3404" s="3">
        <v>62720</v>
      </c>
      <c r="K3404" s="3">
        <v>7000</v>
      </c>
      <c r="L3404" s="3">
        <v>49000</v>
      </c>
      <c r="M3404" s="3">
        <v>13720</v>
      </c>
      <c r="N3404" s="4">
        <v>0.21875</v>
      </c>
    </row>
    <row r="3405" spans="1:14" x14ac:dyDescent="0.3">
      <c r="A3405" s="6">
        <v>45901</v>
      </c>
      <c r="B3405" s="1" t="s">
        <v>3589</v>
      </c>
      <c r="C3405" s="1" t="s">
        <v>26</v>
      </c>
      <c r="D3405" t="s">
        <v>34</v>
      </c>
      <c r="E3405" t="s">
        <v>327</v>
      </c>
      <c r="F3405" t="s">
        <v>23</v>
      </c>
      <c r="G3405" t="s">
        <v>25</v>
      </c>
      <c r="H3405" s="3">
        <v>2</v>
      </c>
      <c r="I3405" s="3">
        <v>4064</v>
      </c>
      <c r="J3405" s="3">
        <v>8128</v>
      </c>
      <c r="K3405" s="3">
        <v>3200</v>
      </c>
      <c r="L3405" s="3">
        <v>6400</v>
      </c>
      <c r="M3405" s="3">
        <v>1728</v>
      </c>
      <c r="N3405" s="4">
        <v>0.2125984251968504</v>
      </c>
    </row>
    <row r="3406" spans="1:14" x14ac:dyDescent="0.3">
      <c r="A3406" s="6">
        <v>45901</v>
      </c>
      <c r="B3406" s="1" t="s">
        <v>3590</v>
      </c>
      <c r="C3406" s="1" t="s">
        <v>29</v>
      </c>
      <c r="D3406" t="s">
        <v>35</v>
      </c>
      <c r="E3406" t="s">
        <v>57</v>
      </c>
      <c r="F3406" t="s">
        <v>23</v>
      </c>
      <c r="G3406" t="s">
        <v>25</v>
      </c>
      <c r="H3406" s="3">
        <v>9</v>
      </c>
      <c r="I3406" s="3">
        <v>4192</v>
      </c>
      <c r="J3406" s="3">
        <v>37728</v>
      </c>
      <c r="K3406" s="3">
        <v>3200</v>
      </c>
      <c r="L3406" s="3">
        <v>28800</v>
      </c>
      <c r="M3406" s="3">
        <v>8928</v>
      </c>
      <c r="N3406" s="4">
        <v>0.23664122137404581</v>
      </c>
    </row>
    <row r="3407" spans="1:14" x14ac:dyDescent="0.3">
      <c r="A3407" s="6">
        <v>45901</v>
      </c>
      <c r="B3407" s="1" t="s">
        <v>3591</v>
      </c>
      <c r="C3407" s="1" t="s">
        <v>26</v>
      </c>
      <c r="D3407" t="s">
        <v>31</v>
      </c>
      <c r="E3407" t="s">
        <v>222</v>
      </c>
      <c r="F3407" t="s">
        <v>23</v>
      </c>
      <c r="G3407" t="s">
        <v>25</v>
      </c>
      <c r="H3407" s="3">
        <v>7</v>
      </c>
      <c r="I3407" s="3">
        <v>4128</v>
      </c>
      <c r="J3407" s="3">
        <v>28896</v>
      </c>
      <c r="K3407" s="3">
        <v>3200</v>
      </c>
      <c r="L3407" s="3">
        <v>22400</v>
      </c>
      <c r="M3407" s="3">
        <v>6496</v>
      </c>
      <c r="N3407" s="4">
        <v>0.22480620155038761</v>
      </c>
    </row>
    <row r="3408" spans="1:14" x14ac:dyDescent="0.3">
      <c r="A3408" s="6">
        <v>45901</v>
      </c>
      <c r="B3408" s="1" t="s">
        <v>3592</v>
      </c>
      <c r="C3408" s="1" t="s">
        <v>27</v>
      </c>
      <c r="D3408" t="s">
        <v>33</v>
      </c>
      <c r="E3408" t="s">
        <v>61</v>
      </c>
      <c r="F3408" t="s">
        <v>14</v>
      </c>
      <c r="G3408" t="s">
        <v>15</v>
      </c>
      <c r="H3408" s="3">
        <v>1</v>
      </c>
      <c r="I3408" s="3">
        <v>54000</v>
      </c>
      <c r="J3408" s="3">
        <v>54000</v>
      </c>
      <c r="K3408" s="3">
        <v>45000</v>
      </c>
      <c r="L3408" s="3">
        <v>45000</v>
      </c>
      <c r="M3408" s="3">
        <v>9000</v>
      </c>
      <c r="N3408" s="4">
        <v>0.16666666666666666</v>
      </c>
    </row>
    <row r="3409" spans="1:14" x14ac:dyDescent="0.3">
      <c r="A3409" s="6">
        <v>45901</v>
      </c>
      <c r="B3409" s="1" t="s">
        <v>3593</v>
      </c>
      <c r="C3409" s="1" t="s">
        <v>29</v>
      </c>
      <c r="D3409" t="s">
        <v>32</v>
      </c>
      <c r="E3409" t="s">
        <v>59</v>
      </c>
      <c r="F3409" t="s">
        <v>16</v>
      </c>
      <c r="G3409" t="s">
        <v>15</v>
      </c>
      <c r="H3409" s="3">
        <v>3</v>
      </c>
      <c r="I3409" s="3">
        <v>46360</v>
      </c>
      <c r="J3409" s="3">
        <v>139080</v>
      </c>
      <c r="K3409" s="3">
        <v>38000</v>
      </c>
      <c r="L3409" s="3">
        <v>114000</v>
      </c>
      <c r="M3409" s="3">
        <v>25080</v>
      </c>
      <c r="N3409" s="4">
        <v>0.18032786885245902</v>
      </c>
    </row>
    <row r="3410" spans="1:14" x14ac:dyDescent="0.3">
      <c r="A3410" s="6">
        <v>45901</v>
      </c>
      <c r="B3410" s="1" t="s">
        <v>3594</v>
      </c>
      <c r="C3410" s="1" t="s">
        <v>26</v>
      </c>
      <c r="D3410" t="s">
        <v>35</v>
      </c>
      <c r="E3410" t="s">
        <v>807</v>
      </c>
      <c r="F3410" t="s">
        <v>19</v>
      </c>
      <c r="G3410" t="s">
        <v>20</v>
      </c>
      <c r="H3410" s="3">
        <v>5</v>
      </c>
      <c r="I3410" s="3">
        <v>1170</v>
      </c>
      <c r="J3410" s="3">
        <v>5850</v>
      </c>
      <c r="K3410" s="3">
        <v>900</v>
      </c>
      <c r="L3410" s="3">
        <v>4500</v>
      </c>
      <c r="M3410" s="3">
        <v>1350</v>
      </c>
      <c r="N3410" s="4">
        <v>0.23076923076923078</v>
      </c>
    </row>
    <row r="3411" spans="1:14" x14ac:dyDescent="0.3">
      <c r="A3411" s="6">
        <v>45901</v>
      </c>
      <c r="B3411" s="1" t="s">
        <v>3595</v>
      </c>
      <c r="C3411" s="1" t="s">
        <v>26</v>
      </c>
      <c r="D3411" t="s">
        <v>35</v>
      </c>
      <c r="E3411" t="s">
        <v>310</v>
      </c>
      <c r="F3411" t="s">
        <v>21</v>
      </c>
      <c r="G3411" t="s">
        <v>20</v>
      </c>
      <c r="H3411" s="3">
        <v>1</v>
      </c>
      <c r="I3411" s="3">
        <v>792</v>
      </c>
      <c r="J3411" s="3">
        <v>792</v>
      </c>
      <c r="K3411" s="3">
        <v>600</v>
      </c>
      <c r="L3411" s="3">
        <v>600</v>
      </c>
      <c r="M3411" s="3">
        <v>192</v>
      </c>
      <c r="N3411" s="4">
        <v>0.24242424242424243</v>
      </c>
    </row>
    <row r="3412" spans="1:14" x14ac:dyDescent="0.3">
      <c r="A3412" s="6">
        <v>45901</v>
      </c>
      <c r="B3412" s="1" t="s">
        <v>3596</v>
      </c>
      <c r="C3412" s="1" t="s">
        <v>29</v>
      </c>
      <c r="D3412" t="s">
        <v>35</v>
      </c>
      <c r="E3412" t="s">
        <v>74</v>
      </c>
      <c r="F3412" t="s">
        <v>16</v>
      </c>
      <c r="G3412" t="s">
        <v>15</v>
      </c>
      <c r="H3412" s="3">
        <v>6</v>
      </c>
      <c r="I3412" s="3">
        <v>48640</v>
      </c>
      <c r="J3412" s="3">
        <v>291840</v>
      </c>
      <c r="K3412" s="3">
        <v>38000</v>
      </c>
      <c r="L3412" s="3">
        <v>228000</v>
      </c>
      <c r="M3412" s="3">
        <v>63840</v>
      </c>
      <c r="N3412" s="4">
        <v>0.21875</v>
      </c>
    </row>
    <row r="3413" spans="1:14" x14ac:dyDescent="0.3">
      <c r="A3413" s="6">
        <v>45901</v>
      </c>
      <c r="B3413" s="1" t="s">
        <v>3597</v>
      </c>
      <c r="C3413" s="1" t="s">
        <v>29</v>
      </c>
      <c r="D3413" t="s">
        <v>35</v>
      </c>
      <c r="E3413" t="s">
        <v>226</v>
      </c>
      <c r="F3413" t="s">
        <v>19</v>
      </c>
      <c r="G3413" t="s">
        <v>20</v>
      </c>
      <c r="H3413" s="3">
        <v>4</v>
      </c>
      <c r="I3413" s="3">
        <v>1134</v>
      </c>
      <c r="J3413" s="3">
        <v>4536</v>
      </c>
      <c r="K3413" s="3">
        <v>900</v>
      </c>
      <c r="L3413" s="3">
        <v>3600</v>
      </c>
      <c r="M3413" s="3">
        <v>936</v>
      </c>
      <c r="N3413" s="4">
        <v>0.20634920634920634</v>
      </c>
    </row>
    <row r="3414" spans="1:14" x14ac:dyDescent="0.3">
      <c r="A3414" s="6">
        <v>45901</v>
      </c>
      <c r="B3414" s="1" t="s">
        <v>3598</v>
      </c>
      <c r="C3414" s="1" t="s">
        <v>26</v>
      </c>
      <c r="D3414" t="s">
        <v>33</v>
      </c>
      <c r="E3414" t="s">
        <v>49</v>
      </c>
      <c r="F3414" t="s">
        <v>17</v>
      </c>
      <c r="G3414" t="s">
        <v>18</v>
      </c>
      <c r="H3414" s="3">
        <v>5</v>
      </c>
      <c r="I3414" s="3">
        <v>10710</v>
      </c>
      <c r="J3414" s="3">
        <v>53550</v>
      </c>
      <c r="K3414" s="3">
        <v>8500</v>
      </c>
      <c r="L3414" s="3">
        <v>42500</v>
      </c>
      <c r="M3414" s="3">
        <v>11050</v>
      </c>
      <c r="N3414" s="4">
        <v>0.20634920634920634</v>
      </c>
    </row>
    <row r="3415" spans="1:14" x14ac:dyDescent="0.3">
      <c r="A3415" s="6">
        <v>45901</v>
      </c>
      <c r="B3415" s="1" t="s">
        <v>3599</v>
      </c>
      <c r="C3415" s="1" t="s">
        <v>27</v>
      </c>
      <c r="D3415" t="s">
        <v>35</v>
      </c>
      <c r="E3415" t="s">
        <v>275</v>
      </c>
      <c r="F3415" t="s">
        <v>24</v>
      </c>
      <c r="G3415" t="s">
        <v>25</v>
      </c>
      <c r="H3415" s="3">
        <v>3</v>
      </c>
      <c r="I3415" s="3">
        <v>3025</v>
      </c>
      <c r="J3415" s="3">
        <v>9075</v>
      </c>
      <c r="K3415" s="3">
        <v>2500</v>
      </c>
      <c r="L3415" s="3">
        <v>7500</v>
      </c>
      <c r="M3415" s="3">
        <v>1575</v>
      </c>
      <c r="N3415" s="4">
        <v>0.17355371900826447</v>
      </c>
    </row>
    <row r="3416" spans="1:14" x14ac:dyDescent="0.3">
      <c r="A3416" s="6">
        <v>45902</v>
      </c>
      <c r="B3416" s="1" t="s">
        <v>3600</v>
      </c>
      <c r="C3416" s="1" t="s">
        <v>27</v>
      </c>
      <c r="D3416" t="s">
        <v>34</v>
      </c>
      <c r="E3416" t="s">
        <v>65</v>
      </c>
      <c r="F3416" t="s">
        <v>19</v>
      </c>
      <c r="G3416" t="s">
        <v>20</v>
      </c>
      <c r="H3416" s="3">
        <v>7</v>
      </c>
      <c r="I3416" s="3">
        <v>1179</v>
      </c>
      <c r="J3416" s="3">
        <v>8253</v>
      </c>
      <c r="K3416" s="3">
        <v>900</v>
      </c>
      <c r="L3416" s="3">
        <v>6300</v>
      </c>
      <c r="M3416" s="3">
        <v>1953</v>
      </c>
      <c r="N3416" s="4">
        <v>0.23664122137404581</v>
      </c>
    </row>
    <row r="3417" spans="1:14" x14ac:dyDescent="0.3">
      <c r="A3417" s="6">
        <v>45902</v>
      </c>
      <c r="B3417" s="1" t="s">
        <v>3601</v>
      </c>
      <c r="C3417" s="1" t="s">
        <v>29</v>
      </c>
      <c r="D3417" t="s">
        <v>35</v>
      </c>
      <c r="E3417" t="s">
        <v>302</v>
      </c>
      <c r="F3417" t="s">
        <v>14</v>
      </c>
      <c r="G3417" t="s">
        <v>15</v>
      </c>
      <c r="H3417" s="3">
        <v>4</v>
      </c>
      <c r="I3417" s="3">
        <v>59850</v>
      </c>
      <c r="J3417" s="3">
        <v>239400</v>
      </c>
      <c r="K3417" s="3">
        <v>45000</v>
      </c>
      <c r="L3417" s="3">
        <v>180000</v>
      </c>
      <c r="M3417" s="3">
        <v>59400</v>
      </c>
      <c r="N3417" s="4">
        <v>0.24812030075187969</v>
      </c>
    </row>
    <row r="3418" spans="1:14" x14ac:dyDescent="0.3">
      <c r="A3418" s="6">
        <v>45902</v>
      </c>
      <c r="B3418" s="1" t="s">
        <v>3602</v>
      </c>
      <c r="C3418" s="1" t="s">
        <v>29</v>
      </c>
      <c r="D3418" t="s">
        <v>35</v>
      </c>
      <c r="E3418" t="s">
        <v>427</v>
      </c>
      <c r="F3418" t="s">
        <v>14</v>
      </c>
      <c r="G3418" t="s">
        <v>15</v>
      </c>
      <c r="H3418" s="3">
        <v>9</v>
      </c>
      <c r="I3418" s="3">
        <v>54900</v>
      </c>
      <c r="J3418" s="3">
        <v>494100</v>
      </c>
      <c r="K3418" s="3">
        <v>45000</v>
      </c>
      <c r="L3418" s="3">
        <v>405000</v>
      </c>
      <c r="M3418" s="3">
        <v>89100</v>
      </c>
      <c r="N3418" s="4">
        <v>0.18032786885245902</v>
      </c>
    </row>
    <row r="3419" spans="1:14" x14ac:dyDescent="0.3">
      <c r="A3419" s="6">
        <v>45902</v>
      </c>
      <c r="B3419" s="1" t="s">
        <v>3603</v>
      </c>
      <c r="C3419" s="1" t="s">
        <v>29</v>
      </c>
      <c r="D3419" t="s">
        <v>30</v>
      </c>
      <c r="E3419" t="s">
        <v>275</v>
      </c>
      <c r="F3419" t="s">
        <v>21</v>
      </c>
      <c r="G3419" t="s">
        <v>20</v>
      </c>
      <c r="H3419" s="3">
        <v>2</v>
      </c>
      <c r="I3419" s="3">
        <v>792</v>
      </c>
      <c r="J3419" s="3">
        <v>1584</v>
      </c>
      <c r="K3419" s="3">
        <v>600</v>
      </c>
      <c r="L3419" s="3">
        <v>1200</v>
      </c>
      <c r="M3419" s="3">
        <v>384</v>
      </c>
      <c r="N3419" s="4">
        <v>0.24242424242424243</v>
      </c>
    </row>
    <row r="3420" spans="1:14" x14ac:dyDescent="0.3">
      <c r="A3420" s="6">
        <v>45902</v>
      </c>
      <c r="B3420" s="1" t="s">
        <v>3604</v>
      </c>
      <c r="C3420" s="1" t="s">
        <v>29</v>
      </c>
      <c r="D3420" t="s">
        <v>33</v>
      </c>
      <c r="E3420" t="s">
        <v>349</v>
      </c>
      <c r="F3420" t="s">
        <v>21</v>
      </c>
      <c r="G3420" t="s">
        <v>20</v>
      </c>
      <c r="H3420" s="3">
        <v>1</v>
      </c>
      <c r="I3420" s="3">
        <v>846</v>
      </c>
      <c r="J3420" s="3">
        <v>846</v>
      </c>
      <c r="K3420" s="3">
        <v>600</v>
      </c>
      <c r="L3420" s="3">
        <v>600</v>
      </c>
      <c r="M3420" s="3">
        <v>246</v>
      </c>
      <c r="N3420" s="4">
        <v>0.29078014184397161</v>
      </c>
    </row>
    <row r="3421" spans="1:14" x14ac:dyDescent="0.3">
      <c r="A3421" s="6">
        <v>45902</v>
      </c>
      <c r="B3421" s="1" t="s">
        <v>3605</v>
      </c>
      <c r="C3421" s="1" t="s">
        <v>29</v>
      </c>
      <c r="D3421" t="s">
        <v>32</v>
      </c>
      <c r="E3421" t="s">
        <v>65</v>
      </c>
      <c r="F3421" t="s">
        <v>16</v>
      </c>
      <c r="G3421" t="s">
        <v>15</v>
      </c>
      <c r="H3421" s="3">
        <v>1</v>
      </c>
      <c r="I3421" s="3">
        <v>50540</v>
      </c>
      <c r="J3421" s="3">
        <v>50540</v>
      </c>
      <c r="K3421" s="3">
        <v>38000</v>
      </c>
      <c r="L3421" s="3">
        <v>38000</v>
      </c>
      <c r="M3421" s="3">
        <v>12540</v>
      </c>
      <c r="N3421" s="4">
        <v>0.24812030075187969</v>
      </c>
    </row>
    <row r="3422" spans="1:14" x14ac:dyDescent="0.3">
      <c r="A3422" s="6">
        <v>45902</v>
      </c>
      <c r="B3422" s="1" t="s">
        <v>3606</v>
      </c>
      <c r="C3422" s="1" t="s">
        <v>28</v>
      </c>
      <c r="D3422" t="s">
        <v>31</v>
      </c>
      <c r="E3422" t="s">
        <v>37</v>
      </c>
      <c r="F3422" t="s">
        <v>22</v>
      </c>
      <c r="G3422" t="s">
        <v>18</v>
      </c>
      <c r="H3422" s="3">
        <v>2</v>
      </c>
      <c r="I3422" s="3">
        <v>9310</v>
      </c>
      <c r="J3422" s="3">
        <v>18620</v>
      </c>
      <c r="K3422" s="3">
        <v>7000</v>
      </c>
      <c r="L3422" s="3">
        <v>14000</v>
      </c>
      <c r="M3422" s="3">
        <v>4620</v>
      </c>
      <c r="N3422" s="4">
        <v>0.24812030075187969</v>
      </c>
    </row>
    <row r="3423" spans="1:14" x14ac:dyDescent="0.3">
      <c r="A3423" s="6">
        <v>45902</v>
      </c>
      <c r="B3423" s="1" t="s">
        <v>3607</v>
      </c>
      <c r="C3423" s="1" t="s">
        <v>26</v>
      </c>
      <c r="D3423" t="s">
        <v>32</v>
      </c>
      <c r="E3423" t="s">
        <v>308</v>
      </c>
      <c r="F3423" t="s">
        <v>16</v>
      </c>
      <c r="G3423" t="s">
        <v>15</v>
      </c>
      <c r="H3423" s="3">
        <v>2</v>
      </c>
      <c r="I3423" s="3">
        <v>53960</v>
      </c>
      <c r="J3423" s="3">
        <v>107920</v>
      </c>
      <c r="K3423" s="3">
        <v>38000</v>
      </c>
      <c r="L3423" s="3">
        <v>76000</v>
      </c>
      <c r="M3423" s="3">
        <v>31920</v>
      </c>
      <c r="N3423" s="4">
        <v>0.29577464788732394</v>
      </c>
    </row>
    <row r="3424" spans="1:14" x14ac:dyDescent="0.3">
      <c r="A3424" s="6">
        <v>45902</v>
      </c>
      <c r="B3424" s="1" t="s">
        <v>3608</v>
      </c>
      <c r="C3424" s="1" t="s">
        <v>29</v>
      </c>
      <c r="D3424" t="s">
        <v>34</v>
      </c>
      <c r="E3424" t="s">
        <v>321</v>
      </c>
      <c r="F3424" t="s">
        <v>14</v>
      </c>
      <c r="G3424" t="s">
        <v>15</v>
      </c>
      <c r="H3424" s="3">
        <v>8</v>
      </c>
      <c r="I3424" s="3">
        <v>62099.999999999993</v>
      </c>
      <c r="J3424" s="3">
        <v>496799.99999999994</v>
      </c>
      <c r="K3424" s="3">
        <v>45000</v>
      </c>
      <c r="L3424" s="3">
        <v>360000</v>
      </c>
      <c r="M3424" s="3">
        <v>136799.99999999994</v>
      </c>
      <c r="N3424" s="4">
        <v>0.2753623188405796</v>
      </c>
    </row>
    <row r="3425" spans="1:14" x14ac:dyDescent="0.3">
      <c r="A3425" s="6">
        <v>45902</v>
      </c>
      <c r="B3425" s="1" t="s">
        <v>3609</v>
      </c>
      <c r="C3425" s="1" t="s">
        <v>29</v>
      </c>
      <c r="D3425" t="s">
        <v>30</v>
      </c>
      <c r="E3425" t="s">
        <v>155</v>
      </c>
      <c r="F3425" t="s">
        <v>17</v>
      </c>
      <c r="G3425" t="s">
        <v>18</v>
      </c>
      <c r="H3425" s="3">
        <v>7</v>
      </c>
      <c r="I3425" s="3">
        <v>12325</v>
      </c>
      <c r="J3425" s="3">
        <v>86275</v>
      </c>
      <c r="K3425" s="3">
        <v>8500</v>
      </c>
      <c r="L3425" s="3">
        <v>59500</v>
      </c>
      <c r="M3425" s="3">
        <v>26775</v>
      </c>
      <c r="N3425" s="4">
        <v>0.31034482758620691</v>
      </c>
    </row>
    <row r="3426" spans="1:14" x14ac:dyDescent="0.3">
      <c r="A3426" s="6">
        <v>45902</v>
      </c>
      <c r="B3426" s="1" t="s">
        <v>3610</v>
      </c>
      <c r="C3426" s="1" t="s">
        <v>26</v>
      </c>
      <c r="D3426" t="s">
        <v>30</v>
      </c>
      <c r="E3426" t="s">
        <v>308</v>
      </c>
      <c r="F3426" t="s">
        <v>24</v>
      </c>
      <c r="G3426" t="s">
        <v>25</v>
      </c>
      <c r="H3426" s="3">
        <v>8</v>
      </c>
      <c r="I3426" s="3">
        <v>3600</v>
      </c>
      <c r="J3426" s="3">
        <v>28800</v>
      </c>
      <c r="K3426" s="3">
        <v>2500</v>
      </c>
      <c r="L3426" s="3">
        <v>20000</v>
      </c>
      <c r="M3426" s="3">
        <v>8800</v>
      </c>
      <c r="N3426" s="4">
        <v>0.30555555555555558</v>
      </c>
    </row>
    <row r="3427" spans="1:14" x14ac:dyDescent="0.3">
      <c r="A3427" s="6">
        <v>45902</v>
      </c>
      <c r="B3427" s="1" t="s">
        <v>3611</v>
      </c>
      <c r="C3427" s="1" t="s">
        <v>26</v>
      </c>
      <c r="D3427" t="s">
        <v>30</v>
      </c>
      <c r="E3427" t="s">
        <v>151</v>
      </c>
      <c r="F3427" t="s">
        <v>19</v>
      </c>
      <c r="G3427" t="s">
        <v>20</v>
      </c>
      <c r="H3427" s="3">
        <v>2</v>
      </c>
      <c r="I3427" s="3">
        <v>1233</v>
      </c>
      <c r="J3427" s="3">
        <v>2466</v>
      </c>
      <c r="K3427" s="3">
        <v>900</v>
      </c>
      <c r="L3427" s="3">
        <v>1800</v>
      </c>
      <c r="M3427" s="3">
        <v>666</v>
      </c>
      <c r="N3427" s="4">
        <v>0.27007299270072993</v>
      </c>
    </row>
    <row r="3428" spans="1:14" x14ac:dyDescent="0.3">
      <c r="A3428" s="6">
        <v>45902</v>
      </c>
      <c r="B3428" s="1" t="s">
        <v>3612</v>
      </c>
      <c r="C3428" s="1" t="s">
        <v>26</v>
      </c>
      <c r="D3428" t="s">
        <v>34</v>
      </c>
      <c r="E3428" t="s">
        <v>409</v>
      </c>
      <c r="F3428" t="s">
        <v>21</v>
      </c>
      <c r="G3428" t="s">
        <v>20</v>
      </c>
      <c r="H3428" s="3">
        <v>1</v>
      </c>
      <c r="I3428" s="3">
        <v>792</v>
      </c>
      <c r="J3428" s="3">
        <v>792</v>
      </c>
      <c r="K3428" s="3">
        <v>600</v>
      </c>
      <c r="L3428" s="3">
        <v>600</v>
      </c>
      <c r="M3428" s="3">
        <v>192</v>
      </c>
      <c r="N3428" s="4">
        <v>0.24242424242424243</v>
      </c>
    </row>
    <row r="3429" spans="1:14" x14ac:dyDescent="0.3">
      <c r="A3429" s="6">
        <v>45902</v>
      </c>
      <c r="B3429" s="1" t="s">
        <v>3613</v>
      </c>
      <c r="C3429" s="1" t="s">
        <v>27</v>
      </c>
      <c r="D3429" t="s">
        <v>33</v>
      </c>
      <c r="E3429" t="s">
        <v>151</v>
      </c>
      <c r="F3429" t="s">
        <v>22</v>
      </c>
      <c r="G3429" t="s">
        <v>18</v>
      </c>
      <c r="H3429" s="3">
        <v>1</v>
      </c>
      <c r="I3429" s="3">
        <v>9240</v>
      </c>
      <c r="J3429" s="3">
        <v>9240</v>
      </c>
      <c r="K3429" s="3">
        <v>7000</v>
      </c>
      <c r="L3429" s="3">
        <v>7000</v>
      </c>
      <c r="M3429" s="3">
        <v>2240</v>
      </c>
      <c r="N3429" s="4">
        <v>0.24242424242424243</v>
      </c>
    </row>
    <row r="3430" spans="1:14" x14ac:dyDescent="0.3">
      <c r="A3430" s="6">
        <v>45903</v>
      </c>
      <c r="B3430" s="1" t="s">
        <v>3614</v>
      </c>
      <c r="C3430" s="1" t="s">
        <v>27</v>
      </c>
      <c r="D3430" t="s">
        <v>35</v>
      </c>
      <c r="E3430" t="s">
        <v>204</v>
      </c>
      <c r="F3430" t="s">
        <v>17</v>
      </c>
      <c r="G3430" t="s">
        <v>18</v>
      </c>
      <c r="H3430" s="3">
        <v>4</v>
      </c>
      <c r="I3430" s="3">
        <v>11900</v>
      </c>
      <c r="J3430" s="3">
        <v>47600</v>
      </c>
      <c r="K3430" s="3">
        <v>8500</v>
      </c>
      <c r="L3430" s="3">
        <v>34000</v>
      </c>
      <c r="M3430" s="3">
        <v>13600</v>
      </c>
      <c r="N3430" s="4">
        <v>0.2857142857142857</v>
      </c>
    </row>
    <row r="3431" spans="1:14" x14ac:dyDescent="0.3">
      <c r="A3431" s="6">
        <v>45903</v>
      </c>
      <c r="B3431" s="1" t="s">
        <v>3615</v>
      </c>
      <c r="C3431" s="1" t="s">
        <v>29</v>
      </c>
      <c r="D3431" t="s">
        <v>34</v>
      </c>
      <c r="E3431" t="s">
        <v>302</v>
      </c>
      <c r="F3431" t="s">
        <v>14</v>
      </c>
      <c r="G3431" t="s">
        <v>15</v>
      </c>
      <c r="H3431" s="3">
        <v>8</v>
      </c>
      <c r="I3431" s="3">
        <v>57150</v>
      </c>
      <c r="J3431" s="3">
        <v>457200</v>
      </c>
      <c r="K3431" s="3">
        <v>45000</v>
      </c>
      <c r="L3431" s="3">
        <v>360000</v>
      </c>
      <c r="M3431" s="3">
        <v>97200</v>
      </c>
      <c r="N3431" s="4">
        <v>0.2125984251968504</v>
      </c>
    </row>
    <row r="3432" spans="1:14" x14ac:dyDescent="0.3">
      <c r="A3432" s="6">
        <v>45903</v>
      </c>
      <c r="B3432" s="1" t="s">
        <v>3616</v>
      </c>
      <c r="C3432" s="1" t="s">
        <v>28</v>
      </c>
      <c r="D3432" t="s">
        <v>32</v>
      </c>
      <c r="E3432" t="s">
        <v>81</v>
      </c>
      <c r="F3432" t="s">
        <v>23</v>
      </c>
      <c r="G3432" t="s">
        <v>25</v>
      </c>
      <c r="H3432" s="3">
        <v>3</v>
      </c>
      <c r="I3432" s="3">
        <v>4640</v>
      </c>
      <c r="J3432" s="3">
        <v>13920</v>
      </c>
      <c r="K3432" s="3">
        <v>3200</v>
      </c>
      <c r="L3432" s="3">
        <v>9600</v>
      </c>
      <c r="M3432" s="3">
        <v>4320</v>
      </c>
      <c r="N3432" s="4">
        <v>0.31034482758620691</v>
      </c>
    </row>
    <row r="3433" spans="1:14" x14ac:dyDescent="0.3">
      <c r="A3433" s="6">
        <v>45903</v>
      </c>
      <c r="B3433" s="1" t="s">
        <v>3617</v>
      </c>
      <c r="C3433" s="1" t="s">
        <v>29</v>
      </c>
      <c r="D3433" t="s">
        <v>32</v>
      </c>
      <c r="E3433" t="s">
        <v>431</v>
      </c>
      <c r="F3433" t="s">
        <v>23</v>
      </c>
      <c r="G3433" t="s">
        <v>25</v>
      </c>
      <c r="H3433" s="3">
        <v>1</v>
      </c>
      <c r="I3433" s="3">
        <v>4128</v>
      </c>
      <c r="J3433" s="3">
        <v>4128</v>
      </c>
      <c r="K3433" s="3">
        <v>3200</v>
      </c>
      <c r="L3433" s="3">
        <v>3200</v>
      </c>
      <c r="M3433" s="3">
        <v>928</v>
      </c>
      <c r="N3433" s="4">
        <v>0.22480620155038761</v>
      </c>
    </row>
    <row r="3434" spans="1:14" x14ac:dyDescent="0.3">
      <c r="A3434" s="6">
        <v>45903</v>
      </c>
      <c r="B3434" s="1" t="s">
        <v>3618</v>
      </c>
      <c r="C3434" s="1" t="s">
        <v>26</v>
      </c>
      <c r="D3434" t="s">
        <v>30</v>
      </c>
      <c r="E3434" t="s">
        <v>304</v>
      </c>
      <c r="F3434" t="s">
        <v>19</v>
      </c>
      <c r="G3434" t="s">
        <v>20</v>
      </c>
      <c r="H3434" s="3">
        <v>1</v>
      </c>
      <c r="I3434" s="3">
        <v>1116</v>
      </c>
      <c r="J3434" s="3">
        <v>1116</v>
      </c>
      <c r="K3434" s="3">
        <v>900</v>
      </c>
      <c r="L3434" s="3">
        <v>900</v>
      </c>
      <c r="M3434" s="3">
        <v>216</v>
      </c>
      <c r="N3434" s="4">
        <v>0.19354838709677419</v>
      </c>
    </row>
    <row r="3435" spans="1:14" x14ac:dyDescent="0.3">
      <c r="A3435" s="6">
        <v>45903</v>
      </c>
      <c r="B3435" s="1" t="s">
        <v>3619</v>
      </c>
      <c r="C3435" s="1" t="s">
        <v>29</v>
      </c>
      <c r="D3435" t="s">
        <v>32</v>
      </c>
      <c r="E3435" t="s">
        <v>166</v>
      </c>
      <c r="F3435" t="s">
        <v>17</v>
      </c>
      <c r="G3435" t="s">
        <v>18</v>
      </c>
      <c r="H3435" s="3">
        <v>4</v>
      </c>
      <c r="I3435" s="3">
        <v>11475</v>
      </c>
      <c r="J3435" s="3">
        <v>45900</v>
      </c>
      <c r="K3435" s="3">
        <v>8500</v>
      </c>
      <c r="L3435" s="3">
        <v>34000</v>
      </c>
      <c r="M3435" s="3">
        <v>11900</v>
      </c>
      <c r="N3435" s="4">
        <v>0.25925925925925924</v>
      </c>
    </row>
    <row r="3436" spans="1:14" x14ac:dyDescent="0.3">
      <c r="A3436" s="6">
        <v>45903</v>
      </c>
      <c r="B3436" s="1" t="s">
        <v>3620</v>
      </c>
      <c r="C3436" s="1" t="s">
        <v>26</v>
      </c>
      <c r="D3436" t="s">
        <v>32</v>
      </c>
      <c r="E3436" t="s">
        <v>431</v>
      </c>
      <c r="F3436" t="s">
        <v>24</v>
      </c>
      <c r="G3436" t="s">
        <v>25</v>
      </c>
      <c r="H3436" s="3">
        <v>3</v>
      </c>
      <c r="I3436" s="3">
        <v>3025</v>
      </c>
      <c r="J3436" s="3">
        <v>9075</v>
      </c>
      <c r="K3436" s="3">
        <v>2500</v>
      </c>
      <c r="L3436" s="3">
        <v>7500</v>
      </c>
      <c r="M3436" s="3">
        <v>1575</v>
      </c>
      <c r="N3436" s="4">
        <v>0.17355371900826447</v>
      </c>
    </row>
    <row r="3437" spans="1:14" x14ac:dyDescent="0.3">
      <c r="A3437" s="6">
        <v>45903</v>
      </c>
      <c r="B3437" s="1" t="s">
        <v>3621</v>
      </c>
      <c r="C3437" s="1" t="s">
        <v>28</v>
      </c>
      <c r="D3437" t="s">
        <v>32</v>
      </c>
      <c r="E3437" t="s">
        <v>218</v>
      </c>
      <c r="F3437" t="s">
        <v>23</v>
      </c>
      <c r="G3437" t="s">
        <v>25</v>
      </c>
      <c r="H3437" s="3">
        <v>5</v>
      </c>
      <c r="I3437" s="3">
        <v>4096</v>
      </c>
      <c r="J3437" s="3">
        <v>20480</v>
      </c>
      <c r="K3437" s="3">
        <v>3200</v>
      </c>
      <c r="L3437" s="3">
        <v>16000</v>
      </c>
      <c r="M3437" s="3">
        <v>4480</v>
      </c>
      <c r="N3437" s="4">
        <v>0.21875</v>
      </c>
    </row>
    <row r="3438" spans="1:14" x14ac:dyDescent="0.3">
      <c r="A3438" s="6">
        <v>45903</v>
      </c>
      <c r="B3438" s="1" t="s">
        <v>3622</v>
      </c>
      <c r="C3438" s="1" t="s">
        <v>26</v>
      </c>
      <c r="D3438" t="s">
        <v>31</v>
      </c>
      <c r="E3438" t="s">
        <v>363</v>
      </c>
      <c r="F3438" t="s">
        <v>16</v>
      </c>
      <c r="G3438" t="s">
        <v>15</v>
      </c>
      <c r="H3438" s="3">
        <v>10</v>
      </c>
      <c r="I3438" s="3">
        <v>53200</v>
      </c>
      <c r="J3438" s="3">
        <v>532000</v>
      </c>
      <c r="K3438" s="3">
        <v>38000</v>
      </c>
      <c r="L3438" s="3">
        <v>380000</v>
      </c>
      <c r="M3438" s="3">
        <v>152000</v>
      </c>
      <c r="N3438" s="4">
        <v>0.2857142857142857</v>
      </c>
    </row>
    <row r="3439" spans="1:14" x14ac:dyDescent="0.3">
      <c r="A3439" s="6">
        <v>45903</v>
      </c>
      <c r="B3439" s="1" t="s">
        <v>3623</v>
      </c>
      <c r="C3439" s="1" t="s">
        <v>27</v>
      </c>
      <c r="D3439" t="s">
        <v>35</v>
      </c>
      <c r="E3439" t="s">
        <v>175</v>
      </c>
      <c r="F3439" t="s">
        <v>19</v>
      </c>
      <c r="G3439" t="s">
        <v>20</v>
      </c>
      <c r="H3439" s="3">
        <v>2</v>
      </c>
      <c r="I3439" s="3">
        <v>1206</v>
      </c>
      <c r="J3439" s="3">
        <v>2412</v>
      </c>
      <c r="K3439" s="3">
        <v>900</v>
      </c>
      <c r="L3439" s="3">
        <v>1800</v>
      </c>
      <c r="M3439" s="3">
        <v>612</v>
      </c>
      <c r="N3439" s="4">
        <v>0.2537313432835821</v>
      </c>
    </row>
    <row r="3440" spans="1:14" x14ac:dyDescent="0.3">
      <c r="A3440" s="6">
        <v>45903</v>
      </c>
      <c r="B3440" s="1" t="s">
        <v>3624</v>
      </c>
      <c r="C3440" s="1" t="s">
        <v>26</v>
      </c>
      <c r="D3440" t="s">
        <v>30</v>
      </c>
      <c r="E3440" t="s">
        <v>538</v>
      </c>
      <c r="F3440" t="s">
        <v>21</v>
      </c>
      <c r="G3440" t="s">
        <v>20</v>
      </c>
      <c r="H3440" s="3">
        <v>8</v>
      </c>
      <c r="I3440" s="3">
        <v>726</v>
      </c>
      <c r="J3440" s="3">
        <v>5808</v>
      </c>
      <c r="K3440" s="3">
        <v>600</v>
      </c>
      <c r="L3440" s="3">
        <v>4800</v>
      </c>
      <c r="M3440" s="3">
        <v>1008</v>
      </c>
      <c r="N3440" s="4">
        <v>0.17355371900826447</v>
      </c>
    </row>
    <row r="3441" spans="1:14" x14ac:dyDescent="0.3">
      <c r="A3441" s="6">
        <v>45903</v>
      </c>
      <c r="B3441" s="1" t="s">
        <v>3625</v>
      </c>
      <c r="C3441" s="1" t="s">
        <v>28</v>
      </c>
      <c r="D3441" t="s">
        <v>33</v>
      </c>
      <c r="E3441" t="s">
        <v>108</v>
      </c>
      <c r="F3441" t="s">
        <v>17</v>
      </c>
      <c r="G3441" t="s">
        <v>18</v>
      </c>
      <c r="H3441" s="3">
        <v>9</v>
      </c>
      <c r="I3441" s="3">
        <v>10795</v>
      </c>
      <c r="J3441" s="3">
        <v>97155</v>
      </c>
      <c r="K3441" s="3">
        <v>8500</v>
      </c>
      <c r="L3441" s="3">
        <v>76500</v>
      </c>
      <c r="M3441" s="3">
        <v>20655</v>
      </c>
      <c r="N3441" s="4">
        <v>0.2125984251968504</v>
      </c>
    </row>
    <row r="3442" spans="1:14" x14ac:dyDescent="0.3">
      <c r="A3442" s="6">
        <v>45903</v>
      </c>
      <c r="B3442" s="1" t="s">
        <v>3626</v>
      </c>
      <c r="C3442" s="1" t="s">
        <v>29</v>
      </c>
      <c r="D3442" t="s">
        <v>34</v>
      </c>
      <c r="E3442" t="s">
        <v>574</v>
      </c>
      <c r="F3442" t="s">
        <v>22</v>
      </c>
      <c r="G3442" t="s">
        <v>18</v>
      </c>
      <c r="H3442" s="3">
        <v>7</v>
      </c>
      <c r="I3442" s="3">
        <v>10150</v>
      </c>
      <c r="J3442" s="3">
        <v>71050</v>
      </c>
      <c r="K3442" s="3">
        <v>7000</v>
      </c>
      <c r="L3442" s="3">
        <v>49000</v>
      </c>
      <c r="M3442" s="3">
        <v>22050</v>
      </c>
      <c r="N3442" s="4">
        <v>0.31034482758620691</v>
      </c>
    </row>
    <row r="3443" spans="1:14" x14ac:dyDescent="0.3">
      <c r="A3443" s="6">
        <v>45903</v>
      </c>
      <c r="B3443" s="1" t="s">
        <v>3627</v>
      </c>
      <c r="C3443" s="1" t="s">
        <v>26</v>
      </c>
      <c r="D3443" t="s">
        <v>33</v>
      </c>
      <c r="E3443" t="s">
        <v>424</v>
      </c>
      <c r="F3443" t="s">
        <v>16</v>
      </c>
      <c r="G3443" t="s">
        <v>15</v>
      </c>
      <c r="H3443" s="3">
        <v>10</v>
      </c>
      <c r="I3443" s="3">
        <v>50920</v>
      </c>
      <c r="J3443" s="3">
        <v>509200</v>
      </c>
      <c r="K3443" s="3">
        <v>38000</v>
      </c>
      <c r="L3443" s="3">
        <v>380000</v>
      </c>
      <c r="M3443" s="3">
        <v>129200</v>
      </c>
      <c r="N3443" s="4">
        <v>0.2537313432835821</v>
      </c>
    </row>
    <row r="3444" spans="1:14" x14ac:dyDescent="0.3">
      <c r="A3444" s="6">
        <v>45904</v>
      </c>
      <c r="B3444" s="1" t="s">
        <v>3628</v>
      </c>
      <c r="C3444" s="1" t="s">
        <v>28</v>
      </c>
      <c r="D3444" t="s">
        <v>35</v>
      </c>
      <c r="E3444" t="s">
        <v>90</v>
      </c>
      <c r="F3444" t="s">
        <v>24</v>
      </c>
      <c r="G3444" t="s">
        <v>25</v>
      </c>
      <c r="H3444" s="3">
        <v>7</v>
      </c>
      <c r="I3444" s="3">
        <v>3275</v>
      </c>
      <c r="J3444" s="3">
        <v>22925</v>
      </c>
      <c r="K3444" s="3">
        <v>2500</v>
      </c>
      <c r="L3444" s="3">
        <v>17500</v>
      </c>
      <c r="M3444" s="3">
        <v>5425</v>
      </c>
      <c r="N3444" s="4">
        <v>0.23664122137404581</v>
      </c>
    </row>
    <row r="3445" spans="1:14" x14ac:dyDescent="0.3">
      <c r="A3445" s="6">
        <v>45904</v>
      </c>
      <c r="B3445" s="1" t="s">
        <v>3629</v>
      </c>
      <c r="C3445" s="1" t="s">
        <v>28</v>
      </c>
      <c r="D3445" t="s">
        <v>30</v>
      </c>
      <c r="E3445" t="s">
        <v>349</v>
      </c>
      <c r="F3445" t="s">
        <v>17</v>
      </c>
      <c r="G3445" t="s">
        <v>18</v>
      </c>
      <c r="H3445" s="3">
        <v>9</v>
      </c>
      <c r="I3445" s="3">
        <v>10965</v>
      </c>
      <c r="J3445" s="3">
        <v>98685</v>
      </c>
      <c r="K3445" s="3">
        <v>8500</v>
      </c>
      <c r="L3445" s="3">
        <v>76500</v>
      </c>
      <c r="M3445" s="3">
        <v>22185</v>
      </c>
      <c r="N3445" s="4">
        <v>0.22480620155038761</v>
      </c>
    </row>
    <row r="3446" spans="1:14" x14ac:dyDescent="0.3">
      <c r="A3446" s="6">
        <v>45904</v>
      </c>
      <c r="B3446" s="1" t="s">
        <v>3630</v>
      </c>
      <c r="C3446" s="1" t="s">
        <v>28</v>
      </c>
      <c r="D3446" t="s">
        <v>34</v>
      </c>
      <c r="E3446" t="s">
        <v>67</v>
      </c>
      <c r="F3446" t="s">
        <v>19</v>
      </c>
      <c r="G3446" t="s">
        <v>20</v>
      </c>
      <c r="H3446" s="3">
        <v>10</v>
      </c>
      <c r="I3446" s="3">
        <v>1269</v>
      </c>
      <c r="J3446" s="3">
        <v>12690</v>
      </c>
      <c r="K3446" s="3">
        <v>900</v>
      </c>
      <c r="L3446" s="3">
        <v>9000</v>
      </c>
      <c r="M3446" s="3">
        <v>3690</v>
      </c>
      <c r="N3446" s="4">
        <v>0.29078014184397161</v>
      </c>
    </row>
    <row r="3447" spans="1:14" x14ac:dyDescent="0.3">
      <c r="A3447" s="6">
        <v>45904</v>
      </c>
      <c r="B3447" s="1" t="s">
        <v>3631</v>
      </c>
      <c r="C3447" s="1" t="s">
        <v>28</v>
      </c>
      <c r="D3447" t="s">
        <v>32</v>
      </c>
      <c r="E3447" t="s">
        <v>157</v>
      </c>
      <c r="F3447" t="s">
        <v>21</v>
      </c>
      <c r="G3447" t="s">
        <v>20</v>
      </c>
      <c r="H3447" s="3">
        <v>3</v>
      </c>
      <c r="I3447" s="3">
        <v>827.99999999999989</v>
      </c>
      <c r="J3447" s="3">
        <v>2483.9999999999995</v>
      </c>
      <c r="K3447" s="3">
        <v>600</v>
      </c>
      <c r="L3447" s="3">
        <v>1800</v>
      </c>
      <c r="M3447" s="3">
        <v>683.99999999999955</v>
      </c>
      <c r="N3447" s="4">
        <v>0.2753623188405796</v>
      </c>
    </row>
    <row r="3448" spans="1:14" x14ac:dyDescent="0.3">
      <c r="A3448" s="6">
        <v>45904</v>
      </c>
      <c r="B3448" s="1" t="s">
        <v>3632</v>
      </c>
      <c r="C3448" s="1" t="s">
        <v>26</v>
      </c>
      <c r="D3448" t="s">
        <v>33</v>
      </c>
      <c r="E3448" t="s">
        <v>198</v>
      </c>
      <c r="F3448" t="s">
        <v>19</v>
      </c>
      <c r="G3448" t="s">
        <v>20</v>
      </c>
      <c r="H3448" s="3">
        <v>6</v>
      </c>
      <c r="I3448" s="3">
        <v>1107</v>
      </c>
      <c r="J3448" s="3">
        <v>6642</v>
      </c>
      <c r="K3448" s="3">
        <v>900</v>
      </c>
      <c r="L3448" s="3">
        <v>5400</v>
      </c>
      <c r="M3448" s="3">
        <v>1242</v>
      </c>
      <c r="N3448" s="4">
        <v>0.18699186991869918</v>
      </c>
    </row>
    <row r="3449" spans="1:14" x14ac:dyDescent="0.3">
      <c r="A3449" s="6">
        <v>45904</v>
      </c>
      <c r="B3449" s="1" t="s">
        <v>3633</v>
      </c>
      <c r="C3449" s="1" t="s">
        <v>28</v>
      </c>
      <c r="D3449" t="s">
        <v>34</v>
      </c>
      <c r="E3449" t="s">
        <v>409</v>
      </c>
      <c r="F3449" t="s">
        <v>22</v>
      </c>
      <c r="G3449" t="s">
        <v>18</v>
      </c>
      <c r="H3449" s="3">
        <v>3</v>
      </c>
      <c r="I3449" s="3">
        <v>9030</v>
      </c>
      <c r="J3449" s="3">
        <v>27090</v>
      </c>
      <c r="K3449" s="3">
        <v>7000</v>
      </c>
      <c r="L3449" s="3">
        <v>21000</v>
      </c>
      <c r="M3449" s="3">
        <v>6090</v>
      </c>
      <c r="N3449" s="4">
        <v>0.22480620155038761</v>
      </c>
    </row>
    <row r="3450" spans="1:14" x14ac:dyDescent="0.3">
      <c r="A3450" s="6">
        <v>45904</v>
      </c>
      <c r="B3450" s="1" t="s">
        <v>3634</v>
      </c>
      <c r="C3450" s="1" t="s">
        <v>29</v>
      </c>
      <c r="D3450" t="s">
        <v>33</v>
      </c>
      <c r="E3450" t="s">
        <v>155</v>
      </c>
      <c r="F3450" t="s">
        <v>19</v>
      </c>
      <c r="G3450" t="s">
        <v>20</v>
      </c>
      <c r="H3450" s="3">
        <v>4</v>
      </c>
      <c r="I3450" s="3">
        <v>1269</v>
      </c>
      <c r="J3450" s="3">
        <v>5076</v>
      </c>
      <c r="K3450" s="3">
        <v>900</v>
      </c>
      <c r="L3450" s="3">
        <v>3600</v>
      </c>
      <c r="M3450" s="3">
        <v>1476</v>
      </c>
      <c r="N3450" s="4">
        <v>0.29078014184397161</v>
      </c>
    </row>
    <row r="3451" spans="1:14" x14ac:dyDescent="0.3">
      <c r="A3451" s="6">
        <v>45904</v>
      </c>
      <c r="B3451" s="1" t="s">
        <v>3635</v>
      </c>
      <c r="C3451" s="1" t="s">
        <v>27</v>
      </c>
      <c r="D3451" t="s">
        <v>31</v>
      </c>
      <c r="E3451" t="s">
        <v>110</v>
      </c>
      <c r="F3451" t="s">
        <v>24</v>
      </c>
      <c r="G3451" t="s">
        <v>25</v>
      </c>
      <c r="H3451" s="3">
        <v>6</v>
      </c>
      <c r="I3451" s="3">
        <v>3350</v>
      </c>
      <c r="J3451" s="3">
        <v>20100</v>
      </c>
      <c r="K3451" s="3">
        <v>2500</v>
      </c>
      <c r="L3451" s="3">
        <v>15000</v>
      </c>
      <c r="M3451" s="3">
        <v>5100</v>
      </c>
      <c r="N3451" s="4">
        <v>0.2537313432835821</v>
      </c>
    </row>
    <row r="3452" spans="1:14" x14ac:dyDescent="0.3">
      <c r="A3452" s="6">
        <v>45904</v>
      </c>
      <c r="B3452" s="1" t="s">
        <v>3636</v>
      </c>
      <c r="C3452" s="1" t="s">
        <v>26</v>
      </c>
      <c r="D3452" t="s">
        <v>34</v>
      </c>
      <c r="E3452" t="s">
        <v>120</v>
      </c>
      <c r="F3452" t="s">
        <v>19</v>
      </c>
      <c r="G3452" t="s">
        <v>20</v>
      </c>
      <c r="H3452" s="3">
        <v>7</v>
      </c>
      <c r="I3452" s="3">
        <v>1188</v>
      </c>
      <c r="J3452" s="3">
        <v>8316</v>
      </c>
      <c r="K3452" s="3">
        <v>900</v>
      </c>
      <c r="L3452" s="3">
        <v>6300</v>
      </c>
      <c r="M3452" s="3">
        <v>2016</v>
      </c>
      <c r="N3452" s="4">
        <v>0.24242424242424243</v>
      </c>
    </row>
    <row r="3453" spans="1:14" x14ac:dyDescent="0.3">
      <c r="A3453" s="6">
        <v>45904</v>
      </c>
      <c r="B3453" s="1" t="s">
        <v>3637</v>
      </c>
      <c r="C3453" s="1" t="s">
        <v>27</v>
      </c>
      <c r="D3453" t="s">
        <v>35</v>
      </c>
      <c r="E3453" t="s">
        <v>63</v>
      </c>
      <c r="F3453" t="s">
        <v>14</v>
      </c>
      <c r="G3453" t="s">
        <v>15</v>
      </c>
      <c r="H3453" s="3">
        <v>6</v>
      </c>
      <c r="I3453" s="3">
        <v>55350</v>
      </c>
      <c r="J3453" s="3">
        <v>332100</v>
      </c>
      <c r="K3453" s="3">
        <v>45000</v>
      </c>
      <c r="L3453" s="3">
        <v>270000</v>
      </c>
      <c r="M3453" s="3">
        <v>62100</v>
      </c>
      <c r="N3453" s="4">
        <v>0.18699186991869918</v>
      </c>
    </row>
    <row r="3454" spans="1:14" x14ac:dyDescent="0.3">
      <c r="A3454" s="6">
        <v>45904</v>
      </c>
      <c r="B3454" s="1" t="s">
        <v>3638</v>
      </c>
      <c r="C3454" s="1" t="s">
        <v>26</v>
      </c>
      <c r="D3454" t="s">
        <v>33</v>
      </c>
      <c r="E3454" t="s">
        <v>106</v>
      </c>
      <c r="F3454" t="s">
        <v>16</v>
      </c>
      <c r="G3454" t="s">
        <v>15</v>
      </c>
      <c r="H3454" s="3">
        <v>7</v>
      </c>
      <c r="I3454" s="3">
        <v>54340</v>
      </c>
      <c r="J3454" s="3">
        <v>380380</v>
      </c>
      <c r="K3454" s="3">
        <v>38000</v>
      </c>
      <c r="L3454" s="3">
        <v>266000</v>
      </c>
      <c r="M3454" s="3">
        <v>114380</v>
      </c>
      <c r="N3454" s="4">
        <v>0.30069930069930068</v>
      </c>
    </row>
    <row r="3455" spans="1:14" x14ac:dyDescent="0.3">
      <c r="A3455" s="6">
        <v>45904</v>
      </c>
      <c r="B3455" s="1" t="s">
        <v>3639</v>
      </c>
      <c r="C3455" s="1" t="s">
        <v>29</v>
      </c>
      <c r="D3455" t="s">
        <v>30</v>
      </c>
      <c r="E3455" t="s">
        <v>204</v>
      </c>
      <c r="F3455" t="s">
        <v>22</v>
      </c>
      <c r="G3455" t="s">
        <v>18</v>
      </c>
      <c r="H3455" s="3">
        <v>6</v>
      </c>
      <c r="I3455" s="3">
        <v>8610</v>
      </c>
      <c r="J3455" s="3">
        <v>51660</v>
      </c>
      <c r="K3455" s="3">
        <v>7000</v>
      </c>
      <c r="L3455" s="3">
        <v>42000</v>
      </c>
      <c r="M3455" s="3">
        <v>9660</v>
      </c>
      <c r="N3455" s="4">
        <v>0.18699186991869918</v>
      </c>
    </row>
    <row r="3456" spans="1:14" x14ac:dyDescent="0.3">
      <c r="A3456" s="6">
        <v>45904</v>
      </c>
      <c r="B3456" s="1" t="s">
        <v>3640</v>
      </c>
      <c r="C3456" s="1" t="s">
        <v>27</v>
      </c>
      <c r="D3456" t="s">
        <v>34</v>
      </c>
      <c r="E3456" t="s">
        <v>427</v>
      </c>
      <c r="F3456" t="s">
        <v>17</v>
      </c>
      <c r="G3456" t="s">
        <v>18</v>
      </c>
      <c r="H3456" s="3">
        <v>1</v>
      </c>
      <c r="I3456" s="3">
        <v>10710</v>
      </c>
      <c r="J3456" s="3">
        <v>10710</v>
      </c>
      <c r="K3456" s="3">
        <v>8500</v>
      </c>
      <c r="L3456" s="3">
        <v>8500</v>
      </c>
      <c r="M3456" s="3">
        <v>2210</v>
      </c>
      <c r="N3456" s="4">
        <v>0.20634920634920634</v>
      </c>
    </row>
    <row r="3457" spans="1:14" x14ac:dyDescent="0.3">
      <c r="A3457" s="6">
        <v>45904</v>
      </c>
      <c r="B3457" s="1" t="s">
        <v>3641</v>
      </c>
      <c r="C3457" s="1" t="s">
        <v>26</v>
      </c>
      <c r="D3457" t="s">
        <v>32</v>
      </c>
      <c r="E3457" t="s">
        <v>355</v>
      </c>
      <c r="F3457" t="s">
        <v>21</v>
      </c>
      <c r="G3457" t="s">
        <v>20</v>
      </c>
      <c r="H3457" s="3">
        <v>7</v>
      </c>
      <c r="I3457" s="3">
        <v>768</v>
      </c>
      <c r="J3457" s="3">
        <v>5376</v>
      </c>
      <c r="K3457" s="3">
        <v>600</v>
      </c>
      <c r="L3457" s="3">
        <v>4200</v>
      </c>
      <c r="M3457" s="3">
        <v>1176</v>
      </c>
      <c r="N3457" s="4">
        <v>0.21875</v>
      </c>
    </row>
    <row r="3458" spans="1:14" x14ac:dyDescent="0.3">
      <c r="A3458" s="6">
        <v>45905</v>
      </c>
      <c r="B3458" s="1" t="s">
        <v>3642</v>
      </c>
      <c r="C3458" s="1" t="s">
        <v>28</v>
      </c>
      <c r="D3458" t="s">
        <v>30</v>
      </c>
      <c r="E3458" t="s">
        <v>69</v>
      </c>
      <c r="F3458" t="s">
        <v>21</v>
      </c>
      <c r="G3458" t="s">
        <v>20</v>
      </c>
      <c r="H3458" s="3">
        <v>1</v>
      </c>
      <c r="I3458" s="3">
        <v>780</v>
      </c>
      <c r="J3458" s="3">
        <v>780</v>
      </c>
      <c r="K3458" s="3">
        <v>600</v>
      </c>
      <c r="L3458" s="3">
        <v>600</v>
      </c>
      <c r="M3458" s="3">
        <v>180</v>
      </c>
      <c r="N3458" s="4">
        <v>0.23076923076923078</v>
      </c>
    </row>
    <row r="3459" spans="1:14" x14ac:dyDescent="0.3">
      <c r="A3459" s="6">
        <v>45905</v>
      </c>
      <c r="B3459" s="1" t="s">
        <v>3643</v>
      </c>
      <c r="C3459" s="1" t="s">
        <v>28</v>
      </c>
      <c r="D3459" t="s">
        <v>31</v>
      </c>
      <c r="E3459" t="s">
        <v>349</v>
      </c>
      <c r="F3459" t="s">
        <v>23</v>
      </c>
      <c r="G3459" t="s">
        <v>25</v>
      </c>
      <c r="H3459" s="3">
        <v>10</v>
      </c>
      <c r="I3459" s="3">
        <v>4480</v>
      </c>
      <c r="J3459" s="3">
        <v>44800</v>
      </c>
      <c r="K3459" s="3">
        <v>3200</v>
      </c>
      <c r="L3459" s="3">
        <v>32000</v>
      </c>
      <c r="M3459" s="3">
        <v>12800</v>
      </c>
      <c r="N3459" s="4">
        <v>0.2857142857142857</v>
      </c>
    </row>
    <row r="3460" spans="1:14" x14ac:dyDescent="0.3">
      <c r="A3460" s="6">
        <v>45905</v>
      </c>
      <c r="B3460" s="1" t="s">
        <v>3644</v>
      </c>
      <c r="C3460" s="1" t="s">
        <v>28</v>
      </c>
      <c r="D3460" t="s">
        <v>31</v>
      </c>
      <c r="E3460" t="s">
        <v>145</v>
      </c>
      <c r="F3460" t="s">
        <v>19</v>
      </c>
      <c r="G3460" t="s">
        <v>20</v>
      </c>
      <c r="H3460" s="3">
        <v>8</v>
      </c>
      <c r="I3460" s="3">
        <v>1206</v>
      </c>
      <c r="J3460" s="3">
        <v>9648</v>
      </c>
      <c r="K3460" s="3">
        <v>900</v>
      </c>
      <c r="L3460" s="3">
        <v>7200</v>
      </c>
      <c r="M3460" s="3">
        <v>2448</v>
      </c>
      <c r="N3460" s="4">
        <v>0.2537313432835821</v>
      </c>
    </row>
    <row r="3461" spans="1:14" x14ac:dyDescent="0.3">
      <c r="A3461" s="6">
        <v>45905</v>
      </c>
      <c r="B3461" s="1" t="s">
        <v>3645</v>
      </c>
      <c r="C3461" s="1" t="s">
        <v>29</v>
      </c>
      <c r="D3461" t="s">
        <v>32</v>
      </c>
      <c r="E3461" t="s">
        <v>336</v>
      </c>
      <c r="F3461" t="s">
        <v>16</v>
      </c>
      <c r="G3461" t="s">
        <v>15</v>
      </c>
      <c r="H3461" s="3">
        <v>5</v>
      </c>
      <c r="I3461" s="3">
        <v>49780</v>
      </c>
      <c r="J3461" s="3">
        <v>248900</v>
      </c>
      <c r="K3461" s="3">
        <v>38000</v>
      </c>
      <c r="L3461" s="3">
        <v>190000</v>
      </c>
      <c r="M3461" s="3">
        <v>58900</v>
      </c>
      <c r="N3461" s="4">
        <v>0.23664122137404581</v>
      </c>
    </row>
    <row r="3462" spans="1:14" x14ac:dyDescent="0.3">
      <c r="A3462" s="6">
        <v>45905</v>
      </c>
      <c r="B3462" s="1" t="s">
        <v>3646</v>
      </c>
      <c r="C3462" s="1" t="s">
        <v>26</v>
      </c>
      <c r="D3462" t="s">
        <v>33</v>
      </c>
      <c r="E3462" t="s">
        <v>153</v>
      </c>
      <c r="F3462" t="s">
        <v>24</v>
      </c>
      <c r="G3462" t="s">
        <v>25</v>
      </c>
      <c r="H3462" s="3">
        <v>6</v>
      </c>
      <c r="I3462" s="3">
        <v>3500</v>
      </c>
      <c r="J3462" s="3">
        <v>21000</v>
      </c>
      <c r="K3462" s="3">
        <v>2500</v>
      </c>
      <c r="L3462" s="3">
        <v>15000</v>
      </c>
      <c r="M3462" s="3">
        <v>6000</v>
      </c>
      <c r="N3462" s="4">
        <v>0.2857142857142857</v>
      </c>
    </row>
    <row r="3463" spans="1:14" x14ac:dyDescent="0.3">
      <c r="A3463" s="6">
        <v>45905</v>
      </c>
      <c r="B3463" s="1" t="s">
        <v>3647</v>
      </c>
      <c r="C3463" s="1" t="s">
        <v>28</v>
      </c>
      <c r="D3463" t="s">
        <v>33</v>
      </c>
      <c r="E3463" t="s">
        <v>81</v>
      </c>
      <c r="F3463" t="s">
        <v>19</v>
      </c>
      <c r="G3463" t="s">
        <v>20</v>
      </c>
      <c r="H3463" s="3">
        <v>9</v>
      </c>
      <c r="I3463" s="3">
        <v>1278</v>
      </c>
      <c r="J3463" s="3">
        <v>11502</v>
      </c>
      <c r="K3463" s="3">
        <v>900</v>
      </c>
      <c r="L3463" s="3">
        <v>8100</v>
      </c>
      <c r="M3463" s="3">
        <v>3402</v>
      </c>
      <c r="N3463" s="4">
        <v>0.29577464788732394</v>
      </c>
    </row>
    <row r="3464" spans="1:14" x14ac:dyDescent="0.3">
      <c r="A3464" s="6">
        <v>45905</v>
      </c>
      <c r="B3464" s="1" t="s">
        <v>3648</v>
      </c>
      <c r="C3464" s="1" t="s">
        <v>28</v>
      </c>
      <c r="D3464" t="s">
        <v>35</v>
      </c>
      <c r="E3464" t="s">
        <v>114</v>
      </c>
      <c r="F3464" t="s">
        <v>24</v>
      </c>
      <c r="G3464" t="s">
        <v>25</v>
      </c>
      <c r="H3464" s="3">
        <v>6</v>
      </c>
      <c r="I3464" s="3">
        <v>3025</v>
      </c>
      <c r="J3464" s="3">
        <v>18150</v>
      </c>
      <c r="K3464" s="3">
        <v>2500</v>
      </c>
      <c r="L3464" s="3">
        <v>15000</v>
      </c>
      <c r="M3464" s="3">
        <v>3150</v>
      </c>
      <c r="N3464" s="4">
        <v>0.17355371900826447</v>
      </c>
    </row>
    <row r="3465" spans="1:14" x14ac:dyDescent="0.3">
      <c r="A3465" s="6">
        <v>45905</v>
      </c>
      <c r="B3465" s="1" t="s">
        <v>3649</v>
      </c>
      <c r="C3465" s="1" t="s">
        <v>29</v>
      </c>
      <c r="D3465" t="s">
        <v>34</v>
      </c>
      <c r="E3465" t="s">
        <v>85</v>
      </c>
      <c r="F3465" t="s">
        <v>24</v>
      </c>
      <c r="G3465" t="s">
        <v>25</v>
      </c>
      <c r="H3465" s="3">
        <v>10</v>
      </c>
      <c r="I3465" s="3">
        <v>3475.0000000000005</v>
      </c>
      <c r="J3465" s="3">
        <v>34750.000000000007</v>
      </c>
      <c r="K3465" s="3">
        <v>2500</v>
      </c>
      <c r="L3465" s="3">
        <v>25000</v>
      </c>
      <c r="M3465" s="3">
        <v>9750.0000000000073</v>
      </c>
      <c r="N3465" s="4">
        <v>0.28057553956834547</v>
      </c>
    </row>
    <row r="3466" spans="1:14" x14ac:dyDescent="0.3">
      <c r="A3466" s="6">
        <v>45905</v>
      </c>
      <c r="B3466" s="1" t="s">
        <v>3650</v>
      </c>
      <c r="C3466" s="1" t="s">
        <v>27</v>
      </c>
      <c r="D3466" t="s">
        <v>33</v>
      </c>
      <c r="E3466" t="s">
        <v>283</v>
      </c>
      <c r="F3466" t="s">
        <v>16</v>
      </c>
      <c r="G3466" t="s">
        <v>15</v>
      </c>
      <c r="H3466" s="3">
        <v>9</v>
      </c>
      <c r="I3466" s="3">
        <v>54340</v>
      </c>
      <c r="J3466" s="3">
        <v>489060</v>
      </c>
      <c r="K3466" s="3">
        <v>38000</v>
      </c>
      <c r="L3466" s="3">
        <v>342000</v>
      </c>
      <c r="M3466" s="3">
        <v>147060</v>
      </c>
      <c r="N3466" s="4">
        <v>0.30069930069930068</v>
      </c>
    </row>
    <row r="3467" spans="1:14" x14ac:dyDescent="0.3">
      <c r="A3467" s="6">
        <v>45905</v>
      </c>
      <c r="B3467" s="1" t="s">
        <v>3651</v>
      </c>
      <c r="C3467" s="1" t="s">
        <v>28</v>
      </c>
      <c r="D3467" t="s">
        <v>35</v>
      </c>
      <c r="E3467" t="s">
        <v>90</v>
      </c>
      <c r="F3467" t="s">
        <v>23</v>
      </c>
      <c r="G3467" t="s">
        <v>25</v>
      </c>
      <c r="H3467" s="3">
        <v>10</v>
      </c>
      <c r="I3467" s="3">
        <v>4320</v>
      </c>
      <c r="J3467" s="3">
        <v>43200</v>
      </c>
      <c r="K3467" s="3">
        <v>3200</v>
      </c>
      <c r="L3467" s="3">
        <v>32000</v>
      </c>
      <c r="M3467" s="3">
        <v>11200</v>
      </c>
      <c r="N3467" s="4">
        <v>0.25925925925925924</v>
      </c>
    </row>
    <row r="3468" spans="1:14" x14ac:dyDescent="0.3">
      <c r="A3468" s="6">
        <v>45905</v>
      </c>
      <c r="B3468" s="1" t="s">
        <v>3652</v>
      </c>
      <c r="C3468" s="1" t="s">
        <v>26</v>
      </c>
      <c r="D3468" t="s">
        <v>32</v>
      </c>
      <c r="E3468" t="s">
        <v>193</v>
      </c>
      <c r="F3468" t="s">
        <v>17</v>
      </c>
      <c r="G3468" t="s">
        <v>18</v>
      </c>
      <c r="H3468" s="3">
        <v>8</v>
      </c>
      <c r="I3468" s="3">
        <v>10625</v>
      </c>
      <c r="J3468" s="3">
        <v>85000</v>
      </c>
      <c r="K3468" s="3">
        <v>8500</v>
      </c>
      <c r="L3468" s="3">
        <v>68000</v>
      </c>
      <c r="M3468" s="3">
        <v>17000</v>
      </c>
      <c r="N3468" s="4">
        <v>0.2</v>
      </c>
    </row>
    <row r="3469" spans="1:14" x14ac:dyDescent="0.3">
      <c r="A3469" s="6">
        <v>45905</v>
      </c>
      <c r="B3469" s="1" t="s">
        <v>3653</v>
      </c>
      <c r="C3469" s="1" t="s">
        <v>29</v>
      </c>
      <c r="D3469" t="s">
        <v>33</v>
      </c>
      <c r="E3469" t="s">
        <v>104</v>
      </c>
      <c r="F3469" t="s">
        <v>14</v>
      </c>
      <c r="G3469" t="s">
        <v>15</v>
      </c>
      <c r="H3469" s="3">
        <v>10</v>
      </c>
      <c r="I3469" s="3">
        <v>57600</v>
      </c>
      <c r="J3469" s="3">
        <v>576000</v>
      </c>
      <c r="K3469" s="3">
        <v>45000</v>
      </c>
      <c r="L3469" s="3">
        <v>450000</v>
      </c>
      <c r="M3469" s="3">
        <v>126000</v>
      </c>
      <c r="N3469" s="4">
        <v>0.21875</v>
      </c>
    </row>
    <row r="3470" spans="1:14" x14ac:dyDescent="0.3">
      <c r="A3470" s="6">
        <v>45905</v>
      </c>
      <c r="B3470" s="1" t="s">
        <v>3654</v>
      </c>
      <c r="C3470" s="1" t="s">
        <v>26</v>
      </c>
      <c r="D3470" t="s">
        <v>30</v>
      </c>
      <c r="E3470" t="s">
        <v>381</v>
      </c>
      <c r="F3470" t="s">
        <v>22</v>
      </c>
      <c r="G3470" t="s">
        <v>18</v>
      </c>
      <c r="H3470" s="3">
        <v>3</v>
      </c>
      <c r="I3470" s="3">
        <v>9240</v>
      </c>
      <c r="J3470" s="3">
        <v>27720</v>
      </c>
      <c r="K3470" s="3">
        <v>7000</v>
      </c>
      <c r="L3470" s="3">
        <v>21000</v>
      </c>
      <c r="M3470" s="3">
        <v>6720</v>
      </c>
      <c r="N3470" s="4">
        <v>0.24242424242424243</v>
      </c>
    </row>
    <row r="3471" spans="1:14" x14ac:dyDescent="0.3">
      <c r="A3471" s="6">
        <v>45905</v>
      </c>
      <c r="B3471" s="1" t="s">
        <v>3655</v>
      </c>
      <c r="C3471" s="1" t="s">
        <v>28</v>
      </c>
      <c r="D3471" t="s">
        <v>32</v>
      </c>
      <c r="E3471" t="s">
        <v>424</v>
      </c>
      <c r="F3471" t="s">
        <v>17</v>
      </c>
      <c r="G3471" t="s">
        <v>18</v>
      </c>
      <c r="H3471" s="3">
        <v>3</v>
      </c>
      <c r="I3471" s="3">
        <v>11985</v>
      </c>
      <c r="J3471" s="3">
        <v>35955</v>
      </c>
      <c r="K3471" s="3">
        <v>8500</v>
      </c>
      <c r="L3471" s="3">
        <v>25500</v>
      </c>
      <c r="M3471" s="3">
        <v>10455</v>
      </c>
      <c r="N3471" s="4">
        <v>0.29078014184397161</v>
      </c>
    </row>
    <row r="3472" spans="1:14" x14ac:dyDescent="0.3">
      <c r="A3472" s="6">
        <v>45906</v>
      </c>
      <c r="B3472" s="1" t="s">
        <v>3656</v>
      </c>
      <c r="C3472" s="1" t="s">
        <v>26</v>
      </c>
      <c r="D3472" t="s">
        <v>33</v>
      </c>
      <c r="E3472" t="s">
        <v>196</v>
      </c>
      <c r="F3472" t="s">
        <v>24</v>
      </c>
      <c r="G3472" t="s">
        <v>25</v>
      </c>
      <c r="H3472" s="3">
        <v>1</v>
      </c>
      <c r="I3472" s="3">
        <v>3000</v>
      </c>
      <c r="J3472" s="3">
        <v>3000</v>
      </c>
      <c r="K3472" s="3">
        <v>2500</v>
      </c>
      <c r="L3472" s="3">
        <v>2500</v>
      </c>
      <c r="M3472" s="3">
        <v>500</v>
      </c>
      <c r="N3472" s="4">
        <v>0.16666666666666666</v>
      </c>
    </row>
    <row r="3473" spans="1:14" x14ac:dyDescent="0.3">
      <c r="A3473" s="6">
        <v>45906</v>
      </c>
      <c r="B3473" s="1" t="s">
        <v>3657</v>
      </c>
      <c r="C3473" s="1" t="s">
        <v>27</v>
      </c>
      <c r="D3473" t="s">
        <v>33</v>
      </c>
      <c r="E3473" t="s">
        <v>45</v>
      </c>
      <c r="F3473" t="s">
        <v>22</v>
      </c>
      <c r="G3473" t="s">
        <v>18</v>
      </c>
      <c r="H3473" s="3">
        <v>4</v>
      </c>
      <c r="I3473" s="3">
        <v>9590</v>
      </c>
      <c r="J3473" s="3">
        <v>38360</v>
      </c>
      <c r="K3473" s="3">
        <v>7000</v>
      </c>
      <c r="L3473" s="3">
        <v>28000</v>
      </c>
      <c r="M3473" s="3">
        <v>10360</v>
      </c>
      <c r="N3473" s="4">
        <v>0.27007299270072993</v>
      </c>
    </row>
    <row r="3474" spans="1:14" x14ac:dyDescent="0.3">
      <c r="A3474" s="6">
        <v>45906</v>
      </c>
      <c r="B3474" s="1" t="s">
        <v>3658</v>
      </c>
      <c r="C3474" s="1" t="s">
        <v>28</v>
      </c>
      <c r="D3474" t="s">
        <v>32</v>
      </c>
      <c r="E3474" t="s">
        <v>548</v>
      </c>
      <c r="F3474" t="s">
        <v>14</v>
      </c>
      <c r="G3474" t="s">
        <v>15</v>
      </c>
      <c r="H3474" s="3">
        <v>4</v>
      </c>
      <c r="I3474" s="3">
        <v>60750.000000000007</v>
      </c>
      <c r="J3474" s="3">
        <v>243000.00000000003</v>
      </c>
      <c r="K3474" s="3">
        <v>45000</v>
      </c>
      <c r="L3474" s="3">
        <v>180000</v>
      </c>
      <c r="M3474" s="3">
        <v>63000.000000000029</v>
      </c>
      <c r="N3474" s="4">
        <v>0.25925925925925936</v>
      </c>
    </row>
    <row r="3475" spans="1:14" x14ac:dyDescent="0.3">
      <c r="A3475" s="6">
        <v>45906</v>
      </c>
      <c r="B3475" s="1" t="s">
        <v>3659</v>
      </c>
      <c r="C3475" s="1" t="s">
        <v>28</v>
      </c>
      <c r="D3475" t="s">
        <v>31</v>
      </c>
      <c r="E3475" t="s">
        <v>286</v>
      </c>
      <c r="F3475" t="s">
        <v>16</v>
      </c>
      <c r="G3475" t="s">
        <v>15</v>
      </c>
      <c r="H3475" s="3">
        <v>6</v>
      </c>
      <c r="I3475" s="3">
        <v>53200</v>
      </c>
      <c r="J3475" s="3">
        <v>319200</v>
      </c>
      <c r="K3475" s="3">
        <v>38000</v>
      </c>
      <c r="L3475" s="3">
        <v>228000</v>
      </c>
      <c r="M3475" s="3">
        <v>91200</v>
      </c>
      <c r="N3475" s="4">
        <v>0.2857142857142857</v>
      </c>
    </row>
    <row r="3476" spans="1:14" x14ac:dyDescent="0.3">
      <c r="A3476" s="6">
        <v>45906</v>
      </c>
      <c r="B3476" s="1" t="s">
        <v>3660</v>
      </c>
      <c r="C3476" s="1" t="s">
        <v>26</v>
      </c>
      <c r="D3476" t="s">
        <v>35</v>
      </c>
      <c r="E3476" t="s">
        <v>126</v>
      </c>
      <c r="F3476" t="s">
        <v>21</v>
      </c>
      <c r="G3476" t="s">
        <v>20</v>
      </c>
      <c r="H3476" s="3">
        <v>6</v>
      </c>
      <c r="I3476" s="3">
        <v>780</v>
      </c>
      <c r="J3476" s="3">
        <v>4680</v>
      </c>
      <c r="K3476" s="3">
        <v>600</v>
      </c>
      <c r="L3476" s="3">
        <v>3600</v>
      </c>
      <c r="M3476" s="3">
        <v>1080</v>
      </c>
      <c r="N3476" s="4">
        <v>0.23076923076923078</v>
      </c>
    </row>
    <row r="3477" spans="1:14" x14ac:dyDescent="0.3">
      <c r="A3477" s="6">
        <v>45906</v>
      </c>
      <c r="B3477" s="1" t="s">
        <v>3661</v>
      </c>
      <c r="C3477" s="1" t="s">
        <v>26</v>
      </c>
      <c r="D3477" t="s">
        <v>32</v>
      </c>
      <c r="E3477" t="s">
        <v>236</v>
      </c>
      <c r="F3477" t="s">
        <v>16</v>
      </c>
      <c r="G3477" t="s">
        <v>15</v>
      </c>
      <c r="H3477" s="3">
        <v>6</v>
      </c>
      <c r="I3477" s="3">
        <v>47500</v>
      </c>
      <c r="J3477" s="3">
        <v>285000</v>
      </c>
      <c r="K3477" s="3">
        <v>38000</v>
      </c>
      <c r="L3477" s="3">
        <v>228000</v>
      </c>
      <c r="M3477" s="3">
        <v>57000</v>
      </c>
      <c r="N3477" s="4">
        <v>0.2</v>
      </c>
    </row>
    <row r="3478" spans="1:14" x14ac:dyDescent="0.3">
      <c r="A3478" s="6">
        <v>45906</v>
      </c>
      <c r="B3478" s="1" t="s">
        <v>3662</v>
      </c>
      <c r="C3478" s="1" t="s">
        <v>29</v>
      </c>
      <c r="D3478" t="s">
        <v>33</v>
      </c>
      <c r="E3478" t="s">
        <v>327</v>
      </c>
      <c r="F3478" t="s">
        <v>24</v>
      </c>
      <c r="G3478" t="s">
        <v>25</v>
      </c>
      <c r="H3478" s="3">
        <v>10</v>
      </c>
      <c r="I3478" s="3">
        <v>3125</v>
      </c>
      <c r="J3478" s="3">
        <v>31250</v>
      </c>
      <c r="K3478" s="3">
        <v>2500</v>
      </c>
      <c r="L3478" s="3">
        <v>25000</v>
      </c>
      <c r="M3478" s="3">
        <v>6250</v>
      </c>
      <c r="N3478" s="4">
        <v>0.2</v>
      </c>
    </row>
    <row r="3479" spans="1:14" x14ac:dyDescent="0.3">
      <c r="A3479" s="6">
        <v>45906</v>
      </c>
      <c r="B3479" s="1" t="s">
        <v>3663</v>
      </c>
      <c r="C3479" s="1" t="s">
        <v>26</v>
      </c>
      <c r="D3479" t="s">
        <v>32</v>
      </c>
      <c r="E3479" t="s">
        <v>351</v>
      </c>
      <c r="F3479" t="s">
        <v>16</v>
      </c>
      <c r="G3479" t="s">
        <v>15</v>
      </c>
      <c r="H3479" s="3">
        <v>2</v>
      </c>
      <c r="I3479" s="3">
        <v>48260</v>
      </c>
      <c r="J3479" s="3">
        <v>96520</v>
      </c>
      <c r="K3479" s="3">
        <v>38000</v>
      </c>
      <c r="L3479" s="3">
        <v>76000</v>
      </c>
      <c r="M3479" s="3">
        <v>20520</v>
      </c>
      <c r="N3479" s="4">
        <v>0.2125984251968504</v>
      </c>
    </row>
    <row r="3480" spans="1:14" x14ac:dyDescent="0.3">
      <c r="A3480" s="6">
        <v>45906</v>
      </c>
      <c r="B3480" s="1" t="s">
        <v>3664</v>
      </c>
      <c r="C3480" s="1" t="s">
        <v>28</v>
      </c>
      <c r="D3480" t="s">
        <v>30</v>
      </c>
      <c r="E3480" t="s">
        <v>411</v>
      </c>
      <c r="F3480" t="s">
        <v>24</v>
      </c>
      <c r="G3480" t="s">
        <v>25</v>
      </c>
      <c r="H3480" s="3">
        <v>2</v>
      </c>
      <c r="I3480" s="3">
        <v>3550</v>
      </c>
      <c r="J3480" s="3">
        <v>7100</v>
      </c>
      <c r="K3480" s="3">
        <v>2500</v>
      </c>
      <c r="L3480" s="3">
        <v>5000</v>
      </c>
      <c r="M3480" s="3">
        <v>2100</v>
      </c>
      <c r="N3480" s="4">
        <v>0.29577464788732394</v>
      </c>
    </row>
    <row r="3481" spans="1:14" x14ac:dyDescent="0.3">
      <c r="A3481" s="6">
        <v>45906</v>
      </c>
      <c r="B3481" s="1" t="s">
        <v>3665</v>
      </c>
      <c r="C3481" s="1" t="s">
        <v>26</v>
      </c>
      <c r="D3481" t="s">
        <v>34</v>
      </c>
      <c r="E3481" t="s">
        <v>355</v>
      </c>
      <c r="F3481" t="s">
        <v>23</v>
      </c>
      <c r="G3481" t="s">
        <v>25</v>
      </c>
      <c r="H3481" s="3">
        <v>3</v>
      </c>
      <c r="I3481" s="3">
        <v>4288</v>
      </c>
      <c r="J3481" s="3">
        <v>12864</v>
      </c>
      <c r="K3481" s="3">
        <v>3200</v>
      </c>
      <c r="L3481" s="3">
        <v>9600</v>
      </c>
      <c r="M3481" s="3">
        <v>3264</v>
      </c>
      <c r="N3481" s="4">
        <v>0.2537313432835821</v>
      </c>
    </row>
    <row r="3482" spans="1:14" x14ac:dyDescent="0.3">
      <c r="A3482" s="6">
        <v>45906</v>
      </c>
      <c r="B3482" s="1" t="s">
        <v>3666</v>
      </c>
      <c r="C3482" s="1" t="s">
        <v>27</v>
      </c>
      <c r="D3482" t="s">
        <v>33</v>
      </c>
      <c r="E3482" t="s">
        <v>116</v>
      </c>
      <c r="F3482" t="s">
        <v>17</v>
      </c>
      <c r="G3482" t="s">
        <v>18</v>
      </c>
      <c r="H3482" s="3">
        <v>6</v>
      </c>
      <c r="I3482" s="3">
        <v>10880</v>
      </c>
      <c r="J3482" s="3">
        <v>65280</v>
      </c>
      <c r="K3482" s="3">
        <v>8500</v>
      </c>
      <c r="L3482" s="3">
        <v>51000</v>
      </c>
      <c r="M3482" s="3">
        <v>14280</v>
      </c>
      <c r="N3482" s="4">
        <v>0.21875</v>
      </c>
    </row>
    <row r="3483" spans="1:14" x14ac:dyDescent="0.3">
      <c r="A3483" s="6">
        <v>45906</v>
      </c>
      <c r="B3483" s="1" t="s">
        <v>3667</v>
      </c>
      <c r="C3483" s="1" t="s">
        <v>28</v>
      </c>
      <c r="D3483" t="s">
        <v>31</v>
      </c>
      <c r="E3483" t="s">
        <v>506</v>
      </c>
      <c r="F3483" t="s">
        <v>17</v>
      </c>
      <c r="G3483" t="s">
        <v>18</v>
      </c>
      <c r="H3483" s="3">
        <v>9</v>
      </c>
      <c r="I3483" s="3">
        <v>11815.000000000002</v>
      </c>
      <c r="J3483" s="3">
        <v>106335.00000000001</v>
      </c>
      <c r="K3483" s="3">
        <v>8500</v>
      </c>
      <c r="L3483" s="3">
        <v>76500</v>
      </c>
      <c r="M3483" s="3">
        <v>29835.000000000015</v>
      </c>
      <c r="N3483" s="4">
        <v>0.28057553956834541</v>
      </c>
    </row>
    <row r="3484" spans="1:14" x14ac:dyDescent="0.3">
      <c r="A3484" s="6">
        <v>45906</v>
      </c>
      <c r="B3484" s="1" t="s">
        <v>3668</v>
      </c>
      <c r="C3484" s="1" t="s">
        <v>26</v>
      </c>
      <c r="D3484" t="s">
        <v>35</v>
      </c>
      <c r="E3484" t="s">
        <v>521</v>
      </c>
      <c r="F3484" t="s">
        <v>17</v>
      </c>
      <c r="G3484" t="s">
        <v>18</v>
      </c>
      <c r="H3484" s="3">
        <v>1</v>
      </c>
      <c r="I3484" s="3">
        <v>10625</v>
      </c>
      <c r="J3484" s="3">
        <v>10625</v>
      </c>
      <c r="K3484" s="3">
        <v>8500</v>
      </c>
      <c r="L3484" s="3">
        <v>8500</v>
      </c>
      <c r="M3484" s="3">
        <v>2125</v>
      </c>
      <c r="N3484" s="4">
        <v>0.2</v>
      </c>
    </row>
    <row r="3485" spans="1:14" x14ac:dyDescent="0.3">
      <c r="A3485" s="6">
        <v>45906</v>
      </c>
      <c r="B3485" s="1" t="s">
        <v>3669</v>
      </c>
      <c r="C3485" s="1" t="s">
        <v>29</v>
      </c>
      <c r="D3485" t="s">
        <v>31</v>
      </c>
      <c r="E3485" t="s">
        <v>231</v>
      </c>
      <c r="F3485" t="s">
        <v>24</v>
      </c>
      <c r="G3485" t="s">
        <v>25</v>
      </c>
      <c r="H3485" s="3">
        <v>7</v>
      </c>
      <c r="I3485" s="3">
        <v>3399.9999999999995</v>
      </c>
      <c r="J3485" s="3">
        <v>23799.999999999996</v>
      </c>
      <c r="K3485" s="3">
        <v>2500</v>
      </c>
      <c r="L3485" s="3">
        <v>17500</v>
      </c>
      <c r="M3485" s="3">
        <v>6299.9999999999964</v>
      </c>
      <c r="N3485" s="4">
        <v>0.26470588235294107</v>
      </c>
    </row>
    <row r="3486" spans="1:14" x14ac:dyDescent="0.3">
      <c r="A3486" s="6">
        <v>45907</v>
      </c>
      <c r="B3486" s="1" t="s">
        <v>3670</v>
      </c>
      <c r="C3486" s="1" t="s">
        <v>29</v>
      </c>
      <c r="D3486" t="s">
        <v>30</v>
      </c>
      <c r="E3486" t="s">
        <v>102</v>
      </c>
      <c r="F3486" t="s">
        <v>19</v>
      </c>
      <c r="G3486" t="s">
        <v>20</v>
      </c>
      <c r="H3486" s="3">
        <v>9</v>
      </c>
      <c r="I3486" s="3">
        <v>1188</v>
      </c>
      <c r="J3486" s="3">
        <v>10692</v>
      </c>
      <c r="K3486" s="3">
        <v>900</v>
      </c>
      <c r="L3486" s="3">
        <v>8100</v>
      </c>
      <c r="M3486" s="3">
        <v>2592</v>
      </c>
      <c r="N3486" s="4">
        <v>0.24242424242424243</v>
      </c>
    </row>
    <row r="3487" spans="1:14" x14ac:dyDescent="0.3">
      <c r="A3487" s="6">
        <v>45907</v>
      </c>
      <c r="B3487" s="1" t="s">
        <v>3671</v>
      </c>
      <c r="C3487" s="1" t="s">
        <v>26</v>
      </c>
      <c r="D3487" t="s">
        <v>35</v>
      </c>
      <c r="E3487" t="s">
        <v>157</v>
      </c>
      <c r="F3487" t="s">
        <v>16</v>
      </c>
      <c r="G3487" t="s">
        <v>15</v>
      </c>
      <c r="H3487" s="3">
        <v>1</v>
      </c>
      <c r="I3487" s="3">
        <v>53580</v>
      </c>
      <c r="J3487" s="3">
        <v>53580</v>
      </c>
      <c r="K3487" s="3">
        <v>38000</v>
      </c>
      <c r="L3487" s="3">
        <v>38000</v>
      </c>
      <c r="M3487" s="3">
        <v>15580</v>
      </c>
      <c r="N3487" s="4">
        <v>0.29078014184397161</v>
      </c>
    </row>
    <row r="3488" spans="1:14" x14ac:dyDescent="0.3">
      <c r="A3488" s="6">
        <v>45907</v>
      </c>
      <c r="B3488" s="1" t="s">
        <v>3672</v>
      </c>
      <c r="C3488" s="1" t="s">
        <v>29</v>
      </c>
      <c r="D3488" t="s">
        <v>33</v>
      </c>
      <c r="E3488" t="s">
        <v>153</v>
      </c>
      <c r="F3488" t="s">
        <v>22</v>
      </c>
      <c r="G3488" t="s">
        <v>18</v>
      </c>
      <c r="H3488" s="3">
        <v>1</v>
      </c>
      <c r="I3488" s="3">
        <v>10080</v>
      </c>
      <c r="J3488" s="3">
        <v>10080</v>
      </c>
      <c r="K3488" s="3">
        <v>7000</v>
      </c>
      <c r="L3488" s="3">
        <v>7000</v>
      </c>
      <c r="M3488" s="3">
        <v>3080</v>
      </c>
      <c r="N3488" s="4">
        <v>0.30555555555555558</v>
      </c>
    </row>
    <row r="3489" spans="1:14" x14ac:dyDescent="0.3">
      <c r="A3489" s="6">
        <v>45907</v>
      </c>
      <c r="B3489" s="1" t="s">
        <v>3673</v>
      </c>
      <c r="C3489" s="1" t="s">
        <v>29</v>
      </c>
      <c r="D3489" t="s">
        <v>35</v>
      </c>
      <c r="E3489" t="s">
        <v>53</v>
      </c>
      <c r="F3489" t="s">
        <v>14</v>
      </c>
      <c r="G3489" t="s">
        <v>15</v>
      </c>
      <c r="H3489" s="3">
        <v>3</v>
      </c>
      <c r="I3489" s="3">
        <v>62550.000000000007</v>
      </c>
      <c r="J3489" s="3">
        <v>187650.00000000003</v>
      </c>
      <c r="K3489" s="3">
        <v>45000</v>
      </c>
      <c r="L3489" s="3">
        <v>135000</v>
      </c>
      <c r="M3489" s="3">
        <v>52650.000000000029</v>
      </c>
      <c r="N3489" s="4">
        <v>0.28057553956834541</v>
      </c>
    </row>
    <row r="3490" spans="1:14" x14ac:dyDescent="0.3">
      <c r="A3490" s="6">
        <v>45907</v>
      </c>
      <c r="B3490" s="1" t="s">
        <v>3674</v>
      </c>
      <c r="C3490" s="1" t="s">
        <v>28</v>
      </c>
      <c r="D3490" t="s">
        <v>34</v>
      </c>
      <c r="E3490" t="s">
        <v>292</v>
      </c>
      <c r="F3490" t="s">
        <v>17</v>
      </c>
      <c r="G3490" t="s">
        <v>18</v>
      </c>
      <c r="H3490" s="3">
        <v>5</v>
      </c>
      <c r="I3490" s="3">
        <v>10370</v>
      </c>
      <c r="J3490" s="3">
        <v>51850</v>
      </c>
      <c r="K3490" s="3">
        <v>8500</v>
      </c>
      <c r="L3490" s="3">
        <v>42500</v>
      </c>
      <c r="M3490" s="3">
        <v>9350</v>
      </c>
      <c r="N3490" s="4">
        <v>0.18032786885245902</v>
      </c>
    </row>
    <row r="3491" spans="1:14" x14ac:dyDescent="0.3">
      <c r="A3491" s="6">
        <v>45907</v>
      </c>
      <c r="B3491" s="1" t="s">
        <v>3675</v>
      </c>
      <c r="C3491" s="1" t="s">
        <v>28</v>
      </c>
      <c r="D3491" t="s">
        <v>33</v>
      </c>
      <c r="E3491" t="s">
        <v>351</v>
      </c>
      <c r="F3491" t="s">
        <v>17</v>
      </c>
      <c r="G3491" t="s">
        <v>18</v>
      </c>
      <c r="H3491" s="3">
        <v>4</v>
      </c>
      <c r="I3491" s="3">
        <v>11815.000000000002</v>
      </c>
      <c r="J3491" s="3">
        <v>47260.000000000007</v>
      </c>
      <c r="K3491" s="3">
        <v>8500</v>
      </c>
      <c r="L3491" s="3">
        <v>34000</v>
      </c>
      <c r="M3491" s="3">
        <v>13260.000000000007</v>
      </c>
      <c r="N3491" s="4">
        <v>0.28057553956834541</v>
      </c>
    </row>
    <row r="3492" spans="1:14" x14ac:dyDescent="0.3">
      <c r="A3492" s="6">
        <v>45907</v>
      </c>
      <c r="B3492" s="1" t="s">
        <v>3676</v>
      </c>
      <c r="C3492" s="1" t="s">
        <v>26</v>
      </c>
      <c r="D3492" t="s">
        <v>33</v>
      </c>
      <c r="E3492" t="s">
        <v>149</v>
      </c>
      <c r="F3492" t="s">
        <v>22</v>
      </c>
      <c r="G3492" t="s">
        <v>18</v>
      </c>
      <c r="H3492" s="3">
        <v>1</v>
      </c>
      <c r="I3492" s="3">
        <v>9380</v>
      </c>
      <c r="J3492" s="3">
        <v>9380</v>
      </c>
      <c r="K3492" s="3">
        <v>7000</v>
      </c>
      <c r="L3492" s="3">
        <v>7000</v>
      </c>
      <c r="M3492" s="3">
        <v>2380</v>
      </c>
      <c r="N3492" s="4">
        <v>0.2537313432835821</v>
      </c>
    </row>
    <row r="3493" spans="1:14" x14ac:dyDescent="0.3">
      <c r="A3493" s="6">
        <v>45907</v>
      </c>
      <c r="B3493" s="1" t="s">
        <v>3677</v>
      </c>
      <c r="C3493" s="1" t="s">
        <v>29</v>
      </c>
      <c r="D3493" t="s">
        <v>34</v>
      </c>
      <c r="E3493" t="s">
        <v>159</v>
      </c>
      <c r="F3493" t="s">
        <v>23</v>
      </c>
      <c r="G3493" t="s">
        <v>25</v>
      </c>
      <c r="H3493" s="3">
        <v>3</v>
      </c>
      <c r="I3493" s="3">
        <v>4288</v>
      </c>
      <c r="J3493" s="3">
        <v>12864</v>
      </c>
      <c r="K3493" s="3">
        <v>3200</v>
      </c>
      <c r="L3493" s="3">
        <v>9600</v>
      </c>
      <c r="M3493" s="3">
        <v>3264</v>
      </c>
      <c r="N3493" s="4">
        <v>0.2537313432835821</v>
      </c>
    </row>
    <row r="3494" spans="1:14" x14ac:dyDescent="0.3">
      <c r="A3494" s="6">
        <v>45907</v>
      </c>
      <c r="B3494" s="1" t="s">
        <v>3678</v>
      </c>
      <c r="C3494" s="1" t="s">
        <v>27</v>
      </c>
      <c r="D3494" t="s">
        <v>34</v>
      </c>
      <c r="E3494" t="s">
        <v>110</v>
      </c>
      <c r="F3494" t="s">
        <v>22</v>
      </c>
      <c r="G3494" t="s">
        <v>18</v>
      </c>
      <c r="H3494" s="3">
        <v>5</v>
      </c>
      <c r="I3494" s="3">
        <v>8890</v>
      </c>
      <c r="J3494" s="3">
        <v>44450</v>
      </c>
      <c r="K3494" s="3">
        <v>7000</v>
      </c>
      <c r="L3494" s="3">
        <v>35000</v>
      </c>
      <c r="M3494" s="3">
        <v>9450</v>
      </c>
      <c r="N3494" s="4">
        <v>0.2125984251968504</v>
      </c>
    </row>
    <row r="3495" spans="1:14" x14ac:dyDescent="0.3">
      <c r="A3495" s="6">
        <v>45907</v>
      </c>
      <c r="B3495" s="1" t="s">
        <v>3679</v>
      </c>
      <c r="C3495" s="1" t="s">
        <v>29</v>
      </c>
      <c r="D3495" t="s">
        <v>32</v>
      </c>
      <c r="E3495" t="s">
        <v>53</v>
      </c>
      <c r="F3495" t="s">
        <v>14</v>
      </c>
      <c r="G3495" t="s">
        <v>15</v>
      </c>
      <c r="H3495" s="3">
        <v>3</v>
      </c>
      <c r="I3495" s="3">
        <v>60750.000000000007</v>
      </c>
      <c r="J3495" s="3">
        <v>182250.00000000003</v>
      </c>
      <c r="K3495" s="3">
        <v>45000</v>
      </c>
      <c r="L3495" s="3">
        <v>135000</v>
      </c>
      <c r="M3495" s="3">
        <v>47250.000000000029</v>
      </c>
      <c r="N3495" s="4">
        <v>0.25925925925925936</v>
      </c>
    </row>
    <row r="3496" spans="1:14" x14ac:dyDescent="0.3">
      <c r="A3496" s="6">
        <v>45907</v>
      </c>
      <c r="B3496" s="1" t="s">
        <v>3680</v>
      </c>
      <c r="C3496" s="1" t="s">
        <v>28</v>
      </c>
      <c r="D3496" t="s">
        <v>34</v>
      </c>
      <c r="E3496" t="s">
        <v>216</v>
      </c>
      <c r="F3496" t="s">
        <v>16</v>
      </c>
      <c r="G3496" t="s">
        <v>15</v>
      </c>
      <c r="H3496" s="3">
        <v>5</v>
      </c>
      <c r="I3496" s="3">
        <v>50540</v>
      </c>
      <c r="J3496" s="3">
        <v>252700</v>
      </c>
      <c r="K3496" s="3">
        <v>38000</v>
      </c>
      <c r="L3496" s="3">
        <v>190000</v>
      </c>
      <c r="M3496" s="3">
        <v>62700</v>
      </c>
      <c r="N3496" s="4">
        <v>0.24812030075187969</v>
      </c>
    </row>
    <row r="3497" spans="1:14" x14ac:dyDescent="0.3">
      <c r="A3497" s="6">
        <v>45907</v>
      </c>
      <c r="B3497" s="1" t="s">
        <v>3681</v>
      </c>
      <c r="C3497" s="1" t="s">
        <v>29</v>
      </c>
      <c r="D3497" t="s">
        <v>35</v>
      </c>
      <c r="E3497" t="s">
        <v>453</v>
      </c>
      <c r="F3497" t="s">
        <v>24</v>
      </c>
      <c r="G3497" t="s">
        <v>25</v>
      </c>
      <c r="H3497" s="3">
        <v>6</v>
      </c>
      <c r="I3497" s="3">
        <v>3150</v>
      </c>
      <c r="J3497" s="3">
        <v>18900</v>
      </c>
      <c r="K3497" s="3">
        <v>2500</v>
      </c>
      <c r="L3497" s="3">
        <v>15000</v>
      </c>
      <c r="M3497" s="3">
        <v>3900</v>
      </c>
      <c r="N3497" s="4">
        <v>0.20634920634920634</v>
      </c>
    </row>
    <row r="3498" spans="1:14" x14ac:dyDescent="0.3">
      <c r="A3498" s="6">
        <v>45907</v>
      </c>
      <c r="B3498" s="1" t="s">
        <v>3682</v>
      </c>
      <c r="C3498" s="1" t="s">
        <v>26</v>
      </c>
      <c r="D3498" t="s">
        <v>33</v>
      </c>
      <c r="E3498" t="s">
        <v>214</v>
      </c>
      <c r="F3498" t="s">
        <v>24</v>
      </c>
      <c r="G3498" t="s">
        <v>25</v>
      </c>
      <c r="H3498" s="3">
        <v>6</v>
      </c>
      <c r="I3498" s="3">
        <v>3525</v>
      </c>
      <c r="J3498" s="3">
        <v>21150</v>
      </c>
      <c r="K3498" s="3">
        <v>2500</v>
      </c>
      <c r="L3498" s="3">
        <v>15000</v>
      </c>
      <c r="M3498" s="3">
        <v>6150</v>
      </c>
      <c r="N3498" s="4">
        <v>0.29078014184397161</v>
      </c>
    </row>
    <row r="3499" spans="1:14" x14ac:dyDescent="0.3">
      <c r="A3499" s="6">
        <v>45907</v>
      </c>
      <c r="B3499" s="1" t="s">
        <v>3683</v>
      </c>
      <c r="C3499" s="1" t="s">
        <v>27</v>
      </c>
      <c r="D3499" t="s">
        <v>32</v>
      </c>
      <c r="E3499" t="s">
        <v>193</v>
      </c>
      <c r="F3499" t="s">
        <v>19</v>
      </c>
      <c r="G3499" t="s">
        <v>20</v>
      </c>
      <c r="H3499" s="3">
        <v>4</v>
      </c>
      <c r="I3499" s="3">
        <v>1179</v>
      </c>
      <c r="J3499" s="3">
        <v>4716</v>
      </c>
      <c r="K3499" s="3">
        <v>900</v>
      </c>
      <c r="L3499" s="3">
        <v>3600</v>
      </c>
      <c r="M3499" s="3">
        <v>1116</v>
      </c>
      <c r="N3499" s="4">
        <v>0.23664122137404581</v>
      </c>
    </row>
    <row r="3500" spans="1:14" x14ac:dyDescent="0.3">
      <c r="A3500" s="6">
        <v>45908</v>
      </c>
      <c r="B3500" s="1" t="s">
        <v>3684</v>
      </c>
      <c r="C3500" s="1" t="s">
        <v>28</v>
      </c>
      <c r="D3500" t="s">
        <v>30</v>
      </c>
      <c r="E3500" t="s">
        <v>108</v>
      </c>
      <c r="F3500" t="s">
        <v>21</v>
      </c>
      <c r="G3500" t="s">
        <v>20</v>
      </c>
      <c r="H3500" s="3">
        <v>7</v>
      </c>
      <c r="I3500" s="3">
        <v>846</v>
      </c>
      <c r="J3500" s="3">
        <v>5922</v>
      </c>
      <c r="K3500" s="3">
        <v>600</v>
      </c>
      <c r="L3500" s="3">
        <v>4200</v>
      </c>
      <c r="M3500" s="3">
        <v>1722</v>
      </c>
      <c r="N3500" s="4">
        <v>0.29078014184397161</v>
      </c>
    </row>
    <row r="3501" spans="1:14" x14ac:dyDescent="0.3">
      <c r="A3501" s="6">
        <v>45908</v>
      </c>
      <c r="B3501" s="1" t="s">
        <v>3685</v>
      </c>
      <c r="C3501" s="1" t="s">
        <v>27</v>
      </c>
      <c r="D3501" t="s">
        <v>35</v>
      </c>
      <c r="E3501" t="s">
        <v>220</v>
      </c>
      <c r="F3501" t="s">
        <v>19</v>
      </c>
      <c r="G3501" t="s">
        <v>20</v>
      </c>
      <c r="H3501" s="3">
        <v>7</v>
      </c>
      <c r="I3501" s="3">
        <v>1287</v>
      </c>
      <c r="J3501" s="3">
        <v>9009</v>
      </c>
      <c r="K3501" s="3">
        <v>900</v>
      </c>
      <c r="L3501" s="3">
        <v>6300</v>
      </c>
      <c r="M3501" s="3">
        <v>2709</v>
      </c>
      <c r="N3501" s="4">
        <v>0.30069930069930068</v>
      </c>
    </row>
    <row r="3502" spans="1:14" x14ac:dyDescent="0.3">
      <c r="A3502" s="6">
        <v>45908</v>
      </c>
      <c r="B3502" s="1" t="s">
        <v>3686</v>
      </c>
      <c r="C3502" s="1" t="s">
        <v>26</v>
      </c>
      <c r="D3502" t="s">
        <v>31</v>
      </c>
      <c r="E3502" t="s">
        <v>565</v>
      </c>
      <c r="F3502" t="s">
        <v>22</v>
      </c>
      <c r="G3502" t="s">
        <v>18</v>
      </c>
      <c r="H3502" s="3">
        <v>4</v>
      </c>
      <c r="I3502" s="3">
        <v>9940</v>
      </c>
      <c r="J3502" s="3">
        <v>39760</v>
      </c>
      <c r="K3502" s="3">
        <v>7000</v>
      </c>
      <c r="L3502" s="3">
        <v>28000</v>
      </c>
      <c r="M3502" s="3">
        <v>11760</v>
      </c>
      <c r="N3502" s="4">
        <v>0.29577464788732394</v>
      </c>
    </row>
    <row r="3503" spans="1:14" x14ac:dyDescent="0.3">
      <c r="A3503" s="6">
        <v>45908</v>
      </c>
      <c r="B3503" s="1" t="s">
        <v>3687</v>
      </c>
      <c r="C3503" s="1" t="s">
        <v>29</v>
      </c>
      <c r="D3503" t="s">
        <v>34</v>
      </c>
      <c r="E3503" t="s">
        <v>275</v>
      </c>
      <c r="F3503" t="s">
        <v>14</v>
      </c>
      <c r="G3503" t="s">
        <v>15</v>
      </c>
      <c r="H3503" s="3">
        <v>1</v>
      </c>
      <c r="I3503" s="3">
        <v>63900</v>
      </c>
      <c r="J3503" s="3">
        <v>63900</v>
      </c>
      <c r="K3503" s="3">
        <v>45000</v>
      </c>
      <c r="L3503" s="3">
        <v>45000</v>
      </c>
      <c r="M3503" s="3">
        <v>18900</v>
      </c>
      <c r="N3503" s="4">
        <v>0.29577464788732394</v>
      </c>
    </row>
    <row r="3504" spans="1:14" x14ac:dyDescent="0.3">
      <c r="A3504" s="6">
        <v>45908</v>
      </c>
      <c r="B3504" s="1" t="s">
        <v>3688</v>
      </c>
      <c r="C3504" s="1" t="s">
        <v>27</v>
      </c>
      <c r="D3504" t="s">
        <v>35</v>
      </c>
      <c r="E3504" t="s">
        <v>149</v>
      </c>
      <c r="F3504" t="s">
        <v>17</v>
      </c>
      <c r="G3504" t="s">
        <v>18</v>
      </c>
      <c r="H3504" s="3">
        <v>5</v>
      </c>
      <c r="I3504" s="3">
        <v>11220</v>
      </c>
      <c r="J3504" s="3">
        <v>56100</v>
      </c>
      <c r="K3504" s="3">
        <v>8500</v>
      </c>
      <c r="L3504" s="3">
        <v>42500</v>
      </c>
      <c r="M3504" s="3">
        <v>13600</v>
      </c>
      <c r="N3504" s="4">
        <v>0.24242424242424243</v>
      </c>
    </row>
    <row r="3505" spans="1:14" x14ac:dyDescent="0.3">
      <c r="A3505" s="6">
        <v>45908</v>
      </c>
      <c r="B3505" s="1" t="s">
        <v>3689</v>
      </c>
      <c r="C3505" s="1" t="s">
        <v>28</v>
      </c>
      <c r="D3505" t="s">
        <v>31</v>
      </c>
      <c r="E3505" t="s">
        <v>72</v>
      </c>
      <c r="F3505" t="s">
        <v>24</v>
      </c>
      <c r="G3505" t="s">
        <v>25</v>
      </c>
      <c r="H3505" s="3">
        <v>3</v>
      </c>
      <c r="I3505" s="3">
        <v>3625</v>
      </c>
      <c r="J3505" s="3">
        <v>10875</v>
      </c>
      <c r="K3505" s="3">
        <v>2500</v>
      </c>
      <c r="L3505" s="3">
        <v>7500</v>
      </c>
      <c r="M3505" s="3">
        <v>3375</v>
      </c>
      <c r="N3505" s="4">
        <v>0.31034482758620691</v>
      </c>
    </row>
    <row r="3506" spans="1:14" x14ac:dyDescent="0.3">
      <c r="A3506" s="6">
        <v>45908</v>
      </c>
      <c r="B3506" s="1" t="s">
        <v>3690</v>
      </c>
      <c r="C3506" s="1" t="s">
        <v>28</v>
      </c>
      <c r="D3506" t="s">
        <v>32</v>
      </c>
      <c r="E3506" t="s">
        <v>72</v>
      </c>
      <c r="F3506" t="s">
        <v>23</v>
      </c>
      <c r="G3506" t="s">
        <v>25</v>
      </c>
      <c r="H3506" s="3">
        <v>5</v>
      </c>
      <c r="I3506" s="3">
        <v>4160</v>
      </c>
      <c r="J3506" s="3">
        <v>20800</v>
      </c>
      <c r="K3506" s="3">
        <v>3200</v>
      </c>
      <c r="L3506" s="3">
        <v>16000</v>
      </c>
      <c r="M3506" s="3">
        <v>4800</v>
      </c>
      <c r="N3506" s="4">
        <v>0.23076923076923078</v>
      </c>
    </row>
    <row r="3507" spans="1:14" x14ac:dyDescent="0.3">
      <c r="A3507" s="6">
        <v>45908</v>
      </c>
      <c r="B3507" s="1" t="s">
        <v>3691</v>
      </c>
      <c r="C3507" s="1" t="s">
        <v>28</v>
      </c>
      <c r="D3507" t="s">
        <v>35</v>
      </c>
      <c r="E3507" t="s">
        <v>96</v>
      </c>
      <c r="F3507" t="s">
        <v>16</v>
      </c>
      <c r="G3507" t="s">
        <v>15</v>
      </c>
      <c r="H3507" s="3">
        <v>7</v>
      </c>
      <c r="I3507" s="3">
        <v>47120</v>
      </c>
      <c r="J3507" s="3">
        <v>329840</v>
      </c>
      <c r="K3507" s="3">
        <v>38000</v>
      </c>
      <c r="L3507" s="3">
        <v>266000</v>
      </c>
      <c r="M3507" s="3">
        <v>63840</v>
      </c>
      <c r="N3507" s="4">
        <v>0.19354838709677419</v>
      </c>
    </row>
    <row r="3508" spans="1:14" x14ac:dyDescent="0.3">
      <c r="A3508" s="6">
        <v>45908</v>
      </c>
      <c r="B3508" s="1" t="s">
        <v>3692</v>
      </c>
      <c r="C3508" s="1" t="s">
        <v>26</v>
      </c>
      <c r="D3508" t="s">
        <v>30</v>
      </c>
      <c r="E3508" t="s">
        <v>698</v>
      </c>
      <c r="F3508" t="s">
        <v>23</v>
      </c>
      <c r="G3508" t="s">
        <v>25</v>
      </c>
      <c r="H3508" s="3">
        <v>5</v>
      </c>
      <c r="I3508" s="3">
        <v>4288</v>
      </c>
      <c r="J3508" s="3">
        <v>21440</v>
      </c>
      <c r="K3508" s="3">
        <v>3200</v>
      </c>
      <c r="L3508" s="3">
        <v>16000</v>
      </c>
      <c r="M3508" s="3">
        <v>5440</v>
      </c>
      <c r="N3508" s="4">
        <v>0.2537313432835821</v>
      </c>
    </row>
    <row r="3509" spans="1:14" x14ac:dyDescent="0.3">
      <c r="A3509" s="6">
        <v>45908</v>
      </c>
      <c r="B3509" s="1" t="s">
        <v>3693</v>
      </c>
      <c r="C3509" s="1" t="s">
        <v>28</v>
      </c>
      <c r="D3509" t="s">
        <v>33</v>
      </c>
      <c r="E3509" t="s">
        <v>155</v>
      </c>
      <c r="F3509" t="s">
        <v>23</v>
      </c>
      <c r="G3509" t="s">
        <v>25</v>
      </c>
      <c r="H3509" s="3">
        <v>7</v>
      </c>
      <c r="I3509" s="3">
        <v>4512</v>
      </c>
      <c r="J3509" s="3">
        <v>31584</v>
      </c>
      <c r="K3509" s="3">
        <v>3200</v>
      </c>
      <c r="L3509" s="3">
        <v>22400</v>
      </c>
      <c r="M3509" s="3">
        <v>9184</v>
      </c>
      <c r="N3509" s="4">
        <v>0.29078014184397161</v>
      </c>
    </row>
    <row r="3510" spans="1:14" x14ac:dyDescent="0.3">
      <c r="A3510" s="6">
        <v>45908</v>
      </c>
      <c r="B3510" s="1" t="s">
        <v>3694</v>
      </c>
      <c r="C3510" s="1" t="s">
        <v>29</v>
      </c>
      <c r="D3510" t="s">
        <v>33</v>
      </c>
      <c r="E3510" t="s">
        <v>263</v>
      </c>
      <c r="F3510" t="s">
        <v>16</v>
      </c>
      <c r="G3510" t="s">
        <v>15</v>
      </c>
      <c r="H3510" s="3">
        <v>4</v>
      </c>
      <c r="I3510" s="3">
        <v>51679.999999999993</v>
      </c>
      <c r="J3510" s="3">
        <v>206719.99999999997</v>
      </c>
      <c r="K3510" s="3">
        <v>38000</v>
      </c>
      <c r="L3510" s="3">
        <v>152000</v>
      </c>
      <c r="M3510" s="3">
        <v>54719.999999999971</v>
      </c>
      <c r="N3510" s="4">
        <v>0.26470588235294107</v>
      </c>
    </row>
    <row r="3511" spans="1:14" x14ac:dyDescent="0.3">
      <c r="A3511" s="6">
        <v>45908</v>
      </c>
      <c r="B3511" s="1" t="s">
        <v>3695</v>
      </c>
      <c r="C3511" s="1" t="s">
        <v>27</v>
      </c>
      <c r="D3511" t="s">
        <v>35</v>
      </c>
      <c r="E3511" t="s">
        <v>122</v>
      </c>
      <c r="F3511" t="s">
        <v>21</v>
      </c>
      <c r="G3511" t="s">
        <v>20</v>
      </c>
      <c r="H3511" s="3">
        <v>4</v>
      </c>
      <c r="I3511" s="3">
        <v>864</v>
      </c>
      <c r="J3511" s="3">
        <v>3456</v>
      </c>
      <c r="K3511" s="3">
        <v>600</v>
      </c>
      <c r="L3511" s="3">
        <v>2400</v>
      </c>
      <c r="M3511" s="3">
        <v>1056</v>
      </c>
      <c r="N3511" s="4">
        <v>0.30555555555555558</v>
      </c>
    </row>
    <row r="3512" spans="1:14" x14ac:dyDescent="0.3">
      <c r="A3512" s="6">
        <v>45908</v>
      </c>
      <c r="B3512" s="1" t="s">
        <v>3696</v>
      </c>
      <c r="C3512" s="1" t="s">
        <v>28</v>
      </c>
      <c r="D3512" t="s">
        <v>31</v>
      </c>
      <c r="E3512" t="s">
        <v>161</v>
      </c>
      <c r="F3512" t="s">
        <v>16</v>
      </c>
      <c r="G3512" t="s">
        <v>15</v>
      </c>
      <c r="H3512" s="3">
        <v>9</v>
      </c>
      <c r="I3512" s="3">
        <v>48640</v>
      </c>
      <c r="J3512" s="3">
        <v>437760</v>
      </c>
      <c r="K3512" s="3">
        <v>38000</v>
      </c>
      <c r="L3512" s="3">
        <v>342000</v>
      </c>
      <c r="M3512" s="3">
        <v>95760</v>
      </c>
      <c r="N3512" s="4">
        <v>0.21875</v>
      </c>
    </row>
    <row r="3513" spans="1:14" x14ac:dyDescent="0.3">
      <c r="A3513" s="6">
        <v>45908</v>
      </c>
      <c r="B3513" s="1" t="s">
        <v>3697</v>
      </c>
      <c r="C3513" s="1" t="s">
        <v>26</v>
      </c>
      <c r="D3513" t="s">
        <v>30</v>
      </c>
      <c r="E3513" t="s">
        <v>118</v>
      </c>
      <c r="F3513" t="s">
        <v>19</v>
      </c>
      <c r="G3513" t="s">
        <v>20</v>
      </c>
      <c r="H3513" s="3">
        <v>10</v>
      </c>
      <c r="I3513" s="3">
        <v>1098</v>
      </c>
      <c r="J3513" s="3">
        <v>10980</v>
      </c>
      <c r="K3513" s="3">
        <v>900</v>
      </c>
      <c r="L3513" s="3">
        <v>9000</v>
      </c>
      <c r="M3513" s="3">
        <v>1980</v>
      </c>
      <c r="N3513" s="4">
        <v>0.18032786885245902</v>
      </c>
    </row>
    <row r="3514" spans="1:14" x14ac:dyDescent="0.3">
      <c r="A3514" s="6">
        <v>45909</v>
      </c>
      <c r="B3514" s="1" t="s">
        <v>3698</v>
      </c>
      <c r="C3514" s="1" t="s">
        <v>26</v>
      </c>
      <c r="D3514" t="s">
        <v>34</v>
      </c>
      <c r="E3514" t="s">
        <v>59</v>
      </c>
      <c r="F3514" t="s">
        <v>19</v>
      </c>
      <c r="G3514" t="s">
        <v>20</v>
      </c>
      <c r="H3514" s="3">
        <v>3</v>
      </c>
      <c r="I3514" s="3">
        <v>1116</v>
      </c>
      <c r="J3514" s="3">
        <v>3348</v>
      </c>
      <c r="K3514" s="3">
        <v>900</v>
      </c>
      <c r="L3514" s="3">
        <v>2700</v>
      </c>
      <c r="M3514" s="3">
        <v>648</v>
      </c>
      <c r="N3514" s="4">
        <v>0.19354838709677419</v>
      </c>
    </row>
    <row r="3515" spans="1:14" x14ac:dyDescent="0.3">
      <c r="A3515" s="6">
        <v>45909</v>
      </c>
      <c r="B3515" s="1" t="s">
        <v>3699</v>
      </c>
      <c r="C3515" s="1" t="s">
        <v>28</v>
      </c>
      <c r="D3515" t="s">
        <v>32</v>
      </c>
      <c r="E3515" t="s">
        <v>379</v>
      </c>
      <c r="F3515" t="s">
        <v>19</v>
      </c>
      <c r="G3515" t="s">
        <v>20</v>
      </c>
      <c r="H3515" s="3">
        <v>8</v>
      </c>
      <c r="I3515" s="3">
        <v>1287</v>
      </c>
      <c r="J3515" s="3">
        <v>10296</v>
      </c>
      <c r="K3515" s="3">
        <v>900</v>
      </c>
      <c r="L3515" s="3">
        <v>7200</v>
      </c>
      <c r="M3515" s="3">
        <v>3096</v>
      </c>
      <c r="N3515" s="4">
        <v>0.30069930069930068</v>
      </c>
    </row>
    <row r="3516" spans="1:14" x14ac:dyDescent="0.3">
      <c r="A3516" s="6">
        <v>45909</v>
      </c>
      <c r="B3516" s="1" t="s">
        <v>3700</v>
      </c>
      <c r="C3516" s="1" t="s">
        <v>29</v>
      </c>
      <c r="D3516" t="s">
        <v>31</v>
      </c>
      <c r="E3516" t="s">
        <v>126</v>
      </c>
      <c r="F3516" t="s">
        <v>22</v>
      </c>
      <c r="G3516" t="s">
        <v>18</v>
      </c>
      <c r="H3516" s="3">
        <v>10</v>
      </c>
      <c r="I3516" s="3">
        <v>9870</v>
      </c>
      <c r="J3516" s="3">
        <v>98700</v>
      </c>
      <c r="K3516" s="3">
        <v>7000</v>
      </c>
      <c r="L3516" s="3">
        <v>70000</v>
      </c>
      <c r="M3516" s="3">
        <v>28700</v>
      </c>
      <c r="N3516" s="4">
        <v>0.29078014184397161</v>
      </c>
    </row>
    <row r="3517" spans="1:14" x14ac:dyDescent="0.3">
      <c r="A3517" s="6">
        <v>45909</v>
      </c>
      <c r="B3517" s="1" t="s">
        <v>3701</v>
      </c>
      <c r="C3517" s="1" t="s">
        <v>27</v>
      </c>
      <c r="D3517" t="s">
        <v>33</v>
      </c>
      <c r="E3517" t="s">
        <v>265</v>
      </c>
      <c r="F3517" t="s">
        <v>17</v>
      </c>
      <c r="G3517" t="s">
        <v>18</v>
      </c>
      <c r="H3517" s="3">
        <v>5</v>
      </c>
      <c r="I3517" s="3">
        <v>11305</v>
      </c>
      <c r="J3517" s="3">
        <v>56525</v>
      </c>
      <c r="K3517" s="3">
        <v>8500</v>
      </c>
      <c r="L3517" s="3">
        <v>42500</v>
      </c>
      <c r="M3517" s="3">
        <v>14025</v>
      </c>
      <c r="N3517" s="4">
        <v>0.24812030075187969</v>
      </c>
    </row>
    <row r="3518" spans="1:14" x14ac:dyDescent="0.3">
      <c r="A3518" s="6">
        <v>45909</v>
      </c>
      <c r="B3518" s="1" t="s">
        <v>3702</v>
      </c>
      <c r="C3518" s="1" t="s">
        <v>26</v>
      </c>
      <c r="D3518" t="s">
        <v>33</v>
      </c>
      <c r="E3518" t="s">
        <v>228</v>
      </c>
      <c r="F3518" t="s">
        <v>19</v>
      </c>
      <c r="G3518" t="s">
        <v>20</v>
      </c>
      <c r="H3518" s="3">
        <v>10</v>
      </c>
      <c r="I3518" s="3">
        <v>1296</v>
      </c>
      <c r="J3518" s="3">
        <v>12960</v>
      </c>
      <c r="K3518" s="3">
        <v>900</v>
      </c>
      <c r="L3518" s="3">
        <v>9000</v>
      </c>
      <c r="M3518" s="3">
        <v>3960</v>
      </c>
      <c r="N3518" s="4">
        <v>0.30555555555555558</v>
      </c>
    </row>
    <row r="3519" spans="1:14" x14ac:dyDescent="0.3">
      <c r="A3519" s="6">
        <v>45909</v>
      </c>
      <c r="B3519" s="1" t="s">
        <v>3703</v>
      </c>
      <c r="C3519" s="1" t="s">
        <v>27</v>
      </c>
      <c r="D3519" t="s">
        <v>32</v>
      </c>
      <c r="E3519" t="s">
        <v>216</v>
      </c>
      <c r="F3519" t="s">
        <v>22</v>
      </c>
      <c r="G3519" t="s">
        <v>18</v>
      </c>
      <c r="H3519" s="3">
        <v>2</v>
      </c>
      <c r="I3519" s="3">
        <v>8960</v>
      </c>
      <c r="J3519" s="3">
        <v>17920</v>
      </c>
      <c r="K3519" s="3">
        <v>7000</v>
      </c>
      <c r="L3519" s="3">
        <v>14000</v>
      </c>
      <c r="M3519" s="3">
        <v>3920</v>
      </c>
      <c r="N3519" s="4">
        <v>0.21875</v>
      </c>
    </row>
    <row r="3520" spans="1:14" x14ac:dyDescent="0.3">
      <c r="A3520" s="6">
        <v>45909</v>
      </c>
      <c r="B3520" s="1" t="s">
        <v>3704</v>
      </c>
      <c r="C3520" s="1" t="s">
        <v>26</v>
      </c>
      <c r="D3520" t="s">
        <v>30</v>
      </c>
      <c r="E3520" t="s">
        <v>122</v>
      </c>
      <c r="F3520" t="s">
        <v>22</v>
      </c>
      <c r="G3520" t="s">
        <v>18</v>
      </c>
      <c r="H3520" s="3">
        <v>7</v>
      </c>
      <c r="I3520" s="3">
        <v>10080</v>
      </c>
      <c r="J3520" s="3">
        <v>70560</v>
      </c>
      <c r="K3520" s="3">
        <v>7000</v>
      </c>
      <c r="L3520" s="3">
        <v>49000</v>
      </c>
      <c r="M3520" s="3">
        <v>21560</v>
      </c>
      <c r="N3520" s="4">
        <v>0.30555555555555558</v>
      </c>
    </row>
    <row r="3521" spans="1:14" x14ac:dyDescent="0.3">
      <c r="A3521" s="6">
        <v>45909</v>
      </c>
      <c r="B3521" s="1" t="s">
        <v>3705</v>
      </c>
      <c r="C3521" s="1" t="s">
        <v>28</v>
      </c>
      <c r="D3521" t="s">
        <v>30</v>
      </c>
      <c r="E3521" t="s">
        <v>153</v>
      </c>
      <c r="F3521" t="s">
        <v>19</v>
      </c>
      <c r="G3521" t="s">
        <v>20</v>
      </c>
      <c r="H3521" s="3">
        <v>2</v>
      </c>
      <c r="I3521" s="3">
        <v>1134</v>
      </c>
      <c r="J3521" s="3">
        <v>2268</v>
      </c>
      <c r="K3521" s="3">
        <v>900</v>
      </c>
      <c r="L3521" s="3">
        <v>1800</v>
      </c>
      <c r="M3521" s="3">
        <v>468</v>
      </c>
      <c r="N3521" s="4">
        <v>0.20634920634920634</v>
      </c>
    </row>
    <row r="3522" spans="1:14" x14ac:dyDescent="0.3">
      <c r="A3522" s="6">
        <v>45909</v>
      </c>
      <c r="B3522" s="1" t="s">
        <v>3706</v>
      </c>
      <c r="C3522" s="1" t="s">
        <v>29</v>
      </c>
      <c r="D3522" t="s">
        <v>31</v>
      </c>
      <c r="E3522" t="s">
        <v>582</v>
      </c>
      <c r="F3522" t="s">
        <v>22</v>
      </c>
      <c r="G3522" t="s">
        <v>18</v>
      </c>
      <c r="H3522" s="3">
        <v>10</v>
      </c>
      <c r="I3522" s="3">
        <v>8890</v>
      </c>
      <c r="J3522" s="3">
        <v>88900</v>
      </c>
      <c r="K3522" s="3">
        <v>7000</v>
      </c>
      <c r="L3522" s="3">
        <v>70000</v>
      </c>
      <c r="M3522" s="3">
        <v>18900</v>
      </c>
      <c r="N3522" s="4">
        <v>0.2125984251968504</v>
      </c>
    </row>
    <row r="3523" spans="1:14" x14ac:dyDescent="0.3">
      <c r="A3523" s="6">
        <v>45909</v>
      </c>
      <c r="B3523" s="1" t="s">
        <v>3707</v>
      </c>
      <c r="C3523" s="1" t="s">
        <v>28</v>
      </c>
      <c r="D3523" t="s">
        <v>35</v>
      </c>
      <c r="E3523" t="s">
        <v>365</v>
      </c>
      <c r="F3523" t="s">
        <v>22</v>
      </c>
      <c r="G3523" t="s">
        <v>18</v>
      </c>
      <c r="H3523" s="3">
        <v>10</v>
      </c>
      <c r="I3523" s="3">
        <v>8890</v>
      </c>
      <c r="J3523" s="3">
        <v>88900</v>
      </c>
      <c r="K3523" s="3">
        <v>7000</v>
      </c>
      <c r="L3523" s="3">
        <v>70000</v>
      </c>
      <c r="M3523" s="3">
        <v>18900</v>
      </c>
      <c r="N3523" s="4">
        <v>0.2125984251968504</v>
      </c>
    </row>
    <row r="3524" spans="1:14" x14ac:dyDescent="0.3">
      <c r="A3524" s="6">
        <v>45909</v>
      </c>
      <c r="B3524" s="1" t="s">
        <v>3708</v>
      </c>
      <c r="C3524" s="1" t="s">
        <v>27</v>
      </c>
      <c r="D3524" t="s">
        <v>32</v>
      </c>
      <c r="E3524" t="s">
        <v>85</v>
      </c>
      <c r="F3524" t="s">
        <v>21</v>
      </c>
      <c r="G3524" t="s">
        <v>20</v>
      </c>
      <c r="H3524" s="3">
        <v>4</v>
      </c>
      <c r="I3524" s="3">
        <v>774</v>
      </c>
      <c r="J3524" s="3">
        <v>3096</v>
      </c>
      <c r="K3524" s="3">
        <v>600</v>
      </c>
      <c r="L3524" s="3">
        <v>2400</v>
      </c>
      <c r="M3524" s="3">
        <v>696</v>
      </c>
      <c r="N3524" s="4">
        <v>0.22480620155038761</v>
      </c>
    </row>
    <row r="3525" spans="1:14" x14ac:dyDescent="0.3">
      <c r="A3525" s="6">
        <v>45909</v>
      </c>
      <c r="B3525" s="1" t="s">
        <v>3709</v>
      </c>
      <c r="C3525" s="1" t="s">
        <v>28</v>
      </c>
      <c r="D3525" t="s">
        <v>32</v>
      </c>
      <c r="E3525" t="s">
        <v>110</v>
      </c>
      <c r="F3525" t="s">
        <v>16</v>
      </c>
      <c r="G3525" t="s">
        <v>15</v>
      </c>
      <c r="H3525" s="3">
        <v>5</v>
      </c>
      <c r="I3525" s="3">
        <v>49020</v>
      </c>
      <c r="J3525" s="3">
        <v>245100</v>
      </c>
      <c r="K3525" s="3">
        <v>38000</v>
      </c>
      <c r="L3525" s="3">
        <v>190000</v>
      </c>
      <c r="M3525" s="3">
        <v>55100</v>
      </c>
      <c r="N3525" s="4">
        <v>0.22480620155038761</v>
      </c>
    </row>
    <row r="3526" spans="1:14" x14ac:dyDescent="0.3">
      <c r="A3526" s="6">
        <v>45909</v>
      </c>
      <c r="B3526" s="1" t="s">
        <v>3710</v>
      </c>
      <c r="C3526" s="1" t="s">
        <v>28</v>
      </c>
      <c r="D3526" t="s">
        <v>30</v>
      </c>
      <c r="E3526" t="s">
        <v>145</v>
      </c>
      <c r="F3526" t="s">
        <v>17</v>
      </c>
      <c r="G3526" t="s">
        <v>18</v>
      </c>
      <c r="H3526" s="3">
        <v>9</v>
      </c>
      <c r="I3526" s="3">
        <v>12325</v>
      </c>
      <c r="J3526" s="3">
        <v>110925</v>
      </c>
      <c r="K3526" s="3">
        <v>8500</v>
      </c>
      <c r="L3526" s="3">
        <v>76500</v>
      </c>
      <c r="M3526" s="3">
        <v>34425</v>
      </c>
      <c r="N3526" s="4">
        <v>0.31034482758620691</v>
      </c>
    </row>
    <row r="3527" spans="1:14" x14ac:dyDescent="0.3">
      <c r="A3527" s="6">
        <v>45909</v>
      </c>
      <c r="B3527" s="1" t="s">
        <v>3711</v>
      </c>
      <c r="C3527" s="1" t="s">
        <v>27</v>
      </c>
      <c r="D3527" t="s">
        <v>30</v>
      </c>
      <c r="E3527" t="s">
        <v>51</v>
      </c>
      <c r="F3527" t="s">
        <v>17</v>
      </c>
      <c r="G3527" t="s">
        <v>18</v>
      </c>
      <c r="H3527" s="3">
        <v>7</v>
      </c>
      <c r="I3527" s="3">
        <v>11220</v>
      </c>
      <c r="J3527" s="3">
        <v>78540</v>
      </c>
      <c r="K3527" s="3">
        <v>8500</v>
      </c>
      <c r="L3527" s="3">
        <v>59500</v>
      </c>
      <c r="M3527" s="3">
        <v>19040</v>
      </c>
      <c r="N3527" s="4">
        <v>0.24242424242424243</v>
      </c>
    </row>
    <row r="3528" spans="1:14" x14ac:dyDescent="0.3">
      <c r="A3528" s="6">
        <v>45910</v>
      </c>
      <c r="B3528" s="1" t="s">
        <v>3712</v>
      </c>
      <c r="C3528" s="1" t="s">
        <v>26</v>
      </c>
      <c r="D3528" t="s">
        <v>30</v>
      </c>
      <c r="E3528" t="s">
        <v>453</v>
      </c>
      <c r="F3528" t="s">
        <v>23</v>
      </c>
      <c r="G3528" t="s">
        <v>25</v>
      </c>
      <c r="H3528" s="3">
        <v>6</v>
      </c>
      <c r="I3528" s="3">
        <v>3968</v>
      </c>
      <c r="J3528" s="3">
        <v>23808</v>
      </c>
      <c r="K3528" s="3">
        <v>3200</v>
      </c>
      <c r="L3528" s="3">
        <v>19200</v>
      </c>
      <c r="M3528" s="3">
        <v>4608</v>
      </c>
      <c r="N3528" s="4">
        <v>0.19354838709677419</v>
      </c>
    </row>
    <row r="3529" spans="1:14" x14ac:dyDescent="0.3">
      <c r="A3529" s="6">
        <v>45910</v>
      </c>
      <c r="B3529" s="1" t="s">
        <v>3713</v>
      </c>
      <c r="C3529" s="1" t="s">
        <v>28</v>
      </c>
      <c r="D3529" t="s">
        <v>32</v>
      </c>
      <c r="E3529" t="s">
        <v>506</v>
      </c>
      <c r="F3529" t="s">
        <v>14</v>
      </c>
      <c r="G3529" t="s">
        <v>15</v>
      </c>
      <c r="H3529" s="3">
        <v>6</v>
      </c>
      <c r="I3529" s="3">
        <v>57600</v>
      </c>
      <c r="J3529" s="3">
        <v>345600</v>
      </c>
      <c r="K3529" s="3">
        <v>45000</v>
      </c>
      <c r="L3529" s="3">
        <v>270000</v>
      </c>
      <c r="M3529" s="3">
        <v>75600</v>
      </c>
      <c r="N3529" s="4">
        <v>0.21875</v>
      </c>
    </row>
    <row r="3530" spans="1:14" x14ac:dyDescent="0.3">
      <c r="A3530" s="6">
        <v>45910</v>
      </c>
      <c r="B3530" s="1" t="s">
        <v>3714</v>
      </c>
      <c r="C3530" s="1" t="s">
        <v>26</v>
      </c>
      <c r="D3530" t="s">
        <v>35</v>
      </c>
      <c r="E3530" t="s">
        <v>361</v>
      </c>
      <c r="F3530" t="s">
        <v>16</v>
      </c>
      <c r="G3530" t="s">
        <v>15</v>
      </c>
      <c r="H3530" s="3">
        <v>10</v>
      </c>
      <c r="I3530" s="3">
        <v>47880</v>
      </c>
      <c r="J3530" s="3">
        <v>478800</v>
      </c>
      <c r="K3530" s="3">
        <v>38000</v>
      </c>
      <c r="L3530" s="3">
        <v>380000</v>
      </c>
      <c r="M3530" s="3">
        <v>98800</v>
      </c>
      <c r="N3530" s="4">
        <v>0.20634920634920634</v>
      </c>
    </row>
    <row r="3531" spans="1:14" x14ac:dyDescent="0.3">
      <c r="A3531" s="6">
        <v>45910</v>
      </c>
      <c r="B3531" s="1" t="s">
        <v>3715</v>
      </c>
      <c r="C3531" s="1" t="s">
        <v>27</v>
      </c>
      <c r="D3531" t="s">
        <v>33</v>
      </c>
      <c r="E3531" t="s">
        <v>153</v>
      </c>
      <c r="F3531" t="s">
        <v>21</v>
      </c>
      <c r="G3531" t="s">
        <v>20</v>
      </c>
      <c r="H3531" s="3">
        <v>8</v>
      </c>
      <c r="I3531" s="3">
        <v>756</v>
      </c>
      <c r="J3531" s="3">
        <v>6048</v>
      </c>
      <c r="K3531" s="3">
        <v>600</v>
      </c>
      <c r="L3531" s="3">
        <v>4800</v>
      </c>
      <c r="M3531" s="3">
        <v>1248</v>
      </c>
      <c r="N3531" s="4">
        <v>0.20634920634920634</v>
      </c>
    </row>
    <row r="3532" spans="1:14" x14ac:dyDescent="0.3">
      <c r="A3532" s="6">
        <v>45910</v>
      </c>
      <c r="B3532" s="1" t="s">
        <v>3716</v>
      </c>
      <c r="C3532" s="1" t="s">
        <v>27</v>
      </c>
      <c r="D3532" t="s">
        <v>34</v>
      </c>
      <c r="E3532" t="s">
        <v>807</v>
      </c>
      <c r="F3532" t="s">
        <v>19</v>
      </c>
      <c r="G3532" t="s">
        <v>20</v>
      </c>
      <c r="H3532" s="3">
        <v>2</v>
      </c>
      <c r="I3532" s="3">
        <v>1134</v>
      </c>
      <c r="J3532" s="3">
        <v>2268</v>
      </c>
      <c r="K3532" s="3">
        <v>900</v>
      </c>
      <c r="L3532" s="3">
        <v>1800</v>
      </c>
      <c r="M3532" s="3">
        <v>468</v>
      </c>
      <c r="N3532" s="4">
        <v>0.20634920634920634</v>
      </c>
    </row>
    <row r="3533" spans="1:14" x14ac:dyDescent="0.3">
      <c r="A3533" s="6">
        <v>45910</v>
      </c>
      <c r="B3533" s="1" t="s">
        <v>3717</v>
      </c>
      <c r="C3533" s="1" t="s">
        <v>29</v>
      </c>
      <c r="D3533" t="s">
        <v>33</v>
      </c>
      <c r="E3533" t="s">
        <v>78</v>
      </c>
      <c r="F3533" t="s">
        <v>16</v>
      </c>
      <c r="G3533" t="s">
        <v>15</v>
      </c>
      <c r="H3533" s="3">
        <v>3</v>
      </c>
      <c r="I3533" s="3">
        <v>52060.000000000007</v>
      </c>
      <c r="J3533" s="3">
        <v>156180.00000000003</v>
      </c>
      <c r="K3533" s="3">
        <v>38000</v>
      </c>
      <c r="L3533" s="3">
        <v>114000</v>
      </c>
      <c r="M3533" s="3">
        <v>42180.000000000029</v>
      </c>
      <c r="N3533" s="4">
        <v>0.27007299270073004</v>
      </c>
    </row>
    <row r="3534" spans="1:14" x14ac:dyDescent="0.3">
      <c r="A3534" s="6">
        <v>45910</v>
      </c>
      <c r="B3534" s="1" t="s">
        <v>3718</v>
      </c>
      <c r="C3534" s="1" t="s">
        <v>27</v>
      </c>
      <c r="D3534" t="s">
        <v>34</v>
      </c>
      <c r="E3534" t="s">
        <v>145</v>
      </c>
      <c r="F3534" t="s">
        <v>17</v>
      </c>
      <c r="G3534" t="s">
        <v>18</v>
      </c>
      <c r="H3534" s="3">
        <v>10</v>
      </c>
      <c r="I3534" s="3">
        <v>10880</v>
      </c>
      <c r="J3534" s="3">
        <v>108800</v>
      </c>
      <c r="K3534" s="3">
        <v>8500</v>
      </c>
      <c r="L3534" s="3">
        <v>85000</v>
      </c>
      <c r="M3534" s="3">
        <v>23800</v>
      </c>
      <c r="N3534" s="4">
        <v>0.21875</v>
      </c>
    </row>
    <row r="3535" spans="1:14" x14ac:dyDescent="0.3">
      <c r="A3535" s="6">
        <v>45910</v>
      </c>
      <c r="B3535" s="1" t="s">
        <v>3719</v>
      </c>
      <c r="C3535" s="1" t="s">
        <v>28</v>
      </c>
      <c r="D3535" t="s">
        <v>31</v>
      </c>
      <c r="E3535" t="s">
        <v>81</v>
      </c>
      <c r="F3535" t="s">
        <v>19</v>
      </c>
      <c r="G3535" t="s">
        <v>20</v>
      </c>
      <c r="H3535" s="3">
        <v>2</v>
      </c>
      <c r="I3535" s="3">
        <v>1233</v>
      </c>
      <c r="J3535" s="3">
        <v>2466</v>
      </c>
      <c r="K3535" s="3">
        <v>900</v>
      </c>
      <c r="L3535" s="3">
        <v>1800</v>
      </c>
      <c r="M3535" s="3">
        <v>666</v>
      </c>
      <c r="N3535" s="4">
        <v>0.27007299270072993</v>
      </c>
    </row>
    <row r="3536" spans="1:14" x14ac:dyDescent="0.3">
      <c r="A3536" s="6">
        <v>45910</v>
      </c>
      <c r="B3536" s="1" t="s">
        <v>3720</v>
      </c>
      <c r="C3536" s="1" t="s">
        <v>28</v>
      </c>
      <c r="D3536" t="s">
        <v>32</v>
      </c>
      <c r="E3536" t="s">
        <v>204</v>
      </c>
      <c r="F3536" t="s">
        <v>22</v>
      </c>
      <c r="G3536" t="s">
        <v>18</v>
      </c>
      <c r="H3536" s="3">
        <v>7</v>
      </c>
      <c r="I3536" s="3">
        <v>9170</v>
      </c>
      <c r="J3536" s="3">
        <v>64190</v>
      </c>
      <c r="K3536" s="3">
        <v>7000</v>
      </c>
      <c r="L3536" s="3">
        <v>49000</v>
      </c>
      <c r="M3536" s="3">
        <v>15190</v>
      </c>
      <c r="N3536" s="4">
        <v>0.23664122137404581</v>
      </c>
    </row>
    <row r="3537" spans="1:14" x14ac:dyDescent="0.3">
      <c r="A3537" s="6">
        <v>45910</v>
      </c>
      <c r="B3537" s="1" t="s">
        <v>3721</v>
      </c>
      <c r="C3537" s="1" t="s">
        <v>28</v>
      </c>
      <c r="D3537" t="s">
        <v>34</v>
      </c>
      <c r="E3537" t="s">
        <v>45</v>
      </c>
      <c r="F3537" t="s">
        <v>21</v>
      </c>
      <c r="G3537" t="s">
        <v>20</v>
      </c>
      <c r="H3537" s="3">
        <v>4</v>
      </c>
      <c r="I3537" s="3">
        <v>780</v>
      </c>
      <c r="J3537" s="3">
        <v>3120</v>
      </c>
      <c r="K3537" s="3">
        <v>600</v>
      </c>
      <c r="L3537" s="3">
        <v>2400</v>
      </c>
      <c r="M3537" s="3">
        <v>720</v>
      </c>
      <c r="N3537" s="4">
        <v>0.23076923076923078</v>
      </c>
    </row>
    <row r="3538" spans="1:14" x14ac:dyDescent="0.3">
      <c r="A3538" s="6">
        <v>45910</v>
      </c>
      <c r="B3538" s="1" t="s">
        <v>3722</v>
      </c>
      <c r="C3538" s="1" t="s">
        <v>27</v>
      </c>
      <c r="D3538" t="s">
        <v>34</v>
      </c>
      <c r="E3538" t="s">
        <v>935</v>
      </c>
      <c r="F3538" t="s">
        <v>23</v>
      </c>
      <c r="G3538" t="s">
        <v>25</v>
      </c>
      <c r="H3538" s="3">
        <v>8</v>
      </c>
      <c r="I3538" s="3">
        <v>4288</v>
      </c>
      <c r="J3538" s="3">
        <v>34304</v>
      </c>
      <c r="K3538" s="3">
        <v>3200</v>
      </c>
      <c r="L3538" s="3">
        <v>25600</v>
      </c>
      <c r="M3538" s="3">
        <v>8704</v>
      </c>
      <c r="N3538" s="4">
        <v>0.2537313432835821</v>
      </c>
    </row>
    <row r="3539" spans="1:14" x14ac:dyDescent="0.3">
      <c r="A3539" s="6">
        <v>45910</v>
      </c>
      <c r="B3539" s="1" t="s">
        <v>3723</v>
      </c>
      <c r="C3539" s="1" t="s">
        <v>29</v>
      </c>
      <c r="D3539" t="s">
        <v>31</v>
      </c>
      <c r="E3539" t="s">
        <v>76</v>
      </c>
      <c r="F3539" t="s">
        <v>19</v>
      </c>
      <c r="G3539" t="s">
        <v>20</v>
      </c>
      <c r="H3539" s="3">
        <v>10</v>
      </c>
      <c r="I3539" s="3">
        <v>1278</v>
      </c>
      <c r="J3539" s="3">
        <v>12780</v>
      </c>
      <c r="K3539" s="3">
        <v>900</v>
      </c>
      <c r="L3539" s="3">
        <v>9000</v>
      </c>
      <c r="M3539" s="3">
        <v>3780</v>
      </c>
      <c r="N3539" s="4">
        <v>0.29577464788732394</v>
      </c>
    </row>
    <row r="3540" spans="1:14" x14ac:dyDescent="0.3">
      <c r="A3540" s="6">
        <v>45910</v>
      </c>
      <c r="B3540" s="1" t="s">
        <v>3724</v>
      </c>
      <c r="C3540" s="1" t="s">
        <v>26</v>
      </c>
      <c r="D3540" t="s">
        <v>34</v>
      </c>
      <c r="E3540" t="s">
        <v>226</v>
      </c>
      <c r="F3540" t="s">
        <v>16</v>
      </c>
      <c r="G3540" t="s">
        <v>15</v>
      </c>
      <c r="H3540" s="3">
        <v>1</v>
      </c>
      <c r="I3540" s="3">
        <v>48260</v>
      </c>
      <c r="J3540" s="3">
        <v>48260</v>
      </c>
      <c r="K3540" s="3">
        <v>38000</v>
      </c>
      <c r="L3540" s="3">
        <v>38000</v>
      </c>
      <c r="M3540" s="3">
        <v>10260</v>
      </c>
      <c r="N3540" s="4">
        <v>0.2125984251968504</v>
      </c>
    </row>
    <row r="3541" spans="1:14" x14ac:dyDescent="0.3">
      <c r="A3541" s="6">
        <v>45910</v>
      </c>
      <c r="B3541" s="1" t="s">
        <v>3725</v>
      </c>
      <c r="C3541" s="1" t="s">
        <v>26</v>
      </c>
      <c r="D3541" t="s">
        <v>31</v>
      </c>
      <c r="E3541" t="s">
        <v>88</v>
      </c>
      <c r="F3541" t="s">
        <v>14</v>
      </c>
      <c r="G3541" t="s">
        <v>15</v>
      </c>
      <c r="H3541" s="3">
        <v>1</v>
      </c>
      <c r="I3541" s="3">
        <v>57150</v>
      </c>
      <c r="J3541" s="3">
        <v>57150</v>
      </c>
      <c r="K3541" s="3">
        <v>45000</v>
      </c>
      <c r="L3541" s="3">
        <v>45000</v>
      </c>
      <c r="M3541" s="3">
        <v>12150</v>
      </c>
      <c r="N3541" s="4">
        <v>0.2125984251968504</v>
      </c>
    </row>
    <row r="3542" spans="1:14" x14ac:dyDescent="0.3">
      <c r="A3542" s="6">
        <v>45911</v>
      </c>
      <c r="B3542" s="1" t="s">
        <v>3726</v>
      </c>
      <c r="C3542" s="1" t="s">
        <v>26</v>
      </c>
      <c r="D3542" t="s">
        <v>34</v>
      </c>
      <c r="E3542" t="s">
        <v>427</v>
      </c>
      <c r="F3542" t="s">
        <v>22</v>
      </c>
      <c r="G3542" t="s">
        <v>18</v>
      </c>
      <c r="H3542" s="3">
        <v>1</v>
      </c>
      <c r="I3542" s="3">
        <v>10150</v>
      </c>
      <c r="J3542" s="3">
        <v>10150</v>
      </c>
      <c r="K3542" s="3">
        <v>7000</v>
      </c>
      <c r="L3542" s="3">
        <v>7000</v>
      </c>
      <c r="M3542" s="3">
        <v>3150</v>
      </c>
      <c r="N3542" s="4">
        <v>0.31034482758620691</v>
      </c>
    </row>
    <row r="3543" spans="1:14" x14ac:dyDescent="0.3">
      <c r="A3543" s="6">
        <v>45911</v>
      </c>
      <c r="B3543" s="1" t="s">
        <v>3727</v>
      </c>
      <c r="C3543" s="1" t="s">
        <v>26</v>
      </c>
      <c r="D3543" t="s">
        <v>35</v>
      </c>
      <c r="E3543" t="s">
        <v>431</v>
      </c>
      <c r="F3543" t="s">
        <v>16</v>
      </c>
      <c r="G3543" t="s">
        <v>15</v>
      </c>
      <c r="H3543" s="3">
        <v>10</v>
      </c>
      <c r="I3543" s="3">
        <v>47120</v>
      </c>
      <c r="J3543" s="3">
        <v>471200</v>
      </c>
      <c r="K3543" s="3">
        <v>38000</v>
      </c>
      <c r="L3543" s="3">
        <v>380000</v>
      </c>
      <c r="M3543" s="3">
        <v>91200</v>
      </c>
      <c r="N3543" s="4">
        <v>0.19354838709677419</v>
      </c>
    </row>
    <row r="3544" spans="1:14" x14ac:dyDescent="0.3">
      <c r="A3544" s="6">
        <v>45911</v>
      </c>
      <c r="B3544" s="1" t="s">
        <v>3728</v>
      </c>
      <c r="C3544" s="1" t="s">
        <v>28</v>
      </c>
      <c r="D3544" t="s">
        <v>31</v>
      </c>
      <c r="E3544" t="s">
        <v>104</v>
      </c>
      <c r="F3544" t="s">
        <v>14</v>
      </c>
      <c r="G3544" t="s">
        <v>15</v>
      </c>
      <c r="H3544" s="3">
        <v>6</v>
      </c>
      <c r="I3544" s="3">
        <v>64800</v>
      </c>
      <c r="J3544" s="3">
        <v>388800</v>
      </c>
      <c r="K3544" s="3">
        <v>45000</v>
      </c>
      <c r="L3544" s="3">
        <v>270000</v>
      </c>
      <c r="M3544" s="3">
        <v>118800</v>
      </c>
      <c r="N3544" s="4">
        <v>0.30555555555555558</v>
      </c>
    </row>
    <row r="3545" spans="1:14" x14ac:dyDescent="0.3">
      <c r="A3545" s="6">
        <v>45911</v>
      </c>
      <c r="B3545" s="1" t="s">
        <v>3729</v>
      </c>
      <c r="C3545" s="1" t="s">
        <v>27</v>
      </c>
      <c r="D3545" t="s">
        <v>30</v>
      </c>
      <c r="E3545" t="s">
        <v>189</v>
      </c>
      <c r="F3545" t="s">
        <v>23</v>
      </c>
      <c r="G3545" t="s">
        <v>25</v>
      </c>
      <c r="H3545" s="3">
        <v>1</v>
      </c>
      <c r="I3545" s="3">
        <v>4192</v>
      </c>
      <c r="J3545" s="3">
        <v>4192</v>
      </c>
      <c r="K3545" s="3">
        <v>3200</v>
      </c>
      <c r="L3545" s="3">
        <v>3200</v>
      </c>
      <c r="M3545" s="3">
        <v>992</v>
      </c>
      <c r="N3545" s="4">
        <v>0.23664122137404581</v>
      </c>
    </row>
    <row r="3546" spans="1:14" x14ac:dyDescent="0.3">
      <c r="A3546" s="6">
        <v>45911</v>
      </c>
      <c r="B3546" s="1" t="s">
        <v>3730</v>
      </c>
      <c r="C3546" s="1" t="s">
        <v>27</v>
      </c>
      <c r="D3546" t="s">
        <v>35</v>
      </c>
      <c r="E3546" t="s">
        <v>118</v>
      </c>
      <c r="F3546" t="s">
        <v>17</v>
      </c>
      <c r="G3546" t="s">
        <v>18</v>
      </c>
      <c r="H3546" s="3">
        <v>9</v>
      </c>
      <c r="I3546" s="3">
        <v>11135</v>
      </c>
      <c r="J3546" s="3">
        <v>100215</v>
      </c>
      <c r="K3546" s="3">
        <v>8500</v>
      </c>
      <c r="L3546" s="3">
        <v>76500</v>
      </c>
      <c r="M3546" s="3">
        <v>23715</v>
      </c>
      <c r="N3546" s="4">
        <v>0.23664122137404581</v>
      </c>
    </row>
    <row r="3547" spans="1:14" x14ac:dyDescent="0.3">
      <c r="A3547" s="6">
        <v>45911</v>
      </c>
      <c r="B3547" s="1" t="s">
        <v>3731</v>
      </c>
      <c r="C3547" s="1" t="s">
        <v>27</v>
      </c>
      <c r="D3547" t="s">
        <v>31</v>
      </c>
      <c r="E3547" t="s">
        <v>134</v>
      </c>
      <c r="F3547" t="s">
        <v>21</v>
      </c>
      <c r="G3547" t="s">
        <v>20</v>
      </c>
      <c r="H3547" s="3">
        <v>4</v>
      </c>
      <c r="I3547" s="3">
        <v>870</v>
      </c>
      <c r="J3547" s="3">
        <v>3480</v>
      </c>
      <c r="K3547" s="3">
        <v>600</v>
      </c>
      <c r="L3547" s="3">
        <v>2400</v>
      </c>
      <c r="M3547" s="3">
        <v>1080</v>
      </c>
      <c r="N3547" s="4">
        <v>0.31034482758620691</v>
      </c>
    </row>
    <row r="3548" spans="1:14" x14ac:dyDescent="0.3">
      <c r="A3548" s="6">
        <v>45911</v>
      </c>
      <c r="B3548" s="1" t="s">
        <v>3732</v>
      </c>
      <c r="C3548" s="1" t="s">
        <v>26</v>
      </c>
      <c r="D3548" t="s">
        <v>32</v>
      </c>
      <c r="E3548" t="s">
        <v>96</v>
      </c>
      <c r="F3548" t="s">
        <v>24</v>
      </c>
      <c r="G3548" t="s">
        <v>25</v>
      </c>
      <c r="H3548" s="3">
        <v>10</v>
      </c>
      <c r="I3548" s="3">
        <v>3175</v>
      </c>
      <c r="J3548" s="3">
        <v>31750</v>
      </c>
      <c r="K3548" s="3">
        <v>2500</v>
      </c>
      <c r="L3548" s="3">
        <v>25000</v>
      </c>
      <c r="M3548" s="3">
        <v>6750</v>
      </c>
      <c r="N3548" s="4">
        <v>0.2125984251968504</v>
      </c>
    </row>
    <row r="3549" spans="1:14" x14ac:dyDescent="0.3">
      <c r="A3549" s="6">
        <v>45911</v>
      </c>
      <c r="B3549" s="1" t="s">
        <v>3733</v>
      </c>
      <c r="C3549" s="1" t="s">
        <v>28</v>
      </c>
      <c r="D3549" t="s">
        <v>35</v>
      </c>
      <c r="E3549" t="s">
        <v>381</v>
      </c>
      <c r="F3549" t="s">
        <v>16</v>
      </c>
      <c r="G3549" t="s">
        <v>15</v>
      </c>
      <c r="H3549" s="3">
        <v>1</v>
      </c>
      <c r="I3549" s="3">
        <v>46360</v>
      </c>
      <c r="J3549" s="3">
        <v>46360</v>
      </c>
      <c r="K3549" s="3">
        <v>38000</v>
      </c>
      <c r="L3549" s="3">
        <v>38000</v>
      </c>
      <c r="M3549" s="3">
        <v>8360</v>
      </c>
      <c r="N3549" s="4">
        <v>0.18032786885245902</v>
      </c>
    </row>
    <row r="3550" spans="1:14" x14ac:dyDescent="0.3">
      <c r="A3550" s="6">
        <v>45911</v>
      </c>
      <c r="B3550" s="1" t="s">
        <v>3734</v>
      </c>
      <c r="C3550" s="1" t="s">
        <v>29</v>
      </c>
      <c r="D3550" t="s">
        <v>34</v>
      </c>
      <c r="E3550" t="s">
        <v>576</v>
      </c>
      <c r="F3550" t="s">
        <v>21</v>
      </c>
      <c r="G3550" t="s">
        <v>20</v>
      </c>
      <c r="H3550" s="3">
        <v>7</v>
      </c>
      <c r="I3550" s="3">
        <v>732</v>
      </c>
      <c r="J3550" s="3">
        <v>5124</v>
      </c>
      <c r="K3550" s="3">
        <v>600</v>
      </c>
      <c r="L3550" s="3">
        <v>4200</v>
      </c>
      <c r="M3550" s="3">
        <v>924</v>
      </c>
      <c r="N3550" s="4">
        <v>0.18032786885245902</v>
      </c>
    </row>
    <row r="3551" spans="1:14" x14ac:dyDescent="0.3">
      <c r="A3551" s="6">
        <v>45911</v>
      </c>
      <c r="B3551" s="1" t="s">
        <v>3735</v>
      </c>
      <c r="C3551" s="1" t="s">
        <v>26</v>
      </c>
      <c r="D3551" t="s">
        <v>31</v>
      </c>
      <c r="E3551" t="s">
        <v>104</v>
      </c>
      <c r="F3551" t="s">
        <v>21</v>
      </c>
      <c r="G3551" t="s">
        <v>20</v>
      </c>
      <c r="H3551" s="3">
        <v>7</v>
      </c>
      <c r="I3551" s="3">
        <v>756</v>
      </c>
      <c r="J3551" s="3">
        <v>5292</v>
      </c>
      <c r="K3551" s="3">
        <v>600</v>
      </c>
      <c r="L3551" s="3">
        <v>4200</v>
      </c>
      <c r="M3551" s="3">
        <v>1092</v>
      </c>
      <c r="N3551" s="4">
        <v>0.20634920634920634</v>
      </c>
    </row>
    <row r="3552" spans="1:14" x14ac:dyDescent="0.3">
      <c r="A3552" s="6">
        <v>45911</v>
      </c>
      <c r="B3552" s="1" t="s">
        <v>3736</v>
      </c>
      <c r="C3552" s="1" t="s">
        <v>29</v>
      </c>
      <c r="D3552" t="s">
        <v>31</v>
      </c>
      <c r="E3552" t="s">
        <v>153</v>
      </c>
      <c r="F3552" t="s">
        <v>21</v>
      </c>
      <c r="G3552" t="s">
        <v>20</v>
      </c>
      <c r="H3552" s="3">
        <v>1</v>
      </c>
      <c r="I3552" s="3">
        <v>810</v>
      </c>
      <c r="J3552" s="3">
        <v>810</v>
      </c>
      <c r="K3552" s="3">
        <v>600</v>
      </c>
      <c r="L3552" s="3">
        <v>600</v>
      </c>
      <c r="M3552" s="3">
        <v>210</v>
      </c>
      <c r="N3552" s="4">
        <v>0.25925925925925924</v>
      </c>
    </row>
    <row r="3553" spans="1:14" x14ac:dyDescent="0.3">
      <c r="A3553" s="6">
        <v>45911</v>
      </c>
      <c r="B3553" s="1" t="s">
        <v>3737</v>
      </c>
      <c r="C3553" s="1" t="s">
        <v>27</v>
      </c>
      <c r="D3553" t="s">
        <v>33</v>
      </c>
      <c r="E3553" t="s">
        <v>67</v>
      </c>
      <c r="F3553" t="s">
        <v>21</v>
      </c>
      <c r="G3553" t="s">
        <v>20</v>
      </c>
      <c r="H3553" s="3">
        <v>9</v>
      </c>
      <c r="I3553" s="3">
        <v>804</v>
      </c>
      <c r="J3553" s="3">
        <v>7236</v>
      </c>
      <c r="K3553" s="3">
        <v>600</v>
      </c>
      <c r="L3553" s="3">
        <v>5400</v>
      </c>
      <c r="M3553" s="3">
        <v>1836</v>
      </c>
      <c r="N3553" s="4">
        <v>0.2537313432835821</v>
      </c>
    </row>
    <row r="3554" spans="1:14" x14ac:dyDescent="0.3">
      <c r="A3554" s="6">
        <v>45911</v>
      </c>
      <c r="B3554" s="1" t="s">
        <v>3738</v>
      </c>
      <c r="C3554" s="1" t="s">
        <v>26</v>
      </c>
      <c r="D3554" t="s">
        <v>30</v>
      </c>
      <c r="E3554" t="s">
        <v>508</v>
      </c>
      <c r="F3554" t="s">
        <v>21</v>
      </c>
      <c r="G3554" t="s">
        <v>20</v>
      </c>
      <c r="H3554" s="3">
        <v>8</v>
      </c>
      <c r="I3554" s="3">
        <v>774</v>
      </c>
      <c r="J3554" s="3">
        <v>6192</v>
      </c>
      <c r="K3554" s="3">
        <v>600</v>
      </c>
      <c r="L3554" s="3">
        <v>4800</v>
      </c>
      <c r="M3554" s="3">
        <v>1392</v>
      </c>
      <c r="N3554" s="4">
        <v>0.22480620155038761</v>
      </c>
    </row>
    <row r="3555" spans="1:14" x14ac:dyDescent="0.3">
      <c r="A3555" s="6">
        <v>45911</v>
      </c>
      <c r="B3555" s="1" t="s">
        <v>3739</v>
      </c>
      <c r="C3555" s="1" t="s">
        <v>26</v>
      </c>
      <c r="D3555" t="s">
        <v>33</v>
      </c>
      <c r="E3555" t="s">
        <v>100</v>
      </c>
      <c r="F3555" t="s">
        <v>24</v>
      </c>
      <c r="G3555" t="s">
        <v>25</v>
      </c>
      <c r="H3555" s="3">
        <v>6</v>
      </c>
      <c r="I3555" s="3">
        <v>3550</v>
      </c>
      <c r="J3555" s="3">
        <v>21300</v>
      </c>
      <c r="K3555" s="3">
        <v>2500</v>
      </c>
      <c r="L3555" s="3">
        <v>15000</v>
      </c>
      <c r="M3555" s="3">
        <v>6300</v>
      </c>
      <c r="N3555" s="4">
        <v>0.29577464788732394</v>
      </c>
    </row>
    <row r="3556" spans="1:14" x14ac:dyDescent="0.3">
      <c r="A3556" s="6">
        <v>45912</v>
      </c>
      <c r="B3556" s="1" t="s">
        <v>3740</v>
      </c>
      <c r="C3556" s="1" t="s">
        <v>29</v>
      </c>
      <c r="D3556" t="s">
        <v>34</v>
      </c>
      <c r="E3556" t="s">
        <v>582</v>
      </c>
      <c r="F3556" t="s">
        <v>16</v>
      </c>
      <c r="G3556" t="s">
        <v>15</v>
      </c>
      <c r="H3556" s="3">
        <v>2</v>
      </c>
      <c r="I3556" s="3">
        <v>47500</v>
      </c>
      <c r="J3556" s="3">
        <v>95000</v>
      </c>
      <c r="K3556" s="3">
        <v>38000</v>
      </c>
      <c r="L3556" s="3">
        <v>76000</v>
      </c>
      <c r="M3556" s="3">
        <v>19000</v>
      </c>
      <c r="N3556" s="4">
        <v>0.2</v>
      </c>
    </row>
    <row r="3557" spans="1:14" x14ac:dyDescent="0.3">
      <c r="A3557" s="6">
        <v>45912</v>
      </c>
      <c r="B3557" s="1" t="s">
        <v>3741</v>
      </c>
      <c r="C3557" s="1" t="s">
        <v>26</v>
      </c>
      <c r="D3557" t="s">
        <v>32</v>
      </c>
      <c r="E3557" t="s">
        <v>67</v>
      </c>
      <c r="F3557" t="s">
        <v>21</v>
      </c>
      <c r="G3557" t="s">
        <v>20</v>
      </c>
      <c r="H3557" s="3">
        <v>4</v>
      </c>
      <c r="I3557" s="3">
        <v>762</v>
      </c>
      <c r="J3557" s="3">
        <v>3048</v>
      </c>
      <c r="K3557" s="3">
        <v>600</v>
      </c>
      <c r="L3557" s="3">
        <v>2400</v>
      </c>
      <c r="M3557" s="3">
        <v>648</v>
      </c>
      <c r="N3557" s="4">
        <v>0.2125984251968504</v>
      </c>
    </row>
    <row r="3558" spans="1:14" x14ac:dyDescent="0.3">
      <c r="A3558" s="6">
        <v>45912</v>
      </c>
      <c r="B3558" s="1" t="s">
        <v>3742</v>
      </c>
      <c r="C3558" s="1" t="s">
        <v>29</v>
      </c>
      <c r="D3558" t="s">
        <v>32</v>
      </c>
      <c r="E3558" t="s">
        <v>222</v>
      </c>
      <c r="F3558" t="s">
        <v>14</v>
      </c>
      <c r="G3558" t="s">
        <v>15</v>
      </c>
      <c r="H3558" s="3">
        <v>10</v>
      </c>
      <c r="I3558" s="3">
        <v>54450</v>
      </c>
      <c r="J3558" s="3">
        <v>544500</v>
      </c>
      <c r="K3558" s="3">
        <v>45000</v>
      </c>
      <c r="L3558" s="3">
        <v>450000</v>
      </c>
      <c r="M3558" s="3">
        <v>94500</v>
      </c>
      <c r="N3558" s="4">
        <v>0.17355371900826447</v>
      </c>
    </row>
    <row r="3559" spans="1:14" x14ac:dyDescent="0.3">
      <c r="A3559" s="6">
        <v>45912</v>
      </c>
      <c r="B3559" s="1" t="s">
        <v>3743</v>
      </c>
      <c r="C3559" s="1" t="s">
        <v>28</v>
      </c>
      <c r="D3559" t="s">
        <v>30</v>
      </c>
      <c r="E3559" t="s">
        <v>37</v>
      </c>
      <c r="F3559" t="s">
        <v>14</v>
      </c>
      <c r="G3559" t="s">
        <v>15</v>
      </c>
      <c r="H3559" s="3">
        <v>2</v>
      </c>
      <c r="I3559" s="3">
        <v>65250</v>
      </c>
      <c r="J3559" s="3">
        <v>130500</v>
      </c>
      <c r="K3559" s="3">
        <v>45000</v>
      </c>
      <c r="L3559" s="3">
        <v>90000</v>
      </c>
      <c r="M3559" s="3">
        <v>40500</v>
      </c>
      <c r="N3559" s="4">
        <v>0.31034482758620691</v>
      </c>
    </row>
    <row r="3560" spans="1:14" x14ac:dyDescent="0.3">
      <c r="A3560" s="6">
        <v>45912</v>
      </c>
      <c r="B3560" s="1" t="s">
        <v>3744</v>
      </c>
      <c r="C3560" s="1" t="s">
        <v>27</v>
      </c>
      <c r="D3560" t="s">
        <v>34</v>
      </c>
      <c r="E3560" t="s">
        <v>151</v>
      </c>
      <c r="F3560" t="s">
        <v>14</v>
      </c>
      <c r="G3560" t="s">
        <v>15</v>
      </c>
      <c r="H3560" s="3">
        <v>6</v>
      </c>
      <c r="I3560" s="3">
        <v>55350</v>
      </c>
      <c r="J3560" s="3">
        <v>332100</v>
      </c>
      <c r="K3560" s="3">
        <v>45000</v>
      </c>
      <c r="L3560" s="3">
        <v>270000</v>
      </c>
      <c r="M3560" s="3">
        <v>62100</v>
      </c>
      <c r="N3560" s="4">
        <v>0.18699186991869918</v>
      </c>
    </row>
    <row r="3561" spans="1:14" x14ac:dyDescent="0.3">
      <c r="A3561" s="6">
        <v>45912</v>
      </c>
      <c r="B3561" s="1" t="s">
        <v>3745</v>
      </c>
      <c r="C3561" s="1" t="s">
        <v>29</v>
      </c>
      <c r="D3561" t="s">
        <v>32</v>
      </c>
      <c r="E3561" t="s">
        <v>116</v>
      </c>
      <c r="F3561" t="s">
        <v>16</v>
      </c>
      <c r="G3561" t="s">
        <v>15</v>
      </c>
      <c r="H3561" s="3">
        <v>3</v>
      </c>
      <c r="I3561" s="3">
        <v>53960</v>
      </c>
      <c r="J3561" s="3">
        <v>161880</v>
      </c>
      <c r="K3561" s="3">
        <v>38000</v>
      </c>
      <c r="L3561" s="3">
        <v>114000</v>
      </c>
      <c r="M3561" s="3">
        <v>47880</v>
      </c>
      <c r="N3561" s="4">
        <v>0.29577464788732394</v>
      </c>
    </row>
    <row r="3562" spans="1:14" x14ac:dyDescent="0.3">
      <c r="A3562" s="6">
        <v>45912</v>
      </c>
      <c r="B3562" s="1" t="s">
        <v>3746</v>
      </c>
      <c r="C3562" s="1" t="s">
        <v>26</v>
      </c>
      <c r="D3562" t="s">
        <v>32</v>
      </c>
      <c r="E3562" t="s">
        <v>163</v>
      </c>
      <c r="F3562" t="s">
        <v>24</v>
      </c>
      <c r="G3562" t="s">
        <v>25</v>
      </c>
      <c r="H3562" s="3">
        <v>3</v>
      </c>
      <c r="I3562" s="3">
        <v>3550</v>
      </c>
      <c r="J3562" s="3">
        <v>10650</v>
      </c>
      <c r="K3562" s="3">
        <v>2500</v>
      </c>
      <c r="L3562" s="3">
        <v>7500</v>
      </c>
      <c r="M3562" s="3">
        <v>3150</v>
      </c>
      <c r="N3562" s="4">
        <v>0.29577464788732394</v>
      </c>
    </row>
    <row r="3563" spans="1:14" x14ac:dyDescent="0.3">
      <c r="A3563" s="6">
        <v>45912</v>
      </c>
      <c r="B3563" s="1" t="s">
        <v>3747</v>
      </c>
      <c r="C3563" s="1" t="s">
        <v>27</v>
      </c>
      <c r="D3563" t="s">
        <v>33</v>
      </c>
      <c r="E3563" t="s">
        <v>116</v>
      </c>
      <c r="F3563" t="s">
        <v>16</v>
      </c>
      <c r="G3563" t="s">
        <v>15</v>
      </c>
      <c r="H3563" s="3">
        <v>5</v>
      </c>
      <c r="I3563" s="3">
        <v>52820.000000000007</v>
      </c>
      <c r="J3563" s="3">
        <v>264100.00000000006</v>
      </c>
      <c r="K3563" s="3">
        <v>38000</v>
      </c>
      <c r="L3563" s="3">
        <v>190000</v>
      </c>
      <c r="M3563" s="3">
        <v>74100.000000000058</v>
      </c>
      <c r="N3563" s="4">
        <v>0.28057553956834547</v>
      </c>
    </row>
    <row r="3564" spans="1:14" x14ac:dyDescent="0.3">
      <c r="A3564" s="6">
        <v>45912</v>
      </c>
      <c r="B3564" s="1" t="s">
        <v>3748</v>
      </c>
      <c r="C3564" s="1" t="s">
        <v>28</v>
      </c>
      <c r="D3564" t="s">
        <v>34</v>
      </c>
      <c r="E3564" t="s">
        <v>98</v>
      </c>
      <c r="F3564" t="s">
        <v>22</v>
      </c>
      <c r="G3564" t="s">
        <v>18</v>
      </c>
      <c r="H3564" s="3">
        <v>1</v>
      </c>
      <c r="I3564" s="3">
        <v>9310</v>
      </c>
      <c r="J3564" s="3">
        <v>9310</v>
      </c>
      <c r="K3564" s="3">
        <v>7000</v>
      </c>
      <c r="L3564" s="3">
        <v>7000</v>
      </c>
      <c r="M3564" s="3">
        <v>2310</v>
      </c>
      <c r="N3564" s="4">
        <v>0.24812030075187969</v>
      </c>
    </row>
    <row r="3565" spans="1:14" x14ac:dyDescent="0.3">
      <c r="A3565" s="6">
        <v>45912</v>
      </c>
      <c r="B3565" s="1" t="s">
        <v>3749</v>
      </c>
      <c r="C3565" s="1" t="s">
        <v>28</v>
      </c>
      <c r="D3565" t="s">
        <v>32</v>
      </c>
      <c r="E3565" t="s">
        <v>698</v>
      </c>
      <c r="F3565" t="s">
        <v>23</v>
      </c>
      <c r="G3565" t="s">
        <v>25</v>
      </c>
      <c r="H3565" s="3">
        <v>1</v>
      </c>
      <c r="I3565" s="3">
        <v>4544</v>
      </c>
      <c r="J3565" s="3">
        <v>4544</v>
      </c>
      <c r="K3565" s="3">
        <v>3200</v>
      </c>
      <c r="L3565" s="3">
        <v>3200</v>
      </c>
      <c r="M3565" s="3">
        <v>1344</v>
      </c>
      <c r="N3565" s="4">
        <v>0.29577464788732394</v>
      </c>
    </row>
    <row r="3566" spans="1:14" x14ac:dyDescent="0.3">
      <c r="A3566" s="6">
        <v>45912</v>
      </c>
      <c r="B3566" s="1" t="s">
        <v>3750</v>
      </c>
      <c r="C3566" s="1" t="s">
        <v>29</v>
      </c>
      <c r="D3566" t="s">
        <v>30</v>
      </c>
      <c r="E3566" t="s">
        <v>286</v>
      </c>
      <c r="F3566" t="s">
        <v>24</v>
      </c>
      <c r="G3566" t="s">
        <v>25</v>
      </c>
      <c r="H3566" s="3">
        <v>3</v>
      </c>
      <c r="I3566" s="3">
        <v>3525</v>
      </c>
      <c r="J3566" s="3">
        <v>10575</v>
      </c>
      <c r="K3566" s="3">
        <v>2500</v>
      </c>
      <c r="L3566" s="3">
        <v>7500</v>
      </c>
      <c r="M3566" s="3">
        <v>3075</v>
      </c>
      <c r="N3566" s="4">
        <v>0.29078014184397161</v>
      </c>
    </row>
    <row r="3567" spans="1:14" x14ac:dyDescent="0.3">
      <c r="A3567" s="6">
        <v>45912</v>
      </c>
      <c r="B3567" s="1" t="s">
        <v>3751</v>
      </c>
      <c r="C3567" s="1" t="s">
        <v>29</v>
      </c>
      <c r="D3567" t="s">
        <v>30</v>
      </c>
      <c r="E3567" t="s">
        <v>357</v>
      </c>
      <c r="F3567" t="s">
        <v>21</v>
      </c>
      <c r="G3567" t="s">
        <v>20</v>
      </c>
      <c r="H3567" s="3">
        <v>2</v>
      </c>
      <c r="I3567" s="3">
        <v>780</v>
      </c>
      <c r="J3567" s="3">
        <v>1560</v>
      </c>
      <c r="K3567" s="3">
        <v>600</v>
      </c>
      <c r="L3567" s="3">
        <v>1200</v>
      </c>
      <c r="M3567" s="3">
        <v>360</v>
      </c>
      <c r="N3567" s="4">
        <v>0.23076923076923078</v>
      </c>
    </row>
    <row r="3568" spans="1:14" x14ac:dyDescent="0.3">
      <c r="A3568" s="6">
        <v>45912</v>
      </c>
      <c r="B3568" s="1" t="s">
        <v>3752</v>
      </c>
      <c r="C3568" s="1" t="s">
        <v>29</v>
      </c>
      <c r="D3568" t="s">
        <v>32</v>
      </c>
      <c r="E3568" t="s">
        <v>214</v>
      </c>
      <c r="F3568" t="s">
        <v>19</v>
      </c>
      <c r="G3568" t="s">
        <v>20</v>
      </c>
      <c r="H3568" s="3">
        <v>8</v>
      </c>
      <c r="I3568" s="3">
        <v>1260</v>
      </c>
      <c r="J3568" s="3">
        <v>10080</v>
      </c>
      <c r="K3568" s="3">
        <v>900</v>
      </c>
      <c r="L3568" s="3">
        <v>7200</v>
      </c>
      <c r="M3568" s="3">
        <v>2880</v>
      </c>
      <c r="N3568" s="4">
        <v>0.2857142857142857</v>
      </c>
    </row>
    <row r="3569" spans="1:14" x14ac:dyDescent="0.3">
      <c r="A3569" s="6">
        <v>45912</v>
      </c>
      <c r="B3569" s="1" t="s">
        <v>3753</v>
      </c>
      <c r="C3569" s="1" t="s">
        <v>28</v>
      </c>
      <c r="D3569" t="s">
        <v>33</v>
      </c>
      <c r="E3569" t="s">
        <v>161</v>
      </c>
      <c r="F3569" t="s">
        <v>24</v>
      </c>
      <c r="G3569" t="s">
        <v>25</v>
      </c>
      <c r="H3569" s="3">
        <v>5</v>
      </c>
      <c r="I3569" s="3">
        <v>3525</v>
      </c>
      <c r="J3569" s="3">
        <v>17625</v>
      </c>
      <c r="K3569" s="3">
        <v>2500</v>
      </c>
      <c r="L3569" s="3">
        <v>12500</v>
      </c>
      <c r="M3569" s="3">
        <v>5125</v>
      </c>
      <c r="N3569" s="4">
        <v>0.29078014184397161</v>
      </c>
    </row>
    <row r="3570" spans="1:14" x14ac:dyDescent="0.3">
      <c r="A3570" s="6">
        <v>45913</v>
      </c>
      <c r="B3570" s="1" t="s">
        <v>3754</v>
      </c>
      <c r="C3570" s="1" t="s">
        <v>28</v>
      </c>
      <c r="D3570" t="s">
        <v>30</v>
      </c>
      <c r="E3570" t="s">
        <v>47</v>
      </c>
      <c r="F3570" t="s">
        <v>23</v>
      </c>
      <c r="G3570" t="s">
        <v>25</v>
      </c>
      <c r="H3570" s="3">
        <v>1</v>
      </c>
      <c r="I3570" s="3">
        <v>4032</v>
      </c>
      <c r="J3570" s="3">
        <v>4032</v>
      </c>
      <c r="K3570" s="3">
        <v>3200</v>
      </c>
      <c r="L3570" s="3">
        <v>3200</v>
      </c>
      <c r="M3570" s="3">
        <v>832</v>
      </c>
      <c r="N3570" s="4">
        <v>0.20634920634920634</v>
      </c>
    </row>
    <row r="3571" spans="1:14" x14ac:dyDescent="0.3">
      <c r="A3571" s="6">
        <v>45913</v>
      </c>
      <c r="B3571" s="1" t="s">
        <v>3755</v>
      </c>
      <c r="C3571" s="1" t="s">
        <v>26</v>
      </c>
      <c r="D3571" t="s">
        <v>30</v>
      </c>
      <c r="E3571" t="s">
        <v>226</v>
      </c>
      <c r="F3571" t="s">
        <v>23</v>
      </c>
      <c r="G3571" t="s">
        <v>25</v>
      </c>
      <c r="H3571" s="3">
        <v>1</v>
      </c>
      <c r="I3571" s="3">
        <v>3968</v>
      </c>
      <c r="J3571" s="3">
        <v>3968</v>
      </c>
      <c r="K3571" s="3">
        <v>3200</v>
      </c>
      <c r="L3571" s="3">
        <v>3200</v>
      </c>
      <c r="M3571" s="3">
        <v>768</v>
      </c>
      <c r="N3571" s="4">
        <v>0.19354838709677419</v>
      </c>
    </row>
    <row r="3572" spans="1:14" x14ac:dyDescent="0.3">
      <c r="A3572" s="6">
        <v>45913</v>
      </c>
      <c r="B3572" s="1" t="s">
        <v>3756</v>
      </c>
      <c r="C3572" s="1" t="s">
        <v>28</v>
      </c>
      <c r="D3572" t="s">
        <v>32</v>
      </c>
      <c r="E3572" t="s">
        <v>145</v>
      </c>
      <c r="F3572" t="s">
        <v>14</v>
      </c>
      <c r="G3572" t="s">
        <v>15</v>
      </c>
      <c r="H3572" s="3">
        <v>1</v>
      </c>
      <c r="I3572" s="3">
        <v>55800</v>
      </c>
      <c r="J3572" s="3">
        <v>55800</v>
      </c>
      <c r="K3572" s="3">
        <v>45000</v>
      </c>
      <c r="L3572" s="3">
        <v>45000</v>
      </c>
      <c r="M3572" s="3">
        <v>10800</v>
      </c>
      <c r="N3572" s="4">
        <v>0.19354838709677419</v>
      </c>
    </row>
    <row r="3573" spans="1:14" x14ac:dyDescent="0.3">
      <c r="A3573" s="6">
        <v>45913</v>
      </c>
      <c r="B3573" s="1" t="s">
        <v>3757</v>
      </c>
      <c r="C3573" s="1" t="s">
        <v>26</v>
      </c>
      <c r="D3573" t="s">
        <v>31</v>
      </c>
      <c r="E3573" t="s">
        <v>161</v>
      </c>
      <c r="F3573" t="s">
        <v>23</v>
      </c>
      <c r="G3573" t="s">
        <v>25</v>
      </c>
      <c r="H3573" s="3">
        <v>1</v>
      </c>
      <c r="I3573" s="3">
        <v>3872</v>
      </c>
      <c r="J3573" s="3">
        <v>3872</v>
      </c>
      <c r="K3573" s="3">
        <v>3200</v>
      </c>
      <c r="L3573" s="3">
        <v>3200</v>
      </c>
      <c r="M3573" s="3">
        <v>672</v>
      </c>
      <c r="N3573" s="4">
        <v>0.17355371900826447</v>
      </c>
    </row>
    <row r="3574" spans="1:14" x14ac:dyDescent="0.3">
      <c r="A3574" s="6">
        <v>45913</v>
      </c>
      <c r="B3574" s="1" t="s">
        <v>3758</v>
      </c>
      <c r="C3574" s="1" t="s">
        <v>29</v>
      </c>
      <c r="D3574" t="s">
        <v>33</v>
      </c>
      <c r="E3574" t="s">
        <v>409</v>
      </c>
      <c r="F3574" t="s">
        <v>19</v>
      </c>
      <c r="G3574" t="s">
        <v>20</v>
      </c>
      <c r="H3574" s="3">
        <v>8</v>
      </c>
      <c r="I3574" s="3">
        <v>1125</v>
      </c>
      <c r="J3574" s="3">
        <v>9000</v>
      </c>
      <c r="K3574" s="3">
        <v>900</v>
      </c>
      <c r="L3574" s="3">
        <v>7200</v>
      </c>
      <c r="M3574" s="3">
        <v>1800</v>
      </c>
      <c r="N3574" s="4">
        <v>0.2</v>
      </c>
    </row>
    <row r="3575" spans="1:14" x14ac:dyDescent="0.3">
      <c r="A3575" s="6">
        <v>45913</v>
      </c>
      <c r="B3575" s="1" t="s">
        <v>3759</v>
      </c>
      <c r="C3575" s="1" t="s">
        <v>29</v>
      </c>
      <c r="D3575" t="s">
        <v>32</v>
      </c>
      <c r="E3575" t="s">
        <v>524</v>
      </c>
      <c r="F3575" t="s">
        <v>23</v>
      </c>
      <c r="G3575" t="s">
        <v>25</v>
      </c>
      <c r="H3575" s="3">
        <v>10</v>
      </c>
      <c r="I3575" s="3">
        <v>4608</v>
      </c>
      <c r="J3575" s="3">
        <v>46080</v>
      </c>
      <c r="K3575" s="3">
        <v>3200</v>
      </c>
      <c r="L3575" s="3">
        <v>32000</v>
      </c>
      <c r="M3575" s="3">
        <v>14080</v>
      </c>
      <c r="N3575" s="4">
        <v>0.30555555555555558</v>
      </c>
    </row>
    <row r="3576" spans="1:14" x14ac:dyDescent="0.3">
      <c r="A3576" s="6">
        <v>45913</v>
      </c>
      <c r="B3576" s="1" t="s">
        <v>3760</v>
      </c>
      <c r="C3576" s="1" t="s">
        <v>26</v>
      </c>
      <c r="D3576" t="s">
        <v>35</v>
      </c>
      <c r="E3576" t="s">
        <v>61</v>
      </c>
      <c r="F3576" t="s">
        <v>23</v>
      </c>
      <c r="G3576" t="s">
        <v>25</v>
      </c>
      <c r="H3576" s="3">
        <v>1</v>
      </c>
      <c r="I3576" s="3">
        <v>4352</v>
      </c>
      <c r="J3576" s="3">
        <v>4352</v>
      </c>
      <c r="K3576" s="3">
        <v>3200</v>
      </c>
      <c r="L3576" s="3">
        <v>3200</v>
      </c>
      <c r="M3576" s="3">
        <v>1152</v>
      </c>
      <c r="N3576" s="4">
        <v>0.26470588235294118</v>
      </c>
    </row>
    <row r="3577" spans="1:14" x14ac:dyDescent="0.3">
      <c r="A3577" s="6">
        <v>45913</v>
      </c>
      <c r="B3577" s="1" t="s">
        <v>3761</v>
      </c>
      <c r="C3577" s="1" t="s">
        <v>26</v>
      </c>
      <c r="D3577" t="s">
        <v>32</v>
      </c>
      <c r="E3577" t="s">
        <v>381</v>
      </c>
      <c r="F3577" t="s">
        <v>23</v>
      </c>
      <c r="G3577" t="s">
        <v>25</v>
      </c>
      <c r="H3577" s="3">
        <v>3</v>
      </c>
      <c r="I3577" s="3">
        <v>4608</v>
      </c>
      <c r="J3577" s="3">
        <v>13824</v>
      </c>
      <c r="K3577" s="3">
        <v>3200</v>
      </c>
      <c r="L3577" s="3">
        <v>9600</v>
      </c>
      <c r="M3577" s="3">
        <v>4224</v>
      </c>
      <c r="N3577" s="4">
        <v>0.30555555555555558</v>
      </c>
    </row>
    <row r="3578" spans="1:14" x14ac:dyDescent="0.3">
      <c r="A3578" s="6">
        <v>45913</v>
      </c>
      <c r="B3578" s="1" t="s">
        <v>3762</v>
      </c>
      <c r="C3578" s="1" t="s">
        <v>26</v>
      </c>
      <c r="D3578" t="s">
        <v>32</v>
      </c>
      <c r="E3578" t="s">
        <v>163</v>
      </c>
      <c r="F3578" t="s">
        <v>17</v>
      </c>
      <c r="G3578" t="s">
        <v>18</v>
      </c>
      <c r="H3578" s="3">
        <v>3</v>
      </c>
      <c r="I3578" s="3">
        <v>10880</v>
      </c>
      <c r="J3578" s="3">
        <v>32640</v>
      </c>
      <c r="K3578" s="3">
        <v>8500</v>
      </c>
      <c r="L3578" s="3">
        <v>25500</v>
      </c>
      <c r="M3578" s="3">
        <v>7140</v>
      </c>
      <c r="N3578" s="4">
        <v>0.21875</v>
      </c>
    </row>
    <row r="3579" spans="1:14" x14ac:dyDescent="0.3">
      <c r="A3579" s="6">
        <v>45913</v>
      </c>
      <c r="B3579" s="1" t="s">
        <v>3763</v>
      </c>
      <c r="C3579" s="1" t="s">
        <v>26</v>
      </c>
      <c r="D3579" t="s">
        <v>34</v>
      </c>
      <c r="E3579" t="s">
        <v>236</v>
      </c>
      <c r="F3579" t="s">
        <v>23</v>
      </c>
      <c r="G3579" t="s">
        <v>25</v>
      </c>
      <c r="H3579" s="3">
        <v>4</v>
      </c>
      <c r="I3579" s="3">
        <v>4192</v>
      </c>
      <c r="J3579" s="3">
        <v>16768</v>
      </c>
      <c r="K3579" s="3">
        <v>3200</v>
      </c>
      <c r="L3579" s="3">
        <v>12800</v>
      </c>
      <c r="M3579" s="3">
        <v>3968</v>
      </c>
      <c r="N3579" s="4">
        <v>0.23664122137404581</v>
      </c>
    </row>
    <row r="3580" spans="1:14" x14ac:dyDescent="0.3">
      <c r="A3580" s="6">
        <v>45913</v>
      </c>
      <c r="B3580" s="1" t="s">
        <v>3764</v>
      </c>
      <c r="C3580" s="1" t="s">
        <v>26</v>
      </c>
      <c r="D3580" t="s">
        <v>32</v>
      </c>
      <c r="E3580" t="s">
        <v>76</v>
      </c>
      <c r="F3580" t="s">
        <v>24</v>
      </c>
      <c r="G3580" t="s">
        <v>25</v>
      </c>
      <c r="H3580" s="3">
        <v>1</v>
      </c>
      <c r="I3580" s="3">
        <v>3000</v>
      </c>
      <c r="J3580" s="3">
        <v>3000</v>
      </c>
      <c r="K3580" s="3">
        <v>2500</v>
      </c>
      <c r="L3580" s="3">
        <v>2500</v>
      </c>
      <c r="M3580" s="3">
        <v>500</v>
      </c>
      <c r="N3580" s="4">
        <v>0.16666666666666666</v>
      </c>
    </row>
    <row r="3581" spans="1:14" x14ac:dyDescent="0.3">
      <c r="A3581" s="6">
        <v>45913</v>
      </c>
      <c r="B3581" s="1" t="s">
        <v>3765</v>
      </c>
      <c r="C3581" s="1" t="s">
        <v>29</v>
      </c>
      <c r="D3581" t="s">
        <v>33</v>
      </c>
      <c r="E3581" t="s">
        <v>88</v>
      </c>
      <c r="F3581" t="s">
        <v>14</v>
      </c>
      <c r="G3581" t="s">
        <v>15</v>
      </c>
      <c r="H3581" s="3">
        <v>4</v>
      </c>
      <c r="I3581" s="3">
        <v>55350</v>
      </c>
      <c r="J3581" s="3">
        <v>221400</v>
      </c>
      <c r="K3581" s="3">
        <v>45000</v>
      </c>
      <c r="L3581" s="3">
        <v>180000</v>
      </c>
      <c r="M3581" s="3">
        <v>41400</v>
      </c>
      <c r="N3581" s="4">
        <v>0.18699186991869918</v>
      </c>
    </row>
    <row r="3582" spans="1:14" x14ac:dyDescent="0.3">
      <c r="A3582" s="6">
        <v>45913</v>
      </c>
      <c r="B3582" s="1" t="s">
        <v>3766</v>
      </c>
      <c r="C3582" s="1" t="s">
        <v>26</v>
      </c>
      <c r="D3582" t="s">
        <v>32</v>
      </c>
      <c r="E3582" t="s">
        <v>342</v>
      </c>
      <c r="F3582" t="s">
        <v>17</v>
      </c>
      <c r="G3582" t="s">
        <v>18</v>
      </c>
      <c r="H3582" s="3">
        <v>10</v>
      </c>
      <c r="I3582" s="3">
        <v>11305</v>
      </c>
      <c r="J3582" s="3">
        <v>113050</v>
      </c>
      <c r="K3582" s="3">
        <v>8500</v>
      </c>
      <c r="L3582" s="3">
        <v>85000</v>
      </c>
      <c r="M3582" s="3">
        <v>28050</v>
      </c>
      <c r="N3582" s="4">
        <v>0.24812030075187969</v>
      </c>
    </row>
    <row r="3583" spans="1:14" x14ac:dyDescent="0.3">
      <c r="A3583" s="6">
        <v>45913</v>
      </c>
      <c r="B3583" s="1" t="s">
        <v>3767</v>
      </c>
      <c r="C3583" s="1" t="s">
        <v>28</v>
      </c>
      <c r="D3583" t="s">
        <v>31</v>
      </c>
      <c r="E3583" t="s">
        <v>255</v>
      </c>
      <c r="F3583" t="s">
        <v>24</v>
      </c>
      <c r="G3583" t="s">
        <v>25</v>
      </c>
      <c r="H3583" s="3">
        <v>5</v>
      </c>
      <c r="I3583" s="3">
        <v>3575</v>
      </c>
      <c r="J3583" s="3">
        <v>17875</v>
      </c>
      <c r="K3583" s="3">
        <v>2500</v>
      </c>
      <c r="L3583" s="3">
        <v>12500</v>
      </c>
      <c r="M3583" s="3">
        <v>5375</v>
      </c>
      <c r="N3583" s="4">
        <v>0.30069930069930068</v>
      </c>
    </row>
    <row r="3584" spans="1:14" x14ac:dyDescent="0.3">
      <c r="A3584" s="6">
        <v>45914</v>
      </c>
      <c r="B3584" s="1" t="s">
        <v>3768</v>
      </c>
      <c r="C3584" s="1" t="s">
        <v>28</v>
      </c>
      <c r="D3584" t="s">
        <v>33</v>
      </c>
      <c r="E3584" t="s">
        <v>807</v>
      </c>
      <c r="F3584" t="s">
        <v>19</v>
      </c>
      <c r="G3584" t="s">
        <v>20</v>
      </c>
      <c r="H3584" s="3">
        <v>3</v>
      </c>
      <c r="I3584" s="3">
        <v>1179</v>
      </c>
      <c r="J3584" s="3">
        <v>3537</v>
      </c>
      <c r="K3584" s="3">
        <v>900</v>
      </c>
      <c r="L3584" s="3">
        <v>2700</v>
      </c>
      <c r="M3584" s="3">
        <v>837</v>
      </c>
      <c r="N3584" s="4">
        <v>0.23664122137404581</v>
      </c>
    </row>
    <row r="3585" spans="1:14" x14ac:dyDescent="0.3">
      <c r="A3585" s="6">
        <v>45914</v>
      </c>
      <c r="B3585" s="1" t="s">
        <v>3769</v>
      </c>
      <c r="C3585" s="1" t="s">
        <v>26</v>
      </c>
      <c r="D3585" t="s">
        <v>32</v>
      </c>
      <c r="E3585" t="s">
        <v>96</v>
      </c>
      <c r="F3585" t="s">
        <v>16</v>
      </c>
      <c r="G3585" t="s">
        <v>15</v>
      </c>
      <c r="H3585" s="3">
        <v>9</v>
      </c>
      <c r="I3585" s="3">
        <v>47880</v>
      </c>
      <c r="J3585" s="3">
        <v>430920</v>
      </c>
      <c r="K3585" s="3">
        <v>38000</v>
      </c>
      <c r="L3585" s="3">
        <v>342000</v>
      </c>
      <c r="M3585" s="3">
        <v>88920</v>
      </c>
      <c r="N3585" s="4">
        <v>0.20634920634920634</v>
      </c>
    </row>
    <row r="3586" spans="1:14" x14ac:dyDescent="0.3">
      <c r="A3586" s="6">
        <v>45914</v>
      </c>
      <c r="B3586" s="1" t="s">
        <v>3770</v>
      </c>
      <c r="C3586" s="1" t="s">
        <v>29</v>
      </c>
      <c r="D3586" t="s">
        <v>35</v>
      </c>
      <c r="E3586" t="s">
        <v>349</v>
      </c>
      <c r="F3586" t="s">
        <v>19</v>
      </c>
      <c r="G3586" t="s">
        <v>20</v>
      </c>
      <c r="H3586" s="3">
        <v>2</v>
      </c>
      <c r="I3586" s="3">
        <v>1161</v>
      </c>
      <c r="J3586" s="3">
        <v>2322</v>
      </c>
      <c r="K3586" s="3">
        <v>900</v>
      </c>
      <c r="L3586" s="3">
        <v>1800</v>
      </c>
      <c r="M3586" s="3">
        <v>522</v>
      </c>
      <c r="N3586" s="4">
        <v>0.22480620155038761</v>
      </c>
    </row>
    <row r="3587" spans="1:14" x14ac:dyDescent="0.3">
      <c r="A3587" s="6">
        <v>45914</v>
      </c>
      <c r="B3587" s="1" t="s">
        <v>3771</v>
      </c>
      <c r="C3587" s="1" t="s">
        <v>26</v>
      </c>
      <c r="D3587" t="s">
        <v>32</v>
      </c>
      <c r="E3587" t="s">
        <v>363</v>
      </c>
      <c r="F3587" t="s">
        <v>21</v>
      </c>
      <c r="G3587" t="s">
        <v>20</v>
      </c>
      <c r="H3587" s="3">
        <v>10</v>
      </c>
      <c r="I3587" s="3">
        <v>822.00000000000011</v>
      </c>
      <c r="J3587" s="3">
        <v>8220.0000000000018</v>
      </c>
      <c r="K3587" s="3">
        <v>600</v>
      </c>
      <c r="L3587" s="3">
        <v>6000</v>
      </c>
      <c r="M3587" s="3">
        <v>2220.0000000000018</v>
      </c>
      <c r="N3587" s="4">
        <v>0.2700729927007301</v>
      </c>
    </row>
    <row r="3588" spans="1:14" x14ac:dyDescent="0.3">
      <c r="A3588" s="6">
        <v>45914</v>
      </c>
      <c r="B3588" s="1" t="s">
        <v>3772</v>
      </c>
      <c r="C3588" s="1" t="s">
        <v>28</v>
      </c>
      <c r="D3588" t="s">
        <v>34</v>
      </c>
      <c r="E3588" t="s">
        <v>118</v>
      </c>
      <c r="F3588" t="s">
        <v>19</v>
      </c>
      <c r="G3588" t="s">
        <v>20</v>
      </c>
      <c r="H3588" s="3">
        <v>2</v>
      </c>
      <c r="I3588" s="3">
        <v>1269</v>
      </c>
      <c r="J3588" s="3">
        <v>2538</v>
      </c>
      <c r="K3588" s="3">
        <v>900</v>
      </c>
      <c r="L3588" s="3">
        <v>1800</v>
      </c>
      <c r="M3588" s="3">
        <v>738</v>
      </c>
      <c r="N3588" s="4">
        <v>0.29078014184397161</v>
      </c>
    </row>
    <row r="3589" spans="1:14" x14ac:dyDescent="0.3">
      <c r="A3589" s="6">
        <v>45914</v>
      </c>
      <c r="B3589" s="1" t="s">
        <v>3773</v>
      </c>
      <c r="C3589" s="1" t="s">
        <v>28</v>
      </c>
      <c r="D3589" t="s">
        <v>33</v>
      </c>
      <c r="E3589" t="s">
        <v>424</v>
      </c>
      <c r="F3589" t="s">
        <v>14</v>
      </c>
      <c r="G3589" t="s">
        <v>15</v>
      </c>
      <c r="H3589" s="3">
        <v>10</v>
      </c>
      <c r="I3589" s="3">
        <v>54000</v>
      </c>
      <c r="J3589" s="3">
        <v>540000</v>
      </c>
      <c r="K3589" s="3">
        <v>45000</v>
      </c>
      <c r="L3589" s="3">
        <v>450000</v>
      </c>
      <c r="M3589" s="3">
        <v>90000</v>
      </c>
      <c r="N3589" s="4">
        <v>0.16666666666666666</v>
      </c>
    </row>
    <row r="3590" spans="1:14" x14ac:dyDescent="0.3">
      <c r="A3590" s="6">
        <v>45914</v>
      </c>
      <c r="B3590" s="1" t="s">
        <v>3774</v>
      </c>
      <c r="C3590" s="1" t="s">
        <v>28</v>
      </c>
      <c r="D3590" t="s">
        <v>34</v>
      </c>
      <c r="E3590" t="s">
        <v>139</v>
      </c>
      <c r="F3590" t="s">
        <v>24</v>
      </c>
      <c r="G3590" t="s">
        <v>25</v>
      </c>
      <c r="H3590" s="3">
        <v>5</v>
      </c>
      <c r="I3590" s="3">
        <v>3325</v>
      </c>
      <c r="J3590" s="3">
        <v>16625</v>
      </c>
      <c r="K3590" s="3">
        <v>2500</v>
      </c>
      <c r="L3590" s="3">
        <v>12500</v>
      </c>
      <c r="M3590" s="3">
        <v>4125</v>
      </c>
      <c r="N3590" s="4">
        <v>0.24812030075187969</v>
      </c>
    </row>
    <row r="3591" spans="1:14" x14ac:dyDescent="0.3">
      <c r="A3591" s="6">
        <v>45914</v>
      </c>
      <c r="B3591" s="1" t="s">
        <v>3775</v>
      </c>
      <c r="C3591" s="1" t="s">
        <v>26</v>
      </c>
      <c r="D3591" t="s">
        <v>30</v>
      </c>
      <c r="E3591" t="s">
        <v>147</v>
      </c>
      <c r="F3591" t="s">
        <v>19</v>
      </c>
      <c r="G3591" t="s">
        <v>20</v>
      </c>
      <c r="H3591" s="3">
        <v>8</v>
      </c>
      <c r="I3591" s="3">
        <v>1089</v>
      </c>
      <c r="J3591" s="3">
        <v>8712</v>
      </c>
      <c r="K3591" s="3">
        <v>900</v>
      </c>
      <c r="L3591" s="3">
        <v>7200</v>
      </c>
      <c r="M3591" s="3">
        <v>1512</v>
      </c>
      <c r="N3591" s="4">
        <v>0.17355371900826447</v>
      </c>
    </row>
    <row r="3592" spans="1:14" x14ac:dyDescent="0.3">
      <c r="A3592" s="6">
        <v>45914</v>
      </c>
      <c r="B3592" s="1" t="s">
        <v>3776</v>
      </c>
      <c r="C3592" s="1" t="s">
        <v>27</v>
      </c>
      <c r="D3592" t="s">
        <v>30</v>
      </c>
      <c r="E3592" t="s">
        <v>357</v>
      </c>
      <c r="F3592" t="s">
        <v>22</v>
      </c>
      <c r="G3592" t="s">
        <v>18</v>
      </c>
      <c r="H3592" s="3">
        <v>9</v>
      </c>
      <c r="I3592" s="3">
        <v>8540</v>
      </c>
      <c r="J3592" s="3">
        <v>76860</v>
      </c>
      <c r="K3592" s="3">
        <v>7000</v>
      </c>
      <c r="L3592" s="3">
        <v>63000</v>
      </c>
      <c r="M3592" s="3">
        <v>13860</v>
      </c>
      <c r="N3592" s="4">
        <v>0.18032786885245902</v>
      </c>
    </row>
    <row r="3593" spans="1:14" x14ac:dyDescent="0.3">
      <c r="A3593" s="6">
        <v>45914</v>
      </c>
      <c r="B3593" s="1" t="s">
        <v>3777</v>
      </c>
      <c r="C3593" s="1" t="s">
        <v>27</v>
      </c>
      <c r="D3593" t="s">
        <v>34</v>
      </c>
      <c r="E3593" t="s">
        <v>407</v>
      </c>
      <c r="F3593" t="s">
        <v>14</v>
      </c>
      <c r="G3593" t="s">
        <v>15</v>
      </c>
      <c r="H3593" s="3">
        <v>6</v>
      </c>
      <c r="I3593" s="3">
        <v>54000</v>
      </c>
      <c r="J3593" s="3">
        <v>324000</v>
      </c>
      <c r="K3593" s="3">
        <v>45000</v>
      </c>
      <c r="L3593" s="3">
        <v>270000</v>
      </c>
      <c r="M3593" s="3">
        <v>54000</v>
      </c>
      <c r="N3593" s="4">
        <v>0.16666666666666666</v>
      </c>
    </row>
    <row r="3594" spans="1:14" x14ac:dyDescent="0.3">
      <c r="A3594" s="6">
        <v>45914</v>
      </c>
      <c r="B3594" s="1" t="s">
        <v>3778</v>
      </c>
      <c r="C3594" s="1" t="s">
        <v>29</v>
      </c>
      <c r="D3594" t="s">
        <v>31</v>
      </c>
      <c r="E3594" t="s">
        <v>351</v>
      </c>
      <c r="F3594" t="s">
        <v>21</v>
      </c>
      <c r="G3594" t="s">
        <v>20</v>
      </c>
      <c r="H3594" s="3">
        <v>10</v>
      </c>
      <c r="I3594" s="3">
        <v>762</v>
      </c>
      <c r="J3594" s="3">
        <v>7620</v>
      </c>
      <c r="K3594" s="3">
        <v>600</v>
      </c>
      <c r="L3594" s="3">
        <v>6000</v>
      </c>
      <c r="M3594" s="3">
        <v>1620</v>
      </c>
      <c r="N3594" s="4">
        <v>0.2125984251968504</v>
      </c>
    </row>
    <row r="3595" spans="1:14" x14ac:dyDescent="0.3">
      <c r="A3595" s="6">
        <v>45914</v>
      </c>
      <c r="B3595" s="1" t="s">
        <v>3779</v>
      </c>
      <c r="C3595" s="1" t="s">
        <v>26</v>
      </c>
      <c r="D3595" t="s">
        <v>34</v>
      </c>
      <c r="E3595" t="s">
        <v>216</v>
      </c>
      <c r="F3595" t="s">
        <v>23</v>
      </c>
      <c r="G3595" t="s">
        <v>25</v>
      </c>
      <c r="H3595" s="3">
        <v>7</v>
      </c>
      <c r="I3595" s="3">
        <v>4064</v>
      </c>
      <c r="J3595" s="3">
        <v>28448</v>
      </c>
      <c r="K3595" s="3">
        <v>3200</v>
      </c>
      <c r="L3595" s="3">
        <v>22400</v>
      </c>
      <c r="M3595" s="3">
        <v>6048</v>
      </c>
      <c r="N3595" s="4">
        <v>0.2125984251968504</v>
      </c>
    </row>
    <row r="3596" spans="1:14" x14ac:dyDescent="0.3">
      <c r="A3596" s="6">
        <v>45914</v>
      </c>
      <c r="B3596" s="1" t="s">
        <v>3780</v>
      </c>
      <c r="C3596" s="1" t="s">
        <v>27</v>
      </c>
      <c r="D3596" t="s">
        <v>30</v>
      </c>
      <c r="E3596" t="s">
        <v>400</v>
      </c>
      <c r="F3596" t="s">
        <v>22</v>
      </c>
      <c r="G3596" t="s">
        <v>18</v>
      </c>
      <c r="H3596" s="3">
        <v>10</v>
      </c>
      <c r="I3596" s="3">
        <v>8610</v>
      </c>
      <c r="J3596" s="3">
        <v>86100</v>
      </c>
      <c r="K3596" s="3">
        <v>7000</v>
      </c>
      <c r="L3596" s="3">
        <v>70000</v>
      </c>
      <c r="M3596" s="3">
        <v>16100</v>
      </c>
      <c r="N3596" s="4">
        <v>0.18699186991869918</v>
      </c>
    </row>
    <row r="3597" spans="1:14" x14ac:dyDescent="0.3">
      <c r="A3597" s="6">
        <v>45914</v>
      </c>
      <c r="B3597" s="1" t="s">
        <v>3781</v>
      </c>
      <c r="C3597" s="1" t="s">
        <v>27</v>
      </c>
      <c r="D3597" t="s">
        <v>33</v>
      </c>
      <c r="E3597" t="s">
        <v>233</v>
      </c>
      <c r="F3597" t="s">
        <v>24</v>
      </c>
      <c r="G3597" t="s">
        <v>25</v>
      </c>
      <c r="H3597" s="3">
        <v>2</v>
      </c>
      <c r="I3597" s="3">
        <v>3625</v>
      </c>
      <c r="J3597" s="3">
        <v>7250</v>
      </c>
      <c r="K3597" s="3">
        <v>2500</v>
      </c>
      <c r="L3597" s="3">
        <v>5000</v>
      </c>
      <c r="M3597" s="3">
        <v>2250</v>
      </c>
      <c r="N3597" s="4">
        <v>0.31034482758620691</v>
      </c>
    </row>
    <row r="3598" spans="1:14" x14ac:dyDescent="0.3">
      <c r="A3598" s="6">
        <v>45915</v>
      </c>
      <c r="B3598" s="1" t="s">
        <v>3782</v>
      </c>
      <c r="C3598" s="1" t="s">
        <v>29</v>
      </c>
      <c r="D3598" t="s">
        <v>35</v>
      </c>
      <c r="E3598" t="s">
        <v>310</v>
      </c>
      <c r="F3598" t="s">
        <v>17</v>
      </c>
      <c r="G3598" t="s">
        <v>18</v>
      </c>
      <c r="H3598" s="3">
        <v>6</v>
      </c>
      <c r="I3598" s="3">
        <v>10455</v>
      </c>
      <c r="J3598" s="3">
        <v>62730</v>
      </c>
      <c r="K3598" s="3">
        <v>8500</v>
      </c>
      <c r="L3598" s="3">
        <v>51000</v>
      </c>
      <c r="M3598" s="3">
        <v>11730</v>
      </c>
      <c r="N3598" s="4">
        <v>0.18699186991869918</v>
      </c>
    </row>
    <row r="3599" spans="1:14" x14ac:dyDescent="0.3">
      <c r="A3599" s="6">
        <v>45915</v>
      </c>
      <c r="B3599" s="1" t="s">
        <v>3783</v>
      </c>
      <c r="C3599" s="1" t="s">
        <v>28</v>
      </c>
      <c r="D3599" t="s">
        <v>33</v>
      </c>
      <c r="E3599" t="s">
        <v>336</v>
      </c>
      <c r="F3599" t="s">
        <v>14</v>
      </c>
      <c r="G3599" t="s">
        <v>15</v>
      </c>
      <c r="H3599" s="3">
        <v>7</v>
      </c>
      <c r="I3599" s="3">
        <v>57600</v>
      </c>
      <c r="J3599" s="3">
        <v>403200</v>
      </c>
      <c r="K3599" s="3">
        <v>45000</v>
      </c>
      <c r="L3599" s="3">
        <v>315000</v>
      </c>
      <c r="M3599" s="3">
        <v>88200</v>
      </c>
      <c r="N3599" s="4">
        <v>0.21875</v>
      </c>
    </row>
    <row r="3600" spans="1:14" x14ac:dyDescent="0.3">
      <c r="A3600" s="6">
        <v>45915</v>
      </c>
      <c r="B3600" s="1" t="s">
        <v>3784</v>
      </c>
      <c r="C3600" s="1" t="s">
        <v>28</v>
      </c>
      <c r="D3600" t="s">
        <v>30</v>
      </c>
      <c r="E3600" t="s">
        <v>249</v>
      </c>
      <c r="F3600" t="s">
        <v>14</v>
      </c>
      <c r="G3600" t="s">
        <v>15</v>
      </c>
      <c r="H3600" s="3">
        <v>9</v>
      </c>
      <c r="I3600" s="3">
        <v>61199.999999999993</v>
      </c>
      <c r="J3600" s="3">
        <v>550799.99999999988</v>
      </c>
      <c r="K3600" s="3">
        <v>45000</v>
      </c>
      <c r="L3600" s="3">
        <v>405000</v>
      </c>
      <c r="M3600" s="3">
        <v>145799.99999999988</v>
      </c>
      <c r="N3600" s="4">
        <v>0.26470588235294101</v>
      </c>
    </row>
    <row r="3601" spans="1:14" x14ac:dyDescent="0.3">
      <c r="A3601" s="6">
        <v>45915</v>
      </c>
      <c r="B3601" s="1" t="s">
        <v>3785</v>
      </c>
      <c r="C3601" s="1" t="s">
        <v>28</v>
      </c>
      <c r="D3601" t="s">
        <v>35</v>
      </c>
      <c r="E3601" t="s">
        <v>204</v>
      </c>
      <c r="F3601" t="s">
        <v>22</v>
      </c>
      <c r="G3601" t="s">
        <v>18</v>
      </c>
      <c r="H3601" s="3">
        <v>7</v>
      </c>
      <c r="I3601" s="3">
        <v>9450</v>
      </c>
      <c r="J3601" s="3">
        <v>66150</v>
      </c>
      <c r="K3601" s="3">
        <v>7000</v>
      </c>
      <c r="L3601" s="3">
        <v>49000</v>
      </c>
      <c r="M3601" s="3">
        <v>17150</v>
      </c>
      <c r="N3601" s="4">
        <v>0.25925925925925924</v>
      </c>
    </row>
    <row r="3602" spans="1:14" x14ac:dyDescent="0.3">
      <c r="A3602" s="6">
        <v>45915</v>
      </c>
      <c r="B3602" s="1" t="s">
        <v>3786</v>
      </c>
      <c r="C3602" s="1" t="s">
        <v>26</v>
      </c>
      <c r="D3602" t="s">
        <v>31</v>
      </c>
      <c r="E3602" t="s">
        <v>574</v>
      </c>
      <c r="F3602" t="s">
        <v>19</v>
      </c>
      <c r="G3602" t="s">
        <v>20</v>
      </c>
      <c r="H3602" s="3">
        <v>7</v>
      </c>
      <c r="I3602" s="3">
        <v>1251</v>
      </c>
      <c r="J3602" s="3">
        <v>8757</v>
      </c>
      <c r="K3602" s="3">
        <v>900</v>
      </c>
      <c r="L3602" s="3">
        <v>6300</v>
      </c>
      <c r="M3602" s="3">
        <v>2457</v>
      </c>
      <c r="N3602" s="4">
        <v>0.2805755395683453</v>
      </c>
    </row>
    <row r="3603" spans="1:14" x14ac:dyDescent="0.3">
      <c r="A3603" s="6">
        <v>45915</v>
      </c>
      <c r="B3603" s="1" t="s">
        <v>3787</v>
      </c>
      <c r="C3603" s="1" t="s">
        <v>26</v>
      </c>
      <c r="D3603" t="s">
        <v>34</v>
      </c>
      <c r="E3603" t="s">
        <v>155</v>
      </c>
      <c r="F3603" t="s">
        <v>16</v>
      </c>
      <c r="G3603" t="s">
        <v>15</v>
      </c>
      <c r="H3603" s="3">
        <v>8</v>
      </c>
      <c r="I3603" s="3">
        <v>54720</v>
      </c>
      <c r="J3603" s="3">
        <v>437760</v>
      </c>
      <c r="K3603" s="3">
        <v>38000</v>
      </c>
      <c r="L3603" s="3">
        <v>304000</v>
      </c>
      <c r="M3603" s="3">
        <v>133760</v>
      </c>
      <c r="N3603" s="4">
        <v>0.30555555555555558</v>
      </c>
    </row>
    <row r="3604" spans="1:14" x14ac:dyDescent="0.3">
      <c r="A3604" s="6">
        <v>45915</v>
      </c>
      <c r="B3604" s="1" t="s">
        <v>3788</v>
      </c>
      <c r="C3604" s="1" t="s">
        <v>29</v>
      </c>
      <c r="D3604" t="s">
        <v>34</v>
      </c>
      <c r="E3604" t="s">
        <v>236</v>
      </c>
      <c r="F3604" t="s">
        <v>23</v>
      </c>
      <c r="G3604" t="s">
        <v>25</v>
      </c>
      <c r="H3604" s="3">
        <v>3</v>
      </c>
      <c r="I3604" s="3">
        <v>3904</v>
      </c>
      <c r="J3604" s="3">
        <v>11712</v>
      </c>
      <c r="K3604" s="3">
        <v>3200</v>
      </c>
      <c r="L3604" s="3">
        <v>9600</v>
      </c>
      <c r="M3604" s="3">
        <v>2112</v>
      </c>
      <c r="N3604" s="4">
        <v>0.18032786885245902</v>
      </c>
    </row>
    <row r="3605" spans="1:14" x14ac:dyDescent="0.3">
      <c r="A3605" s="6">
        <v>45915</v>
      </c>
      <c r="B3605" s="1" t="s">
        <v>3789</v>
      </c>
      <c r="C3605" s="1" t="s">
        <v>28</v>
      </c>
      <c r="D3605" t="s">
        <v>31</v>
      </c>
      <c r="E3605" t="s">
        <v>365</v>
      </c>
      <c r="F3605" t="s">
        <v>14</v>
      </c>
      <c r="G3605" t="s">
        <v>15</v>
      </c>
      <c r="H3605" s="3">
        <v>10</v>
      </c>
      <c r="I3605" s="3">
        <v>57150</v>
      </c>
      <c r="J3605" s="3">
        <v>571500</v>
      </c>
      <c r="K3605" s="3">
        <v>45000</v>
      </c>
      <c r="L3605" s="3">
        <v>450000</v>
      </c>
      <c r="M3605" s="3">
        <v>121500</v>
      </c>
      <c r="N3605" s="4">
        <v>0.2125984251968504</v>
      </c>
    </row>
    <row r="3606" spans="1:14" x14ac:dyDescent="0.3">
      <c r="A3606" s="6">
        <v>45915</v>
      </c>
      <c r="B3606" s="1" t="s">
        <v>3790</v>
      </c>
      <c r="C3606" s="1" t="s">
        <v>29</v>
      </c>
      <c r="D3606" t="s">
        <v>32</v>
      </c>
      <c r="E3606" t="s">
        <v>112</v>
      </c>
      <c r="F3606" t="s">
        <v>19</v>
      </c>
      <c r="G3606" t="s">
        <v>20</v>
      </c>
      <c r="H3606" s="3">
        <v>4</v>
      </c>
      <c r="I3606" s="3">
        <v>1143</v>
      </c>
      <c r="J3606" s="3">
        <v>4572</v>
      </c>
      <c r="K3606" s="3">
        <v>900</v>
      </c>
      <c r="L3606" s="3">
        <v>3600</v>
      </c>
      <c r="M3606" s="3">
        <v>972</v>
      </c>
      <c r="N3606" s="4">
        <v>0.2125984251968504</v>
      </c>
    </row>
    <row r="3607" spans="1:14" x14ac:dyDescent="0.3">
      <c r="A3607" s="6">
        <v>45915</v>
      </c>
      <c r="B3607" s="1" t="s">
        <v>3791</v>
      </c>
      <c r="C3607" s="1" t="s">
        <v>28</v>
      </c>
      <c r="D3607" t="s">
        <v>35</v>
      </c>
      <c r="E3607" t="s">
        <v>436</v>
      </c>
      <c r="F3607" t="s">
        <v>22</v>
      </c>
      <c r="G3607" t="s">
        <v>18</v>
      </c>
      <c r="H3607" s="3">
        <v>4</v>
      </c>
      <c r="I3607" s="3">
        <v>8820</v>
      </c>
      <c r="J3607" s="3">
        <v>35280</v>
      </c>
      <c r="K3607" s="3">
        <v>7000</v>
      </c>
      <c r="L3607" s="3">
        <v>28000</v>
      </c>
      <c r="M3607" s="3">
        <v>7280</v>
      </c>
      <c r="N3607" s="4">
        <v>0.20634920634920634</v>
      </c>
    </row>
    <row r="3608" spans="1:14" x14ac:dyDescent="0.3">
      <c r="A3608" s="6">
        <v>45915</v>
      </c>
      <c r="B3608" s="1" t="s">
        <v>3792</v>
      </c>
      <c r="C3608" s="1" t="s">
        <v>26</v>
      </c>
      <c r="D3608" t="s">
        <v>30</v>
      </c>
      <c r="E3608" t="s">
        <v>409</v>
      </c>
      <c r="F3608" t="s">
        <v>14</v>
      </c>
      <c r="G3608" t="s">
        <v>15</v>
      </c>
      <c r="H3608" s="3">
        <v>7</v>
      </c>
      <c r="I3608" s="3">
        <v>62999.999999999993</v>
      </c>
      <c r="J3608" s="3">
        <v>440999.99999999994</v>
      </c>
      <c r="K3608" s="3">
        <v>45000</v>
      </c>
      <c r="L3608" s="3">
        <v>315000</v>
      </c>
      <c r="M3608" s="3">
        <v>125999.99999999994</v>
      </c>
      <c r="N3608" s="4">
        <v>0.28571428571428564</v>
      </c>
    </row>
    <row r="3609" spans="1:14" x14ac:dyDescent="0.3">
      <c r="A3609" s="6">
        <v>45915</v>
      </c>
      <c r="B3609" s="1" t="s">
        <v>3793</v>
      </c>
      <c r="C3609" s="1" t="s">
        <v>29</v>
      </c>
      <c r="D3609" t="s">
        <v>33</v>
      </c>
      <c r="E3609" t="s">
        <v>47</v>
      </c>
      <c r="F3609" t="s">
        <v>22</v>
      </c>
      <c r="G3609" t="s">
        <v>18</v>
      </c>
      <c r="H3609" s="3">
        <v>6</v>
      </c>
      <c r="I3609" s="3">
        <v>9310</v>
      </c>
      <c r="J3609" s="3">
        <v>55860</v>
      </c>
      <c r="K3609" s="3">
        <v>7000</v>
      </c>
      <c r="L3609" s="3">
        <v>42000</v>
      </c>
      <c r="M3609" s="3">
        <v>13860</v>
      </c>
      <c r="N3609" s="4">
        <v>0.24812030075187969</v>
      </c>
    </row>
    <row r="3610" spans="1:14" x14ac:dyDescent="0.3">
      <c r="A3610" s="6">
        <v>45915</v>
      </c>
      <c r="B3610" s="1" t="s">
        <v>3794</v>
      </c>
      <c r="C3610" s="1" t="s">
        <v>27</v>
      </c>
      <c r="D3610" t="s">
        <v>35</v>
      </c>
      <c r="E3610" t="s">
        <v>371</v>
      </c>
      <c r="F3610" t="s">
        <v>22</v>
      </c>
      <c r="G3610" t="s">
        <v>18</v>
      </c>
      <c r="H3610" s="3">
        <v>9</v>
      </c>
      <c r="I3610" s="3">
        <v>8470</v>
      </c>
      <c r="J3610" s="3">
        <v>76230</v>
      </c>
      <c r="K3610" s="3">
        <v>7000</v>
      </c>
      <c r="L3610" s="3">
        <v>63000</v>
      </c>
      <c r="M3610" s="3">
        <v>13230</v>
      </c>
      <c r="N3610" s="4">
        <v>0.17355371900826447</v>
      </c>
    </row>
    <row r="3611" spans="1:14" x14ac:dyDescent="0.3">
      <c r="A3611" s="6">
        <v>45915</v>
      </c>
      <c r="B3611" s="1" t="s">
        <v>3795</v>
      </c>
      <c r="C3611" s="1" t="s">
        <v>27</v>
      </c>
      <c r="D3611" t="s">
        <v>31</v>
      </c>
      <c r="E3611" t="s">
        <v>139</v>
      </c>
      <c r="F3611" t="s">
        <v>17</v>
      </c>
      <c r="G3611" t="s">
        <v>18</v>
      </c>
      <c r="H3611" s="3">
        <v>7</v>
      </c>
      <c r="I3611" s="3">
        <v>11900</v>
      </c>
      <c r="J3611" s="3">
        <v>83300</v>
      </c>
      <c r="K3611" s="3">
        <v>8500</v>
      </c>
      <c r="L3611" s="3">
        <v>59500</v>
      </c>
      <c r="M3611" s="3">
        <v>23800</v>
      </c>
      <c r="N3611" s="4">
        <v>0.2857142857142857</v>
      </c>
    </row>
    <row r="3612" spans="1:14" x14ac:dyDescent="0.3">
      <c r="A3612" s="6">
        <v>45916</v>
      </c>
      <c r="B3612" s="1" t="s">
        <v>3796</v>
      </c>
      <c r="C3612" s="1" t="s">
        <v>28</v>
      </c>
      <c r="D3612" t="s">
        <v>35</v>
      </c>
      <c r="E3612" t="s">
        <v>400</v>
      </c>
      <c r="F3612" t="s">
        <v>16</v>
      </c>
      <c r="G3612" t="s">
        <v>15</v>
      </c>
      <c r="H3612" s="3">
        <v>10</v>
      </c>
      <c r="I3612" s="3">
        <v>47880</v>
      </c>
      <c r="J3612" s="3">
        <v>478800</v>
      </c>
      <c r="K3612" s="3">
        <v>38000</v>
      </c>
      <c r="L3612" s="3">
        <v>380000</v>
      </c>
      <c r="M3612" s="3">
        <v>98800</v>
      </c>
      <c r="N3612" s="4">
        <v>0.20634920634920634</v>
      </c>
    </row>
    <row r="3613" spans="1:14" x14ac:dyDescent="0.3">
      <c r="A3613" s="6">
        <v>45916</v>
      </c>
      <c r="B3613" s="1" t="s">
        <v>3797</v>
      </c>
      <c r="C3613" s="1" t="s">
        <v>29</v>
      </c>
      <c r="D3613" t="s">
        <v>31</v>
      </c>
      <c r="E3613" t="s">
        <v>184</v>
      </c>
      <c r="F3613" t="s">
        <v>21</v>
      </c>
      <c r="G3613" t="s">
        <v>20</v>
      </c>
      <c r="H3613" s="3">
        <v>7</v>
      </c>
      <c r="I3613" s="3">
        <v>827.99999999999989</v>
      </c>
      <c r="J3613" s="3">
        <v>5795.9999999999991</v>
      </c>
      <c r="K3613" s="3">
        <v>600</v>
      </c>
      <c r="L3613" s="3">
        <v>4200</v>
      </c>
      <c r="M3613" s="3">
        <v>1595.9999999999991</v>
      </c>
      <c r="N3613" s="4">
        <v>0.2753623188405796</v>
      </c>
    </row>
    <row r="3614" spans="1:14" x14ac:dyDescent="0.3">
      <c r="A3614" s="6">
        <v>45916</v>
      </c>
      <c r="B3614" s="1" t="s">
        <v>3798</v>
      </c>
      <c r="C3614" s="1" t="s">
        <v>26</v>
      </c>
      <c r="D3614" t="s">
        <v>32</v>
      </c>
      <c r="E3614" t="s">
        <v>268</v>
      </c>
      <c r="F3614" t="s">
        <v>21</v>
      </c>
      <c r="G3614" t="s">
        <v>20</v>
      </c>
      <c r="H3614" s="3">
        <v>5</v>
      </c>
      <c r="I3614" s="3">
        <v>827.99999999999989</v>
      </c>
      <c r="J3614" s="3">
        <v>4139.9999999999991</v>
      </c>
      <c r="K3614" s="3">
        <v>600</v>
      </c>
      <c r="L3614" s="3">
        <v>3000</v>
      </c>
      <c r="M3614" s="3">
        <v>1139.9999999999991</v>
      </c>
      <c r="N3614" s="4">
        <v>0.27536231884057955</v>
      </c>
    </row>
    <row r="3615" spans="1:14" x14ac:dyDescent="0.3">
      <c r="A3615" s="6">
        <v>45916</v>
      </c>
      <c r="B3615" s="1" t="s">
        <v>3799</v>
      </c>
      <c r="C3615" s="1" t="s">
        <v>29</v>
      </c>
      <c r="D3615" t="s">
        <v>30</v>
      </c>
      <c r="E3615" t="s">
        <v>81</v>
      </c>
      <c r="F3615" t="s">
        <v>17</v>
      </c>
      <c r="G3615" t="s">
        <v>18</v>
      </c>
      <c r="H3615" s="3">
        <v>7</v>
      </c>
      <c r="I3615" s="3">
        <v>11050</v>
      </c>
      <c r="J3615" s="3">
        <v>77350</v>
      </c>
      <c r="K3615" s="3">
        <v>8500</v>
      </c>
      <c r="L3615" s="3">
        <v>59500</v>
      </c>
      <c r="M3615" s="3">
        <v>17850</v>
      </c>
      <c r="N3615" s="4">
        <v>0.23076923076923078</v>
      </c>
    </row>
    <row r="3616" spans="1:14" x14ac:dyDescent="0.3">
      <c r="A3616" s="6">
        <v>45916</v>
      </c>
      <c r="B3616" s="1" t="s">
        <v>3800</v>
      </c>
      <c r="C3616" s="1" t="s">
        <v>28</v>
      </c>
      <c r="D3616" t="s">
        <v>35</v>
      </c>
      <c r="E3616" t="s">
        <v>186</v>
      </c>
      <c r="F3616" t="s">
        <v>14</v>
      </c>
      <c r="G3616" t="s">
        <v>15</v>
      </c>
      <c r="H3616" s="3">
        <v>4</v>
      </c>
      <c r="I3616" s="3">
        <v>60750.000000000007</v>
      </c>
      <c r="J3616" s="3">
        <v>243000.00000000003</v>
      </c>
      <c r="K3616" s="3">
        <v>45000</v>
      </c>
      <c r="L3616" s="3">
        <v>180000</v>
      </c>
      <c r="M3616" s="3">
        <v>63000.000000000029</v>
      </c>
      <c r="N3616" s="4">
        <v>0.25925925925925936</v>
      </c>
    </row>
    <row r="3617" spans="1:14" x14ac:dyDescent="0.3">
      <c r="A3617" s="6">
        <v>45916</v>
      </c>
      <c r="B3617" s="1" t="s">
        <v>3801</v>
      </c>
      <c r="C3617" s="1" t="s">
        <v>26</v>
      </c>
      <c r="D3617" t="s">
        <v>30</v>
      </c>
      <c r="E3617" t="s">
        <v>122</v>
      </c>
      <c r="F3617" t="s">
        <v>16</v>
      </c>
      <c r="G3617" t="s">
        <v>15</v>
      </c>
      <c r="H3617" s="3">
        <v>3</v>
      </c>
      <c r="I3617" s="3">
        <v>49400</v>
      </c>
      <c r="J3617" s="3">
        <v>148200</v>
      </c>
      <c r="K3617" s="3">
        <v>38000</v>
      </c>
      <c r="L3617" s="3">
        <v>114000</v>
      </c>
      <c r="M3617" s="3">
        <v>34200</v>
      </c>
      <c r="N3617" s="4">
        <v>0.23076923076923078</v>
      </c>
    </row>
    <row r="3618" spans="1:14" x14ac:dyDescent="0.3">
      <c r="A3618" s="6">
        <v>45916</v>
      </c>
      <c r="B3618" s="1" t="s">
        <v>3802</v>
      </c>
      <c r="C3618" s="1" t="s">
        <v>26</v>
      </c>
      <c r="D3618" t="s">
        <v>34</v>
      </c>
      <c r="E3618" t="s">
        <v>431</v>
      </c>
      <c r="F3618" t="s">
        <v>16</v>
      </c>
      <c r="G3618" t="s">
        <v>15</v>
      </c>
      <c r="H3618" s="3">
        <v>1</v>
      </c>
      <c r="I3618" s="3">
        <v>46360</v>
      </c>
      <c r="J3618" s="3">
        <v>46360</v>
      </c>
      <c r="K3618" s="3">
        <v>38000</v>
      </c>
      <c r="L3618" s="3">
        <v>38000</v>
      </c>
      <c r="M3618" s="3">
        <v>8360</v>
      </c>
      <c r="N3618" s="4">
        <v>0.18032786885245902</v>
      </c>
    </row>
    <row r="3619" spans="1:14" x14ac:dyDescent="0.3">
      <c r="A3619" s="6">
        <v>45916</v>
      </c>
      <c r="B3619" s="1" t="s">
        <v>3803</v>
      </c>
      <c r="C3619" s="1" t="s">
        <v>29</v>
      </c>
      <c r="D3619" t="s">
        <v>34</v>
      </c>
      <c r="E3619" t="s">
        <v>409</v>
      </c>
      <c r="F3619" t="s">
        <v>17</v>
      </c>
      <c r="G3619" t="s">
        <v>18</v>
      </c>
      <c r="H3619" s="3">
        <v>4</v>
      </c>
      <c r="I3619" s="3">
        <v>11475</v>
      </c>
      <c r="J3619" s="3">
        <v>45900</v>
      </c>
      <c r="K3619" s="3">
        <v>8500</v>
      </c>
      <c r="L3619" s="3">
        <v>34000</v>
      </c>
      <c r="M3619" s="3">
        <v>11900</v>
      </c>
      <c r="N3619" s="4">
        <v>0.25925925925925924</v>
      </c>
    </row>
    <row r="3620" spans="1:14" x14ac:dyDescent="0.3">
      <c r="A3620" s="6">
        <v>45916</v>
      </c>
      <c r="B3620" s="1" t="s">
        <v>3804</v>
      </c>
      <c r="C3620" s="1" t="s">
        <v>28</v>
      </c>
      <c r="D3620" t="s">
        <v>35</v>
      </c>
      <c r="E3620" t="s">
        <v>100</v>
      </c>
      <c r="F3620" t="s">
        <v>24</v>
      </c>
      <c r="G3620" t="s">
        <v>25</v>
      </c>
      <c r="H3620" s="3">
        <v>10</v>
      </c>
      <c r="I3620" s="3">
        <v>3449.9999999999995</v>
      </c>
      <c r="J3620" s="3">
        <v>34499.999999999993</v>
      </c>
      <c r="K3620" s="3">
        <v>2500</v>
      </c>
      <c r="L3620" s="3">
        <v>25000</v>
      </c>
      <c r="M3620" s="3">
        <v>9499.9999999999927</v>
      </c>
      <c r="N3620" s="4">
        <v>0.27536231884057955</v>
      </c>
    </row>
    <row r="3621" spans="1:14" x14ac:dyDescent="0.3">
      <c r="A3621" s="6">
        <v>45916</v>
      </c>
      <c r="B3621" s="1" t="s">
        <v>3805</v>
      </c>
      <c r="C3621" s="1" t="s">
        <v>26</v>
      </c>
      <c r="D3621" t="s">
        <v>33</v>
      </c>
      <c r="E3621" t="s">
        <v>273</v>
      </c>
      <c r="F3621" t="s">
        <v>24</v>
      </c>
      <c r="G3621" t="s">
        <v>25</v>
      </c>
      <c r="H3621" s="3">
        <v>9</v>
      </c>
      <c r="I3621" s="3">
        <v>3550</v>
      </c>
      <c r="J3621" s="3">
        <v>31950</v>
      </c>
      <c r="K3621" s="3">
        <v>2500</v>
      </c>
      <c r="L3621" s="3">
        <v>22500</v>
      </c>
      <c r="M3621" s="3">
        <v>9450</v>
      </c>
      <c r="N3621" s="4">
        <v>0.29577464788732394</v>
      </c>
    </row>
    <row r="3622" spans="1:14" x14ac:dyDescent="0.3">
      <c r="A3622" s="6">
        <v>45916</v>
      </c>
      <c r="B3622" s="1" t="s">
        <v>3806</v>
      </c>
      <c r="C3622" s="1" t="s">
        <v>27</v>
      </c>
      <c r="D3622" t="s">
        <v>34</v>
      </c>
      <c r="E3622" t="s">
        <v>55</v>
      </c>
      <c r="F3622" t="s">
        <v>14</v>
      </c>
      <c r="G3622" t="s">
        <v>15</v>
      </c>
      <c r="H3622" s="3">
        <v>7</v>
      </c>
      <c r="I3622" s="3">
        <v>58050</v>
      </c>
      <c r="J3622" s="3">
        <v>406350</v>
      </c>
      <c r="K3622" s="3">
        <v>45000</v>
      </c>
      <c r="L3622" s="3">
        <v>315000</v>
      </c>
      <c r="M3622" s="3">
        <v>91350</v>
      </c>
      <c r="N3622" s="4">
        <v>0.22480620155038761</v>
      </c>
    </row>
    <row r="3623" spans="1:14" x14ac:dyDescent="0.3">
      <c r="A3623" s="6">
        <v>45916</v>
      </c>
      <c r="B3623" s="1" t="s">
        <v>3807</v>
      </c>
      <c r="C3623" s="1" t="s">
        <v>28</v>
      </c>
      <c r="D3623" t="s">
        <v>35</v>
      </c>
      <c r="E3623" t="s">
        <v>431</v>
      </c>
      <c r="F3623" t="s">
        <v>16</v>
      </c>
      <c r="G3623" t="s">
        <v>15</v>
      </c>
      <c r="H3623" s="3">
        <v>1</v>
      </c>
      <c r="I3623" s="3">
        <v>47500</v>
      </c>
      <c r="J3623" s="3">
        <v>47500</v>
      </c>
      <c r="K3623" s="3">
        <v>38000</v>
      </c>
      <c r="L3623" s="3">
        <v>38000</v>
      </c>
      <c r="M3623" s="3">
        <v>9500</v>
      </c>
      <c r="N3623" s="4">
        <v>0.2</v>
      </c>
    </row>
    <row r="3624" spans="1:14" x14ac:dyDescent="0.3">
      <c r="A3624" s="6">
        <v>45916</v>
      </c>
      <c r="B3624" s="1" t="s">
        <v>3808</v>
      </c>
      <c r="C3624" s="1" t="s">
        <v>29</v>
      </c>
      <c r="D3624" t="s">
        <v>35</v>
      </c>
      <c r="E3624" t="s">
        <v>369</v>
      </c>
      <c r="F3624" t="s">
        <v>16</v>
      </c>
      <c r="G3624" t="s">
        <v>15</v>
      </c>
      <c r="H3624" s="3">
        <v>7</v>
      </c>
      <c r="I3624" s="3">
        <v>45980</v>
      </c>
      <c r="J3624" s="3">
        <v>321860</v>
      </c>
      <c r="K3624" s="3">
        <v>38000</v>
      </c>
      <c r="L3624" s="3">
        <v>266000</v>
      </c>
      <c r="M3624" s="3">
        <v>55860</v>
      </c>
      <c r="N3624" s="4">
        <v>0.17355371900826447</v>
      </c>
    </row>
    <row r="3625" spans="1:14" x14ac:dyDescent="0.3">
      <c r="A3625" s="6">
        <v>45916</v>
      </c>
      <c r="B3625" s="1" t="s">
        <v>3809</v>
      </c>
      <c r="C3625" s="1" t="s">
        <v>27</v>
      </c>
      <c r="D3625" t="s">
        <v>30</v>
      </c>
      <c r="E3625" t="s">
        <v>65</v>
      </c>
      <c r="F3625" t="s">
        <v>19</v>
      </c>
      <c r="G3625" t="s">
        <v>20</v>
      </c>
      <c r="H3625" s="3">
        <v>3</v>
      </c>
      <c r="I3625" s="3">
        <v>1251</v>
      </c>
      <c r="J3625" s="3">
        <v>3753</v>
      </c>
      <c r="K3625" s="3">
        <v>900</v>
      </c>
      <c r="L3625" s="3">
        <v>2700</v>
      </c>
      <c r="M3625" s="3">
        <v>1053</v>
      </c>
      <c r="N3625" s="4">
        <v>0.2805755395683453</v>
      </c>
    </row>
    <row r="3626" spans="1:14" x14ac:dyDescent="0.3">
      <c r="A3626" s="6">
        <v>45917</v>
      </c>
      <c r="B3626" s="1" t="s">
        <v>3810</v>
      </c>
      <c r="C3626" s="1" t="s">
        <v>28</v>
      </c>
      <c r="D3626" t="s">
        <v>32</v>
      </c>
      <c r="E3626" t="s">
        <v>206</v>
      </c>
      <c r="F3626" t="s">
        <v>24</v>
      </c>
      <c r="G3626" t="s">
        <v>25</v>
      </c>
      <c r="H3626" s="3">
        <v>1</v>
      </c>
      <c r="I3626" s="3">
        <v>3125</v>
      </c>
      <c r="J3626" s="3">
        <v>3125</v>
      </c>
      <c r="K3626" s="3">
        <v>2500</v>
      </c>
      <c r="L3626" s="3">
        <v>2500</v>
      </c>
      <c r="M3626" s="3">
        <v>625</v>
      </c>
      <c r="N3626" s="4">
        <v>0.2</v>
      </c>
    </row>
    <row r="3627" spans="1:14" x14ac:dyDescent="0.3">
      <c r="A3627" s="6">
        <v>45917</v>
      </c>
      <c r="B3627" s="1" t="s">
        <v>3811</v>
      </c>
      <c r="C3627" s="1" t="s">
        <v>29</v>
      </c>
      <c r="D3627" t="s">
        <v>35</v>
      </c>
      <c r="E3627" t="s">
        <v>157</v>
      </c>
      <c r="F3627" t="s">
        <v>17</v>
      </c>
      <c r="G3627" t="s">
        <v>18</v>
      </c>
      <c r="H3627" s="3">
        <v>10</v>
      </c>
      <c r="I3627" s="3">
        <v>11559.999999999998</v>
      </c>
      <c r="J3627" s="3">
        <v>115599.99999999999</v>
      </c>
      <c r="K3627" s="3">
        <v>8500</v>
      </c>
      <c r="L3627" s="3">
        <v>85000</v>
      </c>
      <c r="M3627" s="3">
        <v>30599.999999999985</v>
      </c>
      <c r="N3627" s="4">
        <v>0.26470588235294107</v>
      </c>
    </row>
    <row r="3628" spans="1:14" x14ac:dyDescent="0.3">
      <c r="A3628" s="6">
        <v>45917</v>
      </c>
      <c r="B3628" s="1" t="s">
        <v>3812</v>
      </c>
      <c r="C3628" s="1" t="s">
        <v>29</v>
      </c>
      <c r="D3628" t="s">
        <v>32</v>
      </c>
      <c r="E3628" t="s">
        <v>220</v>
      </c>
      <c r="F3628" t="s">
        <v>14</v>
      </c>
      <c r="G3628" t="s">
        <v>15</v>
      </c>
      <c r="H3628" s="3">
        <v>1</v>
      </c>
      <c r="I3628" s="3">
        <v>62099.999999999993</v>
      </c>
      <c r="J3628" s="3">
        <v>62099.999999999993</v>
      </c>
      <c r="K3628" s="3">
        <v>45000</v>
      </c>
      <c r="L3628" s="3">
        <v>45000</v>
      </c>
      <c r="M3628" s="3">
        <v>17099.999999999993</v>
      </c>
      <c r="N3628" s="4">
        <v>0.2753623188405796</v>
      </c>
    </row>
    <row r="3629" spans="1:14" x14ac:dyDescent="0.3">
      <c r="A3629" s="6">
        <v>45917</v>
      </c>
      <c r="B3629" s="1" t="s">
        <v>3813</v>
      </c>
      <c r="C3629" s="1" t="s">
        <v>28</v>
      </c>
      <c r="D3629" t="s">
        <v>32</v>
      </c>
      <c r="E3629" t="s">
        <v>118</v>
      </c>
      <c r="F3629" t="s">
        <v>22</v>
      </c>
      <c r="G3629" t="s">
        <v>18</v>
      </c>
      <c r="H3629" s="3">
        <v>10</v>
      </c>
      <c r="I3629" s="3">
        <v>9800</v>
      </c>
      <c r="J3629" s="3">
        <v>98000</v>
      </c>
      <c r="K3629" s="3">
        <v>7000</v>
      </c>
      <c r="L3629" s="3">
        <v>70000</v>
      </c>
      <c r="M3629" s="3">
        <v>28000</v>
      </c>
      <c r="N3629" s="4">
        <v>0.2857142857142857</v>
      </c>
    </row>
    <row r="3630" spans="1:14" x14ac:dyDescent="0.3">
      <c r="A3630" s="6">
        <v>45917</v>
      </c>
      <c r="B3630" s="1" t="s">
        <v>3814</v>
      </c>
      <c r="C3630" s="1" t="s">
        <v>26</v>
      </c>
      <c r="D3630" t="s">
        <v>32</v>
      </c>
      <c r="E3630" t="s">
        <v>363</v>
      </c>
      <c r="F3630" t="s">
        <v>24</v>
      </c>
      <c r="G3630" t="s">
        <v>25</v>
      </c>
      <c r="H3630" s="3">
        <v>6</v>
      </c>
      <c r="I3630" s="3">
        <v>3300</v>
      </c>
      <c r="J3630" s="3">
        <v>19800</v>
      </c>
      <c r="K3630" s="3">
        <v>2500</v>
      </c>
      <c r="L3630" s="3">
        <v>15000</v>
      </c>
      <c r="M3630" s="3">
        <v>4800</v>
      </c>
      <c r="N3630" s="4">
        <v>0.24242424242424243</v>
      </c>
    </row>
    <row r="3631" spans="1:14" x14ac:dyDescent="0.3">
      <c r="A3631" s="6">
        <v>45917</v>
      </c>
      <c r="B3631" s="1" t="s">
        <v>3815</v>
      </c>
      <c r="C3631" s="1" t="s">
        <v>29</v>
      </c>
      <c r="D3631" t="s">
        <v>35</v>
      </c>
      <c r="E3631" t="s">
        <v>255</v>
      </c>
      <c r="F3631" t="s">
        <v>22</v>
      </c>
      <c r="G3631" t="s">
        <v>18</v>
      </c>
      <c r="H3631" s="3">
        <v>10</v>
      </c>
      <c r="I3631" s="3">
        <v>9170</v>
      </c>
      <c r="J3631" s="3">
        <v>91700</v>
      </c>
      <c r="K3631" s="3">
        <v>7000</v>
      </c>
      <c r="L3631" s="3">
        <v>70000</v>
      </c>
      <c r="M3631" s="3">
        <v>21700</v>
      </c>
      <c r="N3631" s="4">
        <v>0.23664122137404581</v>
      </c>
    </row>
    <row r="3632" spans="1:14" x14ac:dyDescent="0.3">
      <c r="A3632" s="6">
        <v>45917</v>
      </c>
      <c r="B3632" s="1" t="s">
        <v>3816</v>
      </c>
      <c r="C3632" s="1" t="s">
        <v>28</v>
      </c>
      <c r="D3632" t="s">
        <v>32</v>
      </c>
      <c r="E3632" t="s">
        <v>369</v>
      </c>
      <c r="F3632" t="s">
        <v>14</v>
      </c>
      <c r="G3632" t="s">
        <v>15</v>
      </c>
      <c r="H3632" s="3">
        <v>2</v>
      </c>
      <c r="I3632" s="3">
        <v>57600</v>
      </c>
      <c r="J3632" s="3">
        <v>115200</v>
      </c>
      <c r="K3632" s="3">
        <v>45000</v>
      </c>
      <c r="L3632" s="3">
        <v>90000</v>
      </c>
      <c r="M3632" s="3">
        <v>25200</v>
      </c>
      <c r="N3632" s="4">
        <v>0.21875</v>
      </c>
    </row>
    <row r="3633" spans="1:14" x14ac:dyDescent="0.3">
      <c r="A3633" s="6">
        <v>45917</v>
      </c>
      <c r="B3633" s="1" t="s">
        <v>3817</v>
      </c>
      <c r="C3633" s="1" t="s">
        <v>29</v>
      </c>
      <c r="D3633" t="s">
        <v>32</v>
      </c>
      <c r="E3633" t="s">
        <v>442</v>
      </c>
      <c r="F3633" t="s">
        <v>16</v>
      </c>
      <c r="G3633" t="s">
        <v>15</v>
      </c>
      <c r="H3633" s="3">
        <v>6</v>
      </c>
      <c r="I3633" s="3">
        <v>50160</v>
      </c>
      <c r="J3633" s="3">
        <v>300960</v>
      </c>
      <c r="K3633" s="3">
        <v>38000</v>
      </c>
      <c r="L3633" s="3">
        <v>228000</v>
      </c>
      <c r="M3633" s="3">
        <v>72960</v>
      </c>
      <c r="N3633" s="4">
        <v>0.24242424242424243</v>
      </c>
    </row>
    <row r="3634" spans="1:14" x14ac:dyDescent="0.3">
      <c r="A3634" s="6">
        <v>45917</v>
      </c>
      <c r="B3634" s="1" t="s">
        <v>3818</v>
      </c>
      <c r="C3634" s="1" t="s">
        <v>27</v>
      </c>
      <c r="D3634" t="s">
        <v>34</v>
      </c>
      <c r="E3634" t="s">
        <v>361</v>
      </c>
      <c r="F3634" t="s">
        <v>17</v>
      </c>
      <c r="G3634" t="s">
        <v>18</v>
      </c>
      <c r="H3634" s="3">
        <v>9</v>
      </c>
      <c r="I3634" s="3">
        <v>11900</v>
      </c>
      <c r="J3634" s="3">
        <v>107100</v>
      </c>
      <c r="K3634" s="3">
        <v>8500</v>
      </c>
      <c r="L3634" s="3">
        <v>76500</v>
      </c>
      <c r="M3634" s="3">
        <v>30600</v>
      </c>
      <c r="N3634" s="4">
        <v>0.2857142857142857</v>
      </c>
    </row>
    <row r="3635" spans="1:14" x14ac:dyDescent="0.3">
      <c r="A3635" s="6">
        <v>45917</v>
      </c>
      <c r="B3635" s="1" t="s">
        <v>3819</v>
      </c>
      <c r="C3635" s="1" t="s">
        <v>28</v>
      </c>
      <c r="D3635" t="s">
        <v>31</v>
      </c>
      <c r="E3635" t="s">
        <v>409</v>
      </c>
      <c r="F3635" t="s">
        <v>14</v>
      </c>
      <c r="G3635" t="s">
        <v>15</v>
      </c>
      <c r="H3635" s="3">
        <v>10</v>
      </c>
      <c r="I3635" s="3">
        <v>62099.999999999993</v>
      </c>
      <c r="J3635" s="3">
        <v>620999.99999999988</v>
      </c>
      <c r="K3635" s="3">
        <v>45000</v>
      </c>
      <c r="L3635" s="3">
        <v>450000</v>
      </c>
      <c r="M3635" s="3">
        <v>170999.99999999988</v>
      </c>
      <c r="N3635" s="4">
        <v>0.2753623188405796</v>
      </c>
    </row>
    <row r="3636" spans="1:14" x14ac:dyDescent="0.3">
      <c r="A3636" s="6">
        <v>45917</v>
      </c>
      <c r="B3636" s="1" t="s">
        <v>3820</v>
      </c>
      <c r="C3636" s="1" t="s">
        <v>28</v>
      </c>
      <c r="D3636" t="s">
        <v>33</v>
      </c>
      <c r="E3636" t="s">
        <v>53</v>
      </c>
      <c r="F3636" t="s">
        <v>22</v>
      </c>
      <c r="G3636" t="s">
        <v>18</v>
      </c>
      <c r="H3636" s="3">
        <v>10</v>
      </c>
      <c r="I3636" s="3">
        <v>10150</v>
      </c>
      <c r="J3636" s="3">
        <v>101500</v>
      </c>
      <c r="K3636" s="3">
        <v>7000</v>
      </c>
      <c r="L3636" s="3">
        <v>70000</v>
      </c>
      <c r="M3636" s="3">
        <v>31500</v>
      </c>
      <c r="N3636" s="4">
        <v>0.31034482758620691</v>
      </c>
    </row>
    <row r="3637" spans="1:14" x14ac:dyDescent="0.3">
      <c r="A3637" s="6">
        <v>45917</v>
      </c>
      <c r="B3637" s="1" t="s">
        <v>3821</v>
      </c>
      <c r="C3637" s="1" t="s">
        <v>29</v>
      </c>
      <c r="D3637" t="s">
        <v>31</v>
      </c>
      <c r="E3637" t="s">
        <v>302</v>
      </c>
      <c r="F3637" t="s">
        <v>14</v>
      </c>
      <c r="G3637" t="s">
        <v>15</v>
      </c>
      <c r="H3637" s="3">
        <v>1</v>
      </c>
      <c r="I3637" s="3">
        <v>56700</v>
      </c>
      <c r="J3637" s="3">
        <v>56700</v>
      </c>
      <c r="K3637" s="3">
        <v>45000</v>
      </c>
      <c r="L3637" s="3">
        <v>45000</v>
      </c>
      <c r="M3637" s="3">
        <v>11700</v>
      </c>
      <c r="N3637" s="4">
        <v>0.20634920634920634</v>
      </c>
    </row>
    <row r="3638" spans="1:14" x14ac:dyDescent="0.3">
      <c r="A3638" s="6">
        <v>45917</v>
      </c>
      <c r="B3638" s="1" t="s">
        <v>3822</v>
      </c>
      <c r="C3638" s="1" t="s">
        <v>28</v>
      </c>
      <c r="D3638" t="s">
        <v>35</v>
      </c>
      <c r="E3638" t="s">
        <v>59</v>
      </c>
      <c r="F3638" t="s">
        <v>16</v>
      </c>
      <c r="G3638" t="s">
        <v>15</v>
      </c>
      <c r="H3638" s="3">
        <v>6</v>
      </c>
      <c r="I3638" s="3">
        <v>55100</v>
      </c>
      <c r="J3638" s="3">
        <v>330600</v>
      </c>
      <c r="K3638" s="3">
        <v>38000</v>
      </c>
      <c r="L3638" s="3">
        <v>228000</v>
      </c>
      <c r="M3638" s="3">
        <v>102600</v>
      </c>
      <c r="N3638" s="4">
        <v>0.31034482758620691</v>
      </c>
    </row>
    <row r="3639" spans="1:14" x14ac:dyDescent="0.3">
      <c r="A3639" s="6">
        <v>45917</v>
      </c>
      <c r="B3639" s="1" t="s">
        <v>3823</v>
      </c>
      <c r="C3639" s="1" t="s">
        <v>29</v>
      </c>
      <c r="D3639" t="s">
        <v>30</v>
      </c>
      <c r="E3639" t="s">
        <v>431</v>
      </c>
      <c r="F3639" t="s">
        <v>22</v>
      </c>
      <c r="G3639" t="s">
        <v>18</v>
      </c>
      <c r="H3639" s="3">
        <v>3</v>
      </c>
      <c r="I3639" s="3">
        <v>9800</v>
      </c>
      <c r="J3639" s="3">
        <v>29400</v>
      </c>
      <c r="K3639" s="3">
        <v>7000</v>
      </c>
      <c r="L3639" s="3">
        <v>21000</v>
      </c>
      <c r="M3639" s="3">
        <v>8400</v>
      </c>
      <c r="N3639" s="4">
        <v>0.2857142857142857</v>
      </c>
    </row>
    <row r="3640" spans="1:14" x14ac:dyDescent="0.3">
      <c r="A3640" s="6">
        <v>45918</v>
      </c>
      <c r="B3640" s="1" t="s">
        <v>3824</v>
      </c>
      <c r="C3640" s="1" t="s">
        <v>26</v>
      </c>
      <c r="D3640" t="s">
        <v>32</v>
      </c>
      <c r="E3640" t="s">
        <v>43</v>
      </c>
      <c r="F3640" t="s">
        <v>16</v>
      </c>
      <c r="G3640" t="s">
        <v>15</v>
      </c>
      <c r="H3640" s="3">
        <v>1</v>
      </c>
      <c r="I3640" s="3">
        <v>49780</v>
      </c>
      <c r="J3640" s="3">
        <v>49780</v>
      </c>
      <c r="K3640" s="3">
        <v>38000</v>
      </c>
      <c r="L3640" s="3">
        <v>38000</v>
      </c>
      <c r="M3640" s="3">
        <v>11780</v>
      </c>
      <c r="N3640" s="4">
        <v>0.23664122137404581</v>
      </c>
    </row>
    <row r="3641" spans="1:14" x14ac:dyDescent="0.3">
      <c r="A3641" s="6">
        <v>45918</v>
      </c>
      <c r="B3641" s="1" t="s">
        <v>3825</v>
      </c>
      <c r="C3641" s="1" t="s">
        <v>27</v>
      </c>
      <c r="D3641" t="s">
        <v>35</v>
      </c>
      <c r="E3641" t="s">
        <v>302</v>
      </c>
      <c r="F3641" t="s">
        <v>17</v>
      </c>
      <c r="G3641" t="s">
        <v>18</v>
      </c>
      <c r="H3641" s="3">
        <v>10</v>
      </c>
      <c r="I3641" s="3">
        <v>11050</v>
      </c>
      <c r="J3641" s="3">
        <v>110500</v>
      </c>
      <c r="K3641" s="3">
        <v>8500</v>
      </c>
      <c r="L3641" s="3">
        <v>85000</v>
      </c>
      <c r="M3641" s="3">
        <v>25500</v>
      </c>
      <c r="N3641" s="4">
        <v>0.23076923076923078</v>
      </c>
    </row>
    <row r="3642" spans="1:14" x14ac:dyDescent="0.3">
      <c r="A3642" s="6">
        <v>45918</v>
      </c>
      <c r="B3642" s="1" t="s">
        <v>3826</v>
      </c>
      <c r="C3642" s="1" t="s">
        <v>29</v>
      </c>
      <c r="D3642" t="s">
        <v>35</v>
      </c>
      <c r="E3642" t="s">
        <v>142</v>
      </c>
      <c r="F3642" t="s">
        <v>22</v>
      </c>
      <c r="G3642" t="s">
        <v>18</v>
      </c>
      <c r="H3642" s="3">
        <v>1</v>
      </c>
      <c r="I3642" s="3">
        <v>9100</v>
      </c>
      <c r="J3642" s="3">
        <v>9100</v>
      </c>
      <c r="K3642" s="3">
        <v>7000</v>
      </c>
      <c r="L3642" s="3">
        <v>7000</v>
      </c>
      <c r="M3642" s="3">
        <v>2100</v>
      </c>
      <c r="N3642" s="4">
        <v>0.23076923076923078</v>
      </c>
    </row>
    <row r="3643" spans="1:14" x14ac:dyDescent="0.3">
      <c r="A3643" s="6">
        <v>45918</v>
      </c>
      <c r="B3643" s="1" t="s">
        <v>3827</v>
      </c>
      <c r="C3643" s="1" t="s">
        <v>27</v>
      </c>
      <c r="D3643" t="s">
        <v>30</v>
      </c>
      <c r="E3643" t="s">
        <v>390</v>
      </c>
      <c r="F3643" t="s">
        <v>22</v>
      </c>
      <c r="G3643" t="s">
        <v>18</v>
      </c>
      <c r="H3643" s="3">
        <v>5</v>
      </c>
      <c r="I3643" s="3">
        <v>10080</v>
      </c>
      <c r="J3643" s="3">
        <v>50400</v>
      </c>
      <c r="K3643" s="3">
        <v>7000</v>
      </c>
      <c r="L3643" s="3">
        <v>35000</v>
      </c>
      <c r="M3643" s="3">
        <v>15400</v>
      </c>
      <c r="N3643" s="4">
        <v>0.30555555555555558</v>
      </c>
    </row>
    <row r="3644" spans="1:14" x14ac:dyDescent="0.3">
      <c r="A3644" s="6">
        <v>45918</v>
      </c>
      <c r="B3644" s="1" t="s">
        <v>3828</v>
      </c>
      <c r="C3644" s="1" t="s">
        <v>29</v>
      </c>
      <c r="D3644" t="s">
        <v>33</v>
      </c>
      <c r="E3644" t="s">
        <v>317</v>
      </c>
      <c r="F3644" t="s">
        <v>14</v>
      </c>
      <c r="G3644" t="s">
        <v>15</v>
      </c>
      <c r="H3644" s="3">
        <v>10</v>
      </c>
      <c r="I3644" s="3">
        <v>59850</v>
      </c>
      <c r="J3644" s="3">
        <v>598500</v>
      </c>
      <c r="K3644" s="3">
        <v>45000</v>
      </c>
      <c r="L3644" s="3">
        <v>450000</v>
      </c>
      <c r="M3644" s="3">
        <v>148500</v>
      </c>
      <c r="N3644" s="4">
        <v>0.24812030075187969</v>
      </c>
    </row>
    <row r="3645" spans="1:14" x14ac:dyDescent="0.3">
      <c r="A3645" s="6">
        <v>45918</v>
      </c>
      <c r="B3645" s="1" t="s">
        <v>3829</v>
      </c>
      <c r="C3645" s="1" t="s">
        <v>27</v>
      </c>
      <c r="D3645" t="s">
        <v>35</v>
      </c>
      <c r="E3645" t="s">
        <v>357</v>
      </c>
      <c r="F3645" t="s">
        <v>22</v>
      </c>
      <c r="G3645" t="s">
        <v>18</v>
      </c>
      <c r="H3645" s="3">
        <v>9</v>
      </c>
      <c r="I3645" s="3">
        <v>9800</v>
      </c>
      <c r="J3645" s="3">
        <v>88200</v>
      </c>
      <c r="K3645" s="3">
        <v>7000</v>
      </c>
      <c r="L3645" s="3">
        <v>63000</v>
      </c>
      <c r="M3645" s="3">
        <v>25200</v>
      </c>
      <c r="N3645" s="4">
        <v>0.2857142857142857</v>
      </c>
    </row>
    <row r="3646" spans="1:14" x14ac:dyDescent="0.3">
      <c r="A3646" s="6">
        <v>45918</v>
      </c>
      <c r="B3646" s="1" t="s">
        <v>3830</v>
      </c>
      <c r="C3646" s="1" t="s">
        <v>28</v>
      </c>
      <c r="D3646" t="s">
        <v>35</v>
      </c>
      <c r="E3646" t="s">
        <v>59</v>
      </c>
      <c r="F3646" t="s">
        <v>19</v>
      </c>
      <c r="G3646" t="s">
        <v>20</v>
      </c>
      <c r="H3646" s="3">
        <v>10</v>
      </c>
      <c r="I3646" s="3">
        <v>1089</v>
      </c>
      <c r="J3646" s="3">
        <v>10890</v>
      </c>
      <c r="K3646" s="3">
        <v>900</v>
      </c>
      <c r="L3646" s="3">
        <v>9000</v>
      </c>
      <c r="M3646" s="3">
        <v>1890</v>
      </c>
      <c r="N3646" s="4">
        <v>0.17355371900826447</v>
      </c>
    </row>
    <row r="3647" spans="1:14" x14ac:dyDescent="0.3">
      <c r="A3647" s="6">
        <v>45918</v>
      </c>
      <c r="B3647" s="1" t="s">
        <v>3831</v>
      </c>
      <c r="C3647" s="1" t="s">
        <v>27</v>
      </c>
      <c r="D3647" t="s">
        <v>35</v>
      </c>
      <c r="E3647" t="s">
        <v>37</v>
      </c>
      <c r="F3647" t="s">
        <v>16</v>
      </c>
      <c r="G3647" t="s">
        <v>15</v>
      </c>
      <c r="H3647" s="3">
        <v>10</v>
      </c>
      <c r="I3647" s="3">
        <v>49400</v>
      </c>
      <c r="J3647" s="3">
        <v>494000</v>
      </c>
      <c r="K3647" s="3">
        <v>38000</v>
      </c>
      <c r="L3647" s="3">
        <v>380000</v>
      </c>
      <c r="M3647" s="3">
        <v>114000</v>
      </c>
      <c r="N3647" s="4">
        <v>0.23076923076923078</v>
      </c>
    </row>
    <row r="3648" spans="1:14" x14ac:dyDescent="0.3">
      <c r="A3648" s="6">
        <v>45918</v>
      </c>
      <c r="B3648" s="1" t="s">
        <v>3832</v>
      </c>
      <c r="C3648" s="1" t="s">
        <v>27</v>
      </c>
      <c r="D3648" t="s">
        <v>32</v>
      </c>
      <c r="E3648" t="s">
        <v>57</v>
      </c>
      <c r="F3648" t="s">
        <v>17</v>
      </c>
      <c r="G3648" t="s">
        <v>18</v>
      </c>
      <c r="H3648" s="3">
        <v>1</v>
      </c>
      <c r="I3648" s="3">
        <v>11815.000000000002</v>
      </c>
      <c r="J3648" s="3">
        <v>11815.000000000002</v>
      </c>
      <c r="K3648" s="3">
        <v>8500</v>
      </c>
      <c r="L3648" s="3">
        <v>8500</v>
      </c>
      <c r="M3648" s="3">
        <v>3315.0000000000018</v>
      </c>
      <c r="N3648" s="4">
        <v>0.28057553956834541</v>
      </c>
    </row>
    <row r="3649" spans="1:14" x14ac:dyDescent="0.3">
      <c r="A3649" s="6">
        <v>45918</v>
      </c>
      <c r="B3649" s="1" t="s">
        <v>3833</v>
      </c>
      <c r="C3649" s="1" t="s">
        <v>26</v>
      </c>
      <c r="D3649" t="s">
        <v>31</v>
      </c>
      <c r="E3649" t="s">
        <v>39</v>
      </c>
      <c r="F3649" t="s">
        <v>23</v>
      </c>
      <c r="G3649" t="s">
        <v>25</v>
      </c>
      <c r="H3649" s="3">
        <v>8</v>
      </c>
      <c r="I3649" s="3">
        <v>4192</v>
      </c>
      <c r="J3649" s="3">
        <v>33536</v>
      </c>
      <c r="K3649" s="3">
        <v>3200</v>
      </c>
      <c r="L3649" s="3">
        <v>25600</v>
      </c>
      <c r="M3649" s="3">
        <v>7936</v>
      </c>
      <c r="N3649" s="4">
        <v>0.23664122137404581</v>
      </c>
    </row>
    <row r="3650" spans="1:14" x14ac:dyDescent="0.3">
      <c r="A3650" s="6">
        <v>45918</v>
      </c>
      <c r="B3650" s="1" t="s">
        <v>3834</v>
      </c>
      <c r="C3650" s="1" t="s">
        <v>29</v>
      </c>
      <c r="D3650" t="s">
        <v>31</v>
      </c>
      <c r="E3650" t="s">
        <v>180</v>
      </c>
      <c r="F3650" t="s">
        <v>17</v>
      </c>
      <c r="G3650" t="s">
        <v>18</v>
      </c>
      <c r="H3650" s="3">
        <v>6</v>
      </c>
      <c r="I3650" s="3">
        <v>11220</v>
      </c>
      <c r="J3650" s="3">
        <v>67320</v>
      </c>
      <c r="K3650" s="3">
        <v>8500</v>
      </c>
      <c r="L3650" s="3">
        <v>51000</v>
      </c>
      <c r="M3650" s="3">
        <v>16320</v>
      </c>
      <c r="N3650" s="4">
        <v>0.24242424242424243</v>
      </c>
    </row>
    <row r="3651" spans="1:14" x14ac:dyDescent="0.3">
      <c r="A3651" s="6">
        <v>45918</v>
      </c>
      <c r="B3651" s="1" t="s">
        <v>3835</v>
      </c>
      <c r="C3651" s="1" t="s">
        <v>29</v>
      </c>
      <c r="D3651" t="s">
        <v>33</v>
      </c>
      <c r="E3651" t="s">
        <v>220</v>
      </c>
      <c r="F3651" t="s">
        <v>23</v>
      </c>
      <c r="G3651" t="s">
        <v>25</v>
      </c>
      <c r="H3651" s="3">
        <v>3</v>
      </c>
      <c r="I3651" s="3">
        <v>4192</v>
      </c>
      <c r="J3651" s="3">
        <v>12576</v>
      </c>
      <c r="K3651" s="3">
        <v>3200</v>
      </c>
      <c r="L3651" s="3">
        <v>9600</v>
      </c>
      <c r="M3651" s="3">
        <v>2976</v>
      </c>
      <c r="N3651" s="4">
        <v>0.23664122137404581</v>
      </c>
    </row>
    <row r="3652" spans="1:14" x14ac:dyDescent="0.3">
      <c r="A3652" s="6">
        <v>45918</v>
      </c>
      <c r="B3652" s="1" t="s">
        <v>3836</v>
      </c>
      <c r="C3652" s="1" t="s">
        <v>29</v>
      </c>
      <c r="D3652" t="s">
        <v>34</v>
      </c>
      <c r="E3652" t="s">
        <v>149</v>
      </c>
      <c r="F3652" t="s">
        <v>21</v>
      </c>
      <c r="G3652" t="s">
        <v>20</v>
      </c>
      <c r="H3652" s="3">
        <v>2</v>
      </c>
      <c r="I3652" s="3">
        <v>846</v>
      </c>
      <c r="J3652" s="3">
        <v>1692</v>
      </c>
      <c r="K3652" s="3">
        <v>600</v>
      </c>
      <c r="L3652" s="3">
        <v>1200</v>
      </c>
      <c r="M3652" s="3">
        <v>492</v>
      </c>
      <c r="N3652" s="4">
        <v>0.29078014184397161</v>
      </c>
    </row>
    <row r="3653" spans="1:14" x14ac:dyDescent="0.3">
      <c r="A3653" s="6">
        <v>45918</v>
      </c>
      <c r="B3653" s="1" t="s">
        <v>3837</v>
      </c>
      <c r="C3653" s="1" t="s">
        <v>28</v>
      </c>
      <c r="D3653" t="s">
        <v>32</v>
      </c>
      <c r="E3653" t="s">
        <v>302</v>
      </c>
      <c r="F3653" t="s">
        <v>21</v>
      </c>
      <c r="G3653" t="s">
        <v>20</v>
      </c>
      <c r="H3653" s="3">
        <v>5</v>
      </c>
      <c r="I3653" s="3">
        <v>732</v>
      </c>
      <c r="J3653" s="3">
        <v>3660</v>
      </c>
      <c r="K3653" s="3">
        <v>600</v>
      </c>
      <c r="L3653" s="3">
        <v>3000</v>
      </c>
      <c r="M3653" s="3">
        <v>660</v>
      </c>
      <c r="N3653" s="4">
        <v>0.18032786885245902</v>
      </c>
    </row>
    <row r="3654" spans="1:14" x14ac:dyDescent="0.3">
      <c r="A3654" s="6">
        <v>45919</v>
      </c>
      <c r="B3654" s="1" t="s">
        <v>3838</v>
      </c>
      <c r="C3654" s="1" t="s">
        <v>29</v>
      </c>
      <c r="D3654" t="s">
        <v>34</v>
      </c>
      <c r="E3654" t="s">
        <v>114</v>
      </c>
      <c r="F3654" t="s">
        <v>22</v>
      </c>
      <c r="G3654" t="s">
        <v>18</v>
      </c>
      <c r="H3654" s="3">
        <v>3</v>
      </c>
      <c r="I3654" s="3">
        <v>9030</v>
      </c>
      <c r="J3654" s="3">
        <v>27090</v>
      </c>
      <c r="K3654" s="3">
        <v>7000</v>
      </c>
      <c r="L3654" s="3">
        <v>21000</v>
      </c>
      <c r="M3654" s="3">
        <v>6090</v>
      </c>
      <c r="N3654" s="4">
        <v>0.22480620155038761</v>
      </c>
    </row>
    <row r="3655" spans="1:14" x14ac:dyDescent="0.3">
      <c r="A3655" s="6">
        <v>45919</v>
      </c>
      <c r="B3655" s="1" t="s">
        <v>3839</v>
      </c>
      <c r="C3655" s="1" t="s">
        <v>28</v>
      </c>
      <c r="D3655" t="s">
        <v>31</v>
      </c>
      <c r="E3655" t="s">
        <v>304</v>
      </c>
      <c r="F3655" t="s">
        <v>24</v>
      </c>
      <c r="G3655" t="s">
        <v>25</v>
      </c>
      <c r="H3655" s="3">
        <v>2</v>
      </c>
      <c r="I3655" s="3">
        <v>3000</v>
      </c>
      <c r="J3655" s="3">
        <v>6000</v>
      </c>
      <c r="K3655" s="3">
        <v>2500</v>
      </c>
      <c r="L3655" s="3">
        <v>5000</v>
      </c>
      <c r="M3655" s="3">
        <v>1000</v>
      </c>
      <c r="N3655" s="4">
        <v>0.16666666666666666</v>
      </c>
    </row>
    <row r="3656" spans="1:14" x14ac:dyDescent="0.3">
      <c r="A3656" s="6">
        <v>45919</v>
      </c>
      <c r="B3656" s="1" t="s">
        <v>3840</v>
      </c>
      <c r="C3656" s="1" t="s">
        <v>29</v>
      </c>
      <c r="D3656" t="s">
        <v>32</v>
      </c>
      <c r="E3656" t="s">
        <v>196</v>
      </c>
      <c r="F3656" t="s">
        <v>23</v>
      </c>
      <c r="G3656" t="s">
        <v>25</v>
      </c>
      <c r="H3656" s="3">
        <v>4</v>
      </c>
      <c r="I3656" s="3">
        <v>4320</v>
      </c>
      <c r="J3656" s="3">
        <v>17280</v>
      </c>
      <c r="K3656" s="3">
        <v>3200</v>
      </c>
      <c r="L3656" s="3">
        <v>12800</v>
      </c>
      <c r="M3656" s="3">
        <v>4480</v>
      </c>
      <c r="N3656" s="4">
        <v>0.25925925925925924</v>
      </c>
    </row>
    <row r="3657" spans="1:14" x14ac:dyDescent="0.3">
      <c r="A3657" s="6">
        <v>45919</v>
      </c>
      <c r="B3657" s="1" t="s">
        <v>3841</v>
      </c>
      <c r="C3657" s="1" t="s">
        <v>28</v>
      </c>
      <c r="D3657" t="s">
        <v>30</v>
      </c>
      <c r="E3657" t="s">
        <v>361</v>
      </c>
      <c r="F3657" t="s">
        <v>23</v>
      </c>
      <c r="G3657" t="s">
        <v>25</v>
      </c>
      <c r="H3657" s="3">
        <v>5</v>
      </c>
      <c r="I3657" s="3">
        <v>3904</v>
      </c>
      <c r="J3657" s="3">
        <v>19520</v>
      </c>
      <c r="K3657" s="3">
        <v>3200</v>
      </c>
      <c r="L3657" s="3">
        <v>16000</v>
      </c>
      <c r="M3657" s="3">
        <v>3520</v>
      </c>
      <c r="N3657" s="4">
        <v>0.18032786885245902</v>
      </c>
    </row>
    <row r="3658" spans="1:14" x14ac:dyDescent="0.3">
      <c r="A3658" s="6">
        <v>45919</v>
      </c>
      <c r="B3658" s="1" t="s">
        <v>3842</v>
      </c>
      <c r="C3658" s="1" t="s">
        <v>29</v>
      </c>
      <c r="D3658" t="s">
        <v>30</v>
      </c>
      <c r="E3658" t="s">
        <v>424</v>
      </c>
      <c r="F3658" t="s">
        <v>16</v>
      </c>
      <c r="G3658" t="s">
        <v>15</v>
      </c>
      <c r="H3658" s="3">
        <v>8</v>
      </c>
      <c r="I3658" s="3">
        <v>55100</v>
      </c>
      <c r="J3658" s="3">
        <v>440800</v>
      </c>
      <c r="K3658" s="3">
        <v>38000</v>
      </c>
      <c r="L3658" s="3">
        <v>304000</v>
      </c>
      <c r="M3658" s="3">
        <v>136800</v>
      </c>
      <c r="N3658" s="4">
        <v>0.31034482758620691</v>
      </c>
    </row>
    <row r="3659" spans="1:14" x14ac:dyDescent="0.3">
      <c r="A3659" s="6">
        <v>45919</v>
      </c>
      <c r="B3659" s="1" t="s">
        <v>3843</v>
      </c>
      <c r="C3659" s="1" t="s">
        <v>26</v>
      </c>
      <c r="D3659" t="s">
        <v>35</v>
      </c>
      <c r="E3659" t="s">
        <v>243</v>
      </c>
      <c r="F3659" t="s">
        <v>21</v>
      </c>
      <c r="G3659" t="s">
        <v>20</v>
      </c>
      <c r="H3659" s="3">
        <v>9</v>
      </c>
      <c r="I3659" s="3">
        <v>720</v>
      </c>
      <c r="J3659" s="3">
        <v>6480</v>
      </c>
      <c r="K3659" s="3">
        <v>600</v>
      </c>
      <c r="L3659" s="3">
        <v>5400</v>
      </c>
      <c r="M3659" s="3">
        <v>1080</v>
      </c>
      <c r="N3659" s="4">
        <v>0.16666666666666666</v>
      </c>
    </row>
    <row r="3660" spans="1:14" x14ac:dyDescent="0.3">
      <c r="A3660" s="6">
        <v>45919</v>
      </c>
      <c r="B3660" s="1" t="s">
        <v>3844</v>
      </c>
      <c r="C3660" s="1" t="s">
        <v>26</v>
      </c>
      <c r="D3660" t="s">
        <v>32</v>
      </c>
      <c r="E3660" t="s">
        <v>90</v>
      </c>
      <c r="F3660" t="s">
        <v>23</v>
      </c>
      <c r="G3660" t="s">
        <v>25</v>
      </c>
      <c r="H3660" s="3">
        <v>2</v>
      </c>
      <c r="I3660" s="3">
        <v>4224</v>
      </c>
      <c r="J3660" s="3">
        <v>8448</v>
      </c>
      <c r="K3660" s="3">
        <v>3200</v>
      </c>
      <c r="L3660" s="3">
        <v>6400</v>
      </c>
      <c r="M3660" s="3">
        <v>2048</v>
      </c>
      <c r="N3660" s="4">
        <v>0.24242424242424243</v>
      </c>
    </row>
    <row r="3661" spans="1:14" x14ac:dyDescent="0.3">
      <c r="A3661" s="6">
        <v>45919</v>
      </c>
      <c r="B3661" s="1" t="s">
        <v>3845</v>
      </c>
      <c r="C3661" s="1" t="s">
        <v>26</v>
      </c>
      <c r="D3661" t="s">
        <v>33</v>
      </c>
      <c r="E3661" t="s">
        <v>275</v>
      </c>
      <c r="F3661" t="s">
        <v>23</v>
      </c>
      <c r="G3661" t="s">
        <v>25</v>
      </c>
      <c r="H3661" s="3">
        <v>4</v>
      </c>
      <c r="I3661" s="3">
        <v>3872</v>
      </c>
      <c r="J3661" s="3">
        <v>15488</v>
      </c>
      <c r="K3661" s="3">
        <v>3200</v>
      </c>
      <c r="L3661" s="3">
        <v>12800</v>
      </c>
      <c r="M3661" s="3">
        <v>2688</v>
      </c>
      <c r="N3661" s="4">
        <v>0.17355371900826447</v>
      </c>
    </row>
    <row r="3662" spans="1:14" x14ac:dyDescent="0.3">
      <c r="A3662" s="6">
        <v>45919</v>
      </c>
      <c r="B3662" s="1" t="s">
        <v>3846</v>
      </c>
      <c r="C3662" s="1" t="s">
        <v>28</v>
      </c>
      <c r="D3662" t="s">
        <v>30</v>
      </c>
      <c r="E3662" t="s">
        <v>186</v>
      </c>
      <c r="F3662" t="s">
        <v>24</v>
      </c>
      <c r="G3662" t="s">
        <v>25</v>
      </c>
      <c r="H3662" s="3">
        <v>9</v>
      </c>
      <c r="I3662" s="3">
        <v>3025</v>
      </c>
      <c r="J3662" s="3">
        <v>27225</v>
      </c>
      <c r="K3662" s="3">
        <v>2500</v>
      </c>
      <c r="L3662" s="3">
        <v>22500</v>
      </c>
      <c r="M3662" s="3">
        <v>4725</v>
      </c>
      <c r="N3662" s="4">
        <v>0.17355371900826447</v>
      </c>
    </row>
    <row r="3663" spans="1:14" x14ac:dyDescent="0.3">
      <c r="A3663" s="6">
        <v>45919</v>
      </c>
      <c r="B3663" s="1" t="s">
        <v>3847</v>
      </c>
      <c r="C3663" s="1" t="s">
        <v>29</v>
      </c>
      <c r="D3663" t="s">
        <v>34</v>
      </c>
      <c r="E3663" t="s">
        <v>147</v>
      </c>
      <c r="F3663" t="s">
        <v>19</v>
      </c>
      <c r="G3663" t="s">
        <v>20</v>
      </c>
      <c r="H3663" s="3">
        <v>2</v>
      </c>
      <c r="I3663" s="3">
        <v>1278</v>
      </c>
      <c r="J3663" s="3">
        <v>2556</v>
      </c>
      <c r="K3663" s="3">
        <v>900</v>
      </c>
      <c r="L3663" s="3">
        <v>1800</v>
      </c>
      <c r="M3663" s="3">
        <v>756</v>
      </c>
      <c r="N3663" s="4">
        <v>0.29577464788732394</v>
      </c>
    </row>
    <row r="3664" spans="1:14" x14ac:dyDescent="0.3">
      <c r="A3664" s="6">
        <v>45919</v>
      </c>
      <c r="B3664" s="1" t="s">
        <v>3848</v>
      </c>
      <c r="C3664" s="1" t="s">
        <v>27</v>
      </c>
      <c r="D3664" t="s">
        <v>34</v>
      </c>
      <c r="E3664" t="s">
        <v>208</v>
      </c>
      <c r="F3664" t="s">
        <v>14</v>
      </c>
      <c r="G3664" t="s">
        <v>15</v>
      </c>
      <c r="H3664" s="3">
        <v>6</v>
      </c>
      <c r="I3664" s="3">
        <v>64350</v>
      </c>
      <c r="J3664" s="3">
        <v>386100</v>
      </c>
      <c r="K3664" s="3">
        <v>45000</v>
      </c>
      <c r="L3664" s="3">
        <v>270000</v>
      </c>
      <c r="M3664" s="3">
        <v>116100</v>
      </c>
      <c r="N3664" s="4">
        <v>0.30069930069930068</v>
      </c>
    </row>
    <row r="3665" spans="1:14" x14ac:dyDescent="0.3">
      <c r="A3665" s="6">
        <v>45919</v>
      </c>
      <c r="B3665" s="1" t="s">
        <v>3849</v>
      </c>
      <c r="C3665" s="1" t="s">
        <v>26</v>
      </c>
      <c r="D3665" t="s">
        <v>30</v>
      </c>
      <c r="E3665" t="s">
        <v>157</v>
      </c>
      <c r="F3665" t="s">
        <v>23</v>
      </c>
      <c r="G3665" t="s">
        <v>25</v>
      </c>
      <c r="H3665" s="3">
        <v>4</v>
      </c>
      <c r="I3665" s="3">
        <v>4448</v>
      </c>
      <c r="J3665" s="3">
        <v>17792</v>
      </c>
      <c r="K3665" s="3">
        <v>3200</v>
      </c>
      <c r="L3665" s="3">
        <v>12800</v>
      </c>
      <c r="M3665" s="3">
        <v>4992</v>
      </c>
      <c r="N3665" s="4">
        <v>0.2805755395683453</v>
      </c>
    </row>
    <row r="3666" spans="1:14" x14ac:dyDescent="0.3">
      <c r="A3666" s="6">
        <v>45919</v>
      </c>
      <c r="B3666" s="1" t="s">
        <v>3850</v>
      </c>
      <c r="C3666" s="1" t="s">
        <v>29</v>
      </c>
      <c r="D3666" t="s">
        <v>33</v>
      </c>
      <c r="E3666" t="s">
        <v>159</v>
      </c>
      <c r="F3666" t="s">
        <v>24</v>
      </c>
      <c r="G3666" t="s">
        <v>25</v>
      </c>
      <c r="H3666" s="3">
        <v>10</v>
      </c>
      <c r="I3666" s="3">
        <v>3275</v>
      </c>
      <c r="J3666" s="3">
        <v>32750</v>
      </c>
      <c r="K3666" s="3">
        <v>2500</v>
      </c>
      <c r="L3666" s="3">
        <v>25000</v>
      </c>
      <c r="M3666" s="3">
        <v>7750</v>
      </c>
      <c r="N3666" s="4">
        <v>0.23664122137404581</v>
      </c>
    </row>
    <row r="3667" spans="1:14" x14ac:dyDescent="0.3">
      <c r="A3667" s="6">
        <v>45919</v>
      </c>
      <c r="B3667" s="1" t="s">
        <v>3851</v>
      </c>
      <c r="C3667" s="1" t="s">
        <v>26</v>
      </c>
      <c r="D3667" t="s">
        <v>31</v>
      </c>
      <c r="E3667" t="s">
        <v>149</v>
      </c>
      <c r="F3667" t="s">
        <v>16</v>
      </c>
      <c r="G3667" t="s">
        <v>15</v>
      </c>
      <c r="H3667" s="3">
        <v>1</v>
      </c>
      <c r="I3667" s="3">
        <v>51679.999999999993</v>
      </c>
      <c r="J3667" s="3">
        <v>51679.999999999993</v>
      </c>
      <c r="K3667" s="3">
        <v>38000</v>
      </c>
      <c r="L3667" s="3">
        <v>38000</v>
      </c>
      <c r="M3667" s="3">
        <v>13679.999999999993</v>
      </c>
      <c r="N3667" s="4">
        <v>0.26470588235294107</v>
      </c>
    </row>
    <row r="3668" spans="1:14" x14ac:dyDescent="0.3">
      <c r="A3668" s="6">
        <v>45920</v>
      </c>
      <c r="B3668" s="1" t="s">
        <v>3852</v>
      </c>
      <c r="C3668" s="1" t="s">
        <v>29</v>
      </c>
      <c r="D3668" t="s">
        <v>34</v>
      </c>
      <c r="E3668" t="s">
        <v>157</v>
      </c>
      <c r="F3668" t="s">
        <v>21</v>
      </c>
      <c r="G3668" t="s">
        <v>20</v>
      </c>
      <c r="H3668" s="3">
        <v>1</v>
      </c>
      <c r="I3668" s="3">
        <v>792</v>
      </c>
      <c r="J3668" s="3">
        <v>792</v>
      </c>
      <c r="K3668" s="3">
        <v>600</v>
      </c>
      <c r="L3668" s="3">
        <v>600</v>
      </c>
      <c r="M3668" s="3">
        <v>192</v>
      </c>
      <c r="N3668" s="4">
        <v>0.24242424242424243</v>
      </c>
    </row>
    <row r="3669" spans="1:14" x14ac:dyDescent="0.3">
      <c r="A3669" s="6">
        <v>45920</v>
      </c>
      <c r="B3669" s="1" t="s">
        <v>3853</v>
      </c>
      <c r="C3669" s="1" t="s">
        <v>27</v>
      </c>
      <c r="D3669" t="s">
        <v>30</v>
      </c>
      <c r="E3669" t="s">
        <v>196</v>
      </c>
      <c r="F3669" t="s">
        <v>23</v>
      </c>
      <c r="G3669" t="s">
        <v>25</v>
      </c>
      <c r="H3669" s="3">
        <v>5</v>
      </c>
      <c r="I3669" s="3">
        <v>4288</v>
      </c>
      <c r="J3669" s="3">
        <v>21440</v>
      </c>
      <c r="K3669" s="3">
        <v>3200</v>
      </c>
      <c r="L3669" s="3">
        <v>16000</v>
      </c>
      <c r="M3669" s="3">
        <v>5440</v>
      </c>
      <c r="N3669" s="4">
        <v>0.2537313432835821</v>
      </c>
    </row>
    <row r="3670" spans="1:14" x14ac:dyDescent="0.3">
      <c r="A3670" s="6">
        <v>45920</v>
      </c>
      <c r="B3670" s="1" t="s">
        <v>3854</v>
      </c>
      <c r="C3670" s="1" t="s">
        <v>28</v>
      </c>
      <c r="D3670" t="s">
        <v>33</v>
      </c>
      <c r="E3670" t="s">
        <v>208</v>
      </c>
      <c r="F3670" t="s">
        <v>22</v>
      </c>
      <c r="G3670" t="s">
        <v>18</v>
      </c>
      <c r="H3670" s="3">
        <v>6</v>
      </c>
      <c r="I3670" s="3">
        <v>9310</v>
      </c>
      <c r="J3670" s="3">
        <v>55860</v>
      </c>
      <c r="K3670" s="3">
        <v>7000</v>
      </c>
      <c r="L3670" s="3">
        <v>42000</v>
      </c>
      <c r="M3670" s="3">
        <v>13860</v>
      </c>
      <c r="N3670" s="4">
        <v>0.24812030075187969</v>
      </c>
    </row>
    <row r="3671" spans="1:14" x14ac:dyDescent="0.3">
      <c r="A3671" s="6">
        <v>45920</v>
      </c>
      <c r="B3671" s="1" t="s">
        <v>3855</v>
      </c>
      <c r="C3671" s="1" t="s">
        <v>26</v>
      </c>
      <c r="D3671" t="s">
        <v>33</v>
      </c>
      <c r="E3671" t="s">
        <v>175</v>
      </c>
      <c r="F3671" t="s">
        <v>14</v>
      </c>
      <c r="G3671" t="s">
        <v>15</v>
      </c>
      <c r="H3671" s="3">
        <v>9</v>
      </c>
      <c r="I3671" s="3">
        <v>59400</v>
      </c>
      <c r="J3671" s="3">
        <v>534600</v>
      </c>
      <c r="K3671" s="3">
        <v>45000</v>
      </c>
      <c r="L3671" s="3">
        <v>405000</v>
      </c>
      <c r="M3671" s="3">
        <v>129600</v>
      </c>
      <c r="N3671" s="4">
        <v>0.24242424242424243</v>
      </c>
    </row>
    <row r="3672" spans="1:14" x14ac:dyDescent="0.3">
      <c r="A3672" s="6">
        <v>45920</v>
      </c>
      <c r="B3672" s="1" t="s">
        <v>3856</v>
      </c>
      <c r="C3672" s="1" t="s">
        <v>28</v>
      </c>
      <c r="D3672" t="s">
        <v>33</v>
      </c>
      <c r="E3672" t="s">
        <v>273</v>
      </c>
      <c r="F3672" t="s">
        <v>14</v>
      </c>
      <c r="G3672" t="s">
        <v>15</v>
      </c>
      <c r="H3672" s="3">
        <v>9</v>
      </c>
      <c r="I3672" s="3">
        <v>58500</v>
      </c>
      <c r="J3672" s="3">
        <v>526500</v>
      </c>
      <c r="K3672" s="3">
        <v>45000</v>
      </c>
      <c r="L3672" s="3">
        <v>405000</v>
      </c>
      <c r="M3672" s="3">
        <v>121500</v>
      </c>
      <c r="N3672" s="4">
        <v>0.23076923076923078</v>
      </c>
    </row>
    <row r="3673" spans="1:14" x14ac:dyDescent="0.3">
      <c r="A3673" s="6">
        <v>45920</v>
      </c>
      <c r="B3673" s="1" t="s">
        <v>3857</v>
      </c>
      <c r="C3673" s="1" t="s">
        <v>29</v>
      </c>
      <c r="D3673" t="s">
        <v>33</v>
      </c>
      <c r="E3673" t="s">
        <v>336</v>
      </c>
      <c r="F3673" t="s">
        <v>17</v>
      </c>
      <c r="G3673" t="s">
        <v>18</v>
      </c>
      <c r="H3673" s="3">
        <v>1</v>
      </c>
      <c r="I3673" s="3">
        <v>11559.999999999998</v>
      </c>
      <c r="J3673" s="3">
        <v>11559.999999999998</v>
      </c>
      <c r="K3673" s="3">
        <v>8500</v>
      </c>
      <c r="L3673" s="3">
        <v>8500</v>
      </c>
      <c r="M3673" s="3">
        <v>3059.9999999999982</v>
      </c>
      <c r="N3673" s="4">
        <v>0.26470588235294107</v>
      </c>
    </row>
    <row r="3674" spans="1:14" x14ac:dyDescent="0.3">
      <c r="A3674" s="6">
        <v>45920</v>
      </c>
      <c r="B3674" s="1" t="s">
        <v>3858</v>
      </c>
      <c r="C3674" s="1" t="s">
        <v>26</v>
      </c>
      <c r="D3674" t="s">
        <v>35</v>
      </c>
      <c r="E3674" t="s">
        <v>147</v>
      </c>
      <c r="F3674" t="s">
        <v>24</v>
      </c>
      <c r="G3674" t="s">
        <v>25</v>
      </c>
      <c r="H3674" s="3">
        <v>7</v>
      </c>
      <c r="I3674" s="3">
        <v>3575</v>
      </c>
      <c r="J3674" s="3">
        <v>25025</v>
      </c>
      <c r="K3674" s="3">
        <v>2500</v>
      </c>
      <c r="L3674" s="3">
        <v>17500</v>
      </c>
      <c r="M3674" s="3">
        <v>7525</v>
      </c>
      <c r="N3674" s="4">
        <v>0.30069930069930068</v>
      </c>
    </row>
    <row r="3675" spans="1:14" x14ac:dyDescent="0.3">
      <c r="A3675" s="6">
        <v>45920</v>
      </c>
      <c r="B3675" s="1" t="s">
        <v>3859</v>
      </c>
      <c r="C3675" s="1" t="s">
        <v>26</v>
      </c>
      <c r="D3675" t="s">
        <v>30</v>
      </c>
      <c r="E3675" t="s">
        <v>521</v>
      </c>
      <c r="F3675" t="s">
        <v>22</v>
      </c>
      <c r="G3675" t="s">
        <v>18</v>
      </c>
      <c r="H3675" s="3">
        <v>8</v>
      </c>
      <c r="I3675" s="3">
        <v>8820</v>
      </c>
      <c r="J3675" s="3">
        <v>70560</v>
      </c>
      <c r="K3675" s="3">
        <v>7000</v>
      </c>
      <c r="L3675" s="3">
        <v>56000</v>
      </c>
      <c r="M3675" s="3">
        <v>14560</v>
      </c>
      <c r="N3675" s="4">
        <v>0.20634920634920634</v>
      </c>
    </row>
    <row r="3676" spans="1:14" x14ac:dyDescent="0.3">
      <c r="A3676" s="6">
        <v>45920</v>
      </c>
      <c r="B3676" s="1" t="s">
        <v>3860</v>
      </c>
      <c r="C3676" s="1" t="s">
        <v>27</v>
      </c>
      <c r="D3676" t="s">
        <v>33</v>
      </c>
      <c r="E3676" t="s">
        <v>175</v>
      </c>
      <c r="F3676" t="s">
        <v>17</v>
      </c>
      <c r="G3676" t="s">
        <v>18</v>
      </c>
      <c r="H3676" s="3">
        <v>1</v>
      </c>
      <c r="I3676" s="3">
        <v>11220</v>
      </c>
      <c r="J3676" s="3">
        <v>11220</v>
      </c>
      <c r="K3676" s="3">
        <v>8500</v>
      </c>
      <c r="L3676" s="3">
        <v>8500</v>
      </c>
      <c r="M3676" s="3">
        <v>2720</v>
      </c>
      <c r="N3676" s="4">
        <v>0.24242424242424243</v>
      </c>
    </row>
    <row r="3677" spans="1:14" x14ac:dyDescent="0.3">
      <c r="A3677" s="6">
        <v>45920</v>
      </c>
      <c r="B3677" s="1" t="s">
        <v>3861</v>
      </c>
      <c r="C3677" s="1" t="s">
        <v>28</v>
      </c>
      <c r="D3677" t="s">
        <v>31</v>
      </c>
      <c r="E3677" t="s">
        <v>63</v>
      </c>
      <c r="F3677" t="s">
        <v>21</v>
      </c>
      <c r="G3677" t="s">
        <v>20</v>
      </c>
      <c r="H3677" s="3">
        <v>2</v>
      </c>
      <c r="I3677" s="3">
        <v>726</v>
      </c>
      <c r="J3677" s="3">
        <v>1452</v>
      </c>
      <c r="K3677" s="3">
        <v>600</v>
      </c>
      <c r="L3677" s="3">
        <v>1200</v>
      </c>
      <c r="M3677" s="3">
        <v>252</v>
      </c>
      <c r="N3677" s="4">
        <v>0.17355371900826447</v>
      </c>
    </row>
    <row r="3678" spans="1:14" x14ac:dyDescent="0.3">
      <c r="A3678" s="6">
        <v>45920</v>
      </c>
      <c r="B3678" s="1" t="s">
        <v>3862</v>
      </c>
      <c r="C3678" s="1" t="s">
        <v>26</v>
      </c>
      <c r="D3678" t="s">
        <v>34</v>
      </c>
      <c r="E3678" t="s">
        <v>431</v>
      </c>
      <c r="F3678" t="s">
        <v>16</v>
      </c>
      <c r="G3678" t="s">
        <v>15</v>
      </c>
      <c r="H3678" s="3">
        <v>7</v>
      </c>
      <c r="I3678" s="3">
        <v>50540</v>
      </c>
      <c r="J3678" s="3">
        <v>353780</v>
      </c>
      <c r="K3678" s="3">
        <v>38000</v>
      </c>
      <c r="L3678" s="3">
        <v>266000</v>
      </c>
      <c r="M3678" s="3">
        <v>87780</v>
      </c>
      <c r="N3678" s="4">
        <v>0.24812030075187969</v>
      </c>
    </row>
    <row r="3679" spans="1:14" x14ac:dyDescent="0.3">
      <c r="A3679" s="6">
        <v>45920</v>
      </c>
      <c r="B3679" s="1" t="s">
        <v>3863</v>
      </c>
      <c r="C3679" s="1" t="s">
        <v>27</v>
      </c>
      <c r="D3679" t="s">
        <v>34</v>
      </c>
      <c r="E3679" t="s">
        <v>39</v>
      </c>
      <c r="F3679" t="s">
        <v>24</v>
      </c>
      <c r="G3679" t="s">
        <v>25</v>
      </c>
      <c r="H3679" s="3">
        <v>5</v>
      </c>
      <c r="I3679" s="3">
        <v>3300</v>
      </c>
      <c r="J3679" s="3">
        <v>16500</v>
      </c>
      <c r="K3679" s="3">
        <v>2500</v>
      </c>
      <c r="L3679" s="3">
        <v>12500</v>
      </c>
      <c r="M3679" s="3">
        <v>4000</v>
      </c>
      <c r="N3679" s="4">
        <v>0.24242424242424243</v>
      </c>
    </row>
    <row r="3680" spans="1:14" x14ac:dyDescent="0.3">
      <c r="A3680" s="6">
        <v>45920</v>
      </c>
      <c r="B3680" s="1" t="s">
        <v>3864</v>
      </c>
      <c r="C3680" s="1" t="s">
        <v>29</v>
      </c>
      <c r="D3680" t="s">
        <v>31</v>
      </c>
      <c r="E3680" t="s">
        <v>180</v>
      </c>
      <c r="F3680" t="s">
        <v>16</v>
      </c>
      <c r="G3680" t="s">
        <v>15</v>
      </c>
      <c r="H3680" s="3">
        <v>7</v>
      </c>
      <c r="I3680" s="3">
        <v>47120</v>
      </c>
      <c r="J3680" s="3">
        <v>329840</v>
      </c>
      <c r="K3680" s="3">
        <v>38000</v>
      </c>
      <c r="L3680" s="3">
        <v>266000</v>
      </c>
      <c r="M3680" s="3">
        <v>63840</v>
      </c>
      <c r="N3680" s="4">
        <v>0.19354838709677419</v>
      </c>
    </row>
    <row r="3681" spans="1:14" x14ac:dyDescent="0.3">
      <c r="A3681" s="6">
        <v>45920</v>
      </c>
      <c r="B3681" s="1" t="s">
        <v>3865</v>
      </c>
      <c r="C3681" s="1" t="s">
        <v>27</v>
      </c>
      <c r="D3681" t="s">
        <v>31</v>
      </c>
      <c r="E3681" t="s">
        <v>76</v>
      </c>
      <c r="F3681" t="s">
        <v>17</v>
      </c>
      <c r="G3681" t="s">
        <v>18</v>
      </c>
      <c r="H3681" s="3">
        <v>6</v>
      </c>
      <c r="I3681" s="3">
        <v>12240</v>
      </c>
      <c r="J3681" s="3">
        <v>73440</v>
      </c>
      <c r="K3681" s="3">
        <v>8500</v>
      </c>
      <c r="L3681" s="3">
        <v>51000</v>
      </c>
      <c r="M3681" s="3">
        <v>22440</v>
      </c>
      <c r="N3681" s="4">
        <v>0.30555555555555558</v>
      </c>
    </row>
    <row r="3682" spans="1:14" x14ac:dyDescent="0.3">
      <c r="A3682" s="6">
        <v>45921</v>
      </c>
      <c r="B3682" s="1" t="s">
        <v>3866</v>
      </c>
      <c r="C3682" s="1" t="s">
        <v>27</v>
      </c>
      <c r="D3682" t="s">
        <v>35</v>
      </c>
      <c r="E3682" t="s">
        <v>110</v>
      </c>
      <c r="F3682" t="s">
        <v>23</v>
      </c>
      <c r="G3682" t="s">
        <v>25</v>
      </c>
      <c r="H3682" s="3">
        <v>4</v>
      </c>
      <c r="I3682" s="3">
        <v>4416</v>
      </c>
      <c r="J3682" s="3">
        <v>17664</v>
      </c>
      <c r="K3682" s="3">
        <v>3200</v>
      </c>
      <c r="L3682" s="3">
        <v>12800</v>
      </c>
      <c r="M3682" s="3">
        <v>4864</v>
      </c>
      <c r="N3682" s="4">
        <v>0.27536231884057971</v>
      </c>
    </row>
    <row r="3683" spans="1:14" x14ac:dyDescent="0.3">
      <c r="A3683" s="6">
        <v>45921</v>
      </c>
      <c r="B3683" s="1" t="s">
        <v>3867</v>
      </c>
      <c r="C3683" s="1" t="s">
        <v>29</v>
      </c>
      <c r="D3683" t="s">
        <v>30</v>
      </c>
      <c r="E3683" t="s">
        <v>149</v>
      </c>
      <c r="F3683" t="s">
        <v>23</v>
      </c>
      <c r="G3683" t="s">
        <v>25</v>
      </c>
      <c r="H3683" s="3">
        <v>3</v>
      </c>
      <c r="I3683" s="3">
        <v>4192</v>
      </c>
      <c r="J3683" s="3">
        <v>12576</v>
      </c>
      <c r="K3683" s="3">
        <v>3200</v>
      </c>
      <c r="L3683" s="3">
        <v>9600</v>
      </c>
      <c r="M3683" s="3">
        <v>2976</v>
      </c>
      <c r="N3683" s="4">
        <v>0.23664122137404581</v>
      </c>
    </row>
    <row r="3684" spans="1:14" x14ac:dyDescent="0.3">
      <c r="A3684" s="6">
        <v>45921</v>
      </c>
      <c r="B3684" s="1" t="s">
        <v>3868</v>
      </c>
      <c r="C3684" s="1" t="s">
        <v>29</v>
      </c>
      <c r="D3684" t="s">
        <v>33</v>
      </c>
      <c r="E3684" t="s">
        <v>275</v>
      </c>
      <c r="F3684" t="s">
        <v>21</v>
      </c>
      <c r="G3684" t="s">
        <v>20</v>
      </c>
      <c r="H3684" s="3">
        <v>9</v>
      </c>
      <c r="I3684" s="3">
        <v>720</v>
      </c>
      <c r="J3684" s="3">
        <v>6480</v>
      </c>
      <c r="K3684" s="3">
        <v>600</v>
      </c>
      <c r="L3684" s="3">
        <v>5400</v>
      </c>
      <c r="M3684" s="3">
        <v>1080</v>
      </c>
      <c r="N3684" s="4">
        <v>0.16666666666666666</v>
      </c>
    </row>
    <row r="3685" spans="1:14" x14ac:dyDescent="0.3">
      <c r="A3685" s="6">
        <v>45921</v>
      </c>
      <c r="B3685" s="1" t="s">
        <v>3869</v>
      </c>
      <c r="C3685" s="1" t="s">
        <v>29</v>
      </c>
      <c r="D3685" t="s">
        <v>30</v>
      </c>
      <c r="E3685" t="s">
        <v>43</v>
      </c>
      <c r="F3685" t="s">
        <v>16</v>
      </c>
      <c r="G3685" t="s">
        <v>15</v>
      </c>
      <c r="H3685" s="3">
        <v>2</v>
      </c>
      <c r="I3685" s="3">
        <v>47880</v>
      </c>
      <c r="J3685" s="3">
        <v>95760</v>
      </c>
      <c r="K3685" s="3">
        <v>38000</v>
      </c>
      <c r="L3685" s="3">
        <v>76000</v>
      </c>
      <c r="M3685" s="3">
        <v>19760</v>
      </c>
      <c r="N3685" s="4">
        <v>0.20634920634920634</v>
      </c>
    </row>
    <row r="3686" spans="1:14" x14ac:dyDescent="0.3">
      <c r="A3686" s="6">
        <v>45921</v>
      </c>
      <c r="B3686" s="1" t="s">
        <v>3870</v>
      </c>
      <c r="C3686" s="1" t="s">
        <v>27</v>
      </c>
      <c r="D3686" t="s">
        <v>33</v>
      </c>
      <c r="E3686" t="s">
        <v>935</v>
      </c>
      <c r="F3686" t="s">
        <v>24</v>
      </c>
      <c r="G3686" t="s">
        <v>25</v>
      </c>
      <c r="H3686" s="3">
        <v>7</v>
      </c>
      <c r="I3686" s="3">
        <v>3200</v>
      </c>
      <c r="J3686" s="3">
        <v>22400</v>
      </c>
      <c r="K3686" s="3">
        <v>2500</v>
      </c>
      <c r="L3686" s="3">
        <v>17500</v>
      </c>
      <c r="M3686" s="3">
        <v>4900</v>
      </c>
      <c r="N3686" s="4">
        <v>0.21875</v>
      </c>
    </row>
    <row r="3687" spans="1:14" x14ac:dyDescent="0.3">
      <c r="A3687" s="6">
        <v>45921</v>
      </c>
      <c r="B3687" s="1" t="s">
        <v>3871</v>
      </c>
      <c r="C3687" s="1" t="s">
        <v>26</v>
      </c>
      <c r="D3687" t="s">
        <v>30</v>
      </c>
      <c r="E3687" t="s">
        <v>189</v>
      </c>
      <c r="F3687" t="s">
        <v>21</v>
      </c>
      <c r="G3687" t="s">
        <v>20</v>
      </c>
      <c r="H3687" s="3">
        <v>7</v>
      </c>
      <c r="I3687" s="3">
        <v>810</v>
      </c>
      <c r="J3687" s="3">
        <v>5670</v>
      </c>
      <c r="K3687" s="3">
        <v>600</v>
      </c>
      <c r="L3687" s="3">
        <v>4200</v>
      </c>
      <c r="M3687" s="3">
        <v>1470</v>
      </c>
      <c r="N3687" s="4">
        <v>0.25925925925925924</v>
      </c>
    </row>
    <row r="3688" spans="1:14" x14ac:dyDescent="0.3">
      <c r="A3688" s="6">
        <v>45921</v>
      </c>
      <c r="B3688" s="1" t="s">
        <v>3872</v>
      </c>
      <c r="C3688" s="1" t="s">
        <v>27</v>
      </c>
      <c r="D3688" t="s">
        <v>33</v>
      </c>
      <c r="E3688" t="s">
        <v>157</v>
      </c>
      <c r="F3688" t="s">
        <v>19</v>
      </c>
      <c r="G3688" t="s">
        <v>20</v>
      </c>
      <c r="H3688" s="3">
        <v>5</v>
      </c>
      <c r="I3688" s="3">
        <v>1278</v>
      </c>
      <c r="J3688" s="3">
        <v>6390</v>
      </c>
      <c r="K3688" s="3">
        <v>900</v>
      </c>
      <c r="L3688" s="3">
        <v>4500</v>
      </c>
      <c r="M3688" s="3">
        <v>1890</v>
      </c>
      <c r="N3688" s="4">
        <v>0.29577464788732394</v>
      </c>
    </row>
    <row r="3689" spans="1:14" x14ac:dyDescent="0.3">
      <c r="A3689" s="6">
        <v>45921</v>
      </c>
      <c r="B3689" s="1" t="s">
        <v>3873</v>
      </c>
      <c r="C3689" s="1" t="s">
        <v>26</v>
      </c>
      <c r="D3689" t="s">
        <v>32</v>
      </c>
      <c r="E3689" t="s">
        <v>129</v>
      </c>
      <c r="F3689" t="s">
        <v>24</v>
      </c>
      <c r="G3689" t="s">
        <v>25</v>
      </c>
      <c r="H3689" s="3">
        <v>5</v>
      </c>
      <c r="I3689" s="3">
        <v>3050</v>
      </c>
      <c r="J3689" s="3">
        <v>15250</v>
      </c>
      <c r="K3689" s="3">
        <v>2500</v>
      </c>
      <c r="L3689" s="3">
        <v>12500</v>
      </c>
      <c r="M3689" s="3">
        <v>2750</v>
      </c>
      <c r="N3689" s="4">
        <v>0.18032786885245902</v>
      </c>
    </row>
    <row r="3690" spans="1:14" x14ac:dyDescent="0.3">
      <c r="A3690" s="6">
        <v>45921</v>
      </c>
      <c r="B3690" s="1" t="s">
        <v>3874</v>
      </c>
      <c r="C3690" s="1" t="s">
        <v>27</v>
      </c>
      <c r="D3690" t="s">
        <v>35</v>
      </c>
      <c r="E3690" t="s">
        <v>69</v>
      </c>
      <c r="F3690" t="s">
        <v>14</v>
      </c>
      <c r="G3690" t="s">
        <v>15</v>
      </c>
      <c r="H3690" s="3">
        <v>1</v>
      </c>
      <c r="I3690" s="3">
        <v>62099.999999999993</v>
      </c>
      <c r="J3690" s="3">
        <v>62099.999999999993</v>
      </c>
      <c r="K3690" s="3">
        <v>45000</v>
      </c>
      <c r="L3690" s="3">
        <v>45000</v>
      </c>
      <c r="M3690" s="3">
        <v>17099.999999999993</v>
      </c>
      <c r="N3690" s="4">
        <v>0.2753623188405796</v>
      </c>
    </row>
    <row r="3691" spans="1:14" x14ac:dyDescent="0.3">
      <c r="A3691" s="6">
        <v>45921</v>
      </c>
      <c r="B3691" s="1" t="s">
        <v>3875</v>
      </c>
      <c r="C3691" s="1" t="s">
        <v>26</v>
      </c>
      <c r="D3691" t="s">
        <v>31</v>
      </c>
      <c r="E3691" t="s">
        <v>149</v>
      </c>
      <c r="F3691" t="s">
        <v>17</v>
      </c>
      <c r="G3691" t="s">
        <v>18</v>
      </c>
      <c r="H3691" s="3">
        <v>5</v>
      </c>
      <c r="I3691" s="3">
        <v>10965</v>
      </c>
      <c r="J3691" s="3">
        <v>54825</v>
      </c>
      <c r="K3691" s="3">
        <v>8500</v>
      </c>
      <c r="L3691" s="3">
        <v>42500</v>
      </c>
      <c r="M3691" s="3">
        <v>12325</v>
      </c>
      <c r="N3691" s="4">
        <v>0.22480620155038761</v>
      </c>
    </row>
    <row r="3692" spans="1:14" x14ac:dyDescent="0.3">
      <c r="A3692" s="6">
        <v>45921</v>
      </c>
      <c r="B3692" s="1" t="s">
        <v>3876</v>
      </c>
      <c r="C3692" s="1" t="s">
        <v>26</v>
      </c>
      <c r="D3692" t="s">
        <v>31</v>
      </c>
      <c r="E3692" t="s">
        <v>228</v>
      </c>
      <c r="F3692" t="s">
        <v>14</v>
      </c>
      <c r="G3692" t="s">
        <v>15</v>
      </c>
      <c r="H3692" s="3">
        <v>2</v>
      </c>
      <c r="I3692" s="3">
        <v>58950</v>
      </c>
      <c r="J3692" s="3">
        <v>117900</v>
      </c>
      <c r="K3692" s="3">
        <v>45000</v>
      </c>
      <c r="L3692" s="3">
        <v>90000</v>
      </c>
      <c r="M3692" s="3">
        <v>27900</v>
      </c>
      <c r="N3692" s="4">
        <v>0.23664122137404581</v>
      </c>
    </row>
    <row r="3693" spans="1:14" x14ac:dyDescent="0.3">
      <c r="A3693" s="6">
        <v>45921</v>
      </c>
      <c r="B3693" s="1" t="s">
        <v>3877</v>
      </c>
      <c r="C3693" s="1" t="s">
        <v>26</v>
      </c>
      <c r="D3693" t="s">
        <v>31</v>
      </c>
      <c r="E3693" t="s">
        <v>304</v>
      </c>
      <c r="F3693" t="s">
        <v>14</v>
      </c>
      <c r="G3693" t="s">
        <v>15</v>
      </c>
      <c r="H3693" s="3">
        <v>4</v>
      </c>
      <c r="I3693" s="3">
        <v>57150</v>
      </c>
      <c r="J3693" s="3">
        <v>228600</v>
      </c>
      <c r="K3693" s="3">
        <v>45000</v>
      </c>
      <c r="L3693" s="3">
        <v>180000</v>
      </c>
      <c r="M3693" s="3">
        <v>48600</v>
      </c>
      <c r="N3693" s="4">
        <v>0.2125984251968504</v>
      </c>
    </row>
    <row r="3694" spans="1:14" x14ac:dyDescent="0.3">
      <c r="A3694" s="6">
        <v>45921</v>
      </c>
      <c r="B3694" s="1" t="s">
        <v>3878</v>
      </c>
      <c r="C3694" s="1" t="s">
        <v>26</v>
      </c>
      <c r="D3694" t="s">
        <v>31</v>
      </c>
      <c r="E3694" t="s">
        <v>371</v>
      </c>
      <c r="F3694" t="s">
        <v>16</v>
      </c>
      <c r="G3694" t="s">
        <v>15</v>
      </c>
      <c r="H3694" s="3">
        <v>2</v>
      </c>
      <c r="I3694" s="3">
        <v>48640</v>
      </c>
      <c r="J3694" s="3">
        <v>97280</v>
      </c>
      <c r="K3694" s="3">
        <v>38000</v>
      </c>
      <c r="L3694" s="3">
        <v>76000</v>
      </c>
      <c r="M3694" s="3">
        <v>21280</v>
      </c>
      <c r="N3694" s="4">
        <v>0.21875</v>
      </c>
    </row>
    <row r="3695" spans="1:14" x14ac:dyDescent="0.3">
      <c r="A3695" s="6">
        <v>45921</v>
      </c>
      <c r="B3695" s="1" t="s">
        <v>3879</v>
      </c>
      <c r="C3695" s="1" t="s">
        <v>26</v>
      </c>
      <c r="D3695" t="s">
        <v>32</v>
      </c>
      <c r="E3695" t="s">
        <v>134</v>
      </c>
      <c r="F3695" t="s">
        <v>24</v>
      </c>
      <c r="G3695" t="s">
        <v>25</v>
      </c>
      <c r="H3695" s="3">
        <v>7</v>
      </c>
      <c r="I3695" s="3">
        <v>3175</v>
      </c>
      <c r="J3695" s="3">
        <v>22225</v>
      </c>
      <c r="K3695" s="3">
        <v>2500</v>
      </c>
      <c r="L3695" s="3">
        <v>17500</v>
      </c>
      <c r="M3695" s="3">
        <v>4725</v>
      </c>
      <c r="N3695" s="4">
        <v>0.2125984251968504</v>
      </c>
    </row>
    <row r="3696" spans="1:14" x14ac:dyDescent="0.3">
      <c r="A3696" s="6">
        <v>45922</v>
      </c>
      <c r="B3696" s="1" t="s">
        <v>3880</v>
      </c>
      <c r="C3696" s="1" t="s">
        <v>28</v>
      </c>
      <c r="D3696" t="s">
        <v>33</v>
      </c>
      <c r="E3696" t="s">
        <v>161</v>
      </c>
      <c r="F3696" t="s">
        <v>14</v>
      </c>
      <c r="G3696" t="s">
        <v>15</v>
      </c>
      <c r="H3696" s="3">
        <v>3</v>
      </c>
      <c r="I3696" s="3">
        <v>62999.999999999993</v>
      </c>
      <c r="J3696" s="3">
        <v>188999.99999999997</v>
      </c>
      <c r="K3696" s="3">
        <v>45000</v>
      </c>
      <c r="L3696" s="3">
        <v>135000</v>
      </c>
      <c r="M3696" s="3">
        <v>53999.999999999971</v>
      </c>
      <c r="N3696" s="4">
        <v>0.28571428571428559</v>
      </c>
    </row>
    <row r="3697" spans="1:14" x14ac:dyDescent="0.3">
      <c r="A3697" s="6">
        <v>45922</v>
      </c>
      <c r="B3697" s="1" t="s">
        <v>3881</v>
      </c>
      <c r="C3697" s="1" t="s">
        <v>26</v>
      </c>
      <c r="D3697" t="s">
        <v>32</v>
      </c>
      <c r="E3697" t="s">
        <v>166</v>
      </c>
      <c r="F3697" t="s">
        <v>21</v>
      </c>
      <c r="G3697" t="s">
        <v>20</v>
      </c>
      <c r="H3697" s="3">
        <v>9</v>
      </c>
      <c r="I3697" s="3">
        <v>810</v>
      </c>
      <c r="J3697" s="3">
        <v>7290</v>
      </c>
      <c r="K3697" s="3">
        <v>600</v>
      </c>
      <c r="L3697" s="3">
        <v>5400</v>
      </c>
      <c r="M3697" s="3">
        <v>1890</v>
      </c>
      <c r="N3697" s="4">
        <v>0.25925925925925924</v>
      </c>
    </row>
    <row r="3698" spans="1:14" x14ac:dyDescent="0.3">
      <c r="A3698" s="6">
        <v>45922</v>
      </c>
      <c r="B3698" s="1" t="s">
        <v>3882</v>
      </c>
      <c r="C3698" s="1" t="s">
        <v>28</v>
      </c>
      <c r="D3698" t="s">
        <v>35</v>
      </c>
      <c r="E3698" t="s">
        <v>189</v>
      </c>
      <c r="F3698" t="s">
        <v>23</v>
      </c>
      <c r="G3698" t="s">
        <v>25</v>
      </c>
      <c r="H3698" s="3">
        <v>2</v>
      </c>
      <c r="I3698" s="3">
        <v>4640</v>
      </c>
      <c r="J3698" s="3">
        <v>9280</v>
      </c>
      <c r="K3698" s="3">
        <v>3200</v>
      </c>
      <c r="L3698" s="3">
        <v>6400</v>
      </c>
      <c r="M3698" s="3">
        <v>2880</v>
      </c>
      <c r="N3698" s="4">
        <v>0.31034482758620691</v>
      </c>
    </row>
    <row r="3699" spans="1:14" x14ac:dyDescent="0.3">
      <c r="A3699" s="6">
        <v>45922</v>
      </c>
      <c r="B3699" s="1" t="s">
        <v>3883</v>
      </c>
      <c r="C3699" s="1" t="s">
        <v>27</v>
      </c>
      <c r="D3699" t="s">
        <v>31</v>
      </c>
      <c r="E3699" t="s">
        <v>436</v>
      </c>
      <c r="F3699" t="s">
        <v>23</v>
      </c>
      <c r="G3699" t="s">
        <v>25</v>
      </c>
      <c r="H3699" s="3">
        <v>4</v>
      </c>
      <c r="I3699" s="3">
        <v>4096</v>
      </c>
      <c r="J3699" s="3">
        <v>16384</v>
      </c>
      <c r="K3699" s="3">
        <v>3200</v>
      </c>
      <c r="L3699" s="3">
        <v>12800</v>
      </c>
      <c r="M3699" s="3">
        <v>3584</v>
      </c>
      <c r="N3699" s="4">
        <v>0.21875</v>
      </c>
    </row>
    <row r="3700" spans="1:14" x14ac:dyDescent="0.3">
      <c r="A3700" s="6">
        <v>45922</v>
      </c>
      <c r="B3700" s="1" t="s">
        <v>3884</v>
      </c>
      <c r="C3700" s="1" t="s">
        <v>26</v>
      </c>
      <c r="D3700" t="s">
        <v>30</v>
      </c>
      <c r="E3700" t="s">
        <v>169</v>
      </c>
      <c r="F3700" t="s">
        <v>16</v>
      </c>
      <c r="G3700" t="s">
        <v>15</v>
      </c>
      <c r="H3700" s="3">
        <v>8</v>
      </c>
      <c r="I3700" s="3">
        <v>48640</v>
      </c>
      <c r="J3700" s="3">
        <v>389120</v>
      </c>
      <c r="K3700" s="3">
        <v>38000</v>
      </c>
      <c r="L3700" s="3">
        <v>304000</v>
      </c>
      <c r="M3700" s="3">
        <v>85120</v>
      </c>
      <c r="N3700" s="4">
        <v>0.21875</v>
      </c>
    </row>
    <row r="3701" spans="1:14" x14ac:dyDescent="0.3">
      <c r="A3701" s="6">
        <v>45922</v>
      </c>
      <c r="B3701" s="1" t="s">
        <v>3885</v>
      </c>
      <c r="C3701" s="1" t="s">
        <v>28</v>
      </c>
      <c r="D3701" t="s">
        <v>32</v>
      </c>
      <c r="E3701" t="s">
        <v>137</v>
      </c>
      <c r="F3701" t="s">
        <v>14</v>
      </c>
      <c r="G3701" t="s">
        <v>15</v>
      </c>
      <c r="H3701" s="3">
        <v>4</v>
      </c>
      <c r="I3701" s="3">
        <v>58500</v>
      </c>
      <c r="J3701" s="3">
        <v>234000</v>
      </c>
      <c r="K3701" s="3">
        <v>45000</v>
      </c>
      <c r="L3701" s="3">
        <v>180000</v>
      </c>
      <c r="M3701" s="3">
        <v>54000</v>
      </c>
      <c r="N3701" s="4">
        <v>0.23076923076923078</v>
      </c>
    </row>
    <row r="3702" spans="1:14" x14ac:dyDescent="0.3">
      <c r="A3702" s="6">
        <v>45922</v>
      </c>
      <c r="B3702" s="1" t="s">
        <v>3886</v>
      </c>
      <c r="C3702" s="1" t="s">
        <v>29</v>
      </c>
      <c r="D3702" t="s">
        <v>35</v>
      </c>
      <c r="E3702" t="s">
        <v>110</v>
      </c>
      <c r="F3702" t="s">
        <v>16</v>
      </c>
      <c r="G3702" t="s">
        <v>15</v>
      </c>
      <c r="H3702" s="3">
        <v>9</v>
      </c>
      <c r="I3702" s="3">
        <v>54720</v>
      </c>
      <c r="J3702" s="3">
        <v>492480</v>
      </c>
      <c r="K3702" s="3">
        <v>38000</v>
      </c>
      <c r="L3702" s="3">
        <v>342000</v>
      </c>
      <c r="M3702" s="3">
        <v>150480</v>
      </c>
      <c r="N3702" s="4">
        <v>0.30555555555555558</v>
      </c>
    </row>
    <row r="3703" spans="1:14" x14ac:dyDescent="0.3">
      <c r="A3703" s="6">
        <v>45922</v>
      </c>
      <c r="B3703" s="1" t="s">
        <v>3887</v>
      </c>
      <c r="C3703" s="1" t="s">
        <v>29</v>
      </c>
      <c r="D3703" t="s">
        <v>31</v>
      </c>
      <c r="E3703" t="s">
        <v>57</v>
      </c>
      <c r="F3703" t="s">
        <v>16</v>
      </c>
      <c r="G3703" t="s">
        <v>15</v>
      </c>
      <c r="H3703" s="3">
        <v>7</v>
      </c>
      <c r="I3703" s="3">
        <v>45980</v>
      </c>
      <c r="J3703" s="3">
        <v>321860</v>
      </c>
      <c r="K3703" s="3">
        <v>38000</v>
      </c>
      <c r="L3703" s="3">
        <v>266000</v>
      </c>
      <c r="M3703" s="3">
        <v>55860</v>
      </c>
      <c r="N3703" s="4">
        <v>0.17355371900826447</v>
      </c>
    </row>
    <row r="3704" spans="1:14" x14ac:dyDescent="0.3">
      <c r="A3704" s="6">
        <v>45922</v>
      </c>
      <c r="B3704" s="1" t="s">
        <v>3888</v>
      </c>
      <c r="C3704" s="1" t="s">
        <v>28</v>
      </c>
      <c r="D3704" t="s">
        <v>30</v>
      </c>
      <c r="E3704" t="s">
        <v>49</v>
      </c>
      <c r="F3704" t="s">
        <v>14</v>
      </c>
      <c r="G3704" t="s">
        <v>15</v>
      </c>
      <c r="H3704" s="3">
        <v>9</v>
      </c>
      <c r="I3704" s="3">
        <v>55350</v>
      </c>
      <c r="J3704" s="3">
        <v>498150</v>
      </c>
      <c r="K3704" s="3">
        <v>45000</v>
      </c>
      <c r="L3704" s="3">
        <v>405000</v>
      </c>
      <c r="M3704" s="3">
        <v>93150</v>
      </c>
      <c r="N3704" s="4">
        <v>0.18699186991869918</v>
      </c>
    </row>
    <row r="3705" spans="1:14" x14ac:dyDescent="0.3">
      <c r="A3705" s="6">
        <v>45922</v>
      </c>
      <c r="B3705" s="1" t="s">
        <v>3889</v>
      </c>
      <c r="C3705" s="1" t="s">
        <v>29</v>
      </c>
      <c r="D3705" t="s">
        <v>31</v>
      </c>
      <c r="E3705" t="s">
        <v>72</v>
      </c>
      <c r="F3705" t="s">
        <v>21</v>
      </c>
      <c r="G3705" t="s">
        <v>20</v>
      </c>
      <c r="H3705" s="3">
        <v>10</v>
      </c>
      <c r="I3705" s="3">
        <v>726</v>
      </c>
      <c r="J3705" s="3">
        <v>7260</v>
      </c>
      <c r="K3705" s="3">
        <v>600</v>
      </c>
      <c r="L3705" s="3">
        <v>6000</v>
      </c>
      <c r="M3705" s="3">
        <v>1260</v>
      </c>
      <c r="N3705" s="4">
        <v>0.17355371900826447</v>
      </c>
    </row>
    <row r="3706" spans="1:14" x14ac:dyDescent="0.3">
      <c r="A3706" s="6">
        <v>45922</v>
      </c>
      <c r="B3706" s="1" t="s">
        <v>3890</v>
      </c>
      <c r="C3706" s="1" t="s">
        <v>29</v>
      </c>
      <c r="D3706" t="s">
        <v>31</v>
      </c>
      <c r="E3706" t="s">
        <v>189</v>
      </c>
      <c r="F3706" t="s">
        <v>14</v>
      </c>
      <c r="G3706" t="s">
        <v>15</v>
      </c>
      <c r="H3706" s="3">
        <v>9</v>
      </c>
      <c r="I3706" s="3">
        <v>60750.000000000007</v>
      </c>
      <c r="J3706" s="3">
        <v>546750.00000000012</v>
      </c>
      <c r="K3706" s="3">
        <v>45000</v>
      </c>
      <c r="L3706" s="3">
        <v>405000</v>
      </c>
      <c r="M3706" s="3">
        <v>141750.00000000012</v>
      </c>
      <c r="N3706" s="4">
        <v>0.25925925925925941</v>
      </c>
    </row>
    <row r="3707" spans="1:14" x14ac:dyDescent="0.3">
      <c r="A3707" s="6">
        <v>45922</v>
      </c>
      <c r="B3707" s="1" t="s">
        <v>3891</v>
      </c>
      <c r="C3707" s="1" t="s">
        <v>26</v>
      </c>
      <c r="D3707" t="s">
        <v>32</v>
      </c>
      <c r="E3707" t="s">
        <v>137</v>
      </c>
      <c r="F3707" t="s">
        <v>16</v>
      </c>
      <c r="G3707" t="s">
        <v>15</v>
      </c>
      <c r="H3707" s="3">
        <v>5</v>
      </c>
      <c r="I3707" s="3">
        <v>48260</v>
      </c>
      <c r="J3707" s="3">
        <v>241300</v>
      </c>
      <c r="K3707" s="3">
        <v>38000</v>
      </c>
      <c r="L3707" s="3">
        <v>190000</v>
      </c>
      <c r="M3707" s="3">
        <v>51300</v>
      </c>
      <c r="N3707" s="4">
        <v>0.2125984251968504</v>
      </c>
    </row>
    <row r="3708" spans="1:14" x14ac:dyDescent="0.3">
      <c r="A3708" s="6">
        <v>45922</v>
      </c>
      <c r="B3708" s="1" t="s">
        <v>3892</v>
      </c>
      <c r="C3708" s="1" t="s">
        <v>26</v>
      </c>
      <c r="D3708" t="s">
        <v>31</v>
      </c>
      <c r="E3708" t="s">
        <v>108</v>
      </c>
      <c r="F3708" t="s">
        <v>19</v>
      </c>
      <c r="G3708" t="s">
        <v>20</v>
      </c>
      <c r="H3708" s="3">
        <v>4</v>
      </c>
      <c r="I3708" s="3">
        <v>1206</v>
      </c>
      <c r="J3708" s="3">
        <v>4824</v>
      </c>
      <c r="K3708" s="3">
        <v>900</v>
      </c>
      <c r="L3708" s="3">
        <v>3600</v>
      </c>
      <c r="M3708" s="3">
        <v>1224</v>
      </c>
      <c r="N3708" s="4">
        <v>0.2537313432835821</v>
      </c>
    </row>
    <row r="3709" spans="1:14" x14ac:dyDescent="0.3">
      <c r="A3709" s="6">
        <v>45922</v>
      </c>
      <c r="B3709" s="1" t="s">
        <v>3893</v>
      </c>
      <c r="C3709" s="1" t="s">
        <v>28</v>
      </c>
      <c r="D3709" t="s">
        <v>31</v>
      </c>
      <c r="E3709" t="s">
        <v>106</v>
      </c>
      <c r="F3709" t="s">
        <v>16</v>
      </c>
      <c r="G3709" t="s">
        <v>15</v>
      </c>
      <c r="H3709" s="3">
        <v>7</v>
      </c>
      <c r="I3709" s="3">
        <v>50920</v>
      </c>
      <c r="J3709" s="3">
        <v>356440</v>
      </c>
      <c r="K3709" s="3">
        <v>38000</v>
      </c>
      <c r="L3709" s="3">
        <v>266000</v>
      </c>
      <c r="M3709" s="3">
        <v>90440</v>
      </c>
      <c r="N3709" s="4">
        <v>0.2537313432835821</v>
      </c>
    </row>
    <row r="3710" spans="1:14" x14ac:dyDescent="0.3">
      <c r="A3710" s="6">
        <v>45923</v>
      </c>
      <c r="B3710" s="1" t="s">
        <v>3894</v>
      </c>
      <c r="C3710" s="1" t="s">
        <v>27</v>
      </c>
      <c r="D3710" t="s">
        <v>31</v>
      </c>
      <c r="E3710" t="s">
        <v>45</v>
      </c>
      <c r="F3710" t="s">
        <v>14</v>
      </c>
      <c r="G3710" t="s">
        <v>15</v>
      </c>
      <c r="H3710" s="3">
        <v>4</v>
      </c>
      <c r="I3710" s="3">
        <v>58500</v>
      </c>
      <c r="J3710" s="3">
        <v>234000</v>
      </c>
      <c r="K3710" s="3">
        <v>45000</v>
      </c>
      <c r="L3710" s="3">
        <v>180000</v>
      </c>
      <c r="M3710" s="3">
        <v>54000</v>
      </c>
      <c r="N3710" s="4">
        <v>0.23076923076923078</v>
      </c>
    </row>
    <row r="3711" spans="1:14" x14ac:dyDescent="0.3">
      <c r="A3711" s="6">
        <v>45923</v>
      </c>
      <c r="B3711" s="1" t="s">
        <v>3895</v>
      </c>
      <c r="C3711" s="1" t="s">
        <v>27</v>
      </c>
      <c r="D3711" t="s">
        <v>32</v>
      </c>
      <c r="E3711" t="s">
        <v>57</v>
      </c>
      <c r="F3711" t="s">
        <v>23</v>
      </c>
      <c r="G3711" t="s">
        <v>25</v>
      </c>
      <c r="H3711" s="3">
        <v>2</v>
      </c>
      <c r="I3711" s="3">
        <v>4096</v>
      </c>
      <c r="J3711" s="3">
        <v>8192</v>
      </c>
      <c r="K3711" s="3">
        <v>3200</v>
      </c>
      <c r="L3711" s="3">
        <v>6400</v>
      </c>
      <c r="M3711" s="3">
        <v>1792</v>
      </c>
      <c r="N3711" s="4">
        <v>0.21875</v>
      </c>
    </row>
    <row r="3712" spans="1:14" x14ac:dyDescent="0.3">
      <c r="A3712" s="6">
        <v>45923</v>
      </c>
      <c r="B3712" s="1" t="s">
        <v>3896</v>
      </c>
      <c r="C3712" s="1" t="s">
        <v>28</v>
      </c>
      <c r="D3712" t="s">
        <v>34</v>
      </c>
      <c r="E3712" t="s">
        <v>400</v>
      </c>
      <c r="F3712" t="s">
        <v>24</v>
      </c>
      <c r="G3712" t="s">
        <v>25</v>
      </c>
      <c r="H3712" s="3">
        <v>2</v>
      </c>
      <c r="I3712" s="3">
        <v>3550</v>
      </c>
      <c r="J3712" s="3">
        <v>7100</v>
      </c>
      <c r="K3712" s="3">
        <v>2500</v>
      </c>
      <c r="L3712" s="3">
        <v>5000</v>
      </c>
      <c r="M3712" s="3">
        <v>2100</v>
      </c>
      <c r="N3712" s="4">
        <v>0.29577464788732394</v>
      </c>
    </row>
    <row r="3713" spans="1:14" x14ac:dyDescent="0.3">
      <c r="A3713" s="6">
        <v>45923</v>
      </c>
      <c r="B3713" s="1" t="s">
        <v>3897</v>
      </c>
      <c r="C3713" s="1" t="s">
        <v>29</v>
      </c>
      <c r="D3713" t="s">
        <v>33</v>
      </c>
      <c r="E3713" t="s">
        <v>273</v>
      </c>
      <c r="F3713" t="s">
        <v>22</v>
      </c>
      <c r="G3713" t="s">
        <v>18</v>
      </c>
      <c r="H3713" s="3">
        <v>5</v>
      </c>
      <c r="I3713" s="3">
        <v>8680</v>
      </c>
      <c r="J3713" s="3">
        <v>43400</v>
      </c>
      <c r="K3713" s="3">
        <v>7000</v>
      </c>
      <c r="L3713" s="3">
        <v>35000</v>
      </c>
      <c r="M3713" s="3">
        <v>8400</v>
      </c>
      <c r="N3713" s="4">
        <v>0.19354838709677419</v>
      </c>
    </row>
    <row r="3714" spans="1:14" x14ac:dyDescent="0.3">
      <c r="A3714" s="6">
        <v>45923</v>
      </c>
      <c r="B3714" s="1" t="s">
        <v>3898</v>
      </c>
      <c r="C3714" s="1" t="s">
        <v>29</v>
      </c>
      <c r="D3714" t="s">
        <v>31</v>
      </c>
      <c r="E3714" t="s">
        <v>204</v>
      </c>
      <c r="F3714" t="s">
        <v>23</v>
      </c>
      <c r="G3714" t="s">
        <v>25</v>
      </c>
      <c r="H3714" s="3">
        <v>2</v>
      </c>
      <c r="I3714" s="3">
        <v>4352</v>
      </c>
      <c r="J3714" s="3">
        <v>8704</v>
      </c>
      <c r="K3714" s="3">
        <v>3200</v>
      </c>
      <c r="L3714" s="3">
        <v>6400</v>
      </c>
      <c r="M3714" s="3">
        <v>2304</v>
      </c>
      <c r="N3714" s="4">
        <v>0.26470588235294118</v>
      </c>
    </row>
    <row r="3715" spans="1:14" x14ac:dyDescent="0.3">
      <c r="A3715" s="6">
        <v>45923</v>
      </c>
      <c r="B3715" s="1" t="s">
        <v>3899</v>
      </c>
      <c r="C3715" s="1" t="s">
        <v>29</v>
      </c>
      <c r="D3715" t="s">
        <v>31</v>
      </c>
      <c r="E3715" t="s">
        <v>310</v>
      </c>
      <c r="F3715" t="s">
        <v>14</v>
      </c>
      <c r="G3715" t="s">
        <v>15</v>
      </c>
      <c r="H3715" s="3">
        <v>7</v>
      </c>
      <c r="I3715" s="3">
        <v>54900</v>
      </c>
      <c r="J3715" s="3">
        <v>384300</v>
      </c>
      <c r="K3715" s="3">
        <v>45000</v>
      </c>
      <c r="L3715" s="3">
        <v>315000</v>
      </c>
      <c r="M3715" s="3">
        <v>69300</v>
      </c>
      <c r="N3715" s="4">
        <v>0.18032786885245902</v>
      </c>
    </row>
    <row r="3716" spans="1:14" x14ac:dyDescent="0.3">
      <c r="A3716" s="6">
        <v>45923</v>
      </c>
      <c r="B3716" s="1" t="s">
        <v>3900</v>
      </c>
      <c r="C3716" s="1" t="s">
        <v>29</v>
      </c>
      <c r="D3716" t="s">
        <v>33</v>
      </c>
      <c r="E3716" t="s">
        <v>151</v>
      </c>
      <c r="F3716" t="s">
        <v>23</v>
      </c>
      <c r="G3716" t="s">
        <v>25</v>
      </c>
      <c r="H3716" s="3">
        <v>8</v>
      </c>
      <c r="I3716" s="3">
        <v>4192</v>
      </c>
      <c r="J3716" s="3">
        <v>33536</v>
      </c>
      <c r="K3716" s="3">
        <v>3200</v>
      </c>
      <c r="L3716" s="3">
        <v>25600</v>
      </c>
      <c r="M3716" s="3">
        <v>7936</v>
      </c>
      <c r="N3716" s="4">
        <v>0.23664122137404581</v>
      </c>
    </row>
    <row r="3717" spans="1:14" x14ac:dyDescent="0.3">
      <c r="A3717" s="6">
        <v>45923</v>
      </c>
      <c r="B3717" s="1" t="s">
        <v>3901</v>
      </c>
      <c r="C3717" s="1" t="s">
        <v>28</v>
      </c>
      <c r="D3717" t="s">
        <v>34</v>
      </c>
      <c r="E3717" t="s">
        <v>363</v>
      </c>
      <c r="F3717" t="s">
        <v>21</v>
      </c>
      <c r="G3717" t="s">
        <v>20</v>
      </c>
      <c r="H3717" s="3">
        <v>6</v>
      </c>
      <c r="I3717" s="3">
        <v>738</v>
      </c>
      <c r="J3717" s="3">
        <v>4428</v>
      </c>
      <c r="K3717" s="3">
        <v>600</v>
      </c>
      <c r="L3717" s="3">
        <v>3600</v>
      </c>
      <c r="M3717" s="3">
        <v>828</v>
      </c>
      <c r="N3717" s="4">
        <v>0.18699186991869918</v>
      </c>
    </row>
    <row r="3718" spans="1:14" x14ac:dyDescent="0.3">
      <c r="A3718" s="6">
        <v>45923</v>
      </c>
      <c r="B3718" s="1" t="s">
        <v>3902</v>
      </c>
      <c r="C3718" s="1" t="s">
        <v>26</v>
      </c>
      <c r="D3718" t="s">
        <v>35</v>
      </c>
      <c r="E3718" t="s">
        <v>110</v>
      </c>
      <c r="F3718" t="s">
        <v>14</v>
      </c>
      <c r="G3718" t="s">
        <v>15</v>
      </c>
      <c r="H3718" s="3">
        <v>4</v>
      </c>
      <c r="I3718" s="3">
        <v>54450</v>
      </c>
      <c r="J3718" s="3">
        <v>217800</v>
      </c>
      <c r="K3718" s="3">
        <v>45000</v>
      </c>
      <c r="L3718" s="3">
        <v>180000</v>
      </c>
      <c r="M3718" s="3">
        <v>37800</v>
      </c>
      <c r="N3718" s="4">
        <v>0.17355371900826447</v>
      </c>
    </row>
    <row r="3719" spans="1:14" x14ac:dyDescent="0.3">
      <c r="A3719" s="6">
        <v>45923</v>
      </c>
      <c r="B3719" s="1" t="s">
        <v>3903</v>
      </c>
      <c r="C3719" s="1" t="s">
        <v>29</v>
      </c>
      <c r="D3719" t="s">
        <v>30</v>
      </c>
      <c r="E3719" t="s">
        <v>88</v>
      </c>
      <c r="F3719" t="s">
        <v>19</v>
      </c>
      <c r="G3719" t="s">
        <v>20</v>
      </c>
      <c r="H3719" s="3">
        <v>3</v>
      </c>
      <c r="I3719" s="3">
        <v>1098</v>
      </c>
      <c r="J3719" s="3">
        <v>3294</v>
      </c>
      <c r="K3719" s="3">
        <v>900</v>
      </c>
      <c r="L3719" s="3">
        <v>2700</v>
      </c>
      <c r="M3719" s="3">
        <v>594</v>
      </c>
      <c r="N3719" s="4">
        <v>0.18032786885245902</v>
      </c>
    </row>
    <row r="3720" spans="1:14" x14ac:dyDescent="0.3">
      <c r="A3720" s="6">
        <v>45923</v>
      </c>
      <c r="B3720" s="1" t="s">
        <v>3904</v>
      </c>
      <c r="C3720" s="1" t="s">
        <v>27</v>
      </c>
      <c r="D3720" t="s">
        <v>34</v>
      </c>
      <c r="E3720" t="s">
        <v>129</v>
      </c>
      <c r="F3720" t="s">
        <v>22</v>
      </c>
      <c r="G3720" t="s">
        <v>18</v>
      </c>
      <c r="H3720" s="3">
        <v>4</v>
      </c>
      <c r="I3720" s="3">
        <v>9730</v>
      </c>
      <c r="J3720" s="3">
        <v>38920</v>
      </c>
      <c r="K3720" s="3">
        <v>7000</v>
      </c>
      <c r="L3720" s="3">
        <v>28000</v>
      </c>
      <c r="M3720" s="3">
        <v>10920</v>
      </c>
      <c r="N3720" s="4">
        <v>0.2805755395683453</v>
      </c>
    </row>
    <row r="3721" spans="1:14" x14ac:dyDescent="0.3">
      <c r="A3721" s="6">
        <v>45923</v>
      </c>
      <c r="B3721" s="1" t="s">
        <v>3905</v>
      </c>
      <c r="C3721" s="1" t="s">
        <v>27</v>
      </c>
      <c r="D3721" t="s">
        <v>35</v>
      </c>
      <c r="E3721" t="s">
        <v>184</v>
      </c>
      <c r="F3721" t="s">
        <v>24</v>
      </c>
      <c r="G3721" t="s">
        <v>25</v>
      </c>
      <c r="H3721" s="3">
        <v>1</v>
      </c>
      <c r="I3721" s="3">
        <v>3150</v>
      </c>
      <c r="J3721" s="3">
        <v>3150</v>
      </c>
      <c r="K3721" s="3">
        <v>2500</v>
      </c>
      <c r="L3721" s="3">
        <v>2500</v>
      </c>
      <c r="M3721" s="3">
        <v>650</v>
      </c>
      <c r="N3721" s="4">
        <v>0.20634920634920634</v>
      </c>
    </row>
    <row r="3722" spans="1:14" x14ac:dyDescent="0.3">
      <c r="A3722" s="6">
        <v>45923</v>
      </c>
      <c r="B3722" s="1" t="s">
        <v>3906</v>
      </c>
      <c r="C3722" s="1" t="s">
        <v>26</v>
      </c>
      <c r="D3722" t="s">
        <v>30</v>
      </c>
      <c r="E3722" t="s">
        <v>329</v>
      </c>
      <c r="F3722" t="s">
        <v>16</v>
      </c>
      <c r="G3722" t="s">
        <v>15</v>
      </c>
      <c r="H3722" s="3">
        <v>5</v>
      </c>
      <c r="I3722" s="3">
        <v>50540</v>
      </c>
      <c r="J3722" s="3">
        <v>252700</v>
      </c>
      <c r="K3722" s="3">
        <v>38000</v>
      </c>
      <c r="L3722" s="3">
        <v>190000</v>
      </c>
      <c r="M3722" s="3">
        <v>62700</v>
      </c>
      <c r="N3722" s="4">
        <v>0.24812030075187969</v>
      </c>
    </row>
    <row r="3723" spans="1:14" x14ac:dyDescent="0.3">
      <c r="A3723" s="6">
        <v>45923</v>
      </c>
      <c r="B3723" s="1" t="s">
        <v>3907</v>
      </c>
      <c r="C3723" s="1" t="s">
        <v>28</v>
      </c>
      <c r="D3723" t="s">
        <v>32</v>
      </c>
      <c r="E3723" t="s">
        <v>431</v>
      </c>
      <c r="F3723" t="s">
        <v>16</v>
      </c>
      <c r="G3723" t="s">
        <v>15</v>
      </c>
      <c r="H3723" s="3">
        <v>2</v>
      </c>
      <c r="I3723" s="3">
        <v>46740</v>
      </c>
      <c r="J3723" s="3">
        <v>93480</v>
      </c>
      <c r="K3723" s="3">
        <v>38000</v>
      </c>
      <c r="L3723" s="3">
        <v>76000</v>
      </c>
      <c r="M3723" s="3">
        <v>17480</v>
      </c>
      <c r="N3723" s="4">
        <v>0.18699186991869918</v>
      </c>
    </row>
    <row r="3724" spans="1:14" x14ac:dyDescent="0.3">
      <c r="A3724" s="6">
        <v>45924</v>
      </c>
      <c r="B3724" s="1" t="s">
        <v>3908</v>
      </c>
      <c r="C3724" s="1" t="s">
        <v>28</v>
      </c>
      <c r="D3724" t="s">
        <v>33</v>
      </c>
      <c r="E3724" t="s">
        <v>442</v>
      </c>
      <c r="F3724" t="s">
        <v>23</v>
      </c>
      <c r="G3724" t="s">
        <v>25</v>
      </c>
      <c r="H3724" s="3">
        <v>8</v>
      </c>
      <c r="I3724" s="3">
        <v>3904</v>
      </c>
      <c r="J3724" s="3">
        <v>31232</v>
      </c>
      <c r="K3724" s="3">
        <v>3200</v>
      </c>
      <c r="L3724" s="3">
        <v>25600</v>
      </c>
      <c r="M3724" s="3">
        <v>5632</v>
      </c>
      <c r="N3724" s="4">
        <v>0.18032786885245902</v>
      </c>
    </row>
    <row r="3725" spans="1:14" x14ac:dyDescent="0.3">
      <c r="A3725" s="6">
        <v>45924</v>
      </c>
      <c r="B3725" s="1" t="s">
        <v>3909</v>
      </c>
      <c r="C3725" s="1" t="s">
        <v>27</v>
      </c>
      <c r="D3725" t="s">
        <v>32</v>
      </c>
      <c r="E3725" t="s">
        <v>220</v>
      </c>
      <c r="F3725" t="s">
        <v>14</v>
      </c>
      <c r="G3725" t="s">
        <v>15</v>
      </c>
      <c r="H3725" s="3">
        <v>4</v>
      </c>
      <c r="I3725" s="3">
        <v>57600</v>
      </c>
      <c r="J3725" s="3">
        <v>230400</v>
      </c>
      <c r="K3725" s="3">
        <v>45000</v>
      </c>
      <c r="L3725" s="3">
        <v>180000</v>
      </c>
      <c r="M3725" s="3">
        <v>50400</v>
      </c>
      <c r="N3725" s="4">
        <v>0.21875</v>
      </c>
    </row>
    <row r="3726" spans="1:14" x14ac:dyDescent="0.3">
      <c r="A3726" s="6">
        <v>45924</v>
      </c>
      <c r="B3726" s="1" t="s">
        <v>3910</v>
      </c>
      <c r="C3726" s="1" t="s">
        <v>29</v>
      </c>
      <c r="D3726" t="s">
        <v>32</v>
      </c>
      <c r="E3726" t="s">
        <v>49</v>
      </c>
      <c r="F3726" t="s">
        <v>17</v>
      </c>
      <c r="G3726" t="s">
        <v>18</v>
      </c>
      <c r="H3726" s="3">
        <v>1</v>
      </c>
      <c r="I3726" s="3">
        <v>11390</v>
      </c>
      <c r="J3726" s="3">
        <v>11390</v>
      </c>
      <c r="K3726" s="3">
        <v>8500</v>
      </c>
      <c r="L3726" s="3">
        <v>8500</v>
      </c>
      <c r="M3726" s="3">
        <v>2890</v>
      </c>
      <c r="N3726" s="4">
        <v>0.2537313432835821</v>
      </c>
    </row>
    <row r="3727" spans="1:14" x14ac:dyDescent="0.3">
      <c r="A3727" s="6">
        <v>45924</v>
      </c>
      <c r="B3727" s="1" t="s">
        <v>3911</v>
      </c>
      <c r="C3727" s="1" t="s">
        <v>27</v>
      </c>
      <c r="D3727" t="s">
        <v>35</v>
      </c>
      <c r="E3727" t="s">
        <v>163</v>
      </c>
      <c r="F3727" t="s">
        <v>14</v>
      </c>
      <c r="G3727" t="s">
        <v>15</v>
      </c>
      <c r="H3727" s="3">
        <v>9</v>
      </c>
      <c r="I3727" s="3">
        <v>58950</v>
      </c>
      <c r="J3727" s="3">
        <v>530550</v>
      </c>
      <c r="K3727" s="3">
        <v>45000</v>
      </c>
      <c r="L3727" s="3">
        <v>405000</v>
      </c>
      <c r="M3727" s="3">
        <v>125550</v>
      </c>
      <c r="N3727" s="4">
        <v>0.23664122137404581</v>
      </c>
    </row>
    <row r="3728" spans="1:14" x14ac:dyDescent="0.3">
      <c r="A3728" s="6">
        <v>45924</v>
      </c>
      <c r="B3728" s="1" t="s">
        <v>3912</v>
      </c>
      <c r="C3728" s="1" t="s">
        <v>27</v>
      </c>
      <c r="D3728" t="s">
        <v>30</v>
      </c>
      <c r="E3728" t="s">
        <v>161</v>
      </c>
      <c r="F3728" t="s">
        <v>16</v>
      </c>
      <c r="G3728" t="s">
        <v>15</v>
      </c>
      <c r="H3728" s="3">
        <v>7</v>
      </c>
      <c r="I3728" s="3">
        <v>53200</v>
      </c>
      <c r="J3728" s="3">
        <v>372400</v>
      </c>
      <c r="K3728" s="3">
        <v>38000</v>
      </c>
      <c r="L3728" s="3">
        <v>266000</v>
      </c>
      <c r="M3728" s="3">
        <v>106400</v>
      </c>
      <c r="N3728" s="4">
        <v>0.2857142857142857</v>
      </c>
    </row>
    <row r="3729" spans="1:14" x14ac:dyDescent="0.3">
      <c r="A3729" s="6">
        <v>45924</v>
      </c>
      <c r="B3729" s="1" t="s">
        <v>3913</v>
      </c>
      <c r="C3729" s="1" t="s">
        <v>28</v>
      </c>
      <c r="D3729" t="s">
        <v>30</v>
      </c>
      <c r="E3729" t="s">
        <v>88</v>
      </c>
      <c r="F3729" t="s">
        <v>22</v>
      </c>
      <c r="G3729" t="s">
        <v>18</v>
      </c>
      <c r="H3729" s="3">
        <v>4</v>
      </c>
      <c r="I3729" s="3">
        <v>10080</v>
      </c>
      <c r="J3729" s="3">
        <v>40320</v>
      </c>
      <c r="K3729" s="3">
        <v>7000</v>
      </c>
      <c r="L3729" s="3">
        <v>28000</v>
      </c>
      <c r="M3729" s="3">
        <v>12320</v>
      </c>
      <c r="N3729" s="4">
        <v>0.30555555555555558</v>
      </c>
    </row>
    <row r="3730" spans="1:14" x14ac:dyDescent="0.3">
      <c r="A3730" s="6">
        <v>45924</v>
      </c>
      <c r="B3730" s="1" t="s">
        <v>3914</v>
      </c>
      <c r="C3730" s="1" t="s">
        <v>29</v>
      </c>
      <c r="D3730" t="s">
        <v>34</v>
      </c>
      <c r="E3730" t="s">
        <v>331</v>
      </c>
      <c r="F3730" t="s">
        <v>23</v>
      </c>
      <c r="G3730" t="s">
        <v>25</v>
      </c>
      <c r="H3730" s="3">
        <v>9</v>
      </c>
      <c r="I3730" s="3">
        <v>4160</v>
      </c>
      <c r="J3730" s="3">
        <v>37440</v>
      </c>
      <c r="K3730" s="3">
        <v>3200</v>
      </c>
      <c r="L3730" s="3">
        <v>28800</v>
      </c>
      <c r="M3730" s="3">
        <v>8640</v>
      </c>
      <c r="N3730" s="4">
        <v>0.23076923076923078</v>
      </c>
    </row>
    <row r="3731" spans="1:14" x14ac:dyDescent="0.3">
      <c r="A3731" s="6">
        <v>45924</v>
      </c>
      <c r="B3731" s="1" t="s">
        <v>3915</v>
      </c>
      <c r="C3731" s="1" t="s">
        <v>27</v>
      </c>
      <c r="D3731" t="s">
        <v>35</v>
      </c>
      <c r="E3731" t="s">
        <v>47</v>
      </c>
      <c r="F3731" t="s">
        <v>17</v>
      </c>
      <c r="G3731" t="s">
        <v>18</v>
      </c>
      <c r="H3731" s="3">
        <v>10</v>
      </c>
      <c r="I3731" s="3">
        <v>10710</v>
      </c>
      <c r="J3731" s="3">
        <v>107100</v>
      </c>
      <c r="K3731" s="3">
        <v>8500</v>
      </c>
      <c r="L3731" s="3">
        <v>85000</v>
      </c>
      <c r="M3731" s="3">
        <v>22100</v>
      </c>
      <c r="N3731" s="4">
        <v>0.20634920634920634</v>
      </c>
    </row>
    <row r="3732" spans="1:14" x14ac:dyDescent="0.3">
      <c r="A3732" s="6">
        <v>45924</v>
      </c>
      <c r="B3732" s="1" t="s">
        <v>3916</v>
      </c>
      <c r="C3732" s="1" t="s">
        <v>27</v>
      </c>
      <c r="D3732" t="s">
        <v>34</v>
      </c>
      <c r="E3732" t="s">
        <v>51</v>
      </c>
      <c r="F3732" t="s">
        <v>17</v>
      </c>
      <c r="G3732" t="s">
        <v>18</v>
      </c>
      <c r="H3732" s="3">
        <v>7</v>
      </c>
      <c r="I3732" s="3">
        <v>12325</v>
      </c>
      <c r="J3732" s="3">
        <v>86275</v>
      </c>
      <c r="K3732" s="3">
        <v>8500</v>
      </c>
      <c r="L3732" s="3">
        <v>59500</v>
      </c>
      <c r="M3732" s="3">
        <v>26775</v>
      </c>
      <c r="N3732" s="4">
        <v>0.31034482758620691</v>
      </c>
    </row>
    <row r="3733" spans="1:14" x14ac:dyDescent="0.3">
      <c r="A3733" s="6">
        <v>45924</v>
      </c>
      <c r="B3733" s="1" t="s">
        <v>3917</v>
      </c>
      <c r="C3733" s="1" t="s">
        <v>26</v>
      </c>
      <c r="D3733" t="s">
        <v>34</v>
      </c>
      <c r="E3733" t="s">
        <v>239</v>
      </c>
      <c r="F3733" t="s">
        <v>21</v>
      </c>
      <c r="G3733" t="s">
        <v>20</v>
      </c>
      <c r="H3733" s="3">
        <v>8</v>
      </c>
      <c r="I3733" s="3">
        <v>774</v>
      </c>
      <c r="J3733" s="3">
        <v>6192</v>
      </c>
      <c r="K3733" s="3">
        <v>600</v>
      </c>
      <c r="L3733" s="3">
        <v>4800</v>
      </c>
      <c r="M3733" s="3">
        <v>1392</v>
      </c>
      <c r="N3733" s="4">
        <v>0.22480620155038761</v>
      </c>
    </row>
    <row r="3734" spans="1:14" x14ac:dyDescent="0.3">
      <c r="A3734" s="6">
        <v>45924</v>
      </c>
      <c r="B3734" s="1" t="s">
        <v>3918</v>
      </c>
      <c r="C3734" s="1" t="s">
        <v>29</v>
      </c>
      <c r="D3734" t="s">
        <v>34</v>
      </c>
      <c r="E3734" t="s">
        <v>268</v>
      </c>
      <c r="F3734" t="s">
        <v>22</v>
      </c>
      <c r="G3734" t="s">
        <v>18</v>
      </c>
      <c r="H3734" s="3">
        <v>4</v>
      </c>
      <c r="I3734" s="3">
        <v>9240</v>
      </c>
      <c r="J3734" s="3">
        <v>36960</v>
      </c>
      <c r="K3734" s="3">
        <v>7000</v>
      </c>
      <c r="L3734" s="3">
        <v>28000</v>
      </c>
      <c r="M3734" s="3">
        <v>8960</v>
      </c>
      <c r="N3734" s="4">
        <v>0.24242424242424243</v>
      </c>
    </row>
    <row r="3735" spans="1:14" x14ac:dyDescent="0.3">
      <c r="A3735" s="6">
        <v>45924</v>
      </c>
      <c r="B3735" s="1" t="s">
        <v>3919</v>
      </c>
      <c r="C3735" s="1" t="s">
        <v>29</v>
      </c>
      <c r="D3735" t="s">
        <v>31</v>
      </c>
      <c r="E3735" t="s">
        <v>193</v>
      </c>
      <c r="F3735" t="s">
        <v>22</v>
      </c>
      <c r="G3735" t="s">
        <v>18</v>
      </c>
      <c r="H3735" s="3">
        <v>8</v>
      </c>
      <c r="I3735" s="3">
        <v>8890</v>
      </c>
      <c r="J3735" s="3">
        <v>71120</v>
      </c>
      <c r="K3735" s="3">
        <v>7000</v>
      </c>
      <c r="L3735" s="3">
        <v>56000</v>
      </c>
      <c r="M3735" s="3">
        <v>15120</v>
      </c>
      <c r="N3735" s="4">
        <v>0.2125984251968504</v>
      </c>
    </row>
    <row r="3736" spans="1:14" x14ac:dyDescent="0.3">
      <c r="A3736" s="6">
        <v>45924</v>
      </c>
      <c r="B3736" s="1" t="s">
        <v>3920</v>
      </c>
      <c r="C3736" s="1" t="s">
        <v>27</v>
      </c>
      <c r="D3736" t="s">
        <v>34</v>
      </c>
      <c r="E3736" t="s">
        <v>169</v>
      </c>
      <c r="F3736" t="s">
        <v>21</v>
      </c>
      <c r="G3736" t="s">
        <v>20</v>
      </c>
      <c r="H3736" s="3">
        <v>1</v>
      </c>
      <c r="I3736" s="3">
        <v>738</v>
      </c>
      <c r="J3736" s="3">
        <v>738</v>
      </c>
      <c r="K3736" s="3">
        <v>600</v>
      </c>
      <c r="L3736" s="3">
        <v>600</v>
      </c>
      <c r="M3736" s="3">
        <v>138</v>
      </c>
      <c r="N3736" s="4">
        <v>0.18699186991869918</v>
      </c>
    </row>
    <row r="3737" spans="1:14" x14ac:dyDescent="0.3">
      <c r="A3737" s="6">
        <v>45924</v>
      </c>
      <c r="B3737" s="1" t="s">
        <v>3921</v>
      </c>
      <c r="C3737" s="1" t="s">
        <v>28</v>
      </c>
      <c r="D3737" t="s">
        <v>33</v>
      </c>
      <c r="E3737" t="s">
        <v>100</v>
      </c>
      <c r="F3737" t="s">
        <v>21</v>
      </c>
      <c r="G3737" t="s">
        <v>20</v>
      </c>
      <c r="H3737" s="3">
        <v>6</v>
      </c>
      <c r="I3737" s="3">
        <v>786</v>
      </c>
      <c r="J3737" s="3">
        <v>4716</v>
      </c>
      <c r="K3737" s="3">
        <v>600</v>
      </c>
      <c r="L3737" s="3">
        <v>3600</v>
      </c>
      <c r="M3737" s="3">
        <v>1116</v>
      </c>
      <c r="N3737" s="4">
        <v>0.23664122137404581</v>
      </c>
    </row>
    <row r="3738" spans="1:14" x14ac:dyDescent="0.3">
      <c r="A3738" s="6">
        <v>45925</v>
      </c>
      <c r="B3738" s="1" t="s">
        <v>3922</v>
      </c>
      <c r="C3738" s="1" t="s">
        <v>26</v>
      </c>
      <c r="D3738" t="s">
        <v>33</v>
      </c>
      <c r="E3738" t="s">
        <v>184</v>
      </c>
      <c r="F3738" t="s">
        <v>17</v>
      </c>
      <c r="G3738" t="s">
        <v>18</v>
      </c>
      <c r="H3738" s="3">
        <v>4</v>
      </c>
      <c r="I3738" s="3">
        <v>11220</v>
      </c>
      <c r="J3738" s="3">
        <v>44880</v>
      </c>
      <c r="K3738" s="3">
        <v>8500</v>
      </c>
      <c r="L3738" s="3">
        <v>34000</v>
      </c>
      <c r="M3738" s="3">
        <v>10880</v>
      </c>
      <c r="N3738" s="4">
        <v>0.24242424242424243</v>
      </c>
    </row>
    <row r="3739" spans="1:14" x14ac:dyDescent="0.3">
      <c r="A3739" s="6">
        <v>45925</v>
      </c>
      <c r="B3739" s="1" t="s">
        <v>3923</v>
      </c>
      <c r="C3739" s="1" t="s">
        <v>26</v>
      </c>
      <c r="D3739" t="s">
        <v>35</v>
      </c>
      <c r="E3739" t="s">
        <v>65</v>
      </c>
      <c r="F3739" t="s">
        <v>23</v>
      </c>
      <c r="G3739" t="s">
        <v>25</v>
      </c>
      <c r="H3739" s="3">
        <v>1</v>
      </c>
      <c r="I3739" s="3">
        <v>4544</v>
      </c>
      <c r="J3739" s="3">
        <v>4544</v>
      </c>
      <c r="K3739" s="3">
        <v>3200</v>
      </c>
      <c r="L3739" s="3">
        <v>3200</v>
      </c>
      <c r="M3739" s="3">
        <v>1344</v>
      </c>
      <c r="N3739" s="4">
        <v>0.29577464788732394</v>
      </c>
    </row>
    <row r="3740" spans="1:14" x14ac:dyDescent="0.3">
      <c r="A3740" s="6">
        <v>45925</v>
      </c>
      <c r="B3740" s="1" t="s">
        <v>3924</v>
      </c>
      <c r="C3740" s="1" t="s">
        <v>29</v>
      </c>
      <c r="D3740" t="s">
        <v>32</v>
      </c>
      <c r="E3740" t="s">
        <v>216</v>
      </c>
      <c r="F3740" t="s">
        <v>24</v>
      </c>
      <c r="G3740" t="s">
        <v>25</v>
      </c>
      <c r="H3740" s="3">
        <v>10</v>
      </c>
      <c r="I3740" s="3">
        <v>3250</v>
      </c>
      <c r="J3740" s="3">
        <v>32500</v>
      </c>
      <c r="K3740" s="3">
        <v>2500</v>
      </c>
      <c r="L3740" s="3">
        <v>25000</v>
      </c>
      <c r="M3740" s="3">
        <v>7500</v>
      </c>
      <c r="N3740" s="4">
        <v>0.23076923076923078</v>
      </c>
    </row>
    <row r="3741" spans="1:14" x14ac:dyDescent="0.3">
      <c r="A3741" s="6">
        <v>45925</v>
      </c>
      <c r="B3741" s="1" t="s">
        <v>3925</v>
      </c>
      <c r="C3741" s="1" t="s">
        <v>26</v>
      </c>
      <c r="D3741" t="s">
        <v>33</v>
      </c>
      <c r="E3741" t="s">
        <v>45</v>
      </c>
      <c r="F3741" t="s">
        <v>17</v>
      </c>
      <c r="G3741" t="s">
        <v>18</v>
      </c>
      <c r="H3741" s="3">
        <v>1</v>
      </c>
      <c r="I3741" s="3">
        <v>12070</v>
      </c>
      <c r="J3741" s="3">
        <v>12070</v>
      </c>
      <c r="K3741" s="3">
        <v>8500</v>
      </c>
      <c r="L3741" s="3">
        <v>8500</v>
      </c>
      <c r="M3741" s="3">
        <v>3570</v>
      </c>
      <c r="N3741" s="4">
        <v>0.29577464788732394</v>
      </c>
    </row>
    <row r="3742" spans="1:14" x14ac:dyDescent="0.3">
      <c r="A3742" s="6">
        <v>45925</v>
      </c>
      <c r="B3742" s="1" t="s">
        <v>3926</v>
      </c>
      <c r="C3742" s="1" t="s">
        <v>29</v>
      </c>
      <c r="D3742" t="s">
        <v>32</v>
      </c>
      <c r="E3742" t="s">
        <v>319</v>
      </c>
      <c r="F3742" t="s">
        <v>24</v>
      </c>
      <c r="G3742" t="s">
        <v>25</v>
      </c>
      <c r="H3742" s="3">
        <v>7</v>
      </c>
      <c r="I3742" s="3">
        <v>3525</v>
      </c>
      <c r="J3742" s="3">
        <v>24675</v>
      </c>
      <c r="K3742" s="3">
        <v>2500</v>
      </c>
      <c r="L3742" s="3">
        <v>17500</v>
      </c>
      <c r="M3742" s="3">
        <v>7175</v>
      </c>
      <c r="N3742" s="4">
        <v>0.29078014184397161</v>
      </c>
    </row>
    <row r="3743" spans="1:14" x14ac:dyDescent="0.3">
      <c r="A3743" s="6">
        <v>45925</v>
      </c>
      <c r="B3743" s="1" t="s">
        <v>3927</v>
      </c>
      <c r="C3743" s="1" t="s">
        <v>28</v>
      </c>
      <c r="D3743" t="s">
        <v>33</v>
      </c>
      <c r="E3743" t="s">
        <v>275</v>
      </c>
      <c r="F3743" t="s">
        <v>23</v>
      </c>
      <c r="G3743" t="s">
        <v>25</v>
      </c>
      <c r="H3743" s="3">
        <v>3</v>
      </c>
      <c r="I3743" s="3">
        <v>4128</v>
      </c>
      <c r="J3743" s="3">
        <v>12384</v>
      </c>
      <c r="K3743" s="3">
        <v>3200</v>
      </c>
      <c r="L3743" s="3">
        <v>9600</v>
      </c>
      <c r="M3743" s="3">
        <v>2784</v>
      </c>
      <c r="N3743" s="4">
        <v>0.22480620155038761</v>
      </c>
    </row>
    <row r="3744" spans="1:14" x14ac:dyDescent="0.3">
      <c r="A3744" s="6">
        <v>45925</v>
      </c>
      <c r="B3744" s="1" t="s">
        <v>3928</v>
      </c>
      <c r="C3744" s="1" t="s">
        <v>27</v>
      </c>
      <c r="D3744" t="s">
        <v>31</v>
      </c>
      <c r="E3744" t="s">
        <v>424</v>
      </c>
      <c r="F3744" t="s">
        <v>16</v>
      </c>
      <c r="G3744" t="s">
        <v>15</v>
      </c>
      <c r="H3744" s="3">
        <v>7</v>
      </c>
      <c r="I3744" s="3">
        <v>54720</v>
      </c>
      <c r="J3744" s="3">
        <v>383040</v>
      </c>
      <c r="K3744" s="3">
        <v>38000</v>
      </c>
      <c r="L3744" s="3">
        <v>266000</v>
      </c>
      <c r="M3744" s="3">
        <v>117040</v>
      </c>
      <c r="N3744" s="4">
        <v>0.30555555555555558</v>
      </c>
    </row>
    <row r="3745" spans="1:14" x14ac:dyDescent="0.3">
      <c r="A3745" s="6">
        <v>45925</v>
      </c>
      <c r="B3745" s="1" t="s">
        <v>3929</v>
      </c>
      <c r="C3745" s="1" t="s">
        <v>26</v>
      </c>
      <c r="D3745" t="s">
        <v>30</v>
      </c>
      <c r="E3745" t="s">
        <v>96</v>
      </c>
      <c r="F3745" t="s">
        <v>24</v>
      </c>
      <c r="G3745" t="s">
        <v>25</v>
      </c>
      <c r="H3745" s="3">
        <v>2</v>
      </c>
      <c r="I3745" s="3">
        <v>3525</v>
      </c>
      <c r="J3745" s="3">
        <v>7050</v>
      </c>
      <c r="K3745" s="3">
        <v>2500</v>
      </c>
      <c r="L3745" s="3">
        <v>5000</v>
      </c>
      <c r="M3745" s="3">
        <v>2050</v>
      </c>
      <c r="N3745" s="4">
        <v>0.29078014184397161</v>
      </c>
    </row>
    <row r="3746" spans="1:14" x14ac:dyDescent="0.3">
      <c r="A3746" s="6">
        <v>45925</v>
      </c>
      <c r="B3746" s="1" t="s">
        <v>3930</v>
      </c>
      <c r="C3746" s="1" t="s">
        <v>27</v>
      </c>
      <c r="D3746" t="s">
        <v>33</v>
      </c>
      <c r="E3746" t="s">
        <v>41</v>
      </c>
      <c r="F3746" t="s">
        <v>19</v>
      </c>
      <c r="G3746" t="s">
        <v>20</v>
      </c>
      <c r="H3746" s="3">
        <v>7</v>
      </c>
      <c r="I3746" s="3">
        <v>1080</v>
      </c>
      <c r="J3746" s="3">
        <v>7560</v>
      </c>
      <c r="K3746" s="3">
        <v>900</v>
      </c>
      <c r="L3746" s="3">
        <v>6300</v>
      </c>
      <c r="M3746" s="3">
        <v>1260</v>
      </c>
      <c r="N3746" s="4">
        <v>0.16666666666666666</v>
      </c>
    </row>
    <row r="3747" spans="1:14" x14ac:dyDescent="0.3">
      <c r="A3747" s="6">
        <v>45925</v>
      </c>
      <c r="B3747" s="1" t="s">
        <v>3931</v>
      </c>
      <c r="C3747" s="1" t="s">
        <v>28</v>
      </c>
      <c r="D3747" t="s">
        <v>32</v>
      </c>
      <c r="E3747" t="s">
        <v>198</v>
      </c>
      <c r="F3747" t="s">
        <v>14</v>
      </c>
      <c r="G3747" t="s">
        <v>15</v>
      </c>
      <c r="H3747" s="3">
        <v>2</v>
      </c>
      <c r="I3747" s="3">
        <v>54450</v>
      </c>
      <c r="J3747" s="3">
        <v>108900</v>
      </c>
      <c r="K3747" s="3">
        <v>45000</v>
      </c>
      <c r="L3747" s="3">
        <v>90000</v>
      </c>
      <c r="M3747" s="3">
        <v>18900</v>
      </c>
      <c r="N3747" s="4">
        <v>0.17355371900826447</v>
      </c>
    </row>
    <row r="3748" spans="1:14" x14ac:dyDescent="0.3">
      <c r="A3748" s="6">
        <v>45925</v>
      </c>
      <c r="B3748" s="1" t="s">
        <v>3932</v>
      </c>
      <c r="C3748" s="1" t="s">
        <v>28</v>
      </c>
      <c r="D3748" t="s">
        <v>34</v>
      </c>
      <c r="E3748" t="s">
        <v>55</v>
      </c>
      <c r="F3748" t="s">
        <v>17</v>
      </c>
      <c r="G3748" t="s">
        <v>18</v>
      </c>
      <c r="H3748" s="3">
        <v>2</v>
      </c>
      <c r="I3748" s="3">
        <v>11730</v>
      </c>
      <c r="J3748" s="3">
        <v>23460</v>
      </c>
      <c r="K3748" s="3">
        <v>8500</v>
      </c>
      <c r="L3748" s="3">
        <v>17000</v>
      </c>
      <c r="M3748" s="3">
        <v>6460</v>
      </c>
      <c r="N3748" s="4">
        <v>0.27536231884057971</v>
      </c>
    </row>
    <row r="3749" spans="1:14" x14ac:dyDescent="0.3">
      <c r="A3749" s="6">
        <v>45925</v>
      </c>
      <c r="B3749" s="1" t="s">
        <v>3933</v>
      </c>
      <c r="C3749" s="1" t="s">
        <v>28</v>
      </c>
      <c r="D3749" t="s">
        <v>33</v>
      </c>
      <c r="E3749" t="s">
        <v>96</v>
      </c>
      <c r="F3749" t="s">
        <v>19</v>
      </c>
      <c r="G3749" t="s">
        <v>20</v>
      </c>
      <c r="H3749" s="3">
        <v>3</v>
      </c>
      <c r="I3749" s="3">
        <v>1224</v>
      </c>
      <c r="J3749" s="3">
        <v>3672</v>
      </c>
      <c r="K3749" s="3">
        <v>900</v>
      </c>
      <c r="L3749" s="3">
        <v>2700</v>
      </c>
      <c r="M3749" s="3">
        <v>972</v>
      </c>
      <c r="N3749" s="4">
        <v>0.26470588235294118</v>
      </c>
    </row>
    <row r="3750" spans="1:14" x14ac:dyDescent="0.3">
      <c r="A3750" s="6">
        <v>45925</v>
      </c>
      <c r="B3750" s="1" t="s">
        <v>3934</v>
      </c>
      <c r="C3750" s="1" t="s">
        <v>28</v>
      </c>
      <c r="D3750" t="s">
        <v>34</v>
      </c>
      <c r="E3750" t="s">
        <v>415</v>
      </c>
      <c r="F3750" t="s">
        <v>19</v>
      </c>
      <c r="G3750" t="s">
        <v>20</v>
      </c>
      <c r="H3750" s="3">
        <v>2</v>
      </c>
      <c r="I3750" s="3">
        <v>1161</v>
      </c>
      <c r="J3750" s="3">
        <v>2322</v>
      </c>
      <c r="K3750" s="3">
        <v>900</v>
      </c>
      <c r="L3750" s="3">
        <v>1800</v>
      </c>
      <c r="M3750" s="3">
        <v>522</v>
      </c>
      <c r="N3750" s="4">
        <v>0.22480620155038761</v>
      </c>
    </row>
    <row r="3751" spans="1:14" x14ac:dyDescent="0.3">
      <c r="A3751" s="6">
        <v>45925</v>
      </c>
      <c r="B3751" s="1" t="s">
        <v>3935</v>
      </c>
      <c r="C3751" s="1" t="s">
        <v>29</v>
      </c>
      <c r="D3751" t="s">
        <v>30</v>
      </c>
      <c r="E3751" t="s">
        <v>351</v>
      </c>
      <c r="F3751" t="s">
        <v>21</v>
      </c>
      <c r="G3751" t="s">
        <v>20</v>
      </c>
      <c r="H3751" s="3">
        <v>8</v>
      </c>
      <c r="I3751" s="3">
        <v>768</v>
      </c>
      <c r="J3751" s="3">
        <v>6144</v>
      </c>
      <c r="K3751" s="3">
        <v>600</v>
      </c>
      <c r="L3751" s="3">
        <v>4800</v>
      </c>
      <c r="M3751" s="3">
        <v>1344</v>
      </c>
      <c r="N3751" s="4">
        <v>0.21875</v>
      </c>
    </row>
    <row r="3752" spans="1:14" x14ac:dyDescent="0.3">
      <c r="A3752" s="6">
        <v>45926</v>
      </c>
      <c r="B3752" s="1" t="s">
        <v>3936</v>
      </c>
      <c r="C3752" s="1" t="s">
        <v>27</v>
      </c>
      <c r="D3752" t="s">
        <v>34</v>
      </c>
      <c r="E3752" t="s">
        <v>292</v>
      </c>
      <c r="F3752" t="s">
        <v>19</v>
      </c>
      <c r="G3752" t="s">
        <v>20</v>
      </c>
      <c r="H3752" s="3">
        <v>1</v>
      </c>
      <c r="I3752" s="3">
        <v>1080</v>
      </c>
      <c r="J3752" s="3">
        <v>1080</v>
      </c>
      <c r="K3752" s="3">
        <v>900</v>
      </c>
      <c r="L3752" s="3">
        <v>900</v>
      </c>
      <c r="M3752" s="3">
        <v>180</v>
      </c>
      <c r="N3752" s="4">
        <v>0.16666666666666666</v>
      </c>
    </row>
    <row r="3753" spans="1:14" x14ac:dyDescent="0.3">
      <c r="A3753" s="6">
        <v>45926</v>
      </c>
      <c r="B3753" s="1" t="s">
        <v>3937</v>
      </c>
      <c r="C3753" s="1" t="s">
        <v>26</v>
      </c>
      <c r="D3753" t="s">
        <v>33</v>
      </c>
      <c r="E3753" t="s">
        <v>321</v>
      </c>
      <c r="F3753" t="s">
        <v>14</v>
      </c>
      <c r="G3753" t="s">
        <v>15</v>
      </c>
      <c r="H3753" s="3">
        <v>9</v>
      </c>
      <c r="I3753" s="3">
        <v>63900</v>
      </c>
      <c r="J3753" s="3">
        <v>575100</v>
      </c>
      <c r="K3753" s="3">
        <v>45000</v>
      </c>
      <c r="L3753" s="3">
        <v>405000</v>
      </c>
      <c r="M3753" s="3">
        <v>170100</v>
      </c>
      <c r="N3753" s="4">
        <v>0.29577464788732394</v>
      </c>
    </row>
    <row r="3754" spans="1:14" x14ac:dyDescent="0.3">
      <c r="A3754" s="6">
        <v>45926</v>
      </c>
      <c r="B3754" s="1" t="s">
        <v>3938</v>
      </c>
      <c r="C3754" s="1" t="s">
        <v>27</v>
      </c>
      <c r="D3754" t="s">
        <v>30</v>
      </c>
      <c r="E3754" t="s">
        <v>118</v>
      </c>
      <c r="F3754" t="s">
        <v>19</v>
      </c>
      <c r="G3754" t="s">
        <v>20</v>
      </c>
      <c r="H3754" s="3">
        <v>3</v>
      </c>
      <c r="I3754" s="3">
        <v>1134</v>
      </c>
      <c r="J3754" s="3">
        <v>3402</v>
      </c>
      <c r="K3754" s="3">
        <v>900</v>
      </c>
      <c r="L3754" s="3">
        <v>2700</v>
      </c>
      <c r="M3754" s="3">
        <v>702</v>
      </c>
      <c r="N3754" s="4">
        <v>0.20634920634920634</v>
      </c>
    </row>
    <row r="3755" spans="1:14" x14ac:dyDescent="0.3">
      <c r="A3755" s="6">
        <v>45926</v>
      </c>
      <c r="B3755" s="1" t="s">
        <v>3939</v>
      </c>
      <c r="C3755" s="1" t="s">
        <v>26</v>
      </c>
      <c r="D3755" t="s">
        <v>31</v>
      </c>
      <c r="E3755" t="s">
        <v>88</v>
      </c>
      <c r="F3755" t="s">
        <v>19</v>
      </c>
      <c r="G3755" t="s">
        <v>20</v>
      </c>
      <c r="H3755" s="3">
        <v>5</v>
      </c>
      <c r="I3755" s="3">
        <v>1116</v>
      </c>
      <c r="J3755" s="3">
        <v>5580</v>
      </c>
      <c r="K3755" s="3">
        <v>900</v>
      </c>
      <c r="L3755" s="3">
        <v>4500</v>
      </c>
      <c r="M3755" s="3">
        <v>1080</v>
      </c>
      <c r="N3755" s="4">
        <v>0.19354838709677419</v>
      </c>
    </row>
    <row r="3756" spans="1:14" x14ac:dyDescent="0.3">
      <c r="A3756" s="6">
        <v>45926</v>
      </c>
      <c r="B3756" s="1" t="s">
        <v>3940</v>
      </c>
      <c r="C3756" s="1" t="s">
        <v>29</v>
      </c>
      <c r="D3756" t="s">
        <v>32</v>
      </c>
      <c r="E3756" t="s">
        <v>208</v>
      </c>
      <c r="F3756" t="s">
        <v>21</v>
      </c>
      <c r="G3756" t="s">
        <v>20</v>
      </c>
      <c r="H3756" s="3">
        <v>4</v>
      </c>
      <c r="I3756" s="3">
        <v>870</v>
      </c>
      <c r="J3756" s="3">
        <v>3480</v>
      </c>
      <c r="K3756" s="3">
        <v>600</v>
      </c>
      <c r="L3756" s="3">
        <v>2400</v>
      </c>
      <c r="M3756" s="3">
        <v>1080</v>
      </c>
      <c r="N3756" s="4">
        <v>0.31034482758620691</v>
      </c>
    </row>
    <row r="3757" spans="1:14" x14ac:dyDescent="0.3">
      <c r="A3757" s="6">
        <v>45926</v>
      </c>
      <c r="B3757" s="1" t="s">
        <v>3941</v>
      </c>
      <c r="C3757" s="1" t="s">
        <v>26</v>
      </c>
      <c r="D3757" t="s">
        <v>31</v>
      </c>
      <c r="E3757" t="s">
        <v>388</v>
      </c>
      <c r="F3757" t="s">
        <v>14</v>
      </c>
      <c r="G3757" t="s">
        <v>15</v>
      </c>
      <c r="H3757" s="3">
        <v>3</v>
      </c>
      <c r="I3757" s="3">
        <v>55350</v>
      </c>
      <c r="J3757" s="3">
        <v>166050</v>
      </c>
      <c r="K3757" s="3">
        <v>45000</v>
      </c>
      <c r="L3757" s="3">
        <v>135000</v>
      </c>
      <c r="M3757" s="3">
        <v>31050</v>
      </c>
      <c r="N3757" s="4">
        <v>0.18699186991869918</v>
      </c>
    </row>
    <row r="3758" spans="1:14" x14ac:dyDescent="0.3">
      <c r="A3758" s="6">
        <v>45926</v>
      </c>
      <c r="B3758" s="1" t="s">
        <v>3942</v>
      </c>
      <c r="C3758" s="1" t="s">
        <v>29</v>
      </c>
      <c r="D3758" t="s">
        <v>35</v>
      </c>
      <c r="E3758" t="s">
        <v>255</v>
      </c>
      <c r="F3758" t="s">
        <v>14</v>
      </c>
      <c r="G3758" t="s">
        <v>15</v>
      </c>
      <c r="H3758" s="3">
        <v>4</v>
      </c>
      <c r="I3758" s="3">
        <v>62999.999999999993</v>
      </c>
      <c r="J3758" s="3">
        <v>251999.99999999997</v>
      </c>
      <c r="K3758" s="3">
        <v>45000</v>
      </c>
      <c r="L3758" s="3">
        <v>180000</v>
      </c>
      <c r="M3758" s="3">
        <v>71999.999999999971</v>
      </c>
      <c r="N3758" s="4">
        <v>0.28571428571428564</v>
      </c>
    </row>
    <row r="3759" spans="1:14" x14ac:dyDescent="0.3">
      <c r="A3759" s="6">
        <v>45926</v>
      </c>
      <c r="B3759" s="1" t="s">
        <v>3943</v>
      </c>
      <c r="C3759" s="1" t="s">
        <v>29</v>
      </c>
      <c r="D3759" t="s">
        <v>35</v>
      </c>
      <c r="E3759" t="s">
        <v>124</v>
      </c>
      <c r="F3759" t="s">
        <v>14</v>
      </c>
      <c r="G3759" t="s">
        <v>15</v>
      </c>
      <c r="H3759" s="3">
        <v>3</v>
      </c>
      <c r="I3759" s="3">
        <v>57150</v>
      </c>
      <c r="J3759" s="3">
        <v>171450</v>
      </c>
      <c r="K3759" s="3">
        <v>45000</v>
      </c>
      <c r="L3759" s="3">
        <v>135000</v>
      </c>
      <c r="M3759" s="3">
        <v>36450</v>
      </c>
      <c r="N3759" s="4">
        <v>0.2125984251968504</v>
      </c>
    </row>
    <row r="3760" spans="1:14" x14ac:dyDescent="0.3">
      <c r="A3760" s="6">
        <v>45926</v>
      </c>
      <c r="B3760" s="1" t="s">
        <v>3944</v>
      </c>
      <c r="C3760" s="1" t="s">
        <v>29</v>
      </c>
      <c r="D3760" t="s">
        <v>33</v>
      </c>
      <c r="E3760" t="s">
        <v>47</v>
      </c>
      <c r="F3760" t="s">
        <v>24</v>
      </c>
      <c r="G3760" t="s">
        <v>25</v>
      </c>
      <c r="H3760" s="3">
        <v>8</v>
      </c>
      <c r="I3760" s="3">
        <v>3050</v>
      </c>
      <c r="J3760" s="3">
        <v>24400</v>
      </c>
      <c r="K3760" s="3">
        <v>2500</v>
      </c>
      <c r="L3760" s="3">
        <v>20000</v>
      </c>
      <c r="M3760" s="3">
        <v>4400</v>
      </c>
      <c r="N3760" s="4">
        <v>0.18032786885245902</v>
      </c>
    </row>
    <row r="3761" spans="1:14" x14ac:dyDescent="0.3">
      <c r="A3761" s="6">
        <v>45926</v>
      </c>
      <c r="B3761" s="1" t="s">
        <v>3945</v>
      </c>
      <c r="C3761" s="1" t="s">
        <v>27</v>
      </c>
      <c r="D3761" t="s">
        <v>31</v>
      </c>
      <c r="E3761" t="s">
        <v>524</v>
      </c>
      <c r="F3761" t="s">
        <v>24</v>
      </c>
      <c r="G3761" t="s">
        <v>25</v>
      </c>
      <c r="H3761" s="3">
        <v>5</v>
      </c>
      <c r="I3761" s="3">
        <v>3325</v>
      </c>
      <c r="J3761" s="3">
        <v>16625</v>
      </c>
      <c r="K3761" s="3">
        <v>2500</v>
      </c>
      <c r="L3761" s="3">
        <v>12500</v>
      </c>
      <c r="M3761" s="3">
        <v>4125</v>
      </c>
      <c r="N3761" s="4">
        <v>0.24812030075187969</v>
      </c>
    </row>
    <row r="3762" spans="1:14" x14ac:dyDescent="0.3">
      <c r="A3762" s="6">
        <v>45926</v>
      </c>
      <c r="B3762" s="1" t="s">
        <v>3946</v>
      </c>
      <c r="C3762" s="1" t="s">
        <v>27</v>
      </c>
      <c r="D3762" t="s">
        <v>35</v>
      </c>
      <c r="E3762" t="s">
        <v>196</v>
      </c>
      <c r="F3762" t="s">
        <v>22</v>
      </c>
      <c r="G3762" t="s">
        <v>18</v>
      </c>
      <c r="H3762" s="3">
        <v>5</v>
      </c>
      <c r="I3762" s="3">
        <v>9730</v>
      </c>
      <c r="J3762" s="3">
        <v>48650</v>
      </c>
      <c r="K3762" s="3">
        <v>7000</v>
      </c>
      <c r="L3762" s="3">
        <v>35000</v>
      </c>
      <c r="M3762" s="3">
        <v>13650</v>
      </c>
      <c r="N3762" s="4">
        <v>0.2805755395683453</v>
      </c>
    </row>
    <row r="3763" spans="1:14" x14ac:dyDescent="0.3">
      <c r="A3763" s="6">
        <v>45926</v>
      </c>
      <c r="B3763" s="1" t="s">
        <v>3947</v>
      </c>
      <c r="C3763" s="1" t="s">
        <v>29</v>
      </c>
      <c r="D3763" t="s">
        <v>35</v>
      </c>
      <c r="E3763" t="s">
        <v>357</v>
      </c>
      <c r="F3763" t="s">
        <v>23</v>
      </c>
      <c r="G3763" t="s">
        <v>25</v>
      </c>
      <c r="H3763" s="3">
        <v>1</v>
      </c>
      <c r="I3763" s="3">
        <v>4384</v>
      </c>
      <c r="J3763" s="3">
        <v>4384</v>
      </c>
      <c r="K3763" s="3">
        <v>3200</v>
      </c>
      <c r="L3763" s="3">
        <v>3200</v>
      </c>
      <c r="M3763" s="3">
        <v>1184</v>
      </c>
      <c r="N3763" s="4">
        <v>0.27007299270072993</v>
      </c>
    </row>
    <row r="3764" spans="1:14" x14ac:dyDescent="0.3">
      <c r="A3764" s="6">
        <v>45926</v>
      </c>
      <c r="B3764" s="1" t="s">
        <v>3948</v>
      </c>
      <c r="C3764" s="1" t="s">
        <v>26</v>
      </c>
      <c r="D3764" t="s">
        <v>35</v>
      </c>
      <c r="E3764" t="s">
        <v>193</v>
      </c>
      <c r="F3764" t="s">
        <v>16</v>
      </c>
      <c r="G3764" t="s">
        <v>15</v>
      </c>
      <c r="H3764" s="3">
        <v>8</v>
      </c>
      <c r="I3764" s="3">
        <v>52060.000000000007</v>
      </c>
      <c r="J3764" s="3">
        <v>416480.00000000006</v>
      </c>
      <c r="K3764" s="3">
        <v>38000</v>
      </c>
      <c r="L3764" s="3">
        <v>304000</v>
      </c>
      <c r="M3764" s="3">
        <v>112480.00000000006</v>
      </c>
      <c r="N3764" s="4">
        <v>0.27007299270073004</v>
      </c>
    </row>
    <row r="3765" spans="1:14" x14ac:dyDescent="0.3">
      <c r="A3765" s="6">
        <v>45926</v>
      </c>
      <c r="B3765" s="1" t="s">
        <v>3949</v>
      </c>
      <c r="C3765" s="1" t="s">
        <v>28</v>
      </c>
      <c r="D3765" t="s">
        <v>35</v>
      </c>
      <c r="E3765" t="s">
        <v>108</v>
      </c>
      <c r="F3765" t="s">
        <v>16</v>
      </c>
      <c r="G3765" t="s">
        <v>15</v>
      </c>
      <c r="H3765" s="3">
        <v>1</v>
      </c>
      <c r="I3765" s="3">
        <v>52820.000000000007</v>
      </c>
      <c r="J3765" s="3">
        <v>52820.000000000007</v>
      </c>
      <c r="K3765" s="3">
        <v>38000</v>
      </c>
      <c r="L3765" s="3">
        <v>38000</v>
      </c>
      <c r="M3765" s="3">
        <v>14820.000000000007</v>
      </c>
      <c r="N3765" s="4">
        <v>0.28057553956834541</v>
      </c>
    </row>
    <row r="3766" spans="1:14" x14ac:dyDescent="0.3">
      <c r="A3766" s="6">
        <v>45927</v>
      </c>
      <c r="B3766" s="1" t="s">
        <v>3950</v>
      </c>
      <c r="C3766" s="1" t="s">
        <v>27</v>
      </c>
      <c r="D3766" t="s">
        <v>33</v>
      </c>
      <c r="E3766" t="s">
        <v>548</v>
      </c>
      <c r="F3766" t="s">
        <v>14</v>
      </c>
      <c r="G3766" t="s">
        <v>15</v>
      </c>
      <c r="H3766" s="3">
        <v>10</v>
      </c>
      <c r="I3766" s="3">
        <v>59400</v>
      </c>
      <c r="J3766" s="3">
        <v>594000</v>
      </c>
      <c r="K3766" s="3">
        <v>45000</v>
      </c>
      <c r="L3766" s="3">
        <v>450000</v>
      </c>
      <c r="M3766" s="3">
        <v>144000</v>
      </c>
      <c r="N3766" s="4">
        <v>0.24242424242424243</v>
      </c>
    </row>
    <row r="3767" spans="1:14" x14ac:dyDescent="0.3">
      <c r="A3767" s="6">
        <v>45927</v>
      </c>
      <c r="B3767" s="1" t="s">
        <v>3951</v>
      </c>
      <c r="C3767" s="1" t="s">
        <v>29</v>
      </c>
      <c r="D3767" t="s">
        <v>35</v>
      </c>
      <c r="E3767" t="s">
        <v>85</v>
      </c>
      <c r="F3767" t="s">
        <v>16</v>
      </c>
      <c r="G3767" t="s">
        <v>15</v>
      </c>
      <c r="H3767" s="3">
        <v>3</v>
      </c>
      <c r="I3767" s="3">
        <v>45980</v>
      </c>
      <c r="J3767" s="3">
        <v>137940</v>
      </c>
      <c r="K3767" s="3">
        <v>38000</v>
      </c>
      <c r="L3767" s="3">
        <v>114000</v>
      </c>
      <c r="M3767" s="3">
        <v>23940</v>
      </c>
      <c r="N3767" s="4">
        <v>0.17355371900826447</v>
      </c>
    </row>
    <row r="3768" spans="1:14" x14ac:dyDescent="0.3">
      <c r="A3768" s="6">
        <v>45927</v>
      </c>
      <c r="B3768" s="1" t="s">
        <v>3952</v>
      </c>
      <c r="C3768" s="1" t="s">
        <v>27</v>
      </c>
      <c r="D3768" t="s">
        <v>31</v>
      </c>
      <c r="E3768" t="s">
        <v>57</v>
      </c>
      <c r="F3768" t="s">
        <v>21</v>
      </c>
      <c r="G3768" t="s">
        <v>20</v>
      </c>
      <c r="H3768" s="3">
        <v>9</v>
      </c>
      <c r="I3768" s="3">
        <v>732</v>
      </c>
      <c r="J3768" s="3">
        <v>6588</v>
      </c>
      <c r="K3768" s="3">
        <v>600</v>
      </c>
      <c r="L3768" s="3">
        <v>5400</v>
      </c>
      <c r="M3768" s="3">
        <v>1188</v>
      </c>
      <c r="N3768" s="4">
        <v>0.18032786885245902</v>
      </c>
    </row>
    <row r="3769" spans="1:14" x14ac:dyDescent="0.3">
      <c r="A3769" s="6">
        <v>45927</v>
      </c>
      <c r="B3769" s="1" t="s">
        <v>3953</v>
      </c>
      <c r="C3769" s="1" t="s">
        <v>27</v>
      </c>
      <c r="D3769" t="s">
        <v>33</v>
      </c>
      <c r="E3769" t="s">
        <v>407</v>
      </c>
      <c r="F3769" t="s">
        <v>16</v>
      </c>
      <c r="G3769" t="s">
        <v>15</v>
      </c>
      <c r="H3769" s="3">
        <v>6</v>
      </c>
      <c r="I3769" s="3">
        <v>52060.000000000007</v>
      </c>
      <c r="J3769" s="3">
        <v>312360.00000000006</v>
      </c>
      <c r="K3769" s="3">
        <v>38000</v>
      </c>
      <c r="L3769" s="3">
        <v>228000</v>
      </c>
      <c r="M3769" s="3">
        <v>84360.000000000058</v>
      </c>
      <c r="N3769" s="4">
        <v>0.27007299270073004</v>
      </c>
    </row>
    <row r="3770" spans="1:14" x14ac:dyDescent="0.3">
      <c r="A3770" s="6">
        <v>45927</v>
      </c>
      <c r="B3770" s="1" t="s">
        <v>3954</v>
      </c>
      <c r="C3770" s="1" t="s">
        <v>28</v>
      </c>
      <c r="D3770" t="s">
        <v>30</v>
      </c>
      <c r="E3770" t="s">
        <v>196</v>
      </c>
      <c r="F3770" t="s">
        <v>17</v>
      </c>
      <c r="G3770" t="s">
        <v>18</v>
      </c>
      <c r="H3770" s="3">
        <v>8</v>
      </c>
      <c r="I3770" s="3">
        <v>11645</v>
      </c>
      <c r="J3770" s="3">
        <v>93160</v>
      </c>
      <c r="K3770" s="3">
        <v>8500</v>
      </c>
      <c r="L3770" s="3">
        <v>68000</v>
      </c>
      <c r="M3770" s="3">
        <v>25160</v>
      </c>
      <c r="N3770" s="4">
        <v>0.27007299270072993</v>
      </c>
    </row>
    <row r="3771" spans="1:14" x14ac:dyDescent="0.3">
      <c r="A3771" s="6">
        <v>45927</v>
      </c>
      <c r="B3771" s="1" t="s">
        <v>3955</v>
      </c>
      <c r="C3771" s="1" t="s">
        <v>28</v>
      </c>
      <c r="D3771" t="s">
        <v>30</v>
      </c>
      <c r="E3771" t="s">
        <v>137</v>
      </c>
      <c r="F3771" t="s">
        <v>21</v>
      </c>
      <c r="G3771" t="s">
        <v>20</v>
      </c>
      <c r="H3771" s="3">
        <v>4</v>
      </c>
      <c r="I3771" s="3">
        <v>798</v>
      </c>
      <c r="J3771" s="3">
        <v>3192</v>
      </c>
      <c r="K3771" s="3">
        <v>600</v>
      </c>
      <c r="L3771" s="3">
        <v>2400</v>
      </c>
      <c r="M3771" s="3">
        <v>792</v>
      </c>
      <c r="N3771" s="4">
        <v>0.24812030075187969</v>
      </c>
    </row>
    <row r="3772" spans="1:14" x14ac:dyDescent="0.3">
      <c r="A3772" s="6">
        <v>45927</v>
      </c>
      <c r="B3772" s="1" t="s">
        <v>3956</v>
      </c>
      <c r="C3772" s="1" t="s">
        <v>29</v>
      </c>
      <c r="D3772" t="s">
        <v>33</v>
      </c>
      <c r="E3772" t="s">
        <v>120</v>
      </c>
      <c r="F3772" t="s">
        <v>24</v>
      </c>
      <c r="G3772" t="s">
        <v>25</v>
      </c>
      <c r="H3772" s="3">
        <v>9</v>
      </c>
      <c r="I3772" s="3">
        <v>3350</v>
      </c>
      <c r="J3772" s="3">
        <v>30150</v>
      </c>
      <c r="K3772" s="3">
        <v>2500</v>
      </c>
      <c r="L3772" s="3">
        <v>22500</v>
      </c>
      <c r="M3772" s="3">
        <v>7650</v>
      </c>
      <c r="N3772" s="4">
        <v>0.2537313432835821</v>
      </c>
    </row>
    <row r="3773" spans="1:14" x14ac:dyDescent="0.3">
      <c r="A3773" s="6">
        <v>45927</v>
      </c>
      <c r="B3773" s="1" t="s">
        <v>3957</v>
      </c>
      <c r="C3773" s="1" t="s">
        <v>27</v>
      </c>
      <c r="D3773" t="s">
        <v>33</v>
      </c>
      <c r="E3773" t="s">
        <v>363</v>
      </c>
      <c r="F3773" t="s">
        <v>14</v>
      </c>
      <c r="G3773" t="s">
        <v>15</v>
      </c>
      <c r="H3773" s="3">
        <v>2</v>
      </c>
      <c r="I3773" s="3">
        <v>63450</v>
      </c>
      <c r="J3773" s="3">
        <v>126900</v>
      </c>
      <c r="K3773" s="3">
        <v>45000</v>
      </c>
      <c r="L3773" s="3">
        <v>90000</v>
      </c>
      <c r="M3773" s="3">
        <v>36900</v>
      </c>
      <c r="N3773" s="4">
        <v>0.29078014184397161</v>
      </c>
    </row>
    <row r="3774" spans="1:14" x14ac:dyDescent="0.3">
      <c r="A3774" s="6">
        <v>45927</v>
      </c>
      <c r="B3774" s="1" t="s">
        <v>3958</v>
      </c>
      <c r="C3774" s="1" t="s">
        <v>27</v>
      </c>
      <c r="D3774" t="s">
        <v>35</v>
      </c>
      <c r="E3774" t="s">
        <v>161</v>
      </c>
      <c r="F3774" t="s">
        <v>14</v>
      </c>
      <c r="G3774" t="s">
        <v>15</v>
      </c>
      <c r="H3774" s="3">
        <v>4</v>
      </c>
      <c r="I3774" s="3">
        <v>59400</v>
      </c>
      <c r="J3774" s="3">
        <v>237600</v>
      </c>
      <c r="K3774" s="3">
        <v>45000</v>
      </c>
      <c r="L3774" s="3">
        <v>180000</v>
      </c>
      <c r="M3774" s="3">
        <v>57600</v>
      </c>
      <c r="N3774" s="4">
        <v>0.24242424242424243</v>
      </c>
    </row>
    <row r="3775" spans="1:14" x14ac:dyDescent="0.3">
      <c r="A3775" s="6">
        <v>45927</v>
      </c>
      <c r="B3775" s="1" t="s">
        <v>3959</v>
      </c>
      <c r="C3775" s="1" t="s">
        <v>27</v>
      </c>
      <c r="D3775" t="s">
        <v>34</v>
      </c>
      <c r="E3775" t="s">
        <v>361</v>
      </c>
      <c r="F3775" t="s">
        <v>21</v>
      </c>
      <c r="G3775" t="s">
        <v>20</v>
      </c>
      <c r="H3775" s="3">
        <v>10</v>
      </c>
      <c r="I3775" s="3">
        <v>738</v>
      </c>
      <c r="J3775" s="3">
        <v>7380</v>
      </c>
      <c r="K3775" s="3">
        <v>600</v>
      </c>
      <c r="L3775" s="3">
        <v>6000</v>
      </c>
      <c r="M3775" s="3">
        <v>1380</v>
      </c>
      <c r="N3775" s="4">
        <v>0.18699186991869918</v>
      </c>
    </row>
    <row r="3776" spans="1:14" x14ac:dyDescent="0.3">
      <c r="A3776" s="6">
        <v>45927</v>
      </c>
      <c r="B3776" s="1" t="s">
        <v>3960</v>
      </c>
      <c r="C3776" s="1" t="s">
        <v>27</v>
      </c>
      <c r="D3776" t="s">
        <v>34</v>
      </c>
      <c r="E3776" t="s">
        <v>78</v>
      </c>
      <c r="F3776" t="s">
        <v>19</v>
      </c>
      <c r="G3776" t="s">
        <v>20</v>
      </c>
      <c r="H3776" s="3">
        <v>6</v>
      </c>
      <c r="I3776" s="3">
        <v>1134</v>
      </c>
      <c r="J3776" s="3">
        <v>6804</v>
      </c>
      <c r="K3776" s="3">
        <v>900</v>
      </c>
      <c r="L3776" s="3">
        <v>5400</v>
      </c>
      <c r="M3776" s="3">
        <v>1404</v>
      </c>
      <c r="N3776" s="4">
        <v>0.20634920634920634</v>
      </c>
    </row>
    <row r="3777" spans="1:14" x14ac:dyDescent="0.3">
      <c r="A3777" s="6">
        <v>45927</v>
      </c>
      <c r="B3777" s="1" t="s">
        <v>3961</v>
      </c>
      <c r="C3777" s="1" t="s">
        <v>27</v>
      </c>
      <c r="D3777" t="s">
        <v>32</v>
      </c>
      <c r="E3777" t="s">
        <v>431</v>
      </c>
      <c r="F3777" t="s">
        <v>14</v>
      </c>
      <c r="G3777" t="s">
        <v>15</v>
      </c>
      <c r="H3777" s="3">
        <v>6</v>
      </c>
      <c r="I3777" s="3">
        <v>59400</v>
      </c>
      <c r="J3777" s="3">
        <v>356400</v>
      </c>
      <c r="K3777" s="3">
        <v>45000</v>
      </c>
      <c r="L3777" s="3">
        <v>270000</v>
      </c>
      <c r="M3777" s="3">
        <v>86400</v>
      </c>
      <c r="N3777" s="4">
        <v>0.24242424242424243</v>
      </c>
    </row>
    <row r="3778" spans="1:14" x14ac:dyDescent="0.3">
      <c r="A3778" s="6">
        <v>45927</v>
      </c>
      <c r="B3778" s="1" t="s">
        <v>3962</v>
      </c>
      <c r="C3778" s="1" t="s">
        <v>29</v>
      </c>
      <c r="D3778" t="s">
        <v>33</v>
      </c>
      <c r="E3778" t="s">
        <v>149</v>
      </c>
      <c r="F3778" t="s">
        <v>24</v>
      </c>
      <c r="G3778" t="s">
        <v>25</v>
      </c>
      <c r="H3778" s="3">
        <v>9</v>
      </c>
      <c r="I3778" s="3">
        <v>3600</v>
      </c>
      <c r="J3778" s="3">
        <v>32400</v>
      </c>
      <c r="K3778" s="3">
        <v>2500</v>
      </c>
      <c r="L3778" s="3">
        <v>22500</v>
      </c>
      <c r="M3778" s="3">
        <v>9900</v>
      </c>
      <c r="N3778" s="4">
        <v>0.30555555555555558</v>
      </c>
    </row>
    <row r="3779" spans="1:14" x14ac:dyDescent="0.3">
      <c r="A3779" s="6">
        <v>45927</v>
      </c>
      <c r="B3779" s="1" t="s">
        <v>3963</v>
      </c>
      <c r="C3779" s="1" t="s">
        <v>28</v>
      </c>
      <c r="D3779" t="s">
        <v>30</v>
      </c>
      <c r="E3779" t="s">
        <v>189</v>
      </c>
      <c r="F3779" t="s">
        <v>23</v>
      </c>
      <c r="G3779" t="s">
        <v>25</v>
      </c>
      <c r="H3779" s="3">
        <v>2</v>
      </c>
      <c r="I3779" s="3">
        <v>4000</v>
      </c>
      <c r="J3779" s="3">
        <v>8000</v>
      </c>
      <c r="K3779" s="3">
        <v>3200</v>
      </c>
      <c r="L3779" s="3">
        <v>6400</v>
      </c>
      <c r="M3779" s="3">
        <v>1600</v>
      </c>
      <c r="N3779" s="4">
        <v>0.2</v>
      </c>
    </row>
    <row r="3780" spans="1:14" x14ac:dyDescent="0.3">
      <c r="A3780" s="6">
        <v>45928</v>
      </c>
      <c r="B3780" s="1" t="s">
        <v>3964</v>
      </c>
      <c r="C3780" s="1" t="s">
        <v>29</v>
      </c>
      <c r="D3780" t="s">
        <v>32</v>
      </c>
      <c r="E3780" t="s">
        <v>231</v>
      </c>
      <c r="F3780" t="s">
        <v>21</v>
      </c>
      <c r="G3780" t="s">
        <v>20</v>
      </c>
      <c r="H3780" s="3">
        <v>10</v>
      </c>
      <c r="I3780" s="3">
        <v>798</v>
      </c>
      <c r="J3780" s="3">
        <v>7980</v>
      </c>
      <c r="K3780" s="3">
        <v>600</v>
      </c>
      <c r="L3780" s="3">
        <v>6000</v>
      </c>
      <c r="M3780" s="3">
        <v>1980</v>
      </c>
      <c r="N3780" s="4">
        <v>0.24812030075187969</v>
      </c>
    </row>
    <row r="3781" spans="1:14" x14ac:dyDescent="0.3">
      <c r="A3781" s="6">
        <v>45928</v>
      </c>
      <c r="B3781" s="1" t="s">
        <v>3965</v>
      </c>
      <c r="C3781" s="1" t="s">
        <v>27</v>
      </c>
      <c r="D3781" t="s">
        <v>33</v>
      </c>
      <c r="E3781" t="s">
        <v>196</v>
      </c>
      <c r="F3781" t="s">
        <v>21</v>
      </c>
      <c r="G3781" t="s">
        <v>20</v>
      </c>
      <c r="H3781" s="3">
        <v>10</v>
      </c>
      <c r="I3781" s="3">
        <v>786</v>
      </c>
      <c r="J3781" s="3">
        <v>7860</v>
      </c>
      <c r="K3781" s="3">
        <v>600</v>
      </c>
      <c r="L3781" s="3">
        <v>6000</v>
      </c>
      <c r="M3781" s="3">
        <v>1860</v>
      </c>
      <c r="N3781" s="4">
        <v>0.23664122137404581</v>
      </c>
    </row>
    <row r="3782" spans="1:14" x14ac:dyDescent="0.3">
      <c r="A3782" s="6">
        <v>45928</v>
      </c>
      <c r="B3782" s="1" t="s">
        <v>3966</v>
      </c>
      <c r="C3782" s="1" t="s">
        <v>26</v>
      </c>
      <c r="D3782" t="s">
        <v>31</v>
      </c>
      <c r="E3782" t="s">
        <v>169</v>
      </c>
      <c r="F3782" t="s">
        <v>23</v>
      </c>
      <c r="G3782" t="s">
        <v>25</v>
      </c>
      <c r="H3782" s="3">
        <v>7</v>
      </c>
      <c r="I3782" s="3">
        <v>4480</v>
      </c>
      <c r="J3782" s="3">
        <v>31360</v>
      </c>
      <c r="K3782" s="3">
        <v>3200</v>
      </c>
      <c r="L3782" s="3">
        <v>22400</v>
      </c>
      <c r="M3782" s="3">
        <v>8960</v>
      </c>
      <c r="N3782" s="4">
        <v>0.2857142857142857</v>
      </c>
    </row>
    <row r="3783" spans="1:14" x14ac:dyDescent="0.3">
      <c r="A3783" s="6">
        <v>45928</v>
      </c>
      <c r="B3783" s="1" t="s">
        <v>3967</v>
      </c>
      <c r="C3783" s="1" t="s">
        <v>26</v>
      </c>
      <c r="D3783" t="s">
        <v>32</v>
      </c>
      <c r="E3783" t="s">
        <v>102</v>
      </c>
      <c r="F3783" t="s">
        <v>22</v>
      </c>
      <c r="G3783" t="s">
        <v>18</v>
      </c>
      <c r="H3783" s="3">
        <v>4</v>
      </c>
      <c r="I3783" s="3">
        <v>9870</v>
      </c>
      <c r="J3783" s="3">
        <v>39480</v>
      </c>
      <c r="K3783" s="3">
        <v>7000</v>
      </c>
      <c r="L3783" s="3">
        <v>28000</v>
      </c>
      <c r="M3783" s="3">
        <v>11480</v>
      </c>
      <c r="N3783" s="4">
        <v>0.29078014184397161</v>
      </c>
    </row>
    <row r="3784" spans="1:14" x14ac:dyDescent="0.3">
      <c r="A3784" s="6">
        <v>45928</v>
      </c>
      <c r="B3784" s="1" t="s">
        <v>3968</v>
      </c>
      <c r="C3784" s="1" t="s">
        <v>28</v>
      </c>
      <c r="D3784" t="s">
        <v>34</v>
      </c>
      <c r="E3784" t="s">
        <v>47</v>
      </c>
      <c r="F3784" t="s">
        <v>24</v>
      </c>
      <c r="G3784" t="s">
        <v>25</v>
      </c>
      <c r="H3784" s="3">
        <v>10</v>
      </c>
      <c r="I3784" s="3">
        <v>3600</v>
      </c>
      <c r="J3784" s="3">
        <v>36000</v>
      </c>
      <c r="K3784" s="3">
        <v>2500</v>
      </c>
      <c r="L3784" s="3">
        <v>25000</v>
      </c>
      <c r="M3784" s="3">
        <v>11000</v>
      </c>
      <c r="N3784" s="4">
        <v>0.30555555555555558</v>
      </c>
    </row>
    <row r="3785" spans="1:14" x14ac:dyDescent="0.3">
      <c r="A3785" s="6">
        <v>45928</v>
      </c>
      <c r="B3785" s="1" t="s">
        <v>3969</v>
      </c>
      <c r="C3785" s="1" t="s">
        <v>27</v>
      </c>
      <c r="D3785" t="s">
        <v>32</v>
      </c>
      <c r="E3785" t="s">
        <v>55</v>
      </c>
      <c r="F3785" t="s">
        <v>14</v>
      </c>
      <c r="G3785" t="s">
        <v>15</v>
      </c>
      <c r="H3785" s="3">
        <v>4</v>
      </c>
      <c r="I3785" s="3">
        <v>58050</v>
      </c>
      <c r="J3785" s="3">
        <v>232200</v>
      </c>
      <c r="K3785" s="3">
        <v>45000</v>
      </c>
      <c r="L3785" s="3">
        <v>180000</v>
      </c>
      <c r="M3785" s="3">
        <v>52200</v>
      </c>
      <c r="N3785" s="4">
        <v>0.22480620155038761</v>
      </c>
    </row>
    <row r="3786" spans="1:14" x14ac:dyDescent="0.3">
      <c r="A3786" s="6">
        <v>45928</v>
      </c>
      <c r="B3786" s="1" t="s">
        <v>3970</v>
      </c>
      <c r="C3786" s="1" t="s">
        <v>27</v>
      </c>
      <c r="D3786" t="s">
        <v>32</v>
      </c>
      <c r="E3786" t="s">
        <v>388</v>
      </c>
      <c r="F3786" t="s">
        <v>17</v>
      </c>
      <c r="G3786" t="s">
        <v>18</v>
      </c>
      <c r="H3786" s="3">
        <v>10</v>
      </c>
      <c r="I3786" s="3">
        <v>10710</v>
      </c>
      <c r="J3786" s="3">
        <v>107100</v>
      </c>
      <c r="K3786" s="3">
        <v>8500</v>
      </c>
      <c r="L3786" s="3">
        <v>85000</v>
      </c>
      <c r="M3786" s="3">
        <v>22100</v>
      </c>
      <c r="N3786" s="4">
        <v>0.20634920634920634</v>
      </c>
    </row>
    <row r="3787" spans="1:14" x14ac:dyDescent="0.3">
      <c r="A3787" s="6">
        <v>45928</v>
      </c>
      <c r="B3787" s="1" t="s">
        <v>3971</v>
      </c>
      <c r="C3787" s="1" t="s">
        <v>27</v>
      </c>
      <c r="D3787" t="s">
        <v>35</v>
      </c>
      <c r="E3787" t="s">
        <v>453</v>
      </c>
      <c r="F3787" t="s">
        <v>23</v>
      </c>
      <c r="G3787" t="s">
        <v>25</v>
      </c>
      <c r="H3787" s="3">
        <v>3</v>
      </c>
      <c r="I3787" s="3">
        <v>4448</v>
      </c>
      <c r="J3787" s="3">
        <v>13344</v>
      </c>
      <c r="K3787" s="3">
        <v>3200</v>
      </c>
      <c r="L3787" s="3">
        <v>9600</v>
      </c>
      <c r="M3787" s="3">
        <v>3744</v>
      </c>
      <c r="N3787" s="4">
        <v>0.2805755395683453</v>
      </c>
    </row>
    <row r="3788" spans="1:14" x14ac:dyDescent="0.3">
      <c r="A3788" s="6">
        <v>45928</v>
      </c>
      <c r="B3788" s="1" t="s">
        <v>3972</v>
      </c>
      <c r="C3788" s="1" t="s">
        <v>28</v>
      </c>
      <c r="D3788" t="s">
        <v>32</v>
      </c>
      <c r="E3788" t="s">
        <v>94</v>
      </c>
      <c r="F3788" t="s">
        <v>23</v>
      </c>
      <c r="G3788" t="s">
        <v>25</v>
      </c>
      <c r="H3788" s="3">
        <v>2</v>
      </c>
      <c r="I3788" s="3">
        <v>4032</v>
      </c>
      <c r="J3788" s="3">
        <v>8064</v>
      </c>
      <c r="K3788" s="3">
        <v>3200</v>
      </c>
      <c r="L3788" s="3">
        <v>6400</v>
      </c>
      <c r="M3788" s="3">
        <v>1664</v>
      </c>
      <c r="N3788" s="4">
        <v>0.20634920634920634</v>
      </c>
    </row>
    <row r="3789" spans="1:14" x14ac:dyDescent="0.3">
      <c r="A3789" s="6">
        <v>45928</v>
      </c>
      <c r="B3789" s="1" t="s">
        <v>3973</v>
      </c>
      <c r="C3789" s="1" t="s">
        <v>26</v>
      </c>
      <c r="D3789" t="s">
        <v>31</v>
      </c>
      <c r="E3789" t="s">
        <v>204</v>
      </c>
      <c r="F3789" t="s">
        <v>16</v>
      </c>
      <c r="G3789" t="s">
        <v>15</v>
      </c>
      <c r="H3789" s="3">
        <v>10</v>
      </c>
      <c r="I3789" s="3">
        <v>50540</v>
      </c>
      <c r="J3789" s="3">
        <v>505400</v>
      </c>
      <c r="K3789" s="3">
        <v>38000</v>
      </c>
      <c r="L3789" s="3">
        <v>380000</v>
      </c>
      <c r="M3789" s="3">
        <v>125400</v>
      </c>
      <c r="N3789" s="4">
        <v>0.24812030075187969</v>
      </c>
    </row>
    <row r="3790" spans="1:14" x14ac:dyDescent="0.3">
      <c r="A3790" s="6">
        <v>45928</v>
      </c>
      <c r="B3790" s="1" t="s">
        <v>3974</v>
      </c>
      <c r="C3790" s="1" t="s">
        <v>29</v>
      </c>
      <c r="D3790" t="s">
        <v>33</v>
      </c>
      <c r="E3790" t="s">
        <v>751</v>
      </c>
      <c r="F3790" t="s">
        <v>14</v>
      </c>
      <c r="G3790" t="s">
        <v>15</v>
      </c>
      <c r="H3790" s="3">
        <v>7</v>
      </c>
      <c r="I3790" s="3">
        <v>54900</v>
      </c>
      <c r="J3790" s="3">
        <v>384300</v>
      </c>
      <c r="K3790" s="3">
        <v>45000</v>
      </c>
      <c r="L3790" s="3">
        <v>315000</v>
      </c>
      <c r="M3790" s="3">
        <v>69300</v>
      </c>
      <c r="N3790" s="4">
        <v>0.18032786885245902</v>
      </c>
    </row>
    <row r="3791" spans="1:14" x14ac:dyDescent="0.3">
      <c r="A3791" s="6">
        <v>45928</v>
      </c>
      <c r="B3791" s="1" t="s">
        <v>3975</v>
      </c>
      <c r="C3791" s="1" t="s">
        <v>27</v>
      </c>
      <c r="D3791" t="s">
        <v>30</v>
      </c>
      <c r="E3791" t="s">
        <v>43</v>
      </c>
      <c r="F3791" t="s">
        <v>16</v>
      </c>
      <c r="G3791" t="s">
        <v>15</v>
      </c>
      <c r="H3791" s="3">
        <v>3</v>
      </c>
      <c r="I3791" s="3">
        <v>46740</v>
      </c>
      <c r="J3791" s="3">
        <v>140220</v>
      </c>
      <c r="K3791" s="3">
        <v>38000</v>
      </c>
      <c r="L3791" s="3">
        <v>114000</v>
      </c>
      <c r="M3791" s="3">
        <v>26220</v>
      </c>
      <c r="N3791" s="4">
        <v>0.18699186991869918</v>
      </c>
    </row>
    <row r="3792" spans="1:14" x14ac:dyDescent="0.3">
      <c r="A3792" s="6">
        <v>45928</v>
      </c>
      <c r="B3792" s="1" t="s">
        <v>3976</v>
      </c>
      <c r="C3792" s="1" t="s">
        <v>29</v>
      </c>
      <c r="D3792" t="s">
        <v>30</v>
      </c>
      <c r="E3792" t="s">
        <v>349</v>
      </c>
      <c r="F3792" t="s">
        <v>19</v>
      </c>
      <c r="G3792" t="s">
        <v>20</v>
      </c>
      <c r="H3792" s="3">
        <v>3</v>
      </c>
      <c r="I3792" s="3">
        <v>1260</v>
      </c>
      <c r="J3792" s="3">
        <v>3780</v>
      </c>
      <c r="K3792" s="3">
        <v>900</v>
      </c>
      <c r="L3792" s="3">
        <v>2700</v>
      </c>
      <c r="M3792" s="3">
        <v>1080</v>
      </c>
      <c r="N3792" s="4">
        <v>0.2857142857142857</v>
      </c>
    </row>
    <row r="3793" spans="1:14" x14ac:dyDescent="0.3">
      <c r="A3793" s="6">
        <v>45928</v>
      </c>
      <c r="B3793" s="1" t="s">
        <v>3977</v>
      </c>
      <c r="C3793" s="1" t="s">
        <v>27</v>
      </c>
      <c r="D3793" t="s">
        <v>35</v>
      </c>
      <c r="E3793" t="s">
        <v>524</v>
      </c>
      <c r="F3793" t="s">
        <v>22</v>
      </c>
      <c r="G3793" t="s">
        <v>18</v>
      </c>
      <c r="H3793" s="3">
        <v>3</v>
      </c>
      <c r="I3793" s="3">
        <v>9730</v>
      </c>
      <c r="J3793" s="3">
        <v>29190</v>
      </c>
      <c r="K3793" s="3">
        <v>7000</v>
      </c>
      <c r="L3793" s="3">
        <v>21000</v>
      </c>
      <c r="M3793" s="3">
        <v>8190</v>
      </c>
      <c r="N3793" s="4">
        <v>0.2805755395683453</v>
      </c>
    </row>
    <row r="3794" spans="1:14" x14ac:dyDescent="0.3">
      <c r="A3794" s="6">
        <v>45929</v>
      </c>
      <c r="B3794" s="1" t="s">
        <v>3978</v>
      </c>
      <c r="C3794" s="1" t="s">
        <v>28</v>
      </c>
      <c r="D3794" t="s">
        <v>30</v>
      </c>
      <c r="E3794" t="s">
        <v>249</v>
      </c>
      <c r="F3794" t="s">
        <v>23</v>
      </c>
      <c r="G3794" t="s">
        <v>25</v>
      </c>
      <c r="H3794" s="3">
        <v>8</v>
      </c>
      <c r="I3794" s="3">
        <v>3936</v>
      </c>
      <c r="J3794" s="3">
        <v>31488</v>
      </c>
      <c r="K3794" s="3">
        <v>3200</v>
      </c>
      <c r="L3794" s="3">
        <v>25600</v>
      </c>
      <c r="M3794" s="3">
        <v>5888</v>
      </c>
      <c r="N3794" s="4">
        <v>0.18699186991869918</v>
      </c>
    </row>
    <row r="3795" spans="1:14" x14ac:dyDescent="0.3">
      <c r="A3795" s="6">
        <v>45929</v>
      </c>
      <c r="B3795" s="1" t="s">
        <v>3979</v>
      </c>
      <c r="C3795" s="1" t="s">
        <v>26</v>
      </c>
      <c r="D3795" t="s">
        <v>30</v>
      </c>
      <c r="E3795" t="s">
        <v>206</v>
      </c>
      <c r="F3795" t="s">
        <v>24</v>
      </c>
      <c r="G3795" t="s">
        <v>25</v>
      </c>
      <c r="H3795" s="3">
        <v>2</v>
      </c>
      <c r="I3795" s="3">
        <v>3175</v>
      </c>
      <c r="J3795" s="3">
        <v>6350</v>
      </c>
      <c r="K3795" s="3">
        <v>2500</v>
      </c>
      <c r="L3795" s="3">
        <v>5000</v>
      </c>
      <c r="M3795" s="3">
        <v>1350</v>
      </c>
      <c r="N3795" s="4">
        <v>0.2125984251968504</v>
      </c>
    </row>
    <row r="3796" spans="1:14" x14ac:dyDescent="0.3">
      <c r="A3796" s="6">
        <v>45929</v>
      </c>
      <c r="B3796" s="1" t="s">
        <v>3980</v>
      </c>
      <c r="C3796" s="1" t="s">
        <v>27</v>
      </c>
      <c r="D3796" t="s">
        <v>30</v>
      </c>
      <c r="E3796" t="s">
        <v>114</v>
      </c>
      <c r="F3796" t="s">
        <v>21</v>
      </c>
      <c r="G3796" t="s">
        <v>20</v>
      </c>
      <c r="H3796" s="3">
        <v>2</v>
      </c>
      <c r="I3796" s="3">
        <v>792</v>
      </c>
      <c r="J3796" s="3">
        <v>1584</v>
      </c>
      <c r="K3796" s="3">
        <v>600</v>
      </c>
      <c r="L3796" s="3">
        <v>1200</v>
      </c>
      <c r="M3796" s="3">
        <v>384</v>
      </c>
      <c r="N3796" s="4">
        <v>0.24242424242424243</v>
      </c>
    </row>
    <row r="3797" spans="1:14" x14ac:dyDescent="0.3">
      <c r="A3797" s="6">
        <v>45929</v>
      </c>
      <c r="B3797" s="1" t="s">
        <v>3981</v>
      </c>
      <c r="C3797" s="1" t="s">
        <v>28</v>
      </c>
      <c r="D3797" t="s">
        <v>30</v>
      </c>
      <c r="E3797" t="s">
        <v>45</v>
      </c>
      <c r="F3797" t="s">
        <v>24</v>
      </c>
      <c r="G3797" t="s">
        <v>25</v>
      </c>
      <c r="H3797" s="3">
        <v>4</v>
      </c>
      <c r="I3797" s="3">
        <v>3150</v>
      </c>
      <c r="J3797" s="3">
        <v>12600</v>
      </c>
      <c r="K3797" s="3">
        <v>2500</v>
      </c>
      <c r="L3797" s="3">
        <v>10000</v>
      </c>
      <c r="M3797" s="3">
        <v>2600</v>
      </c>
      <c r="N3797" s="4">
        <v>0.20634920634920634</v>
      </c>
    </row>
    <row r="3798" spans="1:14" x14ac:dyDescent="0.3">
      <c r="A3798" s="6">
        <v>45929</v>
      </c>
      <c r="B3798" s="1" t="s">
        <v>3982</v>
      </c>
      <c r="C3798" s="1" t="s">
        <v>26</v>
      </c>
      <c r="D3798" t="s">
        <v>35</v>
      </c>
      <c r="E3798" t="s">
        <v>506</v>
      </c>
      <c r="F3798" t="s">
        <v>14</v>
      </c>
      <c r="G3798" t="s">
        <v>15</v>
      </c>
      <c r="H3798" s="3">
        <v>6</v>
      </c>
      <c r="I3798" s="3">
        <v>62550.000000000007</v>
      </c>
      <c r="J3798" s="3">
        <v>375300.00000000006</v>
      </c>
      <c r="K3798" s="3">
        <v>45000</v>
      </c>
      <c r="L3798" s="3">
        <v>270000</v>
      </c>
      <c r="M3798" s="3">
        <v>105300.00000000006</v>
      </c>
      <c r="N3798" s="4">
        <v>0.28057553956834541</v>
      </c>
    </row>
    <row r="3799" spans="1:14" x14ac:dyDescent="0.3">
      <c r="A3799" s="6">
        <v>45929</v>
      </c>
      <c r="B3799" s="1" t="s">
        <v>3983</v>
      </c>
      <c r="C3799" s="1" t="s">
        <v>27</v>
      </c>
      <c r="D3799" t="s">
        <v>34</v>
      </c>
      <c r="E3799" t="s">
        <v>85</v>
      </c>
      <c r="F3799" t="s">
        <v>22</v>
      </c>
      <c r="G3799" t="s">
        <v>18</v>
      </c>
      <c r="H3799" s="3">
        <v>9</v>
      </c>
      <c r="I3799" s="3">
        <v>9310</v>
      </c>
      <c r="J3799" s="3">
        <v>83790</v>
      </c>
      <c r="K3799" s="3">
        <v>7000</v>
      </c>
      <c r="L3799" s="3">
        <v>63000</v>
      </c>
      <c r="M3799" s="3">
        <v>20790</v>
      </c>
      <c r="N3799" s="4">
        <v>0.24812030075187969</v>
      </c>
    </row>
    <row r="3800" spans="1:14" x14ac:dyDescent="0.3">
      <c r="A3800" s="6">
        <v>45929</v>
      </c>
      <c r="B3800" s="1" t="s">
        <v>3984</v>
      </c>
      <c r="C3800" s="1" t="s">
        <v>28</v>
      </c>
      <c r="D3800" t="s">
        <v>33</v>
      </c>
      <c r="E3800" t="s">
        <v>124</v>
      </c>
      <c r="F3800" t="s">
        <v>16</v>
      </c>
      <c r="G3800" t="s">
        <v>15</v>
      </c>
      <c r="H3800" s="3">
        <v>3</v>
      </c>
      <c r="I3800" s="3">
        <v>48640</v>
      </c>
      <c r="J3800" s="3">
        <v>145920</v>
      </c>
      <c r="K3800" s="3">
        <v>38000</v>
      </c>
      <c r="L3800" s="3">
        <v>114000</v>
      </c>
      <c r="M3800" s="3">
        <v>31920</v>
      </c>
      <c r="N3800" s="4">
        <v>0.21875</v>
      </c>
    </row>
    <row r="3801" spans="1:14" x14ac:dyDescent="0.3">
      <c r="A3801" s="6">
        <v>45929</v>
      </c>
      <c r="B3801" s="1" t="s">
        <v>3985</v>
      </c>
      <c r="C3801" s="1" t="s">
        <v>29</v>
      </c>
      <c r="D3801" t="s">
        <v>30</v>
      </c>
      <c r="E3801" t="s">
        <v>327</v>
      </c>
      <c r="F3801" t="s">
        <v>14</v>
      </c>
      <c r="G3801" t="s">
        <v>15</v>
      </c>
      <c r="H3801" s="3">
        <v>7</v>
      </c>
      <c r="I3801" s="3">
        <v>60300</v>
      </c>
      <c r="J3801" s="3">
        <v>422100</v>
      </c>
      <c r="K3801" s="3">
        <v>45000</v>
      </c>
      <c r="L3801" s="3">
        <v>315000</v>
      </c>
      <c r="M3801" s="3">
        <v>107100</v>
      </c>
      <c r="N3801" s="4">
        <v>0.2537313432835821</v>
      </c>
    </row>
    <row r="3802" spans="1:14" x14ac:dyDescent="0.3">
      <c r="A3802" s="6">
        <v>45929</v>
      </c>
      <c r="B3802" s="1" t="s">
        <v>3986</v>
      </c>
      <c r="C3802" s="1" t="s">
        <v>29</v>
      </c>
      <c r="D3802" t="s">
        <v>33</v>
      </c>
      <c r="E3802" t="s">
        <v>506</v>
      </c>
      <c r="F3802" t="s">
        <v>22</v>
      </c>
      <c r="G3802" t="s">
        <v>18</v>
      </c>
      <c r="H3802" s="3">
        <v>8</v>
      </c>
      <c r="I3802" s="3">
        <v>9450</v>
      </c>
      <c r="J3802" s="3">
        <v>75600</v>
      </c>
      <c r="K3802" s="3">
        <v>7000</v>
      </c>
      <c r="L3802" s="3">
        <v>56000</v>
      </c>
      <c r="M3802" s="3">
        <v>19600</v>
      </c>
      <c r="N3802" s="4">
        <v>0.25925925925925924</v>
      </c>
    </row>
    <row r="3803" spans="1:14" x14ac:dyDescent="0.3">
      <c r="A3803" s="6">
        <v>45929</v>
      </c>
      <c r="B3803" s="1" t="s">
        <v>3987</v>
      </c>
      <c r="C3803" s="1" t="s">
        <v>28</v>
      </c>
      <c r="D3803" t="s">
        <v>33</v>
      </c>
      <c r="E3803" t="s">
        <v>336</v>
      </c>
      <c r="F3803" t="s">
        <v>24</v>
      </c>
      <c r="G3803" t="s">
        <v>25</v>
      </c>
      <c r="H3803" s="3">
        <v>2</v>
      </c>
      <c r="I3803" s="3">
        <v>3275</v>
      </c>
      <c r="J3803" s="3">
        <v>6550</v>
      </c>
      <c r="K3803" s="3">
        <v>2500</v>
      </c>
      <c r="L3803" s="3">
        <v>5000</v>
      </c>
      <c r="M3803" s="3">
        <v>1550</v>
      </c>
      <c r="N3803" s="4">
        <v>0.23664122137404581</v>
      </c>
    </row>
    <row r="3804" spans="1:14" x14ac:dyDescent="0.3">
      <c r="A3804" s="6">
        <v>45929</v>
      </c>
      <c r="B3804" s="1" t="s">
        <v>3988</v>
      </c>
      <c r="C3804" s="1" t="s">
        <v>28</v>
      </c>
      <c r="D3804" t="s">
        <v>30</v>
      </c>
      <c r="E3804" t="s">
        <v>98</v>
      </c>
      <c r="F3804" t="s">
        <v>22</v>
      </c>
      <c r="G3804" t="s">
        <v>18</v>
      </c>
      <c r="H3804" s="3">
        <v>6</v>
      </c>
      <c r="I3804" s="3">
        <v>8890</v>
      </c>
      <c r="J3804" s="3">
        <v>53340</v>
      </c>
      <c r="K3804" s="3">
        <v>7000</v>
      </c>
      <c r="L3804" s="3">
        <v>42000</v>
      </c>
      <c r="M3804" s="3">
        <v>11340</v>
      </c>
      <c r="N3804" s="4">
        <v>0.2125984251968504</v>
      </c>
    </row>
    <row r="3805" spans="1:14" x14ac:dyDescent="0.3">
      <c r="A3805" s="6">
        <v>45929</v>
      </c>
      <c r="B3805" s="1" t="s">
        <v>3989</v>
      </c>
      <c r="C3805" s="1" t="s">
        <v>26</v>
      </c>
      <c r="D3805" t="s">
        <v>33</v>
      </c>
      <c r="E3805" t="s">
        <v>275</v>
      </c>
      <c r="F3805" t="s">
        <v>23</v>
      </c>
      <c r="G3805" t="s">
        <v>25</v>
      </c>
      <c r="H3805" s="3">
        <v>9</v>
      </c>
      <c r="I3805" s="3">
        <v>3904</v>
      </c>
      <c r="J3805" s="3">
        <v>35136</v>
      </c>
      <c r="K3805" s="3">
        <v>3200</v>
      </c>
      <c r="L3805" s="3">
        <v>28800</v>
      </c>
      <c r="M3805" s="3">
        <v>6336</v>
      </c>
      <c r="N3805" s="4">
        <v>0.18032786885245902</v>
      </c>
    </row>
    <row r="3806" spans="1:14" x14ac:dyDescent="0.3">
      <c r="A3806" s="6">
        <v>45929</v>
      </c>
      <c r="B3806" s="1" t="s">
        <v>3990</v>
      </c>
      <c r="C3806" s="1" t="s">
        <v>27</v>
      </c>
      <c r="D3806" t="s">
        <v>35</v>
      </c>
      <c r="E3806" t="s">
        <v>51</v>
      </c>
      <c r="F3806" t="s">
        <v>19</v>
      </c>
      <c r="G3806" t="s">
        <v>20</v>
      </c>
      <c r="H3806" s="3">
        <v>7</v>
      </c>
      <c r="I3806" s="3">
        <v>1188</v>
      </c>
      <c r="J3806" s="3">
        <v>8316</v>
      </c>
      <c r="K3806" s="3">
        <v>900</v>
      </c>
      <c r="L3806" s="3">
        <v>6300</v>
      </c>
      <c r="M3806" s="3">
        <v>2016</v>
      </c>
      <c r="N3806" s="4">
        <v>0.24242424242424243</v>
      </c>
    </row>
    <row r="3807" spans="1:14" x14ac:dyDescent="0.3">
      <c r="A3807" s="6">
        <v>45929</v>
      </c>
      <c r="B3807" s="1" t="s">
        <v>3991</v>
      </c>
      <c r="C3807" s="1" t="s">
        <v>29</v>
      </c>
      <c r="D3807" t="s">
        <v>32</v>
      </c>
      <c r="E3807" t="s">
        <v>151</v>
      </c>
      <c r="F3807" t="s">
        <v>24</v>
      </c>
      <c r="G3807" t="s">
        <v>25</v>
      </c>
      <c r="H3807" s="3">
        <v>9</v>
      </c>
      <c r="I3807" s="3">
        <v>3500</v>
      </c>
      <c r="J3807" s="3">
        <v>31500</v>
      </c>
      <c r="K3807" s="3">
        <v>2500</v>
      </c>
      <c r="L3807" s="3">
        <v>22500</v>
      </c>
      <c r="M3807" s="3">
        <v>9000</v>
      </c>
      <c r="N3807" s="4">
        <v>0.2857142857142857</v>
      </c>
    </row>
    <row r="3808" spans="1:14" x14ac:dyDescent="0.3">
      <c r="A3808" s="6">
        <v>45930</v>
      </c>
      <c r="B3808" s="1" t="s">
        <v>3992</v>
      </c>
      <c r="C3808" s="1" t="s">
        <v>28</v>
      </c>
      <c r="D3808" t="s">
        <v>35</v>
      </c>
      <c r="E3808" t="s">
        <v>220</v>
      </c>
      <c r="F3808" t="s">
        <v>22</v>
      </c>
      <c r="G3808" t="s">
        <v>18</v>
      </c>
      <c r="H3808" s="3">
        <v>2</v>
      </c>
      <c r="I3808" s="3">
        <v>9100</v>
      </c>
      <c r="J3808" s="3">
        <v>18200</v>
      </c>
      <c r="K3808" s="3">
        <v>7000</v>
      </c>
      <c r="L3808" s="3">
        <v>14000</v>
      </c>
      <c r="M3808" s="3">
        <v>4200</v>
      </c>
      <c r="N3808" s="4">
        <v>0.23076923076923078</v>
      </c>
    </row>
    <row r="3809" spans="1:14" x14ac:dyDescent="0.3">
      <c r="A3809" s="6">
        <v>45930</v>
      </c>
      <c r="B3809" s="1" t="s">
        <v>3993</v>
      </c>
      <c r="C3809" s="1" t="s">
        <v>29</v>
      </c>
      <c r="D3809" t="s">
        <v>35</v>
      </c>
      <c r="E3809" t="s">
        <v>361</v>
      </c>
      <c r="F3809" t="s">
        <v>14</v>
      </c>
      <c r="G3809" t="s">
        <v>15</v>
      </c>
      <c r="H3809" s="3">
        <v>1</v>
      </c>
      <c r="I3809" s="3">
        <v>58500</v>
      </c>
      <c r="J3809" s="3">
        <v>58500</v>
      </c>
      <c r="K3809" s="3">
        <v>45000</v>
      </c>
      <c r="L3809" s="3">
        <v>45000</v>
      </c>
      <c r="M3809" s="3">
        <v>13500</v>
      </c>
      <c r="N3809" s="4">
        <v>0.23076923076923078</v>
      </c>
    </row>
    <row r="3810" spans="1:14" x14ac:dyDescent="0.3">
      <c r="A3810" s="6">
        <v>45930</v>
      </c>
      <c r="B3810" s="1" t="s">
        <v>3994</v>
      </c>
      <c r="C3810" s="1" t="s">
        <v>27</v>
      </c>
      <c r="D3810" t="s">
        <v>34</v>
      </c>
      <c r="E3810" t="s">
        <v>273</v>
      </c>
      <c r="F3810" t="s">
        <v>14</v>
      </c>
      <c r="G3810" t="s">
        <v>15</v>
      </c>
      <c r="H3810" s="3">
        <v>6</v>
      </c>
      <c r="I3810" s="3">
        <v>58500</v>
      </c>
      <c r="J3810" s="3">
        <v>351000</v>
      </c>
      <c r="K3810" s="3">
        <v>45000</v>
      </c>
      <c r="L3810" s="3">
        <v>270000</v>
      </c>
      <c r="M3810" s="3">
        <v>81000</v>
      </c>
      <c r="N3810" s="4">
        <v>0.23076923076923078</v>
      </c>
    </row>
    <row r="3811" spans="1:14" x14ac:dyDescent="0.3">
      <c r="A3811" s="6">
        <v>45930</v>
      </c>
      <c r="B3811" s="1" t="s">
        <v>3995</v>
      </c>
      <c r="C3811" s="1" t="s">
        <v>28</v>
      </c>
      <c r="D3811" t="s">
        <v>33</v>
      </c>
      <c r="E3811" t="s">
        <v>98</v>
      </c>
      <c r="F3811" t="s">
        <v>24</v>
      </c>
      <c r="G3811" t="s">
        <v>25</v>
      </c>
      <c r="H3811" s="3">
        <v>4</v>
      </c>
      <c r="I3811" s="3">
        <v>3150</v>
      </c>
      <c r="J3811" s="3">
        <v>12600</v>
      </c>
      <c r="K3811" s="3">
        <v>2500</v>
      </c>
      <c r="L3811" s="3">
        <v>10000</v>
      </c>
      <c r="M3811" s="3">
        <v>2600</v>
      </c>
      <c r="N3811" s="4">
        <v>0.20634920634920634</v>
      </c>
    </row>
    <row r="3812" spans="1:14" x14ac:dyDescent="0.3">
      <c r="A3812" s="6">
        <v>45930</v>
      </c>
      <c r="B3812" s="1" t="s">
        <v>3996</v>
      </c>
      <c r="C3812" s="1" t="s">
        <v>29</v>
      </c>
      <c r="D3812" t="s">
        <v>32</v>
      </c>
      <c r="E3812" t="s">
        <v>565</v>
      </c>
      <c r="F3812" t="s">
        <v>17</v>
      </c>
      <c r="G3812" t="s">
        <v>18</v>
      </c>
      <c r="H3812" s="3">
        <v>10</v>
      </c>
      <c r="I3812" s="3">
        <v>11815.000000000002</v>
      </c>
      <c r="J3812" s="3">
        <v>118150.00000000001</v>
      </c>
      <c r="K3812" s="3">
        <v>8500</v>
      </c>
      <c r="L3812" s="3">
        <v>85000</v>
      </c>
      <c r="M3812" s="3">
        <v>33150.000000000015</v>
      </c>
      <c r="N3812" s="4">
        <v>0.28057553956834541</v>
      </c>
    </row>
    <row r="3813" spans="1:14" x14ac:dyDescent="0.3">
      <c r="A3813" s="6">
        <v>45930</v>
      </c>
      <c r="B3813" s="1" t="s">
        <v>3997</v>
      </c>
      <c r="C3813" s="1" t="s">
        <v>29</v>
      </c>
      <c r="D3813" t="s">
        <v>35</v>
      </c>
      <c r="E3813" t="s">
        <v>319</v>
      </c>
      <c r="F3813" t="s">
        <v>14</v>
      </c>
      <c r="G3813" t="s">
        <v>15</v>
      </c>
      <c r="H3813" s="3">
        <v>5</v>
      </c>
      <c r="I3813" s="3">
        <v>57600</v>
      </c>
      <c r="J3813" s="3">
        <v>288000</v>
      </c>
      <c r="K3813" s="3">
        <v>45000</v>
      </c>
      <c r="L3813" s="3">
        <v>225000</v>
      </c>
      <c r="M3813" s="3">
        <v>63000</v>
      </c>
      <c r="N3813" s="4">
        <v>0.21875</v>
      </c>
    </row>
    <row r="3814" spans="1:14" x14ac:dyDescent="0.3">
      <c r="A3814" s="6">
        <v>45930</v>
      </c>
      <c r="B3814" s="1" t="s">
        <v>3998</v>
      </c>
      <c r="C3814" s="1" t="s">
        <v>26</v>
      </c>
      <c r="D3814" t="s">
        <v>32</v>
      </c>
      <c r="E3814" t="s">
        <v>139</v>
      </c>
      <c r="F3814" t="s">
        <v>24</v>
      </c>
      <c r="G3814" t="s">
        <v>25</v>
      </c>
      <c r="H3814" s="3">
        <v>1</v>
      </c>
      <c r="I3814" s="3">
        <v>3325</v>
      </c>
      <c r="J3814" s="3">
        <v>3325</v>
      </c>
      <c r="K3814" s="3">
        <v>2500</v>
      </c>
      <c r="L3814" s="3">
        <v>2500</v>
      </c>
      <c r="M3814" s="3">
        <v>825</v>
      </c>
      <c r="N3814" s="4">
        <v>0.24812030075187969</v>
      </c>
    </row>
    <row r="3815" spans="1:14" x14ac:dyDescent="0.3">
      <c r="A3815" s="6">
        <v>45930</v>
      </c>
      <c r="B3815" s="1" t="s">
        <v>3999</v>
      </c>
      <c r="C3815" s="1" t="s">
        <v>29</v>
      </c>
      <c r="D3815" t="s">
        <v>31</v>
      </c>
      <c r="E3815" t="s">
        <v>83</v>
      </c>
      <c r="F3815" t="s">
        <v>16</v>
      </c>
      <c r="G3815" t="s">
        <v>15</v>
      </c>
      <c r="H3815" s="3">
        <v>4</v>
      </c>
      <c r="I3815" s="3">
        <v>47500</v>
      </c>
      <c r="J3815" s="3">
        <v>190000</v>
      </c>
      <c r="K3815" s="3">
        <v>38000</v>
      </c>
      <c r="L3815" s="3">
        <v>152000</v>
      </c>
      <c r="M3815" s="3">
        <v>38000</v>
      </c>
      <c r="N3815" s="4">
        <v>0.2</v>
      </c>
    </row>
    <row r="3816" spans="1:14" x14ac:dyDescent="0.3">
      <c r="A3816" s="6">
        <v>45930</v>
      </c>
      <c r="B3816" s="1" t="s">
        <v>4000</v>
      </c>
      <c r="C3816" s="1" t="s">
        <v>27</v>
      </c>
      <c r="D3816" t="s">
        <v>33</v>
      </c>
      <c r="E3816" t="s">
        <v>249</v>
      </c>
      <c r="F3816" t="s">
        <v>23</v>
      </c>
      <c r="G3816" t="s">
        <v>25</v>
      </c>
      <c r="H3816" s="3">
        <v>6</v>
      </c>
      <c r="I3816" s="3">
        <v>4256</v>
      </c>
      <c r="J3816" s="3">
        <v>25536</v>
      </c>
      <c r="K3816" s="3">
        <v>3200</v>
      </c>
      <c r="L3816" s="3">
        <v>19200</v>
      </c>
      <c r="M3816" s="3">
        <v>6336</v>
      </c>
      <c r="N3816" s="4">
        <v>0.24812030075187969</v>
      </c>
    </row>
    <row r="3817" spans="1:14" x14ac:dyDescent="0.3">
      <c r="A3817" s="6">
        <v>45930</v>
      </c>
      <c r="B3817" s="1" t="s">
        <v>4001</v>
      </c>
      <c r="C3817" s="1" t="s">
        <v>26</v>
      </c>
      <c r="D3817" t="s">
        <v>32</v>
      </c>
      <c r="E3817" t="s">
        <v>220</v>
      </c>
      <c r="F3817" t="s">
        <v>16</v>
      </c>
      <c r="G3817" t="s">
        <v>15</v>
      </c>
      <c r="H3817" s="3">
        <v>3</v>
      </c>
      <c r="I3817" s="3">
        <v>55100</v>
      </c>
      <c r="J3817" s="3">
        <v>165300</v>
      </c>
      <c r="K3817" s="3">
        <v>38000</v>
      </c>
      <c r="L3817" s="3">
        <v>114000</v>
      </c>
      <c r="M3817" s="3">
        <v>51300</v>
      </c>
      <c r="N3817" s="4">
        <v>0.31034482758620691</v>
      </c>
    </row>
    <row r="3818" spans="1:14" x14ac:dyDescent="0.3">
      <c r="A3818" s="6">
        <v>45930</v>
      </c>
      <c r="B3818" s="1" t="s">
        <v>4002</v>
      </c>
      <c r="C3818" s="1" t="s">
        <v>28</v>
      </c>
      <c r="D3818" t="s">
        <v>30</v>
      </c>
      <c r="E3818" t="s">
        <v>807</v>
      </c>
      <c r="F3818" t="s">
        <v>23</v>
      </c>
      <c r="G3818" t="s">
        <v>25</v>
      </c>
      <c r="H3818" s="3">
        <v>6</v>
      </c>
      <c r="I3818" s="3">
        <v>4480</v>
      </c>
      <c r="J3818" s="3">
        <v>26880</v>
      </c>
      <c r="K3818" s="3">
        <v>3200</v>
      </c>
      <c r="L3818" s="3">
        <v>19200</v>
      </c>
      <c r="M3818" s="3">
        <v>7680</v>
      </c>
      <c r="N3818" s="4">
        <v>0.2857142857142857</v>
      </c>
    </row>
    <row r="3819" spans="1:14" x14ac:dyDescent="0.3">
      <c r="A3819" s="6">
        <v>45930</v>
      </c>
      <c r="B3819" s="1" t="s">
        <v>4003</v>
      </c>
      <c r="C3819" s="1" t="s">
        <v>29</v>
      </c>
      <c r="D3819" t="s">
        <v>30</v>
      </c>
      <c r="E3819" t="s">
        <v>280</v>
      </c>
      <c r="F3819" t="s">
        <v>16</v>
      </c>
      <c r="G3819" t="s">
        <v>15</v>
      </c>
      <c r="H3819" s="3">
        <v>8</v>
      </c>
      <c r="I3819" s="3">
        <v>53200</v>
      </c>
      <c r="J3819" s="3">
        <v>425600</v>
      </c>
      <c r="K3819" s="3">
        <v>38000</v>
      </c>
      <c r="L3819" s="3">
        <v>304000</v>
      </c>
      <c r="M3819" s="3">
        <v>121600</v>
      </c>
      <c r="N3819" s="4">
        <v>0.2857142857142857</v>
      </c>
    </row>
    <row r="3820" spans="1:14" x14ac:dyDescent="0.3">
      <c r="A3820" s="6">
        <v>45930</v>
      </c>
      <c r="B3820" s="1" t="s">
        <v>4004</v>
      </c>
      <c r="C3820" s="1" t="s">
        <v>26</v>
      </c>
      <c r="D3820" t="s">
        <v>34</v>
      </c>
      <c r="E3820" t="s">
        <v>357</v>
      </c>
      <c r="F3820" t="s">
        <v>16</v>
      </c>
      <c r="G3820" t="s">
        <v>15</v>
      </c>
      <c r="H3820" s="3">
        <v>1</v>
      </c>
      <c r="I3820" s="3">
        <v>50160</v>
      </c>
      <c r="J3820" s="3">
        <v>50160</v>
      </c>
      <c r="K3820" s="3">
        <v>38000</v>
      </c>
      <c r="L3820" s="3">
        <v>38000</v>
      </c>
      <c r="M3820" s="3">
        <v>12160</v>
      </c>
      <c r="N3820" s="4">
        <v>0.24242424242424243</v>
      </c>
    </row>
    <row r="3821" spans="1:14" x14ac:dyDescent="0.3">
      <c r="A3821" s="6">
        <v>45930</v>
      </c>
      <c r="B3821" s="1" t="s">
        <v>4005</v>
      </c>
      <c r="C3821" s="1" t="s">
        <v>29</v>
      </c>
      <c r="D3821" t="s">
        <v>34</v>
      </c>
      <c r="E3821" t="s">
        <v>548</v>
      </c>
      <c r="F3821" t="s">
        <v>22</v>
      </c>
      <c r="G3821" t="s">
        <v>18</v>
      </c>
      <c r="H3821" s="3">
        <v>3</v>
      </c>
      <c r="I3821" s="3">
        <v>9940</v>
      </c>
      <c r="J3821" s="3">
        <v>29820</v>
      </c>
      <c r="K3821" s="3">
        <v>7000</v>
      </c>
      <c r="L3821" s="3">
        <v>21000</v>
      </c>
      <c r="M3821" s="3">
        <v>8820</v>
      </c>
      <c r="N3821" s="4">
        <v>0.29577464788732394</v>
      </c>
    </row>
    <row r="3822" spans="1:14" x14ac:dyDescent="0.3">
      <c r="A3822" s="6">
        <v>45931</v>
      </c>
      <c r="B3822" s="1" t="s">
        <v>4006</v>
      </c>
      <c r="C3822" s="1" t="s">
        <v>28</v>
      </c>
      <c r="D3822" t="s">
        <v>31</v>
      </c>
      <c r="E3822" t="s">
        <v>415</v>
      </c>
      <c r="F3822" t="s">
        <v>21</v>
      </c>
      <c r="G3822" t="s">
        <v>20</v>
      </c>
      <c r="H3822" s="3">
        <v>2</v>
      </c>
      <c r="I3822" s="3">
        <v>827.99999999999989</v>
      </c>
      <c r="J3822" s="3">
        <v>1655.9999999999998</v>
      </c>
      <c r="K3822" s="3">
        <v>600</v>
      </c>
      <c r="L3822" s="3">
        <v>1200</v>
      </c>
      <c r="M3822" s="3">
        <v>455.99999999999977</v>
      </c>
      <c r="N3822" s="4">
        <v>0.2753623188405796</v>
      </c>
    </row>
    <row r="3823" spans="1:14" x14ac:dyDescent="0.3">
      <c r="A3823" s="6">
        <v>45931</v>
      </c>
      <c r="B3823" s="1" t="s">
        <v>4007</v>
      </c>
      <c r="C3823" s="1" t="s">
        <v>28</v>
      </c>
      <c r="D3823" t="s">
        <v>33</v>
      </c>
      <c r="E3823" t="s">
        <v>409</v>
      </c>
      <c r="F3823" t="s">
        <v>22</v>
      </c>
      <c r="G3823" t="s">
        <v>18</v>
      </c>
      <c r="H3823" s="3">
        <v>10</v>
      </c>
      <c r="I3823" s="3">
        <v>9520</v>
      </c>
      <c r="J3823" s="3">
        <v>95200</v>
      </c>
      <c r="K3823" s="3">
        <v>7000</v>
      </c>
      <c r="L3823" s="3">
        <v>70000</v>
      </c>
      <c r="M3823" s="3">
        <v>25200</v>
      </c>
      <c r="N3823" s="4">
        <v>0.26470588235294118</v>
      </c>
    </row>
    <row r="3824" spans="1:14" x14ac:dyDescent="0.3">
      <c r="A3824" s="6">
        <v>45931</v>
      </c>
      <c r="B3824" s="1" t="s">
        <v>4008</v>
      </c>
      <c r="C3824" s="1" t="s">
        <v>27</v>
      </c>
      <c r="D3824" t="s">
        <v>34</v>
      </c>
      <c r="E3824" t="s">
        <v>521</v>
      </c>
      <c r="F3824" t="s">
        <v>19</v>
      </c>
      <c r="G3824" t="s">
        <v>20</v>
      </c>
      <c r="H3824" s="3">
        <v>6</v>
      </c>
      <c r="I3824" s="3">
        <v>1107</v>
      </c>
      <c r="J3824" s="3">
        <v>6642</v>
      </c>
      <c r="K3824" s="3">
        <v>900</v>
      </c>
      <c r="L3824" s="3">
        <v>5400</v>
      </c>
      <c r="M3824" s="3">
        <v>1242</v>
      </c>
      <c r="N3824" s="4">
        <v>0.18699186991869918</v>
      </c>
    </row>
    <row r="3825" spans="1:14" x14ac:dyDescent="0.3">
      <c r="A3825" s="6">
        <v>45931</v>
      </c>
      <c r="B3825" s="1" t="s">
        <v>4009</v>
      </c>
      <c r="C3825" s="1" t="s">
        <v>26</v>
      </c>
      <c r="D3825" t="s">
        <v>34</v>
      </c>
      <c r="E3825" t="s">
        <v>283</v>
      </c>
      <c r="F3825" t="s">
        <v>23</v>
      </c>
      <c r="G3825" t="s">
        <v>25</v>
      </c>
      <c r="H3825" s="3">
        <v>6</v>
      </c>
      <c r="I3825" s="3">
        <v>3936</v>
      </c>
      <c r="J3825" s="3">
        <v>23616</v>
      </c>
      <c r="K3825" s="3">
        <v>3200</v>
      </c>
      <c r="L3825" s="3">
        <v>19200</v>
      </c>
      <c r="M3825" s="3">
        <v>4416</v>
      </c>
      <c r="N3825" s="4">
        <v>0.18699186991869918</v>
      </c>
    </row>
    <row r="3826" spans="1:14" x14ac:dyDescent="0.3">
      <c r="A3826" s="6">
        <v>45931</v>
      </c>
      <c r="B3826" s="1" t="s">
        <v>4010</v>
      </c>
      <c r="C3826" s="1" t="s">
        <v>27</v>
      </c>
      <c r="D3826" t="s">
        <v>32</v>
      </c>
      <c r="E3826" t="s">
        <v>94</v>
      </c>
      <c r="F3826" t="s">
        <v>24</v>
      </c>
      <c r="G3826" t="s">
        <v>25</v>
      </c>
      <c r="H3826" s="3">
        <v>9</v>
      </c>
      <c r="I3826" s="3">
        <v>3375</v>
      </c>
      <c r="J3826" s="3">
        <v>30375</v>
      </c>
      <c r="K3826" s="3">
        <v>2500</v>
      </c>
      <c r="L3826" s="3">
        <v>22500</v>
      </c>
      <c r="M3826" s="3">
        <v>7875</v>
      </c>
      <c r="N3826" s="4">
        <v>0.25925925925925924</v>
      </c>
    </row>
    <row r="3827" spans="1:14" x14ac:dyDescent="0.3">
      <c r="A3827" s="6">
        <v>45931</v>
      </c>
      <c r="B3827" s="1" t="s">
        <v>4011</v>
      </c>
      <c r="C3827" s="1" t="s">
        <v>28</v>
      </c>
      <c r="D3827" t="s">
        <v>33</v>
      </c>
      <c r="E3827" t="s">
        <v>431</v>
      </c>
      <c r="F3827" t="s">
        <v>21</v>
      </c>
      <c r="G3827" t="s">
        <v>20</v>
      </c>
      <c r="H3827" s="3">
        <v>8</v>
      </c>
      <c r="I3827" s="3">
        <v>815.99999999999989</v>
      </c>
      <c r="J3827" s="3">
        <v>6527.9999999999991</v>
      </c>
      <c r="K3827" s="3">
        <v>600</v>
      </c>
      <c r="L3827" s="3">
        <v>4800</v>
      </c>
      <c r="M3827" s="3">
        <v>1727.9999999999991</v>
      </c>
      <c r="N3827" s="4">
        <v>0.26470588235294107</v>
      </c>
    </row>
    <row r="3828" spans="1:14" x14ac:dyDescent="0.3">
      <c r="A3828" s="6">
        <v>45931</v>
      </c>
      <c r="B3828" s="1" t="s">
        <v>4012</v>
      </c>
      <c r="C3828" s="1" t="s">
        <v>28</v>
      </c>
      <c r="D3828" t="s">
        <v>30</v>
      </c>
      <c r="E3828" t="s">
        <v>155</v>
      </c>
      <c r="F3828" t="s">
        <v>17</v>
      </c>
      <c r="G3828" t="s">
        <v>18</v>
      </c>
      <c r="H3828" s="3">
        <v>4</v>
      </c>
      <c r="I3828" s="3">
        <v>10625</v>
      </c>
      <c r="J3828" s="3">
        <v>42500</v>
      </c>
      <c r="K3828" s="3">
        <v>8500</v>
      </c>
      <c r="L3828" s="3">
        <v>34000</v>
      </c>
      <c r="M3828" s="3">
        <v>8500</v>
      </c>
      <c r="N3828" s="4">
        <v>0.2</v>
      </c>
    </row>
    <row r="3829" spans="1:14" x14ac:dyDescent="0.3">
      <c r="A3829" s="6">
        <v>45931</v>
      </c>
      <c r="B3829" s="1" t="s">
        <v>4013</v>
      </c>
      <c r="C3829" s="1" t="s">
        <v>29</v>
      </c>
      <c r="D3829" t="s">
        <v>31</v>
      </c>
      <c r="E3829" t="s">
        <v>226</v>
      </c>
      <c r="F3829" t="s">
        <v>22</v>
      </c>
      <c r="G3829" t="s">
        <v>18</v>
      </c>
      <c r="H3829" s="3">
        <v>8</v>
      </c>
      <c r="I3829" s="3">
        <v>10150</v>
      </c>
      <c r="J3829" s="3">
        <v>81200</v>
      </c>
      <c r="K3829" s="3">
        <v>7000</v>
      </c>
      <c r="L3829" s="3">
        <v>56000</v>
      </c>
      <c r="M3829" s="3">
        <v>25200</v>
      </c>
      <c r="N3829" s="4">
        <v>0.31034482758620691</v>
      </c>
    </row>
    <row r="3830" spans="1:14" x14ac:dyDescent="0.3">
      <c r="A3830" s="6">
        <v>45931</v>
      </c>
      <c r="B3830" s="1" t="s">
        <v>4014</v>
      </c>
      <c r="C3830" s="1" t="s">
        <v>26</v>
      </c>
      <c r="D3830" t="s">
        <v>33</v>
      </c>
      <c r="E3830" t="s">
        <v>49</v>
      </c>
      <c r="F3830" t="s">
        <v>21</v>
      </c>
      <c r="G3830" t="s">
        <v>20</v>
      </c>
      <c r="H3830" s="3">
        <v>10</v>
      </c>
      <c r="I3830" s="3">
        <v>732</v>
      </c>
      <c r="J3830" s="3">
        <v>7320</v>
      </c>
      <c r="K3830" s="3">
        <v>600</v>
      </c>
      <c r="L3830" s="3">
        <v>6000</v>
      </c>
      <c r="M3830" s="3">
        <v>1320</v>
      </c>
      <c r="N3830" s="4">
        <v>0.18032786885245902</v>
      </c>
    </row>
    <row r="3831" spans="1:14" x14ac:dyDescent="0.3">
      <c r="A3831" s="6">
        <v>45931</v>
      </c>
      <c r="B3831" s="1" t="s">
        <v>4015</v>
      </c>
      <c r="C3831" s="1" t="s">
        <v>29</v>
      </c>
      <c r="D3831" t="s">
        <v>35</v>
      </c>
      <c r="E3831" t="s">
        <v>231</v>
      </c>
      <c r="F3831" t="s">
        <v>17</v>
      </c>
      <c r="G3831" t="s">
        <v>18</v>
      </c>
      <c r="H3831" s="3">
        <v>5</v>
      </c>
      <c r="I3831" s="3">
        <v>10795</v>
      </c>
      <c r="J3831" s="3">
        <v>53975</v>
      </c>
      <c r="K3831" s="3">
        <v>8500</v>
      </c>
      <c r="L3831" s="3">
        <v>42500</v>
      </c>
      <c r="M3831" s="3">
        <v>11475</v>
      </c>
      <c r="N3831" s="4">
        <v>0.2125984251968504</v>
      </c>
    </row>
    <row r="3832" spans="1:14" x14ac:dyDescent="0.3">
      <c r="A3832" s="6">
        <v>45931</v>
      </c>
      <c r="B3832" s="1" t="s">
        <v>4016</v>
      </c>
      <c r="C3832" s="1" t="s">
        <v>28</v>
      </c>
      <c r="D3832" t="s">
        <v>35</v>
      </c>
      <c r="E3832" t="s">
        <v>321</v>
      </c>
      <c r="F3832" t="s">
        <v>14</v>
      </c>
      <c r="G3832" t="s">
        <v>15</v>
      </c>
      <c r="H3832" s="3">
        <v>5</v>
      </c>
      <c r="I3832" s="3">
        <v>57600</v>
      </c>
      <c r="J3832" s="3">
        <v>288000</v>
      </c>
      <c r="K3832" s="3">
        <v>45000</v>
      </c>
      <c r="L3832" s="3">
        <v>225000</v>
      </c>
      <c r="M3832" s="3">
        <v>63000</v>
      </c>
      <c r="N3832" s="4">
        <v>0.21875</v>
      </c>
    </row>
    <row r="3833" spans="1:14" x14ac:dyDescent="0.3">
      <c r="A3833" s="6">
        <v>45931</v>
      </c>
      <c r="B3833" s="1" t="s">
        <v>4017</v>
      </c>
      <c r="C3833" s="1" t="s">
        <v>26</v>
      </c>
      <c r="D3833" t="s">
        <v>30</v>
      </c>
      <c r="E3833" t="s">
        <v>161</v>
      </c>
      <c r="F3833" t="s">
        <v>24</v>
      </c>
      <c r="G3833" t="s">
        <v>25</v>
      </c>
      <c r="H3833" s="3">
        <v>5</v>
      </c>
      <c r="I3833" s="3">
        <v>3000</v>
      </c>
      <c r="J3833" s="3">
        <v>15000</v>
      </c>
      <c r="K3833" s="3">
        <v>2500</v>
      </c>
      <c r="L3833" s="3">
        <v>12500</v>
      </c>
      <c r="M3833" s="3">
        <v>2500</v>
      </c>
      <c r="N3833" s="4">
        <v>0.16666666666666666</v>
      </c>
    </row>
    <row r="3834" spans="1:14" x14ac:dyDescent="0.3">
      <c r="A3834" s="6">
        <v>45931</v>
      </c>
      <c r="B3834" s="1" t="s">
        <v>4018</v>
      </c>
      <c r="C3834" s="1" t="s">
        <v>26</v>
      </c>
      <c r="D3834" t="s">
        <v>35</v>
      </c>
      <c r="E3834" t="s">
        <v>198</v>
      </c>
      <c r="F3834" t="s">
        <v>17</v>
      </c>
      <c r="G3834" t="s">
        <v>18</v>
      </c>
      <c r="H3834" s="3">
        <v>10</v>
      </c>
      <c r="I3834" s="3">
        <v>10455</v>
      </c>
      <c r="J3834" s="3">
        <v>104550</v>
      </c>
      <c r="K3834" s="3">
        <v>8500</v>
      </c>
      <c r="L3834" s="3">
        <v>85000</v>
      </c>
      <c r="M3834" s="3">
        <v>19550</v>
      </c>
      <c r="N3834" s="4">
        <v>0.18699186991869918</v>
      </c>
    </row>
    <row r="3835" spans="1:14" x14ac:dyDescent="0.3">
      <c r="A3835" s="6">
        <v>45931</v>
      </c>
      <c r="B3835" s="1" t="s">
        <v>4019</v>
      </c>
      <c r="C3835" s="1" t="s">
        <v>26</v>
      </c>
      <c r="D3835" t="s">
        <v>33</v>
      </c>
      <c r="E3835" t="s">
        <v>381</v>
      </c>
      <c r="F3835" t="s">
        <v>24</v>
      </c>
      <c r="G3835" t="s">
        <v>25</v>
      </c>
      <c r="H3835" s="3">
        <v>1</v>
      </c>
      <c r="I3835" s="3">
        <v>3399.9999999999995</v>
      </c>
      <c r="J3835" s="3">
        <v>3399.9999999999995</v>
      </c>
      <c r="K3835" s="3">
        <v>2500</v>
      </c>
      <c r="L3835" s="3">
        <v>2500</v>
      </c>
      <c r="M3835" s="3">
        <v>899.99999999999955</v>
      </c>
      <c r="N3835" s="4">
        <v>0.26470588235294107</v>
      </c>
    </row>
    <row r="3836" spans="1:14" x14ac:dyDescent="0.3">
      <c r="A3836" s="6">
        <v>45932</v>
      </c>
      <c r="B3836" s="1" t="s">
        <v>4020</v>
      </c>
      <c r="C3836" s="1" t="s">
        <v>28</v>
      </c>
      <c r="D3836" t="s">
        <v>31</v>
      </c>
      <c r="E3836" t="s">
        <v>104</v>
      </c>
      <c r="F3836" t="s">
        <v>19</v>
      </c>
      <c r="G3836" t="s">
        <v>20</v>
      </c>
      <c r="H3836" s="3">
        <v>8</v>
      </c>
      <c r="I3836" s="3">
        <v>1143</v>
      </c>
      <c r="J3836" s="3">
        <v>9144</v>
      </c>
      <c r="K3836" s="3">
        <v>900</v>
      </c>
      <c r="L3836" s="3">
        <v>7200</v>
      </c>
      <c r="M3836" s="3">
        <v>1944</v>
      </c>
      <c r="N3836" s="4">
        <v>0.2125984251968504</v>
      </c>
    </row>
    <row r="3837" spans="1:14" x14ac:dyDescent="0.3">
      <c r="A3837" s="6">
        <v>45932</v>
      </c>
      <c r="B3837" s="1" t="s">
        <v>4021</v>
      </c>
      <c r="C3837" s="1" t="s">
        <v>28</v>
      </c>
      <c r="D3837" t="s">
        <v>30</v>
      </c>
      <c r="E3837" t="s">
        <v>193</v>
      </c>
      <c r="F3837" t="s">
        <v>23</v>
      </c>
      <c r="G3837" t="s">
        <v>25</v>
      </c>
      <c r="H3837" s="3">
        <v>2</v>
      </c>
      <c r="I3837" s="3">
        <v>4064</v>
      </c>
      <c r="J3837" s="3">
        <v>8128</v>
      </c>
      <c r="K3837" s="3">
        <v>3200</v>
      </c>
      <c r="L3837" s="3">
        <v>6400</v>
      </c>
      <c r="M3837" s="3">
        <v>1728</v>
      </c>
      <c r="N3837" s="4">
        <v>0.2125984251968504</v>
      </c>
    </row>
    <row r="3838" spans="1:14" x14ac:dyDescent="0.3">
      <c r="A3838" s="6">
        <v>45932</v>
      </c>
      <c r="B3838" s="1" t="s">
        <v>4022</v>
      </c>
      <c r="C3838" s="1" t="s">
        <v>26</v>
      </c>
      <c r="D3838" t="s">
        <v>32</v>
      </c>
      <c r="E3838" t="s">
        <v>85</v>
      </c>
      <c r="F3838" t="s">
        <v>16</v>
      </c>
      <c r="G3838" t="s">
        <v>15</v>
      </c>
      <c r="H3838" s="3">
        <v>6</v>
      </c>
      <c r="I3838" s="3">
        <v>47500</v>
      </c>
      <c r="J3838" s="3">
        <v>285000</v>
      </c>
      <c r="K3838" s="3">
        <v>38000</v>
      </c>
      <c r="L3838" s="3">
        <v>228000</v>
      </c>
      <c r="M3838" s="3">
        <v>57000</v>
      </c>
      <c r="N3838" s="4">
        <v>0.2</v>
      </c>
    </row>
    <row r="3839" spans="1:14" x14ac:dyDescent="0.3">
      <c r="A3839" s="6">
        <v>45932</v>
      </c>
      <c r="B3839" s="1" t="s">
        <v>4023</v>
      </c>
      <c r="C3839" s="1" t="s">
        <v>29</v>
      </c>
      <c r="D3839" t="s">
        <v>35</v>
      </c>
      <c r="E3839" t="s">
        <v>106</v>
      </c>
      <c r="F3839" t="s">
        <v>17</v>
      </c>
      <c r="G3839" t="s">
        <v>18</v>
      </c>
      <c r="H3839" s="3">
        <v>10</v>
      </c>
      <c r="I3839" s="3">
        <v>11305</v>
      </c>
      <c r="J3839" s="3">
        <v>113050</v>
      </c>
      <c r="K3839" s="3">
        <v>8500</v>
      </c>
      <c r="L3839" s="3">
        <v>85000</v>
      </c>
      <c r="M3839" s="3">
        <v>28050</v>
      </c>
      <c r="N3839" s="4">
        <v>0.24812030075187969</v>
      </c>
    </row>
    <row r="3840" spans="1:14" x14ac:dyDescent="0.3">
      <c r="A3840" s="6">
        <v>45932</v>
      </c>
      <c r="B3840" s="1" t="s">
        <v>4024</v>
      </c>
      <c r="C3840" s="1" t="s">
        <v>29</v>
      </c>
      <c r="D3840" t="s">
        <v>34</v>
      </c>
      <c r="E3840" t="s">
        <v>233</v>
      </c>
      <c r="F3840" t="s">
        <v>19</v>
      </c>
      <c r="G3840" t="s">
        <v>20</v>
      </c>
      <c r="H3840" s="3">
        <v>8</v>
      </c>
      <c r="I3840" s="3">
        <v>1269</v>
      </c>
      <c r="J3840" s="3">
        <v>10152</v>
      </c>
      <c r="K3840" s="3">
        <v>900</v>
      </c>
      <c r="L3840" s="3">
        <v>7200</v>
      </c>
      <c r="M3840" s="3">
        <v>2952</v>
      </c>
      <c r="N3840" s="4">
        <v>0.29078014184397161</v>
      </c>
    </row>
    <row r="3841" spans="1:14" x14ac:dyDescent="0.3">
      <c r="A3841" s="6">
        <v>45932</v>
      </c>
      <c r="B3841" s="1" t="s">
        <v>4025</v>
      </c>
      <c r="C3841" s="1" t="s">
        <v>26</v>
      </c>
      <c r="D3841" t="s">
        <v>33</v>
      </c>
      <c r="E3841" t="s">
        <v>442</v>
      </c>
      <c r="F3841" t="s">
        <v>23</v>
      </c>
      <c r="G3841" t="s">
        <v>25</v>
      </c>
      <c r="H3841" s="3">
        <v>4</v>
      </c>
      <c r="I3841" s="3">
        <v>4320</v>
      </c>
      <c r="J3841" s="3">
        <v>17280</v>
      </c>
      <c r="K3841" s="3">
        <v>3200</v>
      </c>
      <c r="L3841" s="3">
        <v>12800</v>
      </c>
      <c r="M3841" s="3">
        <v>4480</v>
      </c>
      <c r="N3841" s="4">
        <v>0.25925925925925924</v>
      </c>
    </row>
    <row r="3842" spans="1:14" x14ac:dyDescent="0.3">
      <c r="A3842" s="6">
        <v>45932</v>
      </c>
      <c r="B3842" s="1" t="s">
        <v>4026</v>
      </c>
      <c r="C3842" s="1" t="s">
        <v>26</v>
      </c>
      <c r="D3842" t="s">
        <v>34</v>
      </c>
      <c r="E3842" t="s">
        <v>228</v>
      </c>
      <c r="F3842" t="s">
        <v>17</v>
      </c>
      <c r="G3842" t="s">
        <v>18</v>
      </c>
      <c r="H3842" s="3">
        <v>3</v>
      </c>
      <c r="I3842" s="3">
        <v>10370</v>
      </c>
      <c r="J3842" s="3">
        <v>31110</v>
      </c>
      <c r="K3842" s="3">
        <v>8500</v>
      </c>
      <c r="L3842" s="3">
        <v>25500</v>
      </c>
      <c r="M3842" s="3">
        <v>5610</v>
      </c>
      <c r="N3842" s="4">
        <v>0.18032786885245902</v>
      </c>
    </row>
    <row r="3843" spans="1:14" x14ac:dyDescent="0.3">
      <c r="A3843" s="6">
        <v>45932</v>
      </c>
      <c r="B3843" s="1" t="s">
        <v>4027</v>
      </c>
      <c r="C3843" s="1" t="s">
        <v>29</v>
      </c>
      <c r="D3843" t="s">
        <v>34</v>
      </c>
      <c r="E3843" t="s">
        <v>275</v>
      </c>
      <c r="F3843" t="s">
        <v>22</v>
      </c>
      <c r="G3843" t="s">
        <v>18</v>
      </c>
      <c r="H3843" s="3">
        <v>4</v>
      </c>
      <c r="I3843" s="3">
        <v>8400</v>
      </c>
      <c r="J3843" s="3">
        <v>33600</v>
      </c>
      <c r="K3843" s="3">
        <v>7000</v>
      </c>
      <c r="L3843" s="3">
        <v>28000</v>
      </c>
      <c r="M3843" s="3">
        <v>5600</v>
      </c>
      <c r="N3843" s="4">
        <v>0.16666666666666666</v>
      </c>
    </row>
    <row r="3844" spans="1:14" x14ac:dyDescent="0.3">
      <c r="A3844" s="6">
        <v>45932</v>
      </c>
      <c r="B3844" s="1" t="s">
        <v>4028</v>
      </c>
      <c r="C3844" s="1" t="s">
        <v>27</v>
      </c>
      <c r="D3844" t="s">
        <v>31</v>
      </c>
      <c r="E3844" t="s">
        <v>131</v>
      </c>
      <c r="F3844" t="s">
        <v>22</v>
      </c>
      <c r="G3844" t="s">
        <v>18</v>
      </c>
      <c r="H3844" s="3">
        <v>4</v>
      </c>
      <c r="I3844" s="3">
        <v>9240</v>
      </c>
      <c r="J3844" s="3">
        <v>36960</v>
      </c>
      <c r="K3844" s="3">
        <v>7000</v>
      </c>
      <c r="L3844" s="3">
        <v>28000</v>
      </c>
      <c r="M3844" s="3">
        <v>8960</v>
      </c>
      <c r="N3844" s="4">
        <v>0.24242424242424243</v>
      </c>
    </row>
    <row r="3845" spans="1:14" x14ac:dyDescent="0.3">
      <c r="A3845" s="6">
        <v>45932</v>
      </c>
      <c r="B3845" s="1" t="s">
        <v>4029</v>
      </c>
      <c r="C3845" s="1" t="s">
        <v>27</v>
      </c>
      <c r="D3845" t="s">
        <v>32</v>
      </c>
      <c r="E3845" t="s">
        <v>159</v>
      </c>
      <c r="F3845" t="s">
        <v>21</v>
      </c>
      <c r="G3845" t="s">
        <v>20</v>
      </c>
      <c r="H3845" s="3">
        <v>6</v>
      </c>
      <c r="I3845" s="3">
        <v>798</v>
      </c>
      <c r="J3845" s="3">
        <v>4788</v>
      </c>
      <c r="K3845" s="3">
        <v>600</v>
      </c>
      <c r="L3845" s="3">
        <v>3600</v>
      </c>
      <c r="M3845" s="3">
        <v>1188</v>
      </c>
      <c r="N3845" s="4">
        <v>0.24812030075187969</v>
      </c>
    </row>
    <row r="3846" spans="1:14" x14ac:dyDescent="0.3">
      <c r="A3846" s="6">
        <v>45932</v>
      </c>
      <c r="B3846" s="1" t="s">
        <v>4030</v>
      </c>
      <c r="C3846" s="1" t="s">
        <v>29</v>
      </c>
      <c r="D3846" t="s">
        <v>34</v>
      </c>
      <c r="E3846" t="s">
        <v>379</v>
      </c>
      <c r="F3846" t="s">
        <v>14</v>
      </c>
      <c r="G3846" t="s">
        <v>15</v>
      </c>
      <c r="H3846" s="3">
        <v>6</v>
      </c>
      <c r="I3846" s="3">
        <v>62099.999999999993</v>
      </c>
      <c r="J3846" s="3">
        <v>372599.99999999994</v>
      </c>
      <c r="K3846" s="3">
        <v>45000</v>
      </c>
      <c r="L3846" s="3">
        <v>270000</v>
      </c>
      <c r="M3846" s="3">
        <v>102599.99999999994</v>
      </c>
      <c r="N3846" s="4">
        <v>0.2753623188405796</v>
      </c>
    </row>
    <row r="3847" spans="1:14" x14ac:dyDescent="0.3">
      <c r="A3847" s="6">
        <v>45932</v>
      </c>
      <c r="B3847" s="1" t="s">
        <v>4031</v>
      </c>
      <c r="C3847" s="1" t="s">
        <v>27</v>
      </c>
      <c r="D3847" t="s">
        <v>30</v>
      </c>
      <c r="E3847" t="s">
        <v>751</v>
      </c>
      <c r="F3847" t="s">
        <v>17</v>
      </c>
      <c r="G3847" t="s">
        <v>18</v>
      </c>
      <c r="H3847" s="3">
        <v>7</v>
      </c>
      <c r="I3847" s="3">
        <v>10880</v>
      </c>
      <c r="J3847" s="3">
        <v>76160</v>
      </c>
      <c r="K3847" s="3">
        <v>8500</v>
      </c>
      <c r="L3847" s="3">
        <v>59500</v>
      </c>
      <c r="M3847" s="3">
        <v>16660</v>
      </c>
      <c r="N3847" s="4">
        <v>0.21875</v>
      </c>
    </row>
    <row r="3848" spans="1:14" x14ac:dyDescent="0.3">
      <c r="A3848" s="6">
        <v>45932</v>
      </c>
      <c r="B3848" s="1" t="s">
        <v>4032</v>
      </c>
      <c r="C3848" s="1" t="s">
        <v>29</v>
      </c>
      <c r="D3848" t="s">
        <v>31</v>
      </c>
      <c r="E3848" t="s">
        <v>280</v>
      </c>
      <c r="F3848" t="s">
        <v>14</v>
      </c>
      <c r="G3848" t="s">
        <v>15</v>
      </c>
      <c r="H3848" s="3">
        <v>3</v>
      </c>
      <c r="I3848" s="3">
        <v>58050</v>
      </c>
      <c r="J3848" s="3">
        <v>174150</v>
      </c>
      <c r="K3848" s="3">
        <v>45000</v>
      </c>
      <c r="L3848" s="3">
        <v>135000</v>
      </c>
      <c r="M3848" s="3">
        <v>39150</v>
      </c>
      <c r="N3848" s="4">
        <v>0.22480620155038761</v>
      </c>
    </row>
    <row r="3849" spans="1:14" x14ac:dyDescent="0.3">
      <c r="A3849" s="6">
        <v>45932</v>
      </c>
      <c r="B3849" s="1" t="s">
        <v>4033</v>
      </c>
      <c r="C3849" s="1" t="s">
        <v>26</v>
      </c>
      <c r="D3849" t="s">
        <v>35</v>
      </c>
      <c r="E3849" t="s">
        <v>218</v>
      </c>
      <c r="F3849" t="s">
        <v>19</v>
      </c>
      <c r="G3849" t="s">
        <v>20</v>
      </c>
      <c r="H3849" s="3">
        <v>7</v>
      </c>
      <c r="I3849" s="3">
        <v>1179</v>
      </c>
      <c r="J3849" s="3">
        <v>8253</v>
      </c>
      <c r="K3849" s="3">
        <v>900</v>
      </c>
      <c r="L3849" s="3">
        <v>6300</v>
      </c>
      <c r="M3849" s="3">
        <v>1953</v>
      </c>
      <c r="N3849" s="4">
        <v>0.23664122137404581</v>
      </c>
    </row>
    <row r="3850" spans="1:14" x14ac:dyDescent="0.3">
      <c r="A3850" s="6">
        <v>45933</v>
      </c>
      <c r="B3850" s="1" t="s">
        <v>4034</v>
      </c>
      <c r="C3850" s="1" t="s">
        <v>28</v>
      </c>
      <c r="D3850" t="s">
        <v>34</v>
      </c>
      <c r="E3850" t="s">
        <v>43</v>
      </c>
      <c r="F3850" t="s">
        <v>23</v>
      </c>
      <c r="G3850" t="s">
        <v>25</v>
      </c>
      <c r="H3850" s="3">
        <v>5</v>
      </c>
      <c r="I3850" s="3">
        <v>4064</v>
      </c>
      <c r="J3850" s="3">
        <v>20320</v>
      </c>
      <c r="K3850" s="3">
        <v>3200</v>
      </c>
      <c r="L3850" s="3">
        <v>16000</v>
      </c>
      <c r="M3850" s="3">
        <v>4320</v>
      </c>
      <c r="N3850" s="4">
        <v>0.2125984251968504</v>
      </c>
    </row>
    <row r="3851" spans="1:14" x14ac:dyDescent="0.3">
      <c r="A3851" s="6">
        <v>45933</v>
      </c>
      <c r="B3851" s="1" t="s">
        <v>4035</v>
      </c>
      <c r="C3851" s="1" t="s">
        <v>27</v>
      </c>
      <c r="D3851" t="s">
        <v>32</v>
      </c>
      <c r="E3851" t="s">
        <v>286</v>
      </c>
      <c r="F3851" t="s">
        <v>23</v>
      </c>
      <c r="G3851" t="s">
        <v>25</v>
      </c>
      <c r="H3851" s="3">
        <v>2</v>
      </c>
      <c r="I3851" s="3">
        <v>3840</v>
      </c>
      <c r="J3851" s="3">
        <v>7680</v>
      </c>
      <c r="K3851" s="3">
        <v>3200</v>
      </c>
      <c r="L3851" s="3">
        <v>6400</v>
      </c>
      <c r="M3851" s="3">
        <v>1280</v>
      </c>
      <c r="N3851" s="4">
        <v>0.16666666666666666</v>
      </c>
    </row>
    <row r="3852" spans="1:14" x14ac:dyDescent="0.3">
      <c r="A3852" s="6">
        <v>45933</v>
      </c>
      <c r="B3852" s="1" t="s">
        <v>4036</v>
      </c>
      <c r="C3852" s="1" t="s">
        <v>28</v>
      </c>
      <c r="D3852" t="s">
        <v>30</v>
      </c>
      <c r="E3852" t="s">
        <v>43</v>
      </c>
      <c r="F3852" t="s">
        <v>21</v>
      </c>
      <c r="G3852" t="s">
        <v>20</v>
      </c>
      <c r="H3852" s="3">
        <v>7</v>
      </c>
      <c r="I3852" s="3">
        <v>840</v>
      </c>
      <c r="J3852" s="3">
        <v>5880</v>
      </c>
      <c r="K3852" s="3">
        <v>600</v>
      </c>
      <c r="L3852" s="3">
        <v>4200</v>
      </c>
      <c r="M3852" s="3">
        <v>1680</v>
      </c>
      <c r="N3852" s="4">
        <v>0.2857142857142857</v>
      </c>
    </row>
    <row r="3853" spans="1:14" x14ac:dyDescent="0.3">
      <c r="A3853" s="6">
        <v>45933</v>
      </c>
      <c r="B3853" s="1" t="s">
        <v>4037</v>
      </c>
      <c r="C3853" s="1" t="s">
        <v>27</v>
      </c>
      <c r="D3853" t="s">
        <v>30</v>
      </c>
      <c r="E3853" t="s">
        <v>57</v>
      </c>
      <c r="F3853" t="s">
        <v>17</v>
      </c>
      <c r="G3853" t="s">
        <v>18</v>
      </c>
      <c r="H3853" s="3">
        <v>6</v>
      </c>
      <c r="I3853" s="3">
        <v>11135</v>
      </c>
      <c r="J3853" s="3">
        <v>66810</v>
      </c>
      <c r="K3853" s="3">
        <v>8500</v>
      </c>
      <c r="L3853" s="3">
        <v>51000</v>
      </c>
      <c r="M3853" s="3">
        <v>15810</v>
      </c>
      <c r="N3853" s="4">
        <v>0.23664122137404581</v>
      </c>
    </row>
    <row r="3854" spans="1:14" x14ac:dyDescent="0.3">
      <c r="A3854" s="6">
        <v>45933</v>
      </c>
      <c r="B3854" s="1" t="s">
        <v>4038</v>
      </c>
      <c r="C3854" s="1" t="s">
        <v>28</v>
      </c>
      <c r="D3854" t="s">
        <v>34</v>
      </c>
      <c r="E3854" t="s">
        <v>81</v>
      </c>
      <c r="F3854" t="s">
        <v>23</v>
      </c>
      <c r="G3854" t="s">
        <v>25</v>
      </c>
      <c r="H3854" s="3">
        <v>5</v>
      </c>
      <c r="I3854" s="3">
        <v>4352</v>
      </c>
      <c r="J3854" s="3">
        <v>21760</v>
      </c>
      <c r="K3854" s="3">
        <v>3200</v>
      </c>
      <c r="L3854" s="3">
        <v>16000</v>
      </c>
      <c r="M3854" s="3">
        <v>5760</v>
      </c>
      <c r="N3854" s="4">
        <v>0.26470588235294118</v>
      </c>
    </row>
    <row r="3855" spans="1:14" x14ac:dyDescent="0.3">
      <c r="A3855" s="6">
        <v>45933</v>
      </c>
      <c r="B3855" s="1" t="s">
        <v>4039</v>
      </c>
      <c r="C3855" s="1" t="s">
        <v>27</v>
      </c>
      <c r="D3855" t="s">
        <v>32</v>
      </c>
      <c r="E3855" t="s">
        <v>361</v>
      </c>
      <c r="F3855" t="s">
        <v>22</v>
      </c>
      <c r="G3855" t="s">
        <v>18</v>
      </c>
      <c r="H3855" s="3">
        <v>9</v>
      </c>
      <c r="I3855" s="3">
        <v>9030</v>
      </c>
      <c r="J3855" s="3">
        <v>81270</v>
      </c>
      <c r="K3855" s="3">
        <v>7000</v>
      </c>
      <c r="L3855" s="3">
        <v>63000</v>
      </c>
      <c r="M3855" s="3">
        <v>18270</v>
      </c>
      <c r="N3855" s="4">
        <v>0.22480620155038761</v>
      </c>
    </row>
    <row r="3856" spans="1:14" x14ac:dyDescent="0.3">
      <c r="A3856" s="6">
        <v>45933</v>
      </c>
      <c r="B3856" s="1" t="s">
        <v>4040</v>
      </c>
      <c r="C3856" s="1" t="s">
        <v>28</v>
      </c>
      <c r="D3856" t="s">
        <v>33</v>
      </c>
      <c r="E3856" t="s">
        <v>196</v>
      </c>
      <c r="F3856" t="s">
        <v>14</v>
      </c>
      <c r="G3856" t="s">
        <v>15</v>
      </c>
      <c r="H3856" s="3">
        <v>9</v>
      </c>
      <c r="I3856" s="3">
        <v>64800</v>
      </c>
      <c r="J3856" s="3">
        <v>583200</v>
      </c>
      <c r="K3856" s="3">
        <v>45000</v>
      </c>
      <c r="L3856" s="3">
        <v>405000</v>
      </c>
      <c r="M3856" s="3">
        <v>178200</v>
      </c>
      <c r="N3856" s="4">
        <v>0.30555555555555558</v>
      </c>
    </row>
    <row r="3857" spans="1:14" x14ac:dyDescent="0.3">
      <c r="A3857" s="6">
        <v>45933</v>
      </c>
      <c r="B3857" s="1" t="s">
        <v>4041</v>
      </c>
      <c r="C3857" s="1" t="s">
        <v>29</v>
      </c>
      <c r="D3857" t="s">
        <v>30</v>
      </c>
      <c r="E3857" t="s">
        <v>263</v>
      </c>
      <c r="F3857" t="s">
        <v>19</v>
      </c>
      <c r="G3857" t="s">
        <v>20</v>
      </c>
      <c r="H3857" s="3">
        <v>4</v>
      </c>
      <c r="I3857" s="3">
        <v>1251</v>
      </c>
      <c r="J3857" s="3">
        <v>5004</v>
      </c>
      <c r="K3857" s="3">
        <v>900</v>
      </c>
      <c r="L3857" s="3">
        <v>3600</v>
      </c>
      <c r="M3857" s="3">
        <v>1404</v>
      </c>
      <c r="N3857" s="4">
        <v>0.2805755395683453</v>
      </c>
    </row>
    <row r="3858" spans="1:14" x14ac:dyDescent="0.3">
      <c r="A3858" s="6">
        <v>45933</v>
      </c>
      <c r="B3858" s="1" t="s">
        <v>4042</v>
      </c>
      <c r="C3858" s="1" t="s">
        <v>26</v>
      </c>
      <c r="D3858" t="s">
        <v>31</v>
      </c>
      <c r="E3858" t="s">
        <v>698</v>
      </c>
      <c r="F3858" t="s">
        <v>21</v>
      </c>
      <c r="G3858" t="s">
        <v>20</v>
      </c>
      <c r="H3858" s="3">
        <v>5</v>
      </c>
      <c r="I3858" s="3">
        <v>822.00000000000011</v>
      </c>
      <c r="J3858" s="3">
        <v>4110.0000000000009</v>
      </c>
      <c r="K3858" s="3">
        <v>600</v>
      </c>
      <c r="L3858" s="3">
        <v>3000</v>
      </c>
      <c r="M3858" s="3">
        <v>1110.0000000000009</v>
      </c>
      <c r="N3858" s="4">
        <v>0.2700729927007301</v>
      </c>
    </row>
    <row r="3859" spans="1:14" x14ac:dyDescent="0.3">
      <c r="A3859" s="6">
        <v>45933</v>
      </c>
      <c r="B3859" s="1" t="s">
        <v>4043</v>
      </c>
      <c r="C3859" s="1" t="s">
        <v>27</v>
      </c>
      <c r="D3859" t="s">
        <v>34</v>
      </c>
      <c r="E3859" t="s">
        <v>268</v>
      </c>
      <c r="F3859" t="s">
        <v>16</v>
      </c>
      <c r="G3859" t="s">
        <v>15</v>
      </c>
      <c r="H3859" s="3">
        <v>6</v>
      </c>
      <c r="I3859" s="3">
        <v>47120</v>
      </c>
      <c r="J3859" s="3">
        <v>282720</v>
      </c>
      <c r="K3859" s="3">
        <v>38000</v>
      </c>
      <c r="L3859" s="3">
        <v>228000</v>
      </c>
      <c r="M3859" s="3">
        <v>54720</v>
      </c>
      <c r="N3859" s="4">
        <v>0.19354838709677419</v>
      </c>
    </row>
    <row r="3860" spans="1:14" x14ac:dyDescent="0.3">
      <c r="A3860" s="6">
        <v>45933</v>
      </c>
      <c r="B3860" s="1" t="s">
        <v>4044</v>
      </c>
      <c r="C3860" s="1" t="s">
        <v>26</v>
      </c>
      <c r="D3860" t="s">
        <v>30</v>
      </c>
      <c r="E3860" t="s">
        <v>331</v>
      </c>
      <c r="F3860" t="s">
        <v>16</v>
      </c>
      <c r="G3860" t="s">
        <v>15</v>
      </c>
      <c r="H3860" s="3">
        <v>5</v>
      </c>
      <c r="I3860" s="3">
        <v>47120</v>
      </c>
      <c r="J3860" s="3">
        <v>235600</v>
      </c>
      <c r="K3860" s="3">
        <v>38000</v>
      </c>
      <c r="L3860" s="3">
        <v>190000</v>
      </c>
      <c r="M3860" s="3">
        <v>45600</v>
      </c>
      <c r="N3860" s="4">
        <v>0.19354838709677419</v>
      </c>
    </row>
    <row r="3861" spans="1:14" x14ac:dyDescent="0.3">
      <c r="A3861" s="6">
        <v>45933</v>
      </c>
      <c r="B3861" s="1" t="s">
        <v>4045</v>
      </c>
      <c r="C3861" s="1" t="s">
        <v>29</v>
      </c>
      <c r="D3861" t="s">
        <v>32</v>
      </c>
      <c r="E3861" t="s">
        <v>273</v>
      </c>
      <c r="F3861" t="s">
        <v>24</v>
      </c>
      <c r="G3861" t="s">
        <v>25</v>
      </c>
      <c r="H3861" s="3">
        <v>8</v>
      </c>
      <c r="I3861" s="3">
        <v>3500</v>
      </c>
      <c r="J3861" s="3">
        <v>28000</v>
      </c>
      <c r="K3861" s="3">
        <v>2500</v>
      </c>
      <c r="L3861" s="3">
        <v>20000</v>
      </c>
      <c r="M3861" s="3">
        <v>8000</v>
      </c>
      <c r="N3861" s="4">
        <v>0.2857142857142857</v>
      </c>
    </row>
    <row r="3862" spans="1:14" x14ac:dyDescent="0.3">
      <c r="A3862" s="6">
        <v>45933</v>
      </c>
      <c r="B3862" s="1" t="s">
        <v>4046</v>
      </c>
      <c r="C3862" s="1" t="s">
        <v>26</v>
      </c>
      <c r="D3862" t="s">
        <v>30</v>
      </c>
      <c r="E3862" t="s">
        <v>122</v>
      </c>
      <c r="F3862" t="s">
        <v>16</v>
      </c>
      <c r="G3862" t="s">
        <v>15</v>
      </c>
      <c r="H3862" s="3">
        <v>2</v>
      </c>
      <c r="I3862" s="3">
        <v>45600</v>
      </c>
      <c r="J3862" s="3">
        <v>91200</v>
      </c>
      <c r="K3862" s="3">
        <v>38000</v>
      </c>
      <c r="L3862" s="3">
        <v>76000</v>
      </c>
      <c r="M3862" s="3">
        <v>15200</v>
      </c>
      <c r="N3862" s="4">
        <v>0.16666666666666666</v>
      </c>
    </row>
    <row r="3863" spans="1:14" x14ac:dyDescent="0.3">
      <c r="A3863" s="6">
        <v>45933</v>
      </c>
      <c r="B3863" s="1" t="s">
        <v>4047</v>
      </c>
      <c r="C3863" s="1" t="s">
        <v>29</v>
      </c>
      <c r="D3863" t="s">
        <v>30</v>
      </c>
      <c r="E3863" t="s">
        <v>55</v>
      </c>
      <c r="F3863" t="s">
        <v>21</v>
      </c>
      <c r="G3863" t="s">
        <v>20</v>
      </c>
      <c r="H3863" s="3">
        <v>1</v>
      </c>
      <c r="I3863" s="3">
        <v>792</v>
      </c>
      <c r="J3863" s="3">
        <v>792</v>
      </c>
      <c r="K3863" s="3">
        <v>600</v>
      </c>
      <c r="L3863" s="3">
        <v>600</v>
      </c>
      <c r="M3863" s="3">
        <v>192</v>
      </c>
      <c r="N3863" s="4">
        <v>0.24242424242424243</v>
      </c>
    </row>
    <row r="3864" spans="1:14" x14ac:dyDescent="0.3">
      <c r="A3864" s="6">
        <v>45934</v>
      </c>
      <c r="B3864" s="1" t="s">
        <v>4048</v>
      </c>
      <c r="C3864" s="1" t="s">
        <v>27</v>
      </c>
      <c r="D3864" t="s">
        <v>33</v>
      </c>
      <c r="E3864" t="s">
        <v>124</v>
      </c>
      <c r="F3864" t="s">
        <v>19</v>
      </c>
      <c r="G3864" t="s">
        <v>20</v>
      </c>
      <c r="H3864" s="3">
        <v>6</v>
      </c>
      <c r="I3864" s="3">
        <v>1080</v>
      </c>
      <c r="J3864" s="3">
        <v>6480</v>
      </c>
      <c r="K3864" s="3">
        <v>900</v>
      </c>
      <c r="L3864" s="3">
        <v>5400</v>
      </c>
      <c r="M3864" s="3">
        <v>1080</v>
      </c>
      <c r="N3864" s="4">
        <v>0.16666666666666666</v>
      </c>
    </row>
    <row r="3865" spans="1:14" x14ac:dyDescent="0.3">
      <c r="A3865" s="6">
        <v>45934</v>
      </c>
      <c r="B3865" s="1" t="s">
        <v>4049</v>
      </c>
      <c r="C3865" s="1" t="s">
        <v>29</v>
      </c>
      <c r="D3865" t="s">
        <v>34</v>
      </c>
      <c r="E3865" t="s">
        <v>355</v>
      </c>
      <c r="F3865" t="s">
        <v>22</v>
      </c>
      <c r="G3865" t="s">
        <v>18</v>
      </c>
      <c r="H3865" s="3">
        <v>3</v>
      </c>
      <c r="I3865" s="3">
        <v>10080</v>
      </c>
      <c r="J3865" s="3">
        <v>30240</v>
      </c>
      <c r="K3865" s="3">
        <v>7000</v>
      </c>
      <c r="L3865" s="3">
        <v>21000</v>
      </c>
      <c r="M3865" s="3">
        <v>9240</v>
      </c>
      <c r="N3865" s="4">
        <v>0.30555555555555558</v>
      </c>
    </row>
    <row r="3866" spans="1:14" x14ac:dyDescent="0.3">
      <c r="A3866" s="6">
        <v>45934</v>
      </c>
      <c r="B3866" s="1" t="s">
        <v>4050</v>
      </c>
      <c r="C3866" s="1" t="s">
        <v>26</v>
      </c>
      <c r="D3866" t="s">
        <v>35</v>
      </c>
      <c r="E3866" t="s">
        <v>159</v>
      </c>
      <c r="F3866" t="s">
        <v>24</v>
      </c>
      <c r="G3866" t="s">
        <v>25</v>
      </c>
      <c r="H3866" s="3">
        <v>6</v>
      </c>
      <c r="I3866" s="3">
        <v>3100</v>
      </c>
      <c r="J3866" s="3">
        <v>18600</v>
      </c>
      <c r="K3866" s="3">
        <v>2500</v>
      </c>
      <c r="L3866" s="3">
        <v>15000</v>
      </c>
      <c r="M3866" s="3">
        <v>3600</v>
      </c>
      <c r="N3866" s="4">
        <v>0.19354838709677419</v>
      </c>
    </row>
    <row r="3867" spans="1:14" x14ac:dyDescent="0.3">
      <c r="A3867" s="6">
        <v>45934</v>
      </c>
      <c r="B3867" s="1" t="s">
        <v>4051</v>
      </c>
      <c r="C3867" s="1" t="s">
        <v>26</v>
      </c>
      <c r="D3867" t="s">
        <v>31</v>
      </c>
      <c r="E3867" t="s">
        <v>576</v>
      </c>
      <c r="F3867" t="s">
        <v>16</v>
      </c>
      <c r="G3867" t="s">
        <v>15</v>
      </c>
      <c r="H3867" s="3">
        <v>2</v>
      </c>
      <c r="I3867" s="3">
        <v>50920</v>
      </c>
      <c r="J3867" s="3">
        <v>101840</v>
      </c>
      <c r="K3867" s="3">
        <v>38000</v>
      </c>
      <c r="L3867" s="3">
        <v>76000</v>
      </c>
      <c r="M3867" s="3">
        <v>25840</v>
      </c>
      <c r="N3867" s="4">
        <v>0.2537313432835821</v>
      </c>
    </row>
    <row r="3868" spans="1:14" x14ac:dyDescent="0.3">
      <c r="A3868" s="6">
        <v>45934</v>
      </c>
      <c r="B3868" s="1" t="s">
        <v>4052</v>
      </c>
      <c r="C3868" s="1" t="s">
        <v>26</v>
      </c>
      <c r="D3868" t="s">
        <v>32</v>
      </c>
      <c r="E3868" t="s">
        <v>424</v>
      </c>
      <c r="F3868" t="s">
        <v>24</v>
      </c>
      <c r="G3868" t="s">
        <v>25</v>
      </c>
      <c r="H3868" s="3">
        <v>3</v>
      </c>
      <c r="I3868" s="3">
        <v>3300</v>
      </c>
      <c r="J3868" s="3">
        <v>9900</v>
      </c>
      <c r="K3868" s="3">
        <v>2500</v>
      </c>
      <c r="L3868" s="3">
        <v>7500</v>
      </c>
      <c r="M3868" s="3">
        <v>2400</v>
      </c>
      <c r="N3868" s="4">
        <v>0.24242424242424243</v>
      </c>
    </row>
    <row r="3869" spans="1:14" x14ac:dyDescent="0.3">
      <c r="A3869" s="6">
        <v>45934</v>
      </c>
      <c r="B3869" s="1" t="s">
        <v>4053</v>
      </c>
      <c r="C3869" s="1" t="s">
        <v>29</v>
      </c>
      <c r="D3869" t="s">
        <v>34</v>
      </c>
      <c r="E3869" t="s">
        <v>161</v>
      </c>
      <c r="F3869" t="s">
        <v>14</v>
      </c>
      <c r="G3869" t="s">
        <v>15</v>
      </c>
      <c r="H3869" s="3">
        <v>6</v>
      </c>
      <c r="I3869" s="3">
        <v>60750.000000000007</v>
      </c>
      <c r="J3869" s="3">
        <v>364500.00000000006</v>
      </c>
      <c r="K3869" s="3">
        <v>45000</v>
      </c>
      <c r="L3869" s="3">
        <v>270000</v>
      </c>
      <c r="M3869" s="3">
        <v>94500.000000000058</v>
      </c>
      <c r="N3869" s="4">
        <v>0.25925925925925936</v>
      </c>
    </row>
    <row r="3870" spans="1:14" x14ac:dyDescent="0.3">
      <c r="A3870" s="6">
        <v>45934</v>
      </c>
      <c r="B3870" s="1" t="s">
        <v>4054</v>
      </c>
      <c r="C3870" s="1" t="s">
        <v>26</v>
      </c>
      <c r="D3870" t="s">
        <v>32</v>
      </c>
      <c r="E3870" t="s">
        <v>239</v>
      </c>
      <c r="F3870" t="s">
        <v>23</v>
      </c>
      <c r="G3870" t="s">
        <v>25</v>
      </c>
      <c r="H3870" s="3">
        <v>10</v>
      </c>
      <c r="I3870" s="3">
        <v>4544</v>
      </c>
      <c r="J3870" s="3">
        <v>45440</v>
      </c>
      <c r="K3870" s="3">
        <v>3200</v>
      </c>
      <c r="L3870" s="3">
        <v>32000</v>
      </c>
      <c r="M3870" s="3">
        <v>13440</v>
      </c>
      <c r="N3870" s="4">
        <v>0.29577464788732394</v>
      </c>
    </row>
    <row r="3871" spans="1:14" x14ac:dyDescent="0.3">
      <c r="A3871" s="6">
        <v>45934</v>
      </c>
      <c r="B3871" s="1" t="s">
        <v>4055</v>
      </c>
      <c r="C3871" s="1" t="s">
        <v>27</v>
      </c>
      <c r="D3871" t="s">
        <v>33</v>
      </c>
      <c r="E3871" t="s">
        <v>124</v>
      </c>
      <c r="F3871" t="s">
        <v>24</v>
      </c>
      <c r="G3871" t="s">
        <v>25</v>
      </c>
      <c r="H3871" s="3">
        <v>4</v>
      </c>
      <c r="I3871" s="3">
        <v>3350</v>
      </c>
      <c r="J3871" s="3">
        <v>13400</v>
      </c>
      <c r="K3871" s="3">
        <v>2500</v>
      </c>
      <c r="L3871" s="3">
        <v>10000</v>
      </c>
      <c r="M3871" s="3">
        <v>3400</v>
      </c>
      <c r="N3871" s="4">
        <v>0.2537313432835821</v>
      </c>
    </row>
    <row r="3872" spans="1:14" x14ac:dyDescent="0.3">
      <c r="A3872" s="6">
        <v>45934</v>
      </c>
      <c r="B3872" s="1" t="s">
        <v>4056</v>
      </c>
      <c r="C3872" s="1" t="s">
        <v>29</v>
      </c>
      <c r="D3872" t="s">
        <v>33</v>
      </c>
      <c r="E3872" t="s">
        <v>424</v>
      </c>
      <c r="F3872" t="s">
        <v>19</v>
      </c>
      <c r="G3872" t="s">
        <v>20</v>
      </c>
      <c r="H3872" s="3">
        <v>4</v>
      </c>
      <c r="I3872" s="3">
        <v>1179</v>
      </c>
      <c r="J3872" s="3">
        <v>4716</v>
      </c>
      <c r="K3872" s="3">
        <v>900</v>
      </c>
      <c r="L3872" s="3">
        <v>3600</v>
      </c>
      <c r="M3872" s="3">
        <v>1116</v>
      </c>
      <c r="N3872" s="4">
        <v>0.23664122137404581</v>
      </c>
    </row>
    <row r="3873" spans="1:14" x14ac:dyDescent="0.3">
      <c r="A3873" s="6">
        <v>45934</v>
      </c>
      <c r="B3873" s="1" t="s">
        <v>4057</v>
      </c>
      <c r="C3873" s="1" t="s">
        <v>28</v>
      </c>
      <c r="D3873" t="s">
        <v>30</v>
      </c>
      <c r="E3873" t="s">
        <v>286</v>
      </c>
      <c r="F3873" t="s">
        <v>24</v>
      </c>
      <c r="G3873" t="s">
        <v>25</v>
      </c>
      <c r="H3873" s="3">
        <v>6</v>
      </c>
      <c r="I3873" s="3">
        <v>3200</v>
      </c>
      <c r="J3873" s="3">
        <v>19200</v>
      </c>
      <c r="K3873" s="3">
        <v>2500</v>
      </c>
      <c r="L3873" s="3">
        <v>15000</v>
      </c>
      <c r="M3873" s="3">
        <v>4200</v>
      </c>
      <c r="N3873" s="4">
        <v>0.21875</v>
      </c>
    </row>
    <row r="3874" spans="1:14" x14ac:dyDescent="0.3">
      <c r="A3874" s="6">
        <v>45934</v>
      </c>
      <c r="B3874" s="1" t="s">
        <v>4058</v>
      </c>
      <c r="C3874" s="1" t="s">
        <v>27</v>
      </c>
      <c r="D3874" t="s">
        <v>31</v>
      </c>
      <c r="E3874" t="s">
        <v>935</v>
      </c>
      <c r="F3874" t="s">
        <v>14</v>
      </c>
      <c r="G3874" t="s">
        <v>15</v>
      </c>
      <c r="H3874" s="3">
        <v>1</v>
      </c>
      <c r="I3874" s="3">
        <v>63450</v>
      </c>
      <c r="J3874" s="3">
        <v>63450</v>
      </c>
      <c r="K3874" s="3">
        <v>45000</v>
      </c>
      <c r="L3874" s="3">
        <v>45000</v>
      </c>
      <c r="M3874" s="3">
        <v>18450</v>
      </c>
      <c r="N3874" s="4">
        <v>0.29078014184397161</v>
      </c>
    </row>
    <row r="3875" spans="1:14" x14ac:dyDescent="0.3">
      <c r="A3875" s="6">
        <v>45934</v>
      </c>
      <c r="B3875" s="1" t="s">
        <v>4059</v>
      </c>
      <c r="C3875" s="1" t="s">
        <v>29</v>
      </c>
      <c r="D3875" t="s">
        <v>31</v>
      </c>
      <c r="E3875" t="s">
        <v>104</v>
      </c>
      <c r="F3875" t="s">
        <v>17</v>
      </c>
      <c r="G3875" t="s">
        <v>18</v>
      </c>
      <c r="H3875" s="3">
        <v>5</v>
      </c>
      <c r="I3875" s="3">
        <v>11559.999999999998</v>
      </c>
      <c r="J3875" s="3">
        <v>57799.999999999993</v>
      </c>
      <c r="K3875" s="3">
        <v>8500</v>
      </c>
      <c r="L3875" s="3">
        <v>42500</v>
      </c>
      <c r="M3875" s="3">
        <v>15299.999999999993</v>
      </c>
      <c r="N3875" s="4">
        <v>0.26470588235294107</v>
      </c>
    </row>
    <row r="3876" spans="1:14" x14ac:dyDescent="0.3">
      <c r="A3876" s="6">
        <v>45934</v>
      </c>
      <c r="B3876" s="1" t="s">
        <v>4060</v>
      </c>
      <c r="C3876" s="1" t="s">
        <v>27</v>
      </c>
      <c r="D3876" t="s">
        <v>31</v>
      </c>
      <c r="E3876" t="s">
        <v>153</v>
      </c>
      <c r="F3876" t="s">
        <v>16</v>
      </c>
      <c r="G3876" t="s">
        <v>15</v>
      </c>
      <c r="H3876" s="3">
        <v>9</v>
      </c>
      <c r="I3876" s="3">
        <v>49780</v>
      </c>
      <c r="J3876" s="3">
        <v>448020</v>
      </c>
      <c r="K3876" s="3">
        <v>38000</v>
      </c>
      <c r="L3876" s="3">
        <v>342000</v>
      </c>
      <c r="M3876" s="3">
        <v>106020</v>
      </c>
      <c r="N3876" s="4">
        <v>0.23664122137404581</v>
      </c>
    </row>
    <row r="3877" spans="1:14" x14ac:dyDescent="0.3">
      <c r="A3877" s="6">
        <v>45934</v>
      </c>
      <c r="B3877" s="1" t="s">
        <v>4061</v>
      </c>
      <c r="C3877" s="1" t="s">
        <v>29</v>
      </c>
      <c r="D3877" t="s">
        <v>32</v>
      </c>
      <c r="E3877" t="s">
        <v>142</v>
      </c>
      <c r="F3877" t="s">
        <v>19</v>
      </c>
      <c r="G3877" t="s">
        <v>20</v>
      </c>
      <c r="H3877" s="3">
        <v>6</v>
      </c>
      <c r="I3877" s="3">
        <v>1251</v>
      </c>
      <c r="J3877" s="3">
        <v>7506</v>
      </c>
      <c r="K3877" s="3">
        <v>900</v>
      </c>
      <c r="L3877" s="3">
        <v>5400</v>
      </c>
      <c r="M3877" s="3">
        <v>2106</v>
      </c>
      <c r="N3877" s="4">
        <v>0.2805755395683453</v>
      </c>
    </row>
    <row r="3878" spans="1:14" x14ac:dyDescent="0.3">
      <c r="A3878" s="6">
        <v>45935</v>
      </c>
      <c r="B3878" s="1" t="s">
        <v>4062</v>
      </c>
      <c r="C3878" s="1" t="s">
        <v>26</v>
      </c>
      <c r="D3878" t="s">
        <v>31</v>
      </c>
      <c r="E3878" t="s">
        <v>331</v>
      </c>
      <c r="F3878" t="s">
        <v>22</v>
      </c>
      <c r="G3878" t="s">
        <v>18</v>
      </c>
      <c r="H3878" s="3">
        <v>10</v>
      </c>
      <c r="I3878" s="3">
        <v>10080</v>
      </c>
      <c r="J3878" s="3">
        <v>100800</v>
      </c>
      <c r="K3878" s="3">
        <v>7000</v>
      </c>
      <c r="L3878" s="3">
        <v>70000</v>
      </c>
      <c r="M3878" s="3">
        <v>30800</v>
      </c>
      <c r="N3878" s="4">
        <v>0.30555555555555558</v>
      </c>
    </row>
    <row r="3879" spans="1:14" x14ac:dyDescent="0.3">
      <c r="A3879" s="6">
        <v>45935</v>
      </c>
      <c r="B3879" s="1" t="s">
        <v>4063</v>
      </c>
      <c r="C3879" s="1" t="s">
        <v>27</v>
      </c>
      <c r="D3879" t="s">
        <v>31</v>
      </c>
      <c r="E3879" t="s">
        <v>576</v>
      </c>
      <c r="F3879" t="s">
        <v>21</v>
      </c>
      <c r="G3879" t="s">
        <v>20</v>
      </c>
      <c r="H3879" s="3">
        <v>6</v>
      </c>
      <c r="I3879" s="3">
        <v>864</v>
      </c>
      <c r="J3879" s="3">
        <v>5184</v>
      </c>
      <c r="K3879" s="3">
        <v>600</v>
      </c>
      <c r="L3879" s="3">
        <v>3600</v>
      </c>
      <c r="M3879" s="3">
        <v>1584</v>
      </c>
      <c r="N3879" s="4">
        <v>0.30555555555555558</v>
      </c>
    </row>
    <row r="3880" spans="1:14" x14ac:dyDescent="0.3">
      <c r="A3880" s="6">
        <v>45935</v>
      </c>
      <c r="B3880" s="1" t="s">
        <v>4064</v>
      </c>
      <c r="C3880" s="1" t="s">
        <v>27</v>
      </c>
      <c r="D3880" t="s">
        <v>35</v>
      </c>
      <c r="E3880" t="s">
        <v>159</v>
      </c>
      <c r="F3880" t="s">
        <v>21</v>
      </c>
      <c r="G3880" t="s">
        <v>20</v>
      </c>
      <c r="H3880" s="3">
        <v>1</v>
      </c>
      <c r="I3880" s="3">
        <v>870</v>
      </c>
      <c r="J3880" s="3">
        <v>870</v>
      </c>
      <c r="K3880" s="3">
        <v>600</v>
      </c>
      <c r="L3880" s="3">
        <v>600</v>
      </c>
      <c r="M3880" s="3">
        <v>270</v>
      </c>
      <c r="N3880" s="4">
        <v>0.31034482758620691</v>
      </c>
    </row>
    <row r="3881" spans="1:14" x14ac:dyDescent="0.3">
      <c r="A3881" s="6">
        <v>45935</v>
      </c>
      <c r="B3881" s="1" t="s">
        <v>4065</v>
      </c>
      <c r="C3881" s="1" t="s">
        <v>28</v>
      </c>
      <c r="D3881" t="s">
        <v>34</v>
      </c>
      <c r="E3881" t="s">
        <v>249</v>
      </c>
      <c r="F3881" t="s">
        <v>19</v>
      </c>
      <c r="G3881" t="s">
        <v>20</v>
      </c>
      <c r="H3881" s="3">
        <v>3</v>
      </c>
      <c r="I3881" s="3">
        <v>1296</v>
      </c>
      <c r="J3881" s="3">
        <v>3888</v>
      </c>
      <c r="K3881" s="3">
        <v>900</v>
      </c>
      <c r="L3881" s="3">
        <v>2700</v>
      </c>
      <c r="M3881" s="3">
        <v>1188</v>
      </c>
      <c r="N3881" s="4">
        <v>0.30555555555555558</v>
      </c>
    </row>
    <row r="3882" spans="1:14" x14ac:dyDescent="0.3">
      <c r="A3882" s="6">
        <v>45935</v>
      </c>
      <c r="B3882" s="1" t="s">
        <v>4066</v>
      </c>
      <c r="C3882" s="1" t="s">
        <v>29</v>
      </c>
      <c r="D3882" t="s">
        <v>34</v>
      </c>
      <c r="E3882" t="s">
        <v>576</v>
      </c>
      <c r="F3882" t="s">
        <v>24</v>
      </c>
      <c r="G3882" t="s">
        <v>25</v>
      </c>
      <c r="H3882" s="3">
        <v>6</v>
      </c>
      <c r="I3882" s="3">
        <v>3100</v>
      </c>
      <c r="J3882" s="3">
        <v>18600</v>
      </c>
      <c r="K3882" s="3">
        <v>2500</v>
      </c>
      <c r="L3882" s="3">
        <v>15000</v>
      </c>
      <c r="M3882" s="3">
        <v>3600</v>
      </c>
      <c r="N3882" s="4">
        <v>0.19354838709677419</v>
      </c>
    </row>
    <row r="3883" spans="1:14" x14ac:dyDescent="0.3">
      <c r="A3883" s="6">
        <v>45935</v>
      </c>
      <c r="B3883" s="1" t="s">
        <v>4067</v>
      </c>
      <c r="C3883" s="1" t="s">
        <v>27</v>
      </c>
      <c r="D3883" t="s">
        <v>31</v>
      </c>
      <c r="E3883" t="s">
        <v>327</v>
      </c>
      <c r="F3883" t="s">
        <v>24</v>
      </c>
      <c r="G3883" t="s">
        <v>25</v>
      </c>
      <c r="H3883" s="3">
        <v>7</v>
      </c>
      <c r="I3883" s="3">
        <v>3525</v>
      </c>
      <c r="J3883" s="3">
        <v>24675</v>
      </c>
      <c r="K3883" s="3">
        <v>2500</v>
      </c>
      <c r="L3883" s="3">
        <v>17500</v>
      </c>
      <c r="M3883" s="3">
        <v>7175</v>
      </c>
      <c r="N3883" s="4">
        <v>0.29078014184397161</v>
      </c>
    </row>
    <row r="3884" spans="1:14" x14ac:dyDescent="0.3">
      <c r="A3884" s="6">
        <v>45935</v>
      </c>
      <c r="B3884" s="1" t="s">
        <v>4068</v>
      </c>
      <c r="C3884" s="1" t="s">
        <v>27</v>
      </c>
      <c r="D3884" t="s">
        <v>31</v>
      </c>
      <c r="E3884" t="s">
        <v>226</v>
      </c>
      <c r="F3884" t="s">
        <v>14</v>
      </c>
      <c r="G3884" t="s">
        <v>15</v>
      </c>
      <c r="H3884" s="3">
        <v>3</v>
      </c>
      <c r="I3884" s="3">
        <v>61199.999999999993</v>
      </c>
      <c r="J3884" s="3">
        <v>183599.99999999997</v>
      </c>
      <c r="K3884" s="3">
        <v>45000</v>
      </c>
      <c r="L3884" s="3">
        <v>135000</v>
      </c>
      <c r="M3884" s="3">
        <v>48599.999999999971</v>
      </c>
      <c r="N3884" s="4">
        <v>0.26470588235294107</v>
      </c>
    </row>
    <row r="3885" spans="1:14" x14ac:dyDescent="0.3">
      <c r="A3885" s="6">
        <v>45935</v>
      </c>
      <c r="B3885" s="1" t="s">
        <v>4069</v>
      </c>
      <c r="C3885" s="1" t="s">
        <v>28</v>
      </c>
      <c r="D3885" t="s">
        <v>31</v>
      </c>
      <c r="E3885" t="s">
        <v>102</v>
      </c>
      <c r="F3885" t="s">
        <v>24</v>
      </c>
      <c r="G3885" t="s">
        <v>25</v>
      </c>
      <c r="H3885" s="3">
        <v>2</v>
      </c>
      <c r="I3885" s="3">
        <v>3125</v>
      </c>
      <c r="J3885" s="3">
        <v>6250</v>
      </c>
      <c r="K3885" s="3">
        <v>2500</v>
      </c>
      <c r="L3885" s="3">
        <v>5000</v>
      </c>
      <c r="M3885" s="3">
        <v>1250</v>
      </c>
      <c r="N3885" s="4">
        <v>0.2</v>
      </c>
    </row>
    <row r="3886" spans="1:14" x14ac:dyDescent="0.3">
      <c r="A3886" s="6">
        <v>45935</v>
      </c>
      <c r="B3886" s="1" t="s">
        <v>4070</v>
      </c>
      <c r="C3886" s="1" t="s">
        <v>28</v>
      </c>
      <c r="D3886" t="s">
        <v>31</v>
      </c>
      <c r="E3886" t="s">
        <v>239</v>
      </c>
      <c r="F3886" t="s">
        <v>16</v>
      </c>
      <c r="G3886" t="s">
        <v>15</v>
      </c>
      <c r="H3886" s="3">
        <v>6</v>
      </c>
      <c r="I3886" s="3">
        <v>52060.000000000007</v>
      </c>
      <c r="J3886" s="3">
        <v>312360.00000000006</v>
      </c>
      <c r="K3886" s="3">
        <v>38000</v>
      </c>
      <c r="L3886" s="3">
        <v>228000</v>
      </c>
      <c r="M3886" s="3">
        <v>84360.000000000058</v>
      </c>
      <c r="N3886" s="4">
        <v>0.27007299270073004</v>
      </c>
    </row>
    <row r="3887" spans="1:14" x14ac:dyDescent="0.3">
      <c r="A3887" s="6">
        <v>45935</v>
      </c>
      <c r="B3887" s="1" t="s">
        <v>4071</v>
      </c>
      <c r="C3887" s="1" t="s">
        <v>27</v>
      </c>
      <c r="D3887" t="s">
        <v>34</v>
      </c>
      <c r="E3887" t="s">
        <v>524</v>
      </c>
      <c r="F3887" t="s">
        <v>17</v>
      </c>
      <c r="G3887" t="s">
        <v>18</v>
      </c>
      <c r="H3887" s="3">
        <v>8</v>
      </c>
      <c r="I3887" s="3">
        <v>11050</v>
      </c>
      <c r="J3887" s="3">
        <v>88400</v>
      </c>
      <c r="K3887" s="3">
        <v>8500</v>
      </c>
      <c r="L3887" s="3">
        <v>68000</v>
      </c>
      <c r="M3887" s="3">
        <v>20400</v>
      </c>
      <c r="N3887" s="4">
        <v>0.23076923076923078</v>
      </c>
    </row>
    <row r="3888" spans="1:14" x14ac:dyDescent="0.3">
      <c r="A3888" s="6">
        <v>45935</v>
      </c>
      <c r="B3888" s="1" t="s">
        <v>4072</v>
      </c>
      <c r="C3888" s="1" t="s">
        <v>26</v>
      </c>
      <c r="D3888" t="s">
        <v>35</v>
      </c>
      <c r="E3888" t="s">
        <v>255</v>
      </c>
      <c r="F3888" t="s">
        <v>24</v>
      </c>
      <c r="G3888" t="s">
        <v>25</v>
      </c>
      <c r="H3888" s="3">
        <v>9</v>
      </c>
      <c r="I3888" s="3">
        <v>3475.0000000000005</v>
      </c>
      <c r="J3888" s="3">
        <v>31275.000000000004</v>
      </c>
      <c r="K3888" s="3">
        <v>2500</v>
      </c>
      <c r="L3888" s="3">
        <v>22500</v>
      </c>
      <c r="M3888" s="3">
        <v>8775.0000000000036</v>
      </c>
      <c r="N3888" s="4">
        <v>0.28057553956834541</v>
      </c>
    </row>
    <row r="3889" spans="1:14" x14ac:dyDescent="0.3">
      <c r="A3889" s="6">
        <v>45935</v>
      </c>
      <c r="B3889" s="1" t="s">
        <v>4073</v>
      </c>
      <c r="C3889" s="1" t="s">
        <v>27</v>
      </c>
      <c r="D3889" t="s">
        <v>34</v>
      </c>
      <c r="E3889" t="s">
        <v>41</v>
      </c>
      <c r="F3889" t="s">
        <v>21</v>
      </c>
      <c r="G3889" t="s">
        <v>20</v>
      </c>
      <c r="H3889" s="3">
        <v>6</v>
      </c>
      <c r="I3889" s="3">
        <v>870</v>
      </c>
      <c r="J3889" s="3">
        <v>5220</v>
      </c>
      <c r="K3889" s="3">
        <v>600</v>
      </c>
      <c r="L3889" s="3">
        <v>3600</v>
      </c>
      <c r="M3889" s="3">
        <v>1620</v>
      </c>
      <c r="N3889" s="4">
        <v>0.31034482758620691</v>
      </c>
    </row>
    <row r="3890" spans="1:14" x14ac:dyDescent="0.3">
      <c r="A3890" s="6">
        <v>45935</v>
      </c>
      <c r="B3890" s="1" t="s">
        <v>4074</v>
      </c>
      <c r="C3890" s="1" t="s">
        <v>27</v>
      </c>
      <c r="D3890" t="s">
        <v>34</v>
      </c>
      <c r="E3890" t="s">
        <v>286</v>
      </c>
      <c r="F3890" t="s">
        <v>16</v>
      </c>
      <c r="G3890" t="s">
        <v>15</v>
      </c>
      <c r="H3890" s="3">
        <v>5</v>
      </c>
      <c r="I3890" s="3">
        <v>53200</v>
      </c>
      <c r="J3890" s="3">
        <v>266000</v>
      </c>
      <c r="K3890" s="3">
        <v>38000</v>
      </c>
      <c r="L3890" s="3">
        <v>190000</v>
      </c>
      <c r="M3890" s="3">
        <v>76000</v>
      </c>
      <c r="N3890" s="4">
        <v>0.2857142857142857</v>
      </c>
    </row>
    <row r="3891" spans="1:14" x14ac:dyDescent="0.3">
      <c r="A3891" s="6">
        <v>45935</v>
      </c>
      <c r="B3891" s="1" t="s">
        <v>4075</v>
      </c>
      <c r="C3891" s="1" t="s">
        <v>28</v>
      </c>
      <c r="D3891" t="s">
        <v>30</v>
      </c>
      <c r="E3891" t="s">
        <v>222</v>
      </c>
      <c r="F3891" t="s">
        <v>21</v>
      </c>
      <c r="G3891" t="s">
        <v>20</v>
      </c>
      <c r="H3891" s="3">
        <v>7</v>
      </c>
      <c r="I3891" s="3">
        <v>762</v>
      </c>
      <c r="J3891" s="3">
        <v>5334</v>
      </c>
      <c r="K3891" s="3">
        <v>600</v>
      </c>
      <c r="L3891" s="3">
        <v>4200</v>
      </c>
      <c r="M3891" s="3">
        <v>1134</v>
      </c>
      <c r="N3891" s="4">
        <v>0.2125984251968504</v>
      </c>
    </row>
    <row r="3892" spans="1:14" x14ac:dyDescent="0.3">
      <c r="A3892" s="6">
        <v>45936</v>
      </c>
      <c r="B3892" s="1" t="s">
        <v>4076</v>
      </c>
      <c r="C3892" s="1" t="s">
        <v>28</v>
      </c>
      <c r="D3892" t="s">
        <v>34</v>
      </c>
      <c r="E3892" t="s">
        <v>166</v>
      </c>
      <c r="F3892" t="s">
        <v>21</v>
      </c>
      <c r="G3892" t="s">
        <v>20</v>
      </c>
      <c r="H3892" s="3">
        <v>1</v>
      </c>
      <c r="I3892" s="3">
        <v>744</v>
      </c>
      <c r="J3892" s="3">
        <v>744</v>
      </c>
      <c r="K3892" s="3">
        <v>600</v>
      </c>
      <c r="L3892" s="3">
        <v>600</v>
      </c>
      <c r="M3892" s="3">
        <v>144</v>
      </c>
      <c r="N3892" s="4">
        <v>0.19354838709677419</v>
      </c>
    </row>
    <row r="3893" spans="1:14" x14ac:dyDescent="0.3">
      <c r="A3893" s="6">
        <v>45936</v>
      </c>
      <c r="B3893" s="1" t="s">
        <v>4077</v>
      </c>
      <c r="C3893" s="1" t="s">
        <v>29</v>
      </c>
      <c r="D3893" t="s">
        <v>35</v>
      </c>
      <c r="E3893" t="s">
        <v>363</v>
      </c>
      <c r="F3893" t="s">
        <v>19</v>
      </c>
      <c r="G3893" t="s">
        <v>20</v>
      </c>
      <c r="H3893" s="3">
        <v>2</v>
      </c>
      <c r="I3893" s="3">
        <v>1296</v>
      </c>
      <c r="J3893" s="3">
        <v>2592</v>
      </c>
      <c r="K3893" s="3">
        <v>900</v>
      </c>
      <c r="L3893" s="3">
        <v>1800</v>
      </c>
      <c r="M3893" s="3">
        <v>792</v>
      </c>
      <c r="N3893" s="4">
        <v>0.30555555555555558</v>
      </c>
    </row>
    <row r="3894" spans="1:14" x14ac:dyDescent="0.3">
      <c r="A3894" s="6">
        <v>45936</v>
      </c>
      <c r="B3894" s="1" t="s">
        <v>4078</v>
      </c>
      <c r="C3894" s="1" t="s">
        <v>27</v>
      </c>
      <c r="D3894" t="s">
        <v>31</v>
      </c>
      <c r="E3894" t="s">
        <v>222</v>
      </c>
      <c r="F3894" t="s">
        <v>19</v>
      </c>
      <c r="G3894" t="s">
        <v>20</v>
      </c>
      <c r="H3894" s="3">
        <v>6</v>
      </c>
      <c r="I3894" s="3">
        <v>1134</v>
      </c>
      <c r="J3894" s="3">
        <v>6804</v>
      </c>
      <c r="K3894" s="3">
        <v>900</v>
      </c>
      <c r="L3894" s="3">
        <v>5400</v>
      </c>
      <c r="M3894" s="3">
        <v>1404</v>
      </c>
      <c r="N3894" s="4">
        <v>0.20634920634920634</v>
      </c>
    </row>
    <row r="3895" spans="1:14" x14ac:dyDescent="0.3">
      <c r="A3895" s="6">
        <v>45936</v>
      </c>
      <c r="B3895" s="1" t="s">
        <v>4079</v>
      </c>
      <c r="C3895" s="1" t="s">
        <v>29</v>
      </c>
      <c r="D3895" t="s">
        <v>34</v>
      </c>
      <c r="E3895" t="s">
        <v>308</v>
      </c>
      <c r="F3895" t="s">
        <v>14</v>
      </c>
      <c r="G3895" t="s">
        <v>15</v>
      </c>
      <c r="H3895" s="3">
        <v>3</v>
      </c>
      <c r="I3895" s="3">
        <v>57150</v>
      </c>
      <c r="J3895" s="3">
        <v>171450</v>
      </c>
      <c r="K3895" s="3">
        <v>45000</v>
      </c>
      <c r="L3895" s="3">
        <v>135000</v>
      </c>
      <c r="M3895" s="3">
        <v>36450</v>
      </c>
      <c r="N3895" s="4">
        <v>0.2125984251968504</v>
      </c>
    </row>
    <row r="3896" spans="1:14" x14ac:dyDescent="0.3">
      <c r="A3896" s="6">
        <v>45936</v>
      </c>
      <c r="B3896" s="1" t="s">
        <v>4080</v>
      </c>
      <c r="C3896" s="1" t="s">
        <v>27</v>
      </c>
      <c r="D3896" t="s">
        <v>34</v>
      </c>
      <c r="E3896" t="s">
        <v>61</v>
      </c>
      <c r="F3896" t="s">
        <v>16</v>
      </c>
      <c r="G3896" t="s">
        <v>15</v>
      </c>
      <c r="H3896" s="3">
        <v>8</v>
      </c>
      <c r="I3896" s="3">
        <v>45980</v>
      </c>
      <c r="J3896" s="3">
        <v>367840</v>
      </c>
      <c r="K3896" s="3">
        <v>38000</v>
      </c>
      <c r="L3896" s="3">
        <v>304000</v>
      </c>
      <c r="M3896" s="3">
        <v>63840</v>
      </c>
      <c r="N3896" s="4">
        <v>0.17355371900826447</v>
      </c>
    </row>
    <row r="3897" spans="1:14" x14ac:dyDescent="0.3">
      <c r="A3897" s="6">
        <v>45936</v>
      </c>
      <c r="B3897" s="1" t="s">
        <v>4081</v>
      </c>
      <c r="C3897" s="1" t="s">
        <v>27</v>
      </c>
      <c r="D3897" t="s">
        <v>30</v>
      </c>
      <c r="E3897" t="s">
        <v>104</v>
      </c>
      <c r="F3897" t="s">
        <v>19</v>
      </c>
      <c r="G3897" t="s">
        <v>20</v>
      </c>
      <c r="H3897" s="3">
        <v>6</v>
      </c>
      <c r="I3897" s="3">
        <v>1233</v>
      </c>
      <c r="J3897" s="3">
        <v>7398</v>
      </c>
      <c r="K3897" s="3">
        <v>900</v>
      </c>
      <c r="L3897" s="3">
        <v>5400</v>
      </c>
      <c r="M3897" s="3">
        <v>1998</v>
      </c>
      <c r="N3897" s="4">
        <v>0.27007299270072993</v>
      </c>
    </row>
    <row r="3898" spans="1:14" x14ac:dyDescent="0.3">
      <c r="A3898" s="6">
        <v>45936</v>
      </c>
      <c r="B3898" s="1" t="s">
        <v>4082</v>
      </c>
      <c r="C3898" s="1" t="s">
        <v>26</v>
      </c>
      <c r="D3898" t="s">
        <v>31</v>
      </c>
      <c r="E3898" t="s">
        <v>102</v>
      </c>
      <c r="F3898" t="s">
        <v>21</v>
      </c>
      <c r="G3898" t="s">
        <v>20</v>
      </c>
      <c r="H3898" s="3">
        <v>8</v>
      </c>
      <c r="I3898" s="3">
        <v>834.00000000000011</v>
      </c>
      <c r="J3898" s="3">
        <v>6672.0000000000009</v>
      </c>
      <c r="K3898" s="3">
        <v>600</v>
      </c>
      <c r="L3898" s="3">
        <v>4800</v>
      </c>
      <c r="M3898" s="3">
        <v>1872.0000000000009</v>
      </c>
      <c r="N3898" s="4">
        <v>0.28057553956834541</v>
      </c>
    </row>
    <row r="3899" spans="1:14" x14ac:dyDescent="0.3">
      <c r="A3899" s="6">
        <v>45936</v>
      </c>
      <c r="B3899" s="1" t="s">
        <v>4083</v>
      </c>
      <c r="C3899" s="1" t="s">
        <v>29</v>
      </c>
      <c r="D3899" t="s">
        <v>35</v>
      </c>
      <c r="E3899" t="s">
        <v>321</v>
      </c>
      <c r="F3899" t="s">
        <v>19</v>
      </c>
      <c r="G3899" t="s">
        <v>20</v>
      </c>
      <c r="H3899" s="3">
        <v>4</v>
      </c>
      <c r="I3899" s="3">
        <v>1224</v>
      </c>
      <c r="J3899" s="3">
        <v>4896</v>
      </c>
      <c r="K3899" s="3">
        <v>900</v>
      </c>
      <c r="L3899" s="3">
        <v>3600</v>
      </c>
      <c r="M3899" s="3">
        <v>1296</v>
      </c>
      <c r="N3899" s="4">
        <v>0.26470588235294118</v>
      </c>
    </row>
    <row r="3900" spans="1:14" x14ac:dyDescent="0.3">
      <c r="A3900" s="6">
        <v>45936</v>
      </c>
      <c r="B3900" s="1" t="s">
        <v>4084</v>
      </c>
      <c r="C3900" s="1" t="s">
        <v>26</v>
      </c>
      <c r="D3900" t="s">
        <v>34</v>
      </c>
      <c r="E3900" t="s">
        <v>336</v>
      </c>
      <c r="F3900" t="s">
        <v>21</v>
      </c>
      <c r="G3900" t="s">
        <v>20</v>
      </c>
      <c r="H3900" s="3">
        <v>2</v>
      </c>
      <c r="I3900" s="3">
        <v>792</v>
      </c>
      <c r="J3900" s="3">
        <v>1584</v>
      </c>
      <c r="K3900" s="3">
        <v>600</v>
      </c>
      <c r="L3900" s="3">
        <v>1200</v>
      </c>
      <c r="M3900" s="3">
        <v>384</v>
      </c>
      <c r="N3900" s="4">
        <v>0.24242424242424243</v>
      </c>
    </row>
    <row r="3901" spans="1:14" x14ac:dyDescent="0.3">
      <c r="A3901" s="6">
        <v>45936</v>
      </c>
      <c r="B3901" s="1" t="s">
        <v>4085</v>
      </c>
      <c r="C3901" s="1" t="s">
        <v>26</v>
      </c>
      <c r="D3901" t="s">
        <v>34</v>
      </c>
      <c r="E3901" t="s">
        <v>283</v>
      </c>
      <c r="F3901" t="s">
        <v>19</v>
      </c>
      <c r="G3901" t="s">
        <v>20</v>
      </c>
      <c r="H3901" s="3">
        <v>4</v>
      </c>
      <c r="I3901" s="3">
        <v>1152</v>
      </c>
      <c r="J3901" s="3">
        <v>4608</v>
      </c>
      <c r="K3901" s="3">
        <v>900</v>
      </c>
      <c r="L3901" s="3">
        <v>3600</v>
      </c>
      <c r="M3901" s="3">
        <v>1008</v>
      </c>
      <c r="N3901" s="4">
        <v>0.21875</v>
      </c>
    </row>
    <row r="3902" spans="1:14" x14ac:dyDescent="0.3">
      <c r="A3902" s="6">
        <v>45936</v>
      </c>
      <c r="B3902" s="1" t="s">
        <v>4086</v>
      </c>
      <c r="C3902" s="1" t="s">
        <v>29</v>
      </c>
      <c r="D3902" t="s">
        <v>35</v>
      </c>
      <c r="E3902" t="s">
        <v>55</v>
      </c>
      <c r="F3902" t="s">
        <v>14</v>
      </c>
      <c r="G3902" t="s">
        <v>15</v>
      </c>
      <c r="H3902" s="3">
        <v>9</v>
      </c>
      <c r="I3902" s="3">
        <v>56700</v>
      </c>
      <c r="J3902" s="3">
        <v>510300</v>
      </c>
      <c r="K3902" s="3">
        <v>45000</v>
      </c>
      <c r="L3902" s="3">
        <v>405000</v>
      </c>
      <c r="M3902" s="3">
        <v>105300</v>
      </c>
      <c r="N3902" s="4">
        <v>0.20634920634920634</v>
      </c>
    </row>
    <row r="3903" spans="1:14" x14ac:dyDescent="0.3">
      <c r="A3903" s="6">
        <v>45936</v>
      </c>
      <c r="B3903" s="1" t="s">
        <v>4087</v>
      </c>
      <c r="C3903" s="1" t="s">
        <v>29</v>
      </c>
      <c r="D3903" t="s">
        <v>33</v>
      </c>
      <c r="E3903" t="s">
        <v>427</v>
      </c>
      <c r="F3903" t="s">
        <v>16</v>
      </c>
      <c r="G3903" t="s">
        <v>15</v>
      </c>
      <c r="H3903" s="3">
        <v>4</v>
      </c>
      <c r="I3903" s="3">
        <v>51300</v>
      </c>
      <c r="J3903" s="3">
        <v>205200</v>
      </c>
      <c r="K3903" s="3">
        <v>38000</v>
      </c>
      <c r="L3903" s="3">
        <v>152000</v>
      </c>
      <c r="M3903" s="3">
        <v>53200</v>
      </c>
      <c r="N3903" s="4">
        <v>0.25925925925925924</v>
      </c>
    </row>
    <row r="3904" spans="1:14" x14ac:dyDescent="0.3">
      <c r="A3904" s="6">
        <v>45936</v>
      </c>
      <c r="B3904" s="1" t="s">
        <v>4088</v>
      </c>
      <c r="C3904" s="1" t="s">
        <v>28</v>
      </c>
      <c r="D3904" t="s">
        <v>30</v>
      </c>
      <c r="E3904" t="s">
        <v>102</v>
      </c>
      <c r="F3904" t="s">
        <v>14</v>
      </c>
      <c r="G3904" t="s">
        <v>15</v>
      </c>
      <c r="H3904" s="3">
        <v>7</v>
      </c>
      <c r="I3904" s="3">
        <v>57150</v>
      </c>
      <c r="J3904" s="3">
        <v>400050</v>
      </c>
      <c r="K3904" s="3">
        <v>45000</v>
      </c>
      <c r="L3904" s="3">
        <v>315000</v>
      </c>
      <c r="M3904" s="3">
        <v>85050</v>
      </c>
      <c r="N3904" s="4">
        <v>0.2125984251968504</v>
      </c>
    </row>
    <row r="3905" spans="1:14" x14ac:dyDescent="0.3">
      <c r="A3905" s="6">
        <v>45936</v>
      </c>
      <c r="B3905" s="1" t="s">
        <v>4089</v>
      </c>
      <c r="C3905" s="1" t="s">
        <v>26</v>
      </c>
      <c r="D3905" t="s">
        <v>31</v>
      </c>
      <c r="E3905" t="s">
        <v>45</v>
      </c>
      <c r="F3905" t="s">
        <v>14</v>
      </c>
      <c r="G3905" t="s">
        <v>15</v>
      </c>
      <c r="H3905" s="3">
        <v>10</v>
      </c>
      <c r="I3905" s="3">
        <v>61199.999999999993</v>
      </c>
      <c r="J3905" s="3">
        <v>611999.99999999988</v>
      </c>
      <c r="K3905" s="3">
        <v>45000</v>
      </c>
      <c r="L3905" s="3">
        <v>450000</v>
      </c>
      <c r="M3905" s="3">
        <v>161999.99999999988</v>
      </c>
      <c r="N3905" s="4">
        <v>0.26470588235294101</v>
      </c>
    </row>
    <row r="3906" spans="1:14" x14ac:dyDescent="0.3">
      <c r="A3906" s="6">
        <v>45937</v>
      </c>
      <c r="B3906" s="1" t="s">
        <v>4090</v>
      </c>
      <c r="C3906" s="1" t="s">
        <v>29</v>
      </c>
      <c r="D3906" t="s">
        <v>35</v>
      </c>
      <c r="E3906" t="s">
        <v>351</v>
      </c>
      <c r="F3906" t="s">
        <v>24</v>
      </c>
      <c r="G3906" t="s">
        <v>25</v>
      </c>
      <c r="H3906" s="3">
        <v>2</v>
      </c>
      <c r="I3906" s="3">
        <v>3125</v>
      </c>
      <c r="J3906" s="3">
        <v>6250</v>
      </c>
      <c r="K3906" s="3">
        <v>2500</v>
      </c>
      <c r="L3906" s="3">
        <v>5000</v>
      </c>
      <c r="M3906" s="3">
        <v>1250</v>
      </c>
      <c r="N3906" s="4">
        <v>0.2</v>
      </c>
    </row>
    <row r="3907" spans="1:14" x14ac:dyDescent="0.3">
      <c r="A3907" s="6">
        <v>45937</v>
      </c>
      <c r="B3907" s="1" t="s">
        <v>4091</v>
      </c>
      <c r="C3907" s="1" t="s">
        <v>26</v>
      </c>
      <c r="D3907" t="s">
        <v>34</v>
      </c>
      <c r="E3907" t="s">
        <v>283</v>
      </c>
      <c r="F3907" t="s">
        <v>14</v>
      </c>
      <c r="G3907" t="s">
        <v>15</v>
      </c>
      <c r="H3907" s="3">
        <v>3</v>
      </c>
      <c r="I3907" s="3">
        <v>57600</v>
      </c>
      <c r="J3907" s="3">
        <v>172800</v>
      </c>
      <c r="K3907" s="3">
        <v>45000</v>
      </c>
      <c r="L3907" s="3">
        <v>135000</v>
      </c>
      <c r="M3907" s="3">
        <v>37800</v>
      </c>
      <c r="N3907" s="4">
        <v>0.21875</v>
      </c>
    </row>
    <row r="3908" spans="1:14" x14ac:dyDescent="0.3">
      <c r="A3908" s="6">
        <v>45937</v>
      </c>
      <c r="B3908" s="1" t="s">
        <v>4092</v>
      </c>
      <c r="C3908" s="1" t="s">
        <v>28</v>
      </c>
      <c r="D3908" t="s">
        <v>30</v>
      </c>
      <c r="E3908" t="s">
        <v>371</v>
      </c>
      <c r="F3908" t="s">
        <v>16</v>
      </c>
      <c r="G3908" t="s">
        <v>15</v>
      </c>
      <c r="H3908" s="3">
        <v>5</v>
      </c>
      <c r="I3908" s="3">
        <v>54340</v>
      </c>
      <c r="J3908" s="3">
        <v>271700</v>
      </c>
      <c r="K3908" s="3">
        <v>38000</v>
      </c>
      <c r="L3908" s="3">
        <v>190000</v>
      </c>
      <c r="M3908" s="3">
        <v>81700</v>
      </c>
      <c r="N3908" s="4">
        <v>0.30069930069930068</v>
      </c>
    </row>
    <row r="3909" spans="1:14" x14ac:dyDescent="0.3">
      <c r="A3909" s="6">
        <v>45937</v>
      </c>
      <c r="B3909" s="1" t="s">
        <v>4093</v>
      </c>
      <c r="C3909" s="1" t="s">
        <v>29</v>
      </c>
      <c r="D3909" t="s">
        <v>33</v>
      </c>
      <c r="E3909" t="s">
        <v>88</v>
      </c>
      <c r="F3909" t="s">
        <v>23</v>
      </c>
      <c r="G3909" t="s">
        <v>25</v>
      </c>
      <c r="H3909" s="3">
        <v>8</v>
      </c>
      <c r="I3909" s="3">
        <v>4288</v>
      </c>
      <c r="J3909" s="3">
        <v>34304</v>
      </c>
      <c r="K3909" s="3">
        <v>3200</v>
      </c>
      <c r="L3909" s="3">
        <v>25600</v>
      </c>
      <c r="M3909" s="3">
        <v>8704</v>
      </c>
      <c r="N3909" s="4">
        <v>0.2537313432835821</v>
      </c>
    </row>
    <row r="3910" spans="1:14" x14ac:dyDescent="0.3">
      <c r="A3910" s="6">
        <v>45937</v>
      </c>
      <c r="B3910" s="1" t="s">
        <v>4094</v>
      </c>
      <c r="C3910" s="1" t="s">
        <v>27</v>
      </c>
      <c r="D3910" t="s">
        <v>30</v>
      </c>
      <c r="E3910" t="s">
        <v>327</v>
      </c>
      <c r="F3910" t="s">
        <v>24</v>
      </c>
      <c r="G3910" t="s">
        <v>25</v>
      </c>
      <c r="H3910" s="3">
        <v>7</v>
      </c>
      <c r="I3910" s="3">
        <v>3275</v>
      </c>
      <c r="J3910" s="3">
        <v>22925</v>
      </c>
      <c r="K3910" s="3">
        <v>2500</v>
      </c>
      <c r="L3910" s="3">
        <v>17500</v>
      </c>
      <c r="M3910" s="3">
        <v>5425</v>
      </c>
      <c r="N3910" s="4">
        <v>0.23664122137404581</v>
      </c>
    </row>
    <row r="3911" spans="1:14" x14ac:dyDescent="0.3">
      <c r="A3911" s="6">
        <v>45937</v>
      </c>
      <c r="B3911" s="1" t="s">
        <v>4095</v>
      </c>
      <c r="C3911" s="1" t="s">
        <v>28</v>
      </c>
      <c r="D3911" t="s">
        <v>35</v>
      </c>
      <c r="E3911" t="s">
        <v>576</v>
      </c>
      <c r="F3911" t="s">
        <v>19</v>
      </c>
      <c r="G3911" t="s">
        <v>20</v>
      </c>
      <c r="H3911" s="3">
        <v>10</v>
      </c>
      <c r="I3911" s="3">
        <v>1089</v>
      </c>
      <c r="J3911" s="3">
        <v>10890</v>
      </c>
      <c r="K3911" s="3">
        <v>900</v>
      </c>
      <c r="L3911" s="3">
        <v>9000</v>
      </c>
      <c r="M3911" s="3">
        <v>1890</v>
      </c>
      <c r="N3911" s="4">
        <v>0.17355371900826447</v>
      </c>
    </row>
    <row r="3912" spans="1:14" x14ac:dyDescent="0.3">
      <c r="A3912" s="6">
        <v>45937</v>
      </c>
      <c r="B3912" s="1" t="s">
        <v>4096</v>
      </c>
      <c r="C3912" s="1" t="s">
        <v>27</v>
      </c>
      <c r="D3912" t="s">
        <v>30</v>
      </c>
      <c r="E3912" t="s">
        <v>411</v>
      </c>
      <c r="F3912" t="s">
        <v>21</v>
      </c>
      <c r="G3912" t="s">
        <v>20</v>
      </c>
      <c r="H3912" s="3">
        <v>3</v>
      </c>
      <c r="I3912" s="3">
        <v>864</v>
      </c>
      <c r="J3912" s="3">
        <v>2592</v>
      </c>
      <c r="K3912" s="3">
        <v>600</v>
      </c>
      <c r="L3912" s="3">
        <v>1800</v>
      </c>
      <c r="M3912" s="3">
        <v>792</v>
      </c>
      <c r="N3912" s="4">
        <v>0.30555555555555558</v>
      </c>
    </row>
    <row r="3913" spans="1:14" x14ac:dyDescent="0.3">
      <c r="A3913" s="6">
        <v>45937</v>
      </c>
      <c r="B3913" s="1" t="s">
        <v>4097</v>
      </c>
      <c r="C3913" s="1" t="s">
        <v>26</v>
      </c>
      <c r="D3913" t="s">
        <v>35</v>
      </c>
      <c r="E3913" t="s">
        <v>283</v>
      </c>
      <c r="F3913" t="s">
        <v>19</v>
      </c>
      <c r="G3913" t="s">
        <v>20</v>
      </c>
      <c r="H3913" s="3">
        <v>9</v>
      </c>
      <c r="I3913" s="3">
        <v>1080</v>
      </c>
      <c r="J3913" s="3">
        <v>9720</v>
      </c>
      <c r="K3913" s="3">
        <v>900</v>
      </c>
      <c r="L3913" s="3">
        <v>8100</v>
      </c>
      <c r="M3913" s="3">
        <v>1620</v>
      </c>
      <c r="N3913" s="4">
        <v>0.16666666666666666</v>
      </c>
    </row>
    <row r="3914" spans="1:14" x14ac:dyDescent="0.3">
      <c r="A3914" s="6">
        <v>45937</v>
      </c>
      <c r="B3914" s="1" t="s">
        <v>4098</v>
      </c>
      <c r="C3914" s="1" t="s">
        <v>29</v>
      </c>
      <c r="D3914" t="s">
        <v>32</v>
      </c>
      <c r="E3914" t="s">
        <v>153</v>
      </c>
      <c r="F3914" t="s">
        <v>23</v>
      </c>
      <c r="G3914" t="s">
        <v>25</v>
      </c>
      <c r="H3914" s="3">
        <v>4</v>
      </c>
      <c r="I3914" s="3">
        <v>4096</v>
      </c>
      <c r="J3914" s="3">
        <v>16384</v>
      </c>
      <c r="K3914" s="3">
        <v>3200</v>
      </c>
      <c r="L3914" s="3">
        <v>12800</v>
      </c>
      <c r="M3914" s="3">
        <v>3584</v>
      </c>
      <c r="N3914" s="4">
        <v>0.21875</v>
      </c>
    </row>
    <row r="3915" spans="1:14" x14ac:dyDescent="0.3">
      <c r="A3915" s="6">
        <v>45937</v>
      </c>
      <c r="B3915" s="1" t="s">
        <v>4099</v>
      </c>
      <c r="C3915" s="1" t="s">
        <v>29</v>
      </c>
      <c r="D3915" t="s">
        <v>34</v>
      </c>
      <c r="E3915" t="s">
        <v>371</v>
      </c>
      <c r="F3915" t="s">
        <v>16</v>
      </c>
      <c r="G3915" t="s">
        <v>15</v>
      </c>
      <c r="H3915" s="3">
        <v>8</v>
      </c>
      <c r="I3915" s="3">
        <v>49020</v>
      </c>
      <c r="J3915" s="3">
        <v>392160</v>
      </c>
      <c r="K3915" s="3">
        <v>38000</v>
      </c>
      <c r="L3915" s="3">
        <v>304000</v>
      </c>
      <c r="M3915" s="3">
        <v>88160</v>
      </c>
      <c r="N3915" s="4">
        <v>0.22480620155038761</v>
      </c>
    </row>
    <row r="3916" spans="1:14" x14ac:dyDescent="0.3">
      <c r="A3916" s="6">
        <v>45937</v>
      </c>
      <c r="B3916" s="1" t="s">
        <v>4100</v>
      </c>
      <c r="C3916" s="1" t="s">
        <v>29</v>
      </c>
      <c r="D3916" t="s">
        <v>31</v>
      </c>
      <c r="E3916" t="s">
        <v>308</v>
      </c>
      <c r="F3916" t="s">
        <v>19</v>
      </c>
      <c r="G3916" t="s">
        <v>20</v>
      </c>
      <c r="H3916" s="3">
        <v>1</v>
      </c>
      <c r="I3916" s="3">
        <v>1278</v>
      </c>
      <c r="J3916" s="3">
        <v>1278</v>
      </c>
      <c r="K3916" s="3">
        <v>900</v>
      </c>
      <c r="L3916" s="3">
        <v>900</v>
      </c>
      <c r="M3916" s="3">
        <v>378</v>
      </c>
      <c r="N3916" s="4">
        <v>0.29577464788732394</v>
      </c>
    </row>
    <row r="3917" spans="1:14" x14ac:dyDescent="0.3">
      <c r="A3917" s="6">
        <v>45937</v>
      </c>
      <c r="B3917" s="1" t="s">
        <v>4101</v>
      </c>
      <c r="C3917" s="1" t="s">
        <v>28</v>
      </c>
      <c r="D3917" t="s">
        <v>33</v>
      </c>
      <c r="E3917" t="s">
        <v>751</v>
      </c>
      <c r="F3917" t="s">
        <v>22</v>
      </c>
      <c r="G3917" t="s">
        <v>18</v>
      </c>
      <c r="H3917" s="3">
        <v>4</v>
      </c>
      <c r="I3917" s="3">
        <v>10080</v>
      </c>
      <c r="J3917" s="3">
        <v>40320</v>
      </c>
      <c r="K3917" s="3">
        <v>7000</v>
      </c>
      <c r="L3917" s="3">
        <v>28000</v>
      </c>
      <c r="M3917" s="3">
        <v>12320</v>
      </c>
      <c r="N3917" s="4">
        <v>0.30555555555555558</v>
      </c>
    </row>
    <row r="3918" spans="1:14" x14ac:dyDescent="0.3">
      <c r="A3918" s="6">
        <v>45937</v>
      </c>
      <c r="B3918" s="1" t="s">
        <v>4102</v>
      </c>
      <c r="C3918" s="1" t="s">
        <v>26</v>
      </c>
      <c r="D3918" t="s">
        <v>35</v>
      </c>
      <c r="E3918" t="s">
        <v>49</v>
      </c>
      <c r="F3918" t="s">
        <v>16</v>
      </c>
      <c r="G3918" t="s">
        <v>15</v>
      </c>
      <c r="H3918" s="3">
        <v>6</v>
      </c>
      <c r="I3918" s="3">
        <v>49020</v>
      </c>
      <c r="J3918" s="3">
        <v>294120</v>
      </c>
      <c r="K3918" s="3">
        <v>38000</v>
      </c>
      <c r="L3918" s="3">
        <v>228000</v>
      </c>
      <c r="M3918" s="3">
        <v>66120</v>
      </c>
      <c r="N3918" s="4">
        <v>0.22480620155038761</v>
      </c>
    </row>
    <row r="3919" spans="1:14" x14ac:dyDescent="0.3">
      <c r="A3919" s="6">
        <v>45937</v>
      </c>
      <c r="B3919" s="1" t="s">
        <v>4103</v>
      </c>
      <c r="C3919" s="1" t="s">
        <v>28</v>
      </c>
      <c r="D3919" t="s">
        <v>35</v>
      </c>
      <c r="E3919" t="s">
        <v>208</v>
      </c>
      <c r="F3919" t="s">
        <v>21</v>
      </c>
      <c r="G3919" t="s">
        <v>20</v>
      </c>
      <c r="H3919" s="3">
        <v>6</v>
      </c>
      <c r="I3919" s="3">
        <v>720</v>
      </c>
      <c r="J3919" s="3">
        <v>4320</v>
      </c>
      <c r="K3919" s="3">
        <v>600</v>
      </c>
      <c r="L3919" s="3">
        <v>3600</v>
      </c>
      <c r="M3919" s="3">
        <v>720</v>
      </c>
      <c r="N3919" s="4">
        <v>0.16666666666666666</v>
      </c>
    </row>
    <row r="3920" spans="1:14" x14ac:dyDescent="0.3">
      <c r="A3920" s="6">
        <v>45938</v>
      </c>
      <c r="B3920" s="1" t="s">
        <v>4104</v>
      </c>
      <c r="C3920" s="1" t="s">
        <v>26</v>
      </c>
      <c r="D3920" t="s">
        <v>30</v>
      </c>
      <c r="E3920" t="s">
        <v>388</v>
      </c>
      <c r="F3920" t="s">
        <v>19</v>
      </c>
      <c r="G3920" t="s">
        <v>20</v>
      </c>
      <c r="H3920" s="3">
        <v>9</v>
      </c>
      <c r="I3920" s="3">
        <v>1161</v>
      </c>
      <c r="J3920" s="3">
        <v>10449</v>
      </c>
      <c r="K3920" s="3">
        <v>900</v>
      </c>
      <c r="L3920" s="3">
        <v>8100</v>
      </c>
      <c r="M3920" s="3">
        <v>2349</v>
      </c>
      <c r="N3920" s="4">
        <v>0.22480620155038761</v>
      </c>
    </row>
    <row r="3921" spans="1:14" x14ac:dyDescent="0.3">
      <c r="A3921" s="6">
        <v>45938</v>
      </c>
      <c r="B3921" s="1" t="s">
        <v>4105</v>
      </c>
      <c r="C3921" s="1" t="s">
        <v>29</v>
      </c>
      <c r="D3921" t="s">
        <v>32</v>
      </c>
      <c r="E3921" t="s">
        <v>39</v>
      </c>
      <c r="F3921" t="s">
        <v>14</v>
      </c>
      <c r="G3921" t="s">
        <v>15</v>
      </c>
      <c r="H3921" s="3">
        <v>7</v>
      </c>
      <c r="I3921" s="3">
        <v>60750.000000000007</v>
      </c>
      <c r="J3921" s="3">
        <v>425250.00000000006</v>
      </c>
      <c r="K3921" s="3">
        <v>45000</v>
      </c>
      <c r="L3921" s="3">
        <v>315000</v>
      </c>
      <c r="M3921" s="3">
        <v>110250.00000000006</v>
      </c>
      <c r="N3921" s="4">
        <v>0.25925925925925936</v>
      </c>
    </row>
    <row r="3922" spans="1:14" x14ac:dyDescent="0.3">
      <c r="A3922" s="6">
        <v>45938</v>
      </c>
      <c r="B3922" s="1" t="s">
        <v>4106</v>
      </c>
      <c r="C3922" s="1" t="s">
        <v>28</v>
      </c>
      <c r="D3922" t="s">
        <v>35</v>
      </c>
      <c r="E3922" t="s">
        <v>407</v>
      </c>
      <c r="F3922" t="s">
        <v>16</v>
      </c>
      <c r="G3922" t="s">
        <v>15</v>
      </c>
      <c r="H3922" s="3">
        <v>7</v>
      </c>
      <c r="I3922" s="3">
        <v>49020</v>
      </c>
      <c r="J3922" s="3">
        <v>343140</v>
      </c>
      <c r="K3922" s="3">
        <v>38000</v>
      </c>
      <c r="L3922" s="3">
        <v>266000</v>
      </c>
      <c r="M3922" s="3">
        <v>77140</v>
      </c>
      <c r="N3922" s="4">
        <v>0.22480620155038761</v>
      </c>
    </row>
    <row r="3923" spans="1:14" x14ac:dyDescent="0.3">
      <c r="A3923" s="6">
        <v>45938</v>
      </c>
      <c r="B3923" s="1" t="s">
        <v>4107</v>
      </c>
      <c r="C3923" s="1" t="s">
        <v>28</v>
      </c>
      <c r="D3923" t="s">
        <v>32</v>
      </c>
      <c r="E3923" t="s">
        <v>231</v>
      </c>
      <c r="F3923" t="s">
        <v>16</v>
      </c>
      <c r="G3923" t="s">
        <v>15</v>
      </c>
      <c r="H3923" s="3">
        <v>8</v>
      </c>
      <c r="I3923" s="3">
        <v>45600</v>
      </c>
      <c r="J3923" s="3">
        <v>364800</v>
      </c>
      <c r="K3923" s="3">
        <v>38000</v>
      </c>
      <c r="L3923" s="3">
        <v>304000</v>
      </c>
      <c r="M3923" s="3">
        <v>60800</v>
      </c>
      <c r="N3923" s="4">
        <v>0.16666666666666666</v>
      </c>
    </row>
    <row r="3924" spans="1:14" x14ac:dyDescent="0.3">
      <c r="A3924" s="6">
        <v>45938</v>
      </c>
      <c r="B3924" s="1" t="s">
        <v>4108</v>
      </c>
      <c r="C3924" s="1" t="s">
        <v>27</v>
      </c>
      <c r="D3924" t="s">
        <v>32</v>
      </c>
      <c r="E3924" t="s">
        <v>361</v>
      </c>
      <c r="F3924" t="s">
        <v>24</v>
      </c>
      <c r="G3924" t="s">
        <v>25</v>
      </c>
      <c r="H3924" s="3">
        <v>2</v>
      </c>
      <c r="I3924" s="3">
        <v>3225</v>
      </c>
      <c r="J3924" s="3">
        <v>6450</v>
      </c>
      <c r="K3924" s="3">
        <v>2500</v>
      </c>
      <c r="L3924" s="3">
        <v>5000</v>
      </c>
      <c r="M3924" s="3">
        <v>1450</v>
      </c>
      <c r="N3924" s="4">
        <v>0.22480620155038761</v>
      </c>
    </row>
    <row r="3925" spans="1:14" x14ac:dyDescent="0.3">
      <c r="A3925" s="6">
        <v>45938</v>
      </c>
      <c r="B3925" s="1" t="s">
        <v>4109</v>
      </c>
      <c r="C3925" s="1" t="s">
        <v>27</v>
      </c>
      <c r="D3925" t="s">
        <v>30</v>
      </c>
      <c r="E3925" t="s">
        <v>49</v>
      </c>
      <c r="F3925" t="s">
        <v>22</v>
      </c>
      <c r="G3925" t="s">
        <v>18</v>
      </c>
      <c r="H3925" s="3">
        <v>3</v>
      </c>
      <c r="I3925" s="3">
        <v>9800</v>
      </c>
      <c r="J3925" s="3">
        <v>29400</v>
      </c>
      <c r="K3925" s="3">
        <v>7000</v>
      </c>
      <c r="L3925" s="3">
        <v>21000</v>
      </c>
      <c r="M3925" s="3">
        <v>8400</v>
      </c>
      <c r="N3925" s="4">
        <v>0.2857142857142857</v>
      </c>
    </row>
    <row r="3926" spans="1:14" x14ac:dyDescent="0.3">
      <c r="A3926" s="6">
        <v>45938</v>
      </c>
      <c r="B3926" s="1" t="s">
        <v>4110</v>
      </c>
      <c r="C3926" s="1" t="s">
        <v>27</v>
      </c>
      <c r="D3926" t="s">
        <v>35</v>
      </c>
      <c r="E3926" t="s">
        <v>321</v>
      </c>
      <c r="F3926" t="s">
        <v>21</v>
      </c>
      <c r="G3926" t="s">
        <v>20</v>
      </c>
      <c r="H3926" s="3">
        <v>4</v>
      </c>
      <c r="I3926" s="3">
        <v>744</v>
      </c>
      <c r="J3926" s="3">
        <v>2976</v>
      </c>
      <c r="K3926" s="3">
        <v>600</v>
      </c>
      <c r="L3926" s="3">
        <v>2400</v>
      </c>
      <c r="M3926" s="3">
        <v>576</v>
      </c>
      <c r="N3926" s="4">
        <v>0.19354838709677419</v>
      </c>
    </row>
    <row r="3927" spans="1:14" x14ac:dyDescent="0.3">
      <c r="A3927" s="6">
        <v>45938</v>
      </c>
      <c r="B3927" s="1" t="s">
        <v>4111</v>
      </c>
      <c r="C3927" s="1" t="s">
        <v>26</v>
      </c>
      <c r="D3927" t="s">
        <v>32</v>
      </c>
      <c r="E3927" t="s">
        <v>53</v>
      </c>
      <c r="F3927" t="s">
        <v>19</v>
      </c>
      <c r="G3927" t="s">
        <v>20</v>
      </c>
      <c r="H3927" s="3">
        <v>7</v>
      </c>
      <c r="I3927" s="3">
        <v>1242</v>
      </c>
      <c r="J3927" s="3">
        <v>8694</v>
      </c>
      <c r="K3927" s="3">
        <v>900</v>
      </c>
      <c r="L3927" s="3">
        <v>6300</v>
      </c>
      <c r="M3927" s="3">
        <v>2394</v>
      </c>
      <c r="N3927" s="4">
        <v>0.27536231884057971</v>
      </c>
    </row>
    <row r="3928" spans="1:14" x14ac:dyDescent="0.3">
      <c r="A3928" s="6">
        <v>45938</v>
      </c>
      <c r="B3928" s="1" t="s">
        <v>4112</v>
      </c>
      <c r="C3928" s="1" t="s">
        <v>26</v>
      </c>
      <c r="D3928" t="s">
        <v>30</v>
      </c>
      <c r="E3928" t="s">
        <v>319</v>
      </c>
      <c r="F3928" t="s">
        <v>14</v>
      </c>
      <c r="G3928" t="s">
        <v>15</v>
      </c>
      <c r="H3928" s="3">
        <v>7</v>
      </c>
      <c r="I3928" s="3">
        <v>62999.999999999993</v>
      </c>
      <c r="J3928" s="3">
        <v>440999.99999999994</v>
      </c>
      <c r="K3928" s="3">
        <v>45000</v>
      </c>
      <c r="L3928" s="3">
        <v>315000</v>
      </c>
      <c r="M3928" s="3">
        <v>125999.99999999994</v>
      </c>
      <c r="N3928" s="4">
        <v>0.28571428571428564</v>
      </c>
    </row>
    <row r="3929" spans="1:14" x14ac:dyDescent="0.3">
      <c r="A3929" s="6">
        <v>45938</v>
      </c>
      <c r="B3929" s="1" t="s">
        <v>4113</v>
      </c>
      <c r="C3929" s="1" t="s">
        <v>26</v>
      </c>
      <c r="D3929" t="s">
        <v>33</v>
      </c>
      <c r="E3929" t="s">
        <v>126</v>
      </c>
      <c r="F3929" t="s">
        <v>22</v>
      </c>
      <c r="G3929" t="s">
        <v>18</v>
      </c>
      <c r="H3929" s="3">
        <v>7</v>
      </c>
      <c r="I3929" s="3">
        <v>8820</v>
      </c>
      <c r="J3929" s="3">
        <v>61740</v>
      </c>
      <c r="K3929" s="3">
        <v>7000</v>
      </c>
      <c r="L3929" s="3">
        <v>49000</v>
      </c>
      <c r="M3929" s="3">
        <v>12740</v>
      </c>
      <c r="N3929" s="4">
        <v>0.20634920634920634</v>
      </c>
    </row>
    <row r="3930" spans="1:14" x14ac:dyDescent="0.3">
      <c r="A3930" s="6">
        <v>45938</v>
      </c>
      <c r="B3930" s="1" t="s">
        <v>4114</v>
      </c>
      <c r="C3930" s="1" t="s">
        <v>26</v>
      </c>
      <c r="D3930" t="s">
        <v>35</v>
      </c>
      <c r="E3930" t="s">
        <v>67</v>
      </c>
      <c r="F3930" t="s">
        <v>17</v>
      </c>
      <c r="G3930" t="s">
        <v>18</v>
      </c>
      <c r="H3930" s="3">
        <v>5</v>
      </c>
      <c r="I3930" s="3">
        <v>12240</v>
      </c>
      <c r="J3930" s="3">
        <v>61200</v>
      </c>
      <c r="K3930" s="3">
        <v>8500</v>
      </c>
      <c r="L3930" s="3">
        <v>42500</v>
      </c>
      <c r="M3930" s="3">
        <v>18700</v>
      </c>
      <c r="N3930" s="4">
        <v>0.30555555555555558</v>
      </c>
    </row>
    <row r="3931" spans="1:14" x14ac:dyDescent="0.3">
      <c r="A3931" s="6">
        <v>45938</v>
      </c>
      <c r="B3931" s="1" t="s">
        <v>4115</v>
      </c>
      <c r="C3931" s="1" t="s">
        <v>29</v>
      </c>
      <c r="D3931" t="s">
        <v>34</v>
      </c>
      <c r="E3931" t="s">
        <v>306</v>
      </c>
      <c r="F3931" t="s">
        <v>16</v>
      </c>
      <c r="G3931" t="s">
        <v>15</v>
      </c>
      <c r="H3931" s="3">
        <v>4</v>
      </c>
      <c r="I3931" s="3">
        <v>48260</v>
      </c>
      <c r="J3931" s="3">
        <v>193040</v>
      </c>
      <c r="K3931" s="3">
        <v>38000</v>
      </c>
      <c r="L3931" s="3">
        <v>152000</v>
      </c>
      <c r="M3931" s="3">
        <v>41040</v>
      </c>
      <c r="N3931" s="4">
        <v>0.2125984251968504</v>
      </c>
    </row>
    <row r="3932" spans="1:14" x14ac:dyDescent="0.3">
      <c r="A3932" s="6">
        <v>45938</v>
      </c>
      <c r="B3932" s="1" t="s">
        <v>4116</v>
      </c>
      <c r="C3932" s="1" t="s">
        <v>28</v>
      </c>
      <c r="D3932" t="s">
        <v>31</v>
      </c>
      <c r="E3932" t="s">
        <v>112</v>
      </c>
      <c r="F3932" t="s">
        <v>24</v>
      </c>
      <c r="G3932" t="s">
        <v>25</v>
      </c>
      <c r="H3932" s="3">
        <v>10</v>
      </c>
      <c r="I3932" s="3">
        <v>3300</v>
      </c>
      <c r="J3932" s="3">
        <v>33000</v>
      </c>
      <c r="K3932" s="3">
        <v>2500</v>
      </c>
      <c r="L3932" s="3">
        <v>25000</v>
      </c>
      <c r="M3932" s="3">
        <v>8000</v>
      </c>
      <c r="N3932" s="4">
        <v>0.24242424242424243</v>
      </c>
    </row>
    <row r="3933" spans="1:14" x14ac:dyDescent="0.3">
      <c r="A3933" s="6">
        <v>45938</v>
      </c>
      <c r="B3933" s="1" t="s">
        <v>4117</v>
      </c>
      <c r="C3933" s="1" t="s">
        <v>29</v>
      </c>
      <c r="D3933" t="s">
        <v>30</v>
      </c>
      <c r="E3933" t="s">
        <v>96</v>
      </c>
      <c r="F3933" t="s">
        <v>19</v>
      </c>
      <c r="G3933" t="s">
        <v>20</v>
      </c>
      <c r="H3933" s="3">
        <v>10</v>
      </c>
      <c r="I3933" s="3">
        <v>1215</v>
      </c>
      <c r="J3933" s="3">
        <v>12150</v>
      </c>
      <c r="K3933" s="3">
        <v>900</v>
      </c>
      <c r="L3933" s="3">
        <v>9000</v>
      </c>
      <c r="M3933" s="3">
        <v>3150</v>
      </c>
      <c r="N3933" s="4">
        <v>0.25925925925925924</v>
      </c>
    </row>
    <row r="3934" spans="1:14" x14ac:dyDescent="0.3">
      <c r="A3934" s="6">
        <v>45939</v>
      </c>
      <c r="B3934" s="1" t="s">
        <v>4118</v>
      </c>
      <c r="C3934" s="1" t="s">
        <v>26</v>
      </c>
      <c r="D3934" t="s">
        <v>30</v>
      </c>
      <c r="E3934" t="s">
        <v>283</v>
      </c>
      <c r="F3934" t="s">
        <v>19</v>
      </c>
      <c r="G3934" t="s">
        <v>20</v>
      </c>
      <c r="H3934" s="3">
        <v>8</v>
      </c>
      <c r="I3934" s="3">
        <v>1125</v>
      </c>
      <c r="J3934" s="3">
        <v>9000</v>
      </c>
      <c r="K3934" s="3">
        <v>900</v>
      </c>
      <c r="L3934" s="3">
        <v>7200</v>
      </c>
      <c r="M3934" s="3">
        <v>1800</v>
      </c>
      <c r="N3934" s="4">
        <v>0.2</v>
      </c>
    </row>
    <row r="3935" spans="1:14" x14ac:dyDescent="0.3">
      <c r="A3935" s="6">
        <v>45939</v>
      </c>
      <c r="B3935" s="1" t="s">
        <v>4119</v>
      </c>
      <c r="C3935" s="1" t="s">
        <v>26</v>
      </c>
      <c r="D3935" t="s">
        <v>35</v>
      </c>
      <c r="E3935" t="s">
        <v>310</v>
      </c>
      <c r="F3935" t="s">
        <v>19</v>
      </c>
      <c r="G3935" t="s">
        <v>20</v>
      </c>
      <c r="H3935" s="3">
        <v>2</v>
      </c>
      <c r="I3935" s="3">
        <v>1143</v>
      </c>
      <c r="J3935" s="3">
        <v>2286</v>
      </c>
      <c r="K3935" s="3">
        <v>900</v>
      </c>
      <c r="L3935" s="3">
        <v>1800</v>
      </c>
      <c r="M3935" s="3">
        <v>486</v>
      </c>
      <c r="N3935" s="4">
        <v>0.2125984251968504</v>
      </c>
    </row>
    <row r="3936" spans="1:14" x14ac:dyDescent="0.3">
      <c r="A3936" s="6">
        <v>45939</v>
      </c>
      <c r="B3936" s="1" t="s">
        <v>4120</v>
      </c>
      <c r="C3936" s="1" t="s">
        <v>26</v>
      </c>
      <c r="D3936" t="s">
        <v>35</v>
      </c>
      <c r="E3936" t="s">
        <v>76</v>
      </c>
      <c r="F3936" t="s">
        <v>23</v>
      </c>
      <c r="G3936" t="s">
        <v>25</v>
      </c>
      <c r="H3936" s="3">
        <v>7</v>
      </c>
      <c r="I3936" s="3">
        <v>4320</v>
      </c>
      <c r="J3936" s="3">
        <v>30240</v>
      </c>
      <c r="K3936" s="3">
        <v>3200</v>
      </c>
      <c r="L3936" s="3">
        <v>22400</v>
      </c>
      <c r="M3936" s="3">
        <v>7840</v>
      </c>
      <c r="N3936" s="4">
        <v>0.25925925925925924</v>
      </c>
    </row>
    <row r="3937" spans="1:14" x14ac:dyDescent="0.3">
      <c r="A3937" s="6">
        <v>45939</v>
      </c>
      <c r="B3937" s="1" t="s">
        <v>4121</v>
      </c>
      <c r="C3937" s="1" t="s">
        <v>28</v>
      </c>
      <c r="D3937" t="s">
        <v>35</v>
      </c>
      <c r="E3937" t="s">
        <v>263</v>
      </c>
      <c r="F3937" t="s">
        <v>22</v>
      </c>
      <c r="G3937" t="s">
        <v>18</v>
      </c>
      <c r="H3937" s="3">
        <v>6</v>
      </c>
      <c r="I3937" s="3">
        <v>8820</v>
      </c>
      <c r="J3937" s="3">
        <v>52920</v>
      </c>
      <c r="K3937" s="3">
        <v>7000</v>
      </c>
      <c r="L3937" s="3">
        <v>42000</v>
      </c>
      <c r="M3937" s="3">
        <v>10920</v>
      </c>
      <c r="N3937" s="4">
        <v>0.20634920634920634</v>
      </c>
    </row>
    <row r="3938" spans="1:14" x14ac:dyDescent="0.3">
      <c r="A3938" s="6">
        <v>45939</v>
      </c>
      <c r="B3938" s="1" t="s">
        <v>4122</v>
      </c>
      <c r="C3938" s="1" t="s">
        <v>26</v>
      </c>
      <c r="D3938" t="s">
        <v>32</v>
      </c>
      <c r="E3938" t="s">
        <v>208</v>
      </c>
      <c r="F3938" t="s">
        <v>14</v>
      </c>
      <c r="G3938" t="s">
        <v>15</v>
      </c>
      <c r="H3938" s="3">
        <v>10</v>
      </c>
      <c r="I3938" s="3">
        <v>57600</v>
      </c>
      <c r="J3938" s="3">
        <v>576000</v>
      </c>
      <c r="K3938" s="3">
        <v>45000</v>
      </c>
      <c r="L3938" s="3">
        <v>450000</v>
      </c>
      <c r="M3938" s="3">
        <v>126000</v>
      </c>
      <c r="N3938" s="4">
        <v>0.21875</v>
      </c>
    </row>
    <row r="3939" spans="1:14" x14ac:dyDescent="0.3">
      <c r="A3939" s="6">
        <v>45939</v>
      </c>
      <c r="B3939" s="1" t="s">
        <v>4123</v>
      </c>
      <c r="C3939" s="1" t="s">
        <v>27</v>
      </c>
      <c r="D3939" t="s">
        <v>33</v>
      </c>
      <c r="E3939" t="s">
        <v>361</v>
      </c>
      <c r="F3939" t="s">
        <v>14</v>
      </c>
      <c r="G3939" t="s">
        <v>15</v>
      </c>
      <c r="H3939" s="3">
        <v>3</v>
      </c>
      <c r="I3939" s="3">
        <v>60300</v>
      </c>
      <c r="J3939" s="3">
        <v>180900</v>
      </c>
      <c r="K3939" s="3">
        <v>45000</v>
      </c>
      <c r="L3939" s="3">
        <v>135000</v>
      </c>
      <c r="M3939" s="3">
        <v>45900</v>
      </c>
      <c r="N3939" s="4">
        <v>0.2537313432835821</v>
      </c>
    </row>
    <row r="3940" spans="1:14" x14ac:dyDescent="0.3">
      <c r="A3940" s="6">
        <v>45939</v>
      </c>
      <c r="B3940" s="1" t="s">
        <v>4124</v>
      </c>
      <c r="C3940" s="1" t="s">
        <v>28</v>
      </c>
      <c r="D3940" t="s">
        <v>35</v>
      </c>
      <c r="E3940" t="s">
        <v>78</v>
      </c>
      <c r="F3940" t="s">
        <v>16</v>
      </c>
      <c r="G3940" t="s">
        <v>15</v>
      </c>
      <c r="H3940" s="3">
        <v>6</v>
      </c>
      <c r="I3940" s="3">
        <v>49400</v>
      </c>
      <c r="J3940" s="3">
        <v>296400</v>
      </c>
      <c r="K3940" s="3">
        <v>38000</v>
      </c>
      <c r="L3940" s="3">
        <v>228000</v>
      </c>
      <c r="M3940" s="3">
        <v>68400</v>
      </c>
      <c r="N3940" s="4">
        <v>0.23076923076923078</v>
      </c>
    </row>
    <row r="3941" spans="1:14" x14ac:dyDescent="0.3">
      <c r="A3941" s="6">
        <v>45939</v>
      </c>
      <c r="B3941" s="1" t="s">
        <v>4125</v>
      </c>
      <c r="C3941" s="1" t="s">
        <v>29</v>
      </c>
      <c r="D3941" t="s">
        <v>31</v>
      </c>
      <c r="E3941" t="s">
        <v>145</v>
      </c>
      <c r="F3941" t="s">
        <v>19</v>
      </c>
      <c r="G3941" t="s">
        <v>20</v>
      </c>
      <c r="H3941" s="3">
        <v>6</v>
      </c>
      <c r="I3941" s="3">
        <v>1080</v>
      </c>
      <c r="J3941" s="3">
        <v>6480</v>
      </c>
      <c r="K3941" s="3">
        <v>900</v>
      </c>
      <c r="L3941" s="3">
        <v>5400</v>
      </c>
      <c r="M3941" s="3">
        <v>1080</v>
      </c>
      <c r="N3941" s="4">
        <v>0.16666666666666666</v>
      </c>
    </row>
    <row r="3942" spans="1:14" x14ac:dyDescent="0.3">
      <c r="A3942" s="6">
        <v>45939</v>
      </c>
      <c r="B3942" s="1" t="s">
        <v>4126</v>
      </c>
      <c r="C3942" s="1" t="s">
        <v>27</v>
      </c>
      <c r="D3942" t="s">
        <v>31</v>
      </c>
      <c r="E3942" t="s">
        <v>329</v>
      </c>
      <c r="F3942" t="s">
        <v>24</v>
      </c>
      <c r="G3942" t="s">
        <v>25</v>
      </c>
      <c r="H3942" s="3">
        <v>10</v>
      </c>
      <c r="I3942" s="3">
        <v>3125</v>
      </c>
      <c r="J3942" s="3">
        <v>31250</v>
      </c>
      <c r="K3942" s="3">
        <v>2500</v>
      </c>
      <c r="L3942" s="3">
        <v>25000</v>
      </c>
      <c r="M3942" s="3">
        <v>6250</v>
      </c>
      <c r="N3942" s="4">
        <v>0.2</v>
      </c>
    </row>
    <row r="3943" spans="1:14" x14ac:dyDescent="0.3">
      <c r="A3943" s="6">
        <v>45939</v>
      </c>
      <c r="B3943" s="1" t="s">
        <v>4127</v>
      </c>
      <c r="C3943" s="1" t="s">
        <v>27</v>
      </c>
      <c r="D3943" t="s">
        <v>32</v>
      </c>
      <c r="E3943" t="s">
        <v>407</v>
      </c>
      <c r="F3943" t="s">
        <v>16</v>
      </c>
      <c r="G3943" t="s">
        <v>15</v>
      </c>
      <c r="H3943" s="3">
        <v>4</v>
      </c>
      <c r="I3943" s="3">
        <v>54340</v>
      </c>
      <c r="J3943" s="3">
        <v>217360</v>
      </c>
      <c r="K3943" s="3">
        <v>38000</v>
      </c>
      <c r="L3943" s="3">
        <v>152000</v>
      </c>
      <c r="M3943" s="3">
        <v>65360</v>
      </c>
      <c r="N3943" s="4">
        <v>0.30069930069930068</v>
      </c>
    </row>
    <row r="3944" spans="1:14" x14ac:dyDescent="0.3">
      <c r="A3944" s="6">
        <v>45939</v>
      </c>
      <c r="B3944" s="1" t="s">
        <v>4128</v>
      </c>
      <c r="C3944" s="1" t="s">
        <v>26</v>
      </c>
      <c r="D3944" t="s">
        <v>30</v>
      </c>
      <c r="E3944" t="s">
        <v>184</v>
      </c>
      <c r="F3944" t="s">
        <v>17</v>
      </c>
      <c r="G3944" t="s">
        <v>18</v>
      </c>
      <c r="H3944" s="3">
        <v>3</v>
      </c>
      <c r="I3944" s="3">
        <v>11475</v>
      </c>
      <c r="J3944" s="3">
        <v>34425</v>
      </c>
      <c r="K3944" s="3">
        <v>8500</v>
      </c>
      <c r="L3944" s="3">
        <v>25500</v>
      </c>
      <c r="M3944" s="3">
        <v>8925</v>
      </c>
      <c r="N3944" s="4">
        <v>0.25925925925925924</v>
      </c>
    </row>
    <row r="3945" spans="1:14" x14ac:dyDescent="0.3">
      <c r="A3945" s="6">
        <v>45939</v>
      </c>
      <c r="B3945" s="1" t="s">
        <v>4129</v>
      </c>
      <c r="C3945" s="1" t="s">
        <v>27</v>
      </c>
      <c r="D3945" t="s">
        <v>35</v>
      </c>
      <c r="E3945" t="s">
        <v>51</v>
      </c>
      <c r="F3945" t="s">
        <v>14</v>
      </c>
      <c r="G3945" t="s">
        <v>15</v>
      </c>
      <c r="H3945" s="3">
        <v>6</v>
      </c>
      <c r="I3945" s="3">
        <v>60300</v>
      </c>
      <c r="J3945" s="3">
        <v>361800</v>
      </c>
      <c r="K3945" s="3">
        <v>45000</v>
      </c>
      <c r="L3945" s="3">
        <v>270000</v>
      </c>
      <c r="M3945" s="3">
        <v>91800</v>
      </c>
      <c r="N3945" s="4">
        <v>0.2537313432835821</v>
      </c>
    </row>
    <row r="3946" spans="1:14" x14ac:dyDescent="0.3">
      <c r="A3946" s="6">
        <v>45939</v>
      </c>
      <c r="B3946" s="1" t="s">
        <v>4130</v>
      </c>
      <c r="C3946" s="1" t="s">
        <v>27</v>
      </c>
      <c r="D3946" t="s">
        <v>31</v>
      </c>
      <c r="E3946" t="s">
        <v>63</v>
      </c>
      <c r="F3946" t="s">
        <v>21</v>
      </c>
      <c r="G3946" t="s">
        <v>20</v>
      </c>
      <c r="H3946" s="3">
        <v>7</v>
      </c>
      <c r="I3946" s="3">
        <v>834.00000000000011</v>
      </c>
      <c r="J3946" s="3">
        <v>5838.0000000000009</v>
      </c>
      <c r="K3946" s="3">
        <v>600</v>
      </c>
      <c r="L3946" s="3">
        <v>4200</v>
      </c>
      <c r="M3946" s="3">
        <v>1638.0000000000009</v>
      </c>
      <c r="N3946" s="4">
        <v>0.28057553956834541</v>
      </c>
    </row>
    <row r="3947" spans="1:14" x14ac:dyDescent="0.3">
      <c r="A3947" s="6">
        <v>45939</v>
      </c>
      <c r="B3947" s="1" t="s">
        <v>4131</v>
      </c>
      <c r="C3947" s="1" t="s">
        <v>27</v>
      </c>
      <c r="D3947" t="s">
        <v>31</v>
      </c>
      <c r="E3947" t="s">
        <v>149</v>
      </c>
      <c r="F3947" t="s">
        <v>24</v>
      </c>
      <c r="G3947" t="s">
        <v>25</v>
      </c>
      <c r="H3947" s="3">
        <v>9</v>
      </c>
      <c r="I3947" s="3">
        <v>3550</v>
      </c>
      <c r="J3947" s="3">
        <v>31950</v>
      </c>
      <c r="K3947" s="3">
        <v>2500</v>
      </c>
      <c r="L3947" s="3">
        <v>22500</v>
      </c>
      <c r="M3947" s="3">
        <v>9450</v>
      </c>
      <c r="N3947" s="4">
        <v>0.29577464788732394</v>
      </c>
    </row>
    <row r="3948" spans="1:14" x14ac:dyDescent="0.3">
      <c r="A3948" s="6">
        <v>45940</v>
      </c>
      <c r="B3948" s="1" t="s">
        <v>4132</v>
      </c>
      <c r="C3948" s="1" t="s">
        <v>28</v>
      </c>
      <c r="D3948" t="s">
        <v>32</v>
      </c>
      <c r="E3948" t="s">
        <v>106</v>
      </c>
      <c r="F3948" t="s">
        <v>23</v>
      </c>
      <c r="G3948" t="s">
        <v>25</v>
      </c>
      <c r="H3948" s="3">
        <v>2</v>
      </c>
      <c r="I3948" s="3">
        <v>4224</v>
      </c>
      <c r="J3948" s="3">
        <v>8448</v>
      </c>
      <c r="K3948" s="3">
        <v>3200</v>
      </c>
      <c r="L3948" s="3">
        <v>6400</v>
      </c>
      <c r="M3948" s="3">
        <v>2048</v>
      </c>
      <c r="N3948" s="4">
        <v>0.24242424242424243</v>
      </c>
    </row>
    <row r="3949" spans="1:14" x14ac:dyDescent="0.3">
      <c r="A3949" s="6">
        <v>45940</v>
      </c>
      <c r="B3949" s="1" t="s">
        <v>4133</v>
      </c>
      <c r="C3949" s="1" t="s">
        <v>29</v>
      </c>
      <c r="D3949" t="s">
        <v>30</v>
      </c>
      <c r="E3949" t="s">
        <v>118</v>
      </c>
      <c r="F3949" t="s">
        <v>14</v>
      </c>
      <c r="G3949" t="s">
        <v>15</v>
      </c>
      <c r="H3949" s="3">
        <v>9</v>
      </c>
      <c r="I3949" s="3">
        <v>55350</v>
      </c>
      <c r="J3949" s="3">
        <v>498150</v>
      </c>
      <c r="K3949" s="3">
        <v>45000</v>
      </c>
      <c r="L3949" s="3">
        <v>405000</v>
      </c>
      <c r="M3949" s="3">
        <v>93150</v>
      </c>
      <c r="N3949" s="4">
        <v>0.18699186991869918</v>
      </c>
    </row>
    <row r="3950" spans="1:14" x14ac:dyDescent="0.3">
      <c r="A3950" s="6">
        <v>45940</v>
      </c>
      <c r="B3950" s="1" t="s">
        <v>4134</v>
      </c>
      <c r="C3950" s="1" t="s">
        <v>27</v>
      </c>
      <c r="D3950" t="s">
        <v>33</v>
      </c>
      <c r="E3950" t="s">
        <v>508</v>
      </c>
      <c r="F3950" t="s">
        <v>22</v>
      </c>
      <c r="G3950" t="s">
        <v>18</v>
      </c>
      <c r="H3950" s="3">
        <v>8</v>
      </c>
      <c r="I3950" s="3">
        <v>9030</v>
      </c>
      <c r="J3950" s="3">
        <v>72240</v>
      </c>
      <c r="K3950" s="3">
        <v>7000</v>
      </c>
      <c r="L3950" s="3">
        <v>56000</v>
      </c>
      <c r="M3950" s="3">
        <v>16240</v>
      </c>
      <c r="N3950" s="4">
        <v>0.22480620155038761</v>
      </c>
    </row>
    <row r="3951" spans="1:14" x14ac:dyDescent="0.3">
      <c r="A3951" s="6">
        <v>45940</v>
      </c>
      <c r="B3951" s="1" t="s">
        <v>4135</v>
      </c>
      <c r="C3951" s="1" t="s">
        <v>26</v>
      </c>
      <c r="D3951" t="s">
        <v>30</v>
      </c>
      <c r="E3951" t="s">
        <v>431</v>
      </c>
      <c r="F3951" t="s">
        <v>21</v>
      </c>
      <c r="G3951" t="s">
        <v>20</v>
      </c>
      <c r="H3951" s="3">
        <v>4</v>
      </c>
      <c r="I3951" s="3">
        <v>732</v>
      </c>
      <c r="J3951" s="3">
        <v>2928</v>
      </c>
      <c r="K3951" s="3">
        <v>600</v>
      </c>
      <c r="L3951" s="3">
        <v>2400</v>
      </c>
      <c r="M3951" s="3">
        <v>528</v>
      </c>
      <c r="N3951" s="4">
        <v>0.18032786885245902</v>
      </c>
    </row>
    <row r="3952" spans="1:14" x14ac:dyDescent="0.3">
      <c r="A3952" s="6">
        <v>45940</v>
      </c>
      <c r="B3952" s="1" t="s">
        <v>4136</v>
      </c>
      <c r="C3952" s="1" t="s">
        <v>28</v>
      </c>
      <c r="D3952" t="s">
        <v>30</v>
      </c>
      <c r="E3952" t="s">
        <v>249</v>
      </c>
      <c r="F3952" t="s">
        <v>19</v>
      </c>
      <c r="G3952" t="s">
        <v>20</v>
      </c>
      <c r="H3952" s="3">
        <v>5</v>
      </c>
      <c r="I3952" s="3">
        <v>1152</v>
      </c>
      <c r="J3952" s="3">
        <v>5760</v>
      </c>
      <c r="K3952" s="3">
        <v>900</v>
      </c>
      <c r="L3952" s="3">
        <v>4500</v>
      </c>
      <c r="M3952" s="3">
        <v>1260</v>
      </c>
      <c r="N3952" s="4">
        <v>0.21875</v>
      </c>
    </row>
    <row r="3953" spans="1:14" x14ac:dyDescent="0.3">
      <c r="A3953" s="6">
        <v>45940</v>
      </c>
      <c r="B3953" s="1" t="s">
        <v>4137</v>
      </c>
      <c r="C3953" s="1" t="s">
        <v>28</v>
      </c>
      <c r="D3953" t="s">
        <v>34</v>
      </c>
      <c r="E3953" t="s">
        <v>239</v>
      </c>
      <c r="F3953" t="s">
        <v>24</v>
      </c>
      <c r="G3953" t="s">
        <v>25</v>
      </c>
      <c r="H3953" s="3">
        <v>7</v>
      </c>
      <c r="I3953" s="3">
        <v>3075</v>
      </c>
      <c r="J3953" s="3">
        <v>21525</v>
      </c>
      <c r="K3953" s="3">
        <v>2500</v>
      </c>
      <c r="L3953" s="3">
        <v>17500</v>
      </c>
      <c r="M3953" s="3">
        <v>4025</v>
      </c>
      <c r="N3953" s="4">
        <v>0.18699186991869918</v>
      </c>
    </row>
    <row r="3954" spans="1:14" x14ac:dyDescent="0.3">
      <c r="A3954" s="6">
        <v>45940</v>
      </c>
      <c r="B3954" s="1" t="s">
        <v>4138</v>
      </c>
      <c r="C3954" s="1" t="s">
        <v>28</v>
      </c>
      <c r="D3954" t="s">
        <v>35</v>
      </c>
      <c r="E3954" t="s">
        <v>131</v>
      </c>
      <c r="F3954" t="s">
        <v>22</v>
      </c>
      <c r="G3954" t="s">
        <v>18</v>
      </c>
      <c r="H3954" s="3">
        <v>1</v>
      </c>
      <c r="I3954" s="3">
        <v>8820</v>
      </c>
      <c r="J3954" s="3">
        <v>8820</v>
      </c>
      <c r="K3954" s="3">
        <v>7000</v>
      </c>
      <c r="L3954" s="3">
        <v>7000</v>
      </c>
      <c r="M3954" s="3">
        <v>1820</v>
      </c>
      <c r="N3954" s="4">
        <v>0.20634920634920634</v>
      </c>
    </row>
    <row r="3955" spans="1:14" x14ac:dyDescent="0.3">
      <c r="A3955" s="6">
        <v>45940</v>
      </c>
      <c r="B3955" s="1" t="s">
        <v>4139</v>
      </c>
      <c r="C3955" s="1" t="s">
        <v>28</v>
      </c>
      <c r="D3955" t="s">
        <v>33</v>
      </c>
      <c r="E3955" t="s">
        <v>142</v>
      </c>
      <c r="F3955" t="s">
        <v>17</v>
      </c>
      <c r="G3955" t="s">
        <v>18</v>
      </c>
      <c r="H3955" s="3">
        <v>8</v>
      </c>
      <c r="I3955" s="3">
        <v>11730</v>
      </c>
      <c r="J3955" s="3">
        <v>93840</v>
      </c>
      <c r="K3955" s="3">
        <v>8500</v>
      </c>
      <c r="L3955" s="3">
        <v>68000</v>
      </c>
      <c r="M3955" s="3">
        <v>25840</v>
      </c>
      <c r="N3955" s="4">
        <v>0.27536231884057971</v>
      </c>
    </row>
    <row r="3956" spans="1:14" x14ac:dyDescent="0.3">
      <c r="A3956" s="6">
        <v>45940</v>
      </c>
      <c r="B3956" s="1" t="s">
        <v>4140</v>
      </c>
      <c r="C3956" s="1" t="s">
        <v>28</v>
      </c>
      <c r="D3956" t="s">
        <v>30</v>
      </c>
      <c r="E3956" t="s">
        <v>388</v>
      </c>
      <c r="F3956" t="s">
        <v>14</v>
      </c>
      <c r="G3956" t="s">
        <v>15</v>
      </c>
      <c r="H3956" s="3">
        <v>3</v>
      </c>
      <c r="I3956" s="3">
        <v>55350</v>
      </c>
      <c r="J3956" s="3">
        <v>166050</v>
      </c>
      <c r="K3956" s="3">
        <v>45000</v>
      </c>
      <c r="L3956" s="3">
        <v>135000</v>
      </c>
      <c r="M3956" s="3">
        <v>31050</v>
      </c>
      <c r="N3956" s="4">
        <v>0.18699186991869918</v>
      </c>
    </row>
    <row r="3957" spans="1:14" x14ac:dyDescent="0.3">
      <c r="A3957" s="6">
        <v>45940</v>
      </c>
      <c r="B3957" s="1" t="s">
        <v>4141</v>
      </c>
      <c r="C3957" s="1" t="s">
        <v>28</v>
      </c>
      <c r="D3957" t="s">
        <v>30</v>
      </c>
      <c r="E3957" t="s">
        <v>574</v>
      </c>
      <c r="F3957" t="s">
        <v>22</v>
      </c>
      <c r="G3957" t="s">
        <v>18</v>
      </c>
      <c r="H3957" s="3">
        <v>10</v>
      </c>
      <c r="I3957" s="3">
        <v>9800</v>
      </c>
      <c r="J3957" s="3">
        <v>98000</v>
      </c>
      <c r="K3957" s="3">
        <v>7000</v>
      </c>
      <c r="L3957" s="3">
        <v>70000</v>
      </c>
      <c r="M3957" s="3">
        <v>28000</v>
      </c>
      <c r="N3957" s="4">
        <v>0.2857142857142857</v>
      </c>
    </row>
    <row r="3958" spans="1:14" x14ac:dyDescent="0.3">
      <c r="A3958" s="6">
        <v>45940</v>
      </c>
      <c r="B3958" s="1" t="s">
        <v>4142</v>
      </c>
      <c r="C3958" s="1" t="s">
        <v>28</v>
      </c>
      <c r="D3958" t="s">
        <v>32</v>
      </c>
      <c r="E3958" t="s">
        <v>222</v>
      </c>
      <c r="F3958" t="s">
        <v>23</v>
      </c>
      <c r="G3958" t="s">
        <v>25</v>
      </c>
      <c r="H3958" s="3">
        <v>9</v>
      </c>
      <c r="I3958" s="3">
        <v>4640</v>
      </c>
      <c r="J3958" s="3">
        <v>41760</v>
      </c>
      <c r="K3958" s="3">
        <v>3200</v>
      </c>
      <c r="L3958" s="3">
        <v>28800</v>
      </c>
      <c r="M3958" s="3">
        <v>12960</v>
      </c>
      <c r="N3958" s="4">
        <v>0.31034482758620691</v>
      </c>
    </row>
    <row r="3959" spans="1:14" x14ac:dyDescent="0.3">
      <c r="A3959" s="6">
        <v>45940</v>
      </c>
      <c r="B3959" s="1" t="s">
        <v>4143</v>
      </c>
      <c r="C3959" s="1" t="s">
        <v>27</v>
      </c>
      <c r="D3959" t="s">
        <v>30</v>
      </c>
      <c r="E3959" t="s">
        <v>427</v>
      </c>
      <c r="F3959" t="s">
        <v>23</v>
      </c>
      <c r="G3959" t="s">
        <v>25</v>
      </c>
      <c r="H3959" s="3">
        <v>5</v>
      </c>
      <c r="I3959" s="3">
        <v>4384</v>
      </c>
      <c r="J3959" s="3">
        <v>21920</v>
      </c>
      <c r="K3959" s="3">
        <v>3200</v>
      </c>
      <c r="L3959" s="3">
        <v>16000</v>
      </c>
      <c r="M3959" s="3">
        <v>5920</v>
      </c>
      <c r="N3959" s="4">
        <v>0.27007299270072993</v>
      </c>
    </row>
    <row r="3960" spans="1:14" x14ac:dyDescent="0.3">
      <c r="A3960" s="6">
        <v>45940</v>
      </c>
      <c r="B3960" s="1" t="s">
        <v>4144</v>
      </c>
      <c r="C3960" s="1" t="s">
        <v>27</v>
      </c>
      <c r="D3960" t="s">
        <v>34</v>
      </c>
      <c r="E3960" t="s">
        <v>102</v>
      </c>
      <c r="F3960" t="s">
        <v>21</v>
      </c>
      <c r="G3960" t="s">
        <v>20</v>
      </c>
      <c r="H3960" s="3">
        <v>4</v>
      </c>
      <c r="I3960" s="3">
        <v>822.00000000000011</v>
      </c>
      <c r="J3960" s="3">
        <v>3288.0000000000005</v>
      </c>
      <c r="K3960" s="3">
        <v>600</v>
      </c>
      <c r="L3960" s="3">
        <v>2400</v>
      </c>
      <c r="M3960" s="3">
        <v>888.00000000000045</v>
      </c>
      <c r="N3960" s="4">
        <v>0.27007299270073004</v>
      </c>
    </row>
    <row r="3961" spans="1:14" x14ac:dyDescent="0.3">
      <c r="A3961" s="6">
        <v>45940</v>
      </c>
      <c r="B3961" s="1" t="s">
        <v>4145</v>
      </c>
      <c r="C3961" s="1" t="s">
        <v>29</v>
      </c>
      <c r="D3961" t="s">
        <v>35</v>
      </c>
      <c r="E3961" t="s">
        <v>400</v>
      </c>
      <c r="F3961" t="s">
        <v>17</v>
      </c>
      <c r="G3961" t="s">
        <v>18</v>
      </c>
      <c r="H3961" s="3">
        <v>7</v>
      </c>
      <c r="I3961" s="3">
        <v>11390</v>
      </c>
      <c r="J3961" s="3">
        <v>79730</v>
      </c>
      <c r="K3961" s="3">
        <v>8500</v>
      </c>
      <c r="L3961" s="3">
        <v>59500</v>
      </c>
      <c r="M3961" s="3">
        <v>20230</v>
      </c>
      <c r="N3961" s="4">
        <v>0.2537313432835821</v>
      </c>
    </row>
    <row r="3962" spans="1:14" x14ac:dyDescent="0.3">
      <c r="A3962" s="6">
        <v>45941</v>
      </c>
      <c r="B3962" s="1" t="s">
        <v>4146</v>
      </c>
      <c r="C3962" s="1" t="s">
        <v>26</v>
      </c>
      <c r="D3962" t="s">
        <v>33</v>
      </c>
      <c r="E3962" t="s">
        <v>239</v>
      </c>
      <c r="F3962" t="s">
        <v>14</v>
      </c>
      <c r="G3962" t="s">
        <v>15</v>
      </c>
      <c r="H3962" s="3">
        <v>1</v>
      </c>
      <c r="I3962" s="3">
        <v>58500</v>
      </c>
      <c r="J3962" s="3">
        <v>58500</v>
      </c>
      <c r="K3962" s="3">
        <v>45000</v>
      </c>
      <c r="L3962" s="3">
        <v>45000</v>
      </c>
      <c r="M3962" s="3">
        <v>13500</v>
      </c>
      <c r="N3962" s="4">
        <v>0.23076923076923078</v>
      </c>
    </row>
    <row r="3963" spans="1:14" x14ac:dyDescent="0.3">
      <c r="A3963" s="6">
        <v>45941</v>
      </c>
      <c r="B3963" s="1" t="s">
        <v>4147</v>
      </c>
      <c r="C3963" s="1" t="s">
        <v>27</v>
      </c>
      <c r="D3963" t="s">
        <v>34</v>
      </c>
      <c r="E3963" t="s">
        <v>371</v>
      </c>
      <c r="F3963" t="s">
        <v>16</v>
      </c>
      <c r="G3963" t="s">
        <v>15</v>
      </c>
      <c r="H3963" s="3">
        <v>5</v>
      </c>
      <c r="I3963" s="3">
        <v>48640</v>
      </c>
      <c r="J3963" s="3">
        <v>243200</v>
      </c>
      <c r="K3963" s="3">
        <v>38000</v>
      </c>
      <c r="L3963" s="3">
        <v>190000</v>
      </c>
      <c r="M3963" s="3">
        <v>53200</v>
      </c>
      <c r="N3963" s="4">
        <v>0.21875</v>
      </c>
    </row>
    <row r="3964" spans="1:14" x14ac:dyDescent="0.3">
      <c r="A3964" s="6">
        <v>45941</v>
      </c>
      <c r="B3964" s="1" t="s">
        <v>4148</v>
      </c>
      <c r="C3964" s="1" t="s">
        <v>29</v>
      </c>
      <c r="D3964" t="s">
        <v>31</v>
      </c>
      <c r="E3964" t="s">
        <v>453</v>
      </c>
      <c r="F3964" t="s">
        <v>21</v>
      </c>
      <c r="G3964" t="s">
        <v>20</v>
      </c>
      <c r="H3964" s="3">
        <v>8</v>
      </c>
      <c r="I3964" s="3">
        <v>720</v>
      </c>
      <c r="J3964" s="3">
        <v>5760</v>
      </c>
      <c r="K3964" s="3">
        <v>600</v>
      </c>
      <c r="L3964" s="3">
        <v>4800</v>
      </c>
      <c r="M3964" s="3">
        <v>960</v>
      </c>
      <c r="N3964" s="4">
        <v>0.16666666666666666</v>
      </c>
    </row>
    <row r="3965" spans="1:14" x14ac:dyDescent="0.3">
      <c r="A3965" s="6">
        <v>45941</v>
      </c>
      <c r="B3965" s="1" t="s">
        <v>4149</v>
      </c>
      <c r="C3965" s="1" t="s">
        <v>26</v>
      </c>
      <c r="D3965" t="s">
        <v>32</v>
      </c>
      <c r="E3965" t="s">
        <v>935</v>
      </c>
      <c r="F3965" t="s">
        <v>23</v>
      </c>
      <c r="G3965" t="s">
        <v>25</v>
      </c>
      <c r="H3965" s="3">
        <v>9</v>
      </c>
      <c r="I3965" s="3">
        <v>3904</v>
      </c>
      <c r="J3965" s="3">
        <v>35136</v>
      </c>
      <c r="K3965" s="3">
        <v>3200</v>
      </c>
      <c r="L3965" s="3">
        <v>28800</v>
      </c>
      <c r="M3965" s="3">
        <v>6336</v>
      </c>
      <c r="N3965" s="4">
        <v>0.18032786885245902</v>
      </c>
    </row>
    <row r="3966" spans="1:14" x14ac:dyDescent="0.3">
      <c r="A3966" s="6">
        <v>45941</v>
      </c>
      <c r="B3966" s="1" t="s">
        <v>4150</v>
      </c>
      <c r="C3966" s="1" t="s">
        <v>28</v>
      </c>
      <c r="D3966" t="s">
        <v>33</v>
      </c>
      <c r="E3966" t="s">
        <v>85</v>
      </c>
      <c r="F3966" t="s">
        <v>16</v>
      </c>
      <c r="G3966" t="s">
        <v>15</v>
      </c>
      <c r="H3966" s="3">
        <v>6</v>
      </c>
      <c r="I3966" s="3">
        <v>45600</v>
      </c>
      <c r="J3966" s="3">
        <v>273600</v>
      </c>
      <c r="K3966" s="3">
        <v>38000</v>
      </c>
      <c r="L3966" s="3">
        <v>228000</v>
      </c>
      <c r="M3966" s="3">
        <v>45600</v>
      </c>
      <c r="N3966" s="4">
        <v>0.16666666666666666</v>
      </c>
    </row>
    <row r="3967" spans="1:14" x14ac:dyDescent="0.3">
      <c r="A3967" s="6">
        <v>45941</v>
      </c>
      <c r="B3967" s="1" t="s">
        <v>4151</v>
      </c>
      <c r="C3967" s="1" t="s">
        <v>26</v>
      </c>
      <c r="D3967" t="s">
        <v>30</v>
      </c>
      <c r="E3967" t="s">
        <v>327</v>
      </c>
      <c r="F3967" t="s">
        <v>19</v>
      </c>
      <c r="G3967" t="s">
        <v>20</v>
      </c>
      <c r="H3967" s="3">
        <v>9</v>
      </c>
      <c r="I3967" s="3">
        <v>1224</v>
      </c>
      <c r="J3967" s="3">
        <v>11016</v>
      </c>
      <c r="K3967" s="3">
        <v>900</v>
      </c>
      <c r="L3967" s="3">
        <v>8100</v>
      </c>
      <c r="M3967" s="3">
        <v>2916</v>
      </c>
      <c r="N3967" s="4">
        <v>0.26470588235294118</v>
      </c>
    </row>
    <row r="3968" spans="1:14" x14ac:dyDescent="0.3">
      <c r="A3968" s="6">
        <v>45941</v>
      </c>
      <c r="B3968" s="1" t="s">
        <v>4152</v>
      </c>
      <c r="C3968" s="1" t="s">
        <v>27</v>
      </c>
      <c r="D3968" t="s">
        <v>34</v>
      </c>
      <c r="E3968" t="s">
        <v>319</v>
      </c>
      <c r="F3968" t="s">
        <v>17</v>
      </c>
      <c r="G3968" t="s">
        <v>18</v>
      </c>
      <c r="H3968" s="3">
        <v>3</v>
      </c>
      <c r="I3968" s="3">
        <v>11475</v>
      </c>
      <c r="J3968" s="3">
        <v>34425</v>
      </c>
      <c r="K3968" s="3">
        <v>8500</v>
      </c>
      <c r="L3968" s="3">
        <v>25500</v>
      </c>
      <c r="M3968" s="3">
        <v>8925</v>
      </c>
      <c r="N3968" s="4">
        <v>0.25925925925925924</v>
      </c>
    </row>
    <row r="3969" spans="1:14" x14ac:dyDescent="0.3">
      <c r="A3969" s="6">
        <v>45941</v>
      </c>
      <c r="B3969" s="1" t="s">
        <v>4153</v>
      </c>
      <c r="C3969" s="1" t="s">
        <v>26</v>
      </c>
      <c r="D3969" t="s">
        <v>35</v>
      </c>
      <c r="E3969" t="s">
        <v>92</v>
      </c>
      <c r="F3969" t="s">
        <v>24</v>
      </c>
      <c r="G3969" t="s">
        <v>25</v>
      </c>
      <c r="H3969" s="3">
        <v>8</v>
      </c>
      <c r="I3969" s="3">
        <v>3399.9999999999995</v>
      </c>
      <c r="J3969" s="3">
        <v>27199.999999999996</v>
      </c>
      <c r="K3969" s="3">
        <v>2500</v>
      </c>
      <c r="L3969" s="3">
        <v>20000</v>
      </c>
      <c r="M3969" s="3">
        <v>7199.9999999999964</v>
      </c>
      <c r="N3969" s="4">
        <v>0.26470588235294107</v>
      </c>
    </row>
    <row r="3970" spans="1:14" x14ac:dyDescent="0.3">
      <c r="A3970" s="6">
        <v>45941</v>
      </c>
      <c r="B3970" s="1" t="s">
        <v>4154</v>
      </c>
      <c r="C3970" s="1" t="s">
        <v>28</v>
      </c>
      <c r="D3970" t="s">
        <v>30</v>
      </c>
      <c r="E3970" t="s">
        <v>161</v>
      </c>
      <c r="F3970" t="s">
        <v>19</v>
      </c>
      <c r="G3970" t="s">
        <v>20</v>
      </c>
      <c r="H3970" s="3">
        <v>8</v>
      </c>
      <c r="I3970" s="3">
        <v>1116</v>
      </c>
      <c r="J3970" s="3">
        <v>8928</v>
      </c>
      <c r="K3970" s="3">
        <v>900</v>
      </c>
      <c r="L3970" s="3">
        <v>7200</v>
      </c>
      <c r="M3970" s="3">
        <v>1728</v>
      </c>
      <c r="N3970" s="4">
        <v>0.19354838709677419</v>
      </c>
    </row>
    <row r="3971" spans="1:14" x14ac:dyDescent="0.3">
      <c r="A3971" s="6">
        <v>45941</v>
      </c>
      <c r="B3971" s="1" t="s">
        <v>4155</v>
      </c>
      <c r="C3971" s="1" t="s">
        <v>27</v>
      </c>
      <c r="D3971" t="s">
        <v>33</v>
      </c>
      <c r="E3971" t="s">
        <v>220</v>
      </c>
      <c r="F3971" t="s">
        <v>14</v>
      </c>
      <c r="G3971" t="s">
        <v>15</v>
      </c>
      <c r="H3971" s="3">
        <v>1</v>
      </c>
      <c r="I3971" s="3">
        <v>54900</v>
      </c>
      <c r="J3971" s="3">
        <v>54900</v>
      </c>
      <c r="K3971" s="3">
        <v>45000</v>
      </c>
      <c r="L3971" s="3">
        <v>45000</v>
      </c>
      <c r="M3971" s="3">
        <v>9900</v>
      </c>
      <c r="N3971" s="4">
        <v>0.18032786885245902</v>
      </c>
    </row>
    <row r="3972" spans="1:14" x14ac:dyDescent="0.3">
      <c r="A3972" s="6">
        <v>45941</v>
      </c>
      <c r="B3972" s="1" t="s">
        <v>4156</v>
      </c>
      <c r="C3972" s="1" t="s">
        <v>26</v>
      </c>
      <c r="D3972" t="s">
        <v>31</v>
      </c>
      <c r="E3972" t="s">
        <v>319</v>
      </c>
      <c r="F3972" t="s">
        <v>24</v>
      </c>
      <c r="G3972" t="s">
        <v>25</v>
      </c>
      <c r="H3972" s="3">
        <v>8</v>
      </c>
      <c r="I3972" s="3">
        <v>3150</v>
      </c>
      <c r="J3972" s="3">
        <v>25200</v>
      </c>
      <c r="K3972" s="3">
        <v>2500</v>
      </c>
      <c r="L3972" s="3">
        <v>20000</v>
      </c>
      <c r="M3972" s="3">
        <v>5200</v>
      </c>
      <c r="N3972" s="4">
        <v>0.20634920634920634</v>
      </c>
    </row>
    <row r="3973" spans="1:14" x14ac:dyDescent="0.3">
      <c r="A3973" s="6">
        <v>45941</v>
      </c>
      <c r="B3973" s="1" t="s">
        <v>4157</v>
      </c>
      <c r="C3973" s="1" t="s">
        <v>28</v>
      </c>
      <c r="D3973" t="s">
        <v>33</v>
      </c>
      <c r="E3973" t="s">
        <v>310</v>
      </c>
      <c r="F3973" t="s">
        <v>21</v>
      </c>
      <c r="G3973" t="s">
        <v>20</v>
      </c>
      <c r="H3973" s="3">
        <v>2</v>
      </c>
      <c r="I3973" s="3">
        <v>768</v>
      </c>
      <c r="J3973" s="3">
        <v>1536</v>
      </c>
      <c r="K3973" s="3">
        <v>600</v>
      </c>
      <c r="L3973" s="3">
        <v>1200</v>
      </c>
      <c r="M3973" s="3">
        <v>336</v>
      </c>
      <c r="N3973" s="4">
        <v>0.21875</v>
      </c>
    </row>
    <row r="3974" spans="1:14" x14ac:dyDescent="0.3">
      <c r="A3974" s="6">
        <v>45941</v>
      </c>
      <c r="B3974" s="1" t="s">
        <v>4158</v>
      </c>
      <c r="C3974" s="1" t="s">
        <v>29</v>
      </c>
      <c r="D3974" t="s">
        <v>30</v>
      </c>
      <c r="E3974" t="s">
        <v>222</v>
      </c>
      <c r="F3974" t="s">
        <v>14</v>
      </c>
      <c r="G3974" t="s">
        <v>15</v>
      </c>
      <c r="H3974" s="3">
        <v>2</v>
      </c>
      <c r="I3974" s="3">
        <v>61650.000000000007</v>
      </c>
      <c r="J3974" s="3">
        <v>123300.00000000001</v>
      </c>
      <c r="K3974" s="3">
        <v>45000</v>
      </c>
      <c r="L3974" s="3">
        <v>90000</v>
      </c>
      <c r="M3974" s="3">
        <v>33300.000000000015</v>
      </c>
      <c r="N3974" s="4">
        <v>0.27007299270072999</v>
      </c>
    </row>
    <row r="3975" spans="1:14" x14ac:dyDescent="0.3">
      <c r="A3975" s="6">
        <v>45941</v>
      </c>
      <c r="B3975" s="1" t="s">
        <v>4159</v>
      </c>
      <c r="C3975" s="1" t="s">
        <v>28</v>
      </c>
      <c r="D3975" t="s">
        <v>32</v>
      </c>
      <c r="E3975" t="s">
        <v>506</v>
      </c>
      <c r="F3975" t="s">
        <v>17</v>
      </c>
      <c r="G3975" t="s">
        <v>18</v>
      </c>
      <c r="H3975" s="3">
        <v>5</v>
      </c>
      <c r="I3975" s="3">
        <v>11050</v>
      </c>
      <c r="J3975" s="3">
        <v>55250</v>
      </c>
      <c r="K3975" s="3">
        <v>8500</v>
      </c>
      <c r="L3975" s="3">
        <v>42500</v>
      </c>
      <c r="M3975" s="3">
        <v>12750</v>
      </c>
      <c r="N3975" s="4">
        <v>0.23076923076923078</v>
      </c>
    </row>
    <row r="3976" spans="1:14" x14ac:dyDescent="0.3">
      <c r="A3976" s="6">
        <v>45942</v>
      </c>
      <c r="B3976" s="1" t="s">
        <v>4160</v>
      </c>
      <c r="C3976" s="1" t="s">
        <v>26</v>
      </c>
      <c r="D3976" t="s">
        <v>30</v>
      </c>
      <c r="E3976" t="s">
        <v>78</v>
      </c>
      <c r="F3976" t="s">
        <v>24</v>
      </c>
      <c r="G3976" t="s">
        <v>25</v>
      </c>
      <c r="H3976" s="3">
        <v>2</v>
      </c>
      <c r="I3976" s="3">
        <v>3500</v>
      </c>
      <c r="J3976" s="3">
        <v>7000</v>
      </c>
      <c r="K3976" s="3">
        <v>2500</v>
      </c>
      <c r="L3976" s="3">
        <v>5000</v>
      </c>
      <c r="M3976" s="3">
        <v>2000</v>
      </c>
      <c r="N3976" s="4">
        <v>0.2857142857142857</v>
      </c>
    </row>
    <row r="3977" spans="1:14" x14ac:dyDescent="0.3">
      <c r="A3977" s="6">
        <v>45942</v>
      </c>
      <c r="B3977" s="1" t="s">
        <v>4161</v>
      </c>
      <c r="C3977" s="1" t="s">
        <v>29</v>
      </c>
      <c r="D3977" t="s">
        <v>31</v>
      </c>
      <c r="E3977" t="s">
        <v>153</v>
      </c>
      <c r="F3977" t="s">
        <v>24</v>
      </c>
      <c r="G3977" t="s">
        <v>25</v>
      </c>
      <c r="H3977" s="3">
        <v>1</v>
      </c>
      <c r="I3977" s="3">
        <v>3275</v>
      </c>
      <c r="J3977" s="3">
        <v>3275</v>
      </c>
      <c r="K3977" s="3">
        <v>2500</v>
      </c>
      <c r="L3977" s="3">
        <v>2500</v>
      </c>
      <c r="M3977" s="3">
        <v>775</v>
      </c>
      <c r="N3977" s="4">
        <v>0.23664122137404581</v>
      </c>
    </row>
    <row r="3978" spans="1:14" x14ac:dyDescent="0.3">
      <c r="A3978" s="6">
        <v>45942</v>
      </c>
      <c r="B3978" s="1" t="s">
        <v>4162</v>
      </c>
      <c r="C3978" s="1" t="s">
        <v>26</v>
      </c>
      <c r="D3978" t="s">
        <v>31</v>
      </c>
      <c r="E3978" t="s">
        <v>39</v>
      </c>
      <c r="F3978" t="s">
        <v>14</v>
      </c>
      <c r="G3978" t="s">
        <v>15</v>
      </c>
      <c r="H3978" s="3">
        <v>3</v>
      </c>
      <c r="I3978" s="3">
        <v>58950</v>
      </c>
      <c r="J3978" s="3">
        <v>176850</v>
      </c>
      <c r="K3978" s="3">
        <v>45000</v>
      </c>
      <c r="L3978" s="3">
        <v>135000</v>
      </c>
      <c r="M3978" s="3">
        <v>41850</v>
      </c>
      <c r="N3978" s="4">
        <v>0.23664122137404581</v>
      </c>
    </row>
    <row r="3979" spans="1:14" x14ac:dyDescent="0.3">
      <c r="A3979" s="6">
        <v>45942</v>
      </c>
      <c r="B3979" s="1" t="s">
        <v>4163</v>
      </c>
      <c r="C3979" s="1" t="s">
        <v>29</v>
      </c>
      <c r="D3979" t="s">
        <v>32</v>
      </c>
      <c r="E3979" t="s">
        <v>582</v>
      </c>
      <c r="F3979" t="s">
        <v>23</v>
      </c>
      <c r="G3979" t="s">
        <v>25</v>
      </c>
      <c r="H3979" s="3">
        <v>10</v>
      </c>
      <c r="I3979" s="3">
        <v>4096</v>
      </c>
      <c r="J3979" s="3">
        <v>40960</v>
      </c>
      <c r="K3979" s="3">
        <v>3200</v>
      </c>
      <c r="L3979" s="3">
        <v>32000</v>
      </c>
      <c r="M3979" s="3">
        <v>8960</v>
      </c>
      <c r="N3979" s="4">
        <v>0.21875</v>
      </c>
    </row>
    <row r="3980" spans="1:14" x14ac:dyDescent="0.3">
      <c r="A3980" s="6">
        <v>45942</v>
      </c>
      <c r="B3980" s="1" t="s">
        <v>4164</v>
      </c>
      <c r="C3980" s="1" t="s">
        <v>29</v>
      </c>
      <c r="D3980" t="s">
        <v>31</v>
      </c>
      <c r="E3980" t="s">
        <v>65</v>
      </c>
      <c r="F3980" t="s">
        <v>23</v>
      </c>
      <c r="G3980" t="s">
        <v>25</v>
      </c>
      <c r="H3980" s="3">
        <v>7</v>
      </c>
      <c r="I3980" s="3">
        <v>4032</v>
      </c>
      <c r="J3980" s="3">
        <v>28224</v>
      </c>
      <c r="K3980" s="3">
        <v>3200</v>
      </c>
      <c r="L3980" s="3">
        <v>22400</v>
      </c>
      <c r="M3980" s="3">
        <v>5824</v>
      </c>
      <c r="N3980" s="4">
        <v>0.20634920634920634</v>
      </c>
    </row>
    <row r="3981" spans="1:14" x14ac:dyDescent="0.3">
      <c r="A3981" s="6">
        <v>45942</v>
      </c>
      <c r="B3981" s="1" t="s">
        <v>4165</v>
      </c>
      <c r="C3981" s="1" t="s">
        <v>29</v>
      </c>
      <c r="D3981" t="s">
        <v>30</v>
      </c>
      <c r="E3981" t="s">
        <v>255</v>
      </c>
      <c r="F3981" t="s">
        <v>21</v>
      </c>
      <c r="G3981" t="s">
        <v>20</v>
      </c>
      <c r="H3981" s="3">
        <v>6</v>
      </c>
      <c r="I3981" s="3">
        <v>726</v>
      </c>
      <c r="J3981" s="3">
        <v>4356</v>
      </c>
      <c r="K3981" s="3">
        <v>600</v>
      </c>
      <c r="L3981" s="3">
        <v>3600</v>
      </c>
      <c r="M3981" s="3">
        <v>756</v>
      </c>
      <c r="N3981" s="4">
        <v>0.17355371900826447</v>
      </c>
    </row>
    <row r="3982" spans="1:14" x14ac:dyDescent="0.3">
      <c r="A3982" s="6">
        <v>45942</v>
      </c>
      <c r="B3982" s="1" t="s">
        <v>4166</v>
      </c>
      <c r="C3982" s="1" t="s">
        <v>29</v>
      </c>
      <c r="D3982" t="s">
        <v>35</v>
      </c>
      <c r="E3982" t="s">
        <v>447</v>
      </c>
      <c r="F3982" t="s">
        <v>14</v>
      </c>
      <c r="G3982" t="s">
        <v>15</v>
      </c>
      <c r="H3982" s="3">
        <v>9</v>
      </c>
      <c r="I3982" s="3">
        <v>65250</v>
      </c>
      <c r="J3982" s="3">
        <v>587250</v>
      </c>
      <c r="K3982" s="3">
        <v>45000</v>
      </c>
      <c r="L3982" s="3">
        <v>405000</v>
      </c>
      <c r="M3982" s="3">
        <v>182250</v>
      </c>
      <c r="N3982" s="4">
        <v>0.31034482758620691</v>
      </c>
    </row>
    <row r="3983" spans="1:14" x14ac:dyDescent="0.3">
      <c r="A3983" s="6">
        <v>45942</v>
      </c>
      <c r="B3983" s="1" t="s">
        <v>4167</v>
      </c>
      <c r="C3983" s="1" t="s">
        <v>29</v>
      </c>
      <c r="D3983" t="s">
        <v>35</v>
      </c>
      <c r="E3983" t="s">
        <v>538</v>
      </c>
      <c r="F3983" t="s">
        <v>19</v>
      </c>
      <c r="G3983" t="s">
        <v>20</v>
      </c>
      <c r="H3983" s="3">
        <v>4</v>
      </c>
      <c r="I3983" s="3">
        <v>1260</v>
      </c>
      <c r="J3983" s="3">
        <v>5040</v>
      </c>
      <c r="K3983" s="3">
        <v>900</v>
      </c>
      <c r="L3983" s="3">
        <v>3600</v>
      </c>
      <c r="M3983" s="3">
        <v>1440</v>
      </c>
      <c r="N3983" s="4">
        <v>0.2857142857142857</v>
      </c>
    </row>
    <row r="3984" spans="1:14" x14ac:dyDescent="0.3">
      <c r="A3984" s="6">
        <v>45942</v>
      </c>
      <c r="B3984" s="1" t="s">
        <v>4168</v>
      </c>
      <c r="C3984" s="1" t="s">
        <v>27</v>
      </c>
      <c r="D3984" t="s">
        <v>35</v>
      </c>
      <c r="E3984" t="s">
        <v>134</v>
      </c>
      <c r="F3984" t="s">
        <v>22</v>
      </c>
      <c r="G3984" t="s">
        <v>18</v>
      </c>
      <c r="H3984" s="3">
        <v>7</v>
      </c>
      <c r="I3984" s="3">
        <v>8680</v>
      </c>
      <c r="J3984" s="3">
        <v>60760</v>
      </c>
      <c r="K3984" s="3">
        <v>7000</v>
      </c>
      <c r="L3984" s="3">
        <v>49000</v>
      </c>
      <c r="M3984" s="3">
        <v>11760</v>
      </c>
      <c r="N3984" s="4">
        <v>0.19354838709677419</v>
      </c>
    </row>
    <row r="3985" spans="1:14" x14ac:dyDescent="0.3">
      <c r="A3985" s="6">
        <v>45942</v>
      </c>
      <c r="B3985" s="1" t="s">
        <v>4169</v>
      </c>
      <c r="C3985" s="1" t="s">
        <v>28</v>
      </c>
      <c r="D3985" t="s">
        <v>35</v>
      </c>
      <c r="E3985" t="s">
        <v>220</v>
      </c>
      <c r="F3985" t="s">
        <v>21</v>
      </c>
      <c r="G3985" t="s">
        <v>20</v>
      </c>
      <c r="H3985" s="3">
        <v>7</v>
      </c>
      <c r="I3985" s="3">
        <v>870</v>
      </c>
      <c r="J3985" s="3">
        <v>6090</v>
      </c>
      <c r="K3985" s="3">
        <v>600</v>
      </c>
      <c r="L3985" s="3">
        <v>4200</v>
      </c>
      <c r="M3985" s="3">
        <v>1890</v>
      </c>
      <c r="N3985" s="4">
        <v>0.31034482758620691</v>
      </c>
    </row>
    <row r="3986" spans="1:14" x14ac:dyDescent="0.3">
      <c r="A3986" s="6">
        <v>45942</v>
      </c>
      <c r="B3986" s="1" t="s">
        <v>4170</v>
      </c>
      <c r="C3986" s="1" t="s">
        <v>26</v>
      </c>
      <c r="D3986" t="s">
        <v>32</v>
      </c>
      <c r="E3986" t="s">
        <v>239</v>
      </c>
      <c r="F3986" t="s">
        <v>21</v>
      </c>
      <c r="G3986" t="s">
        <v>20</v>
      </c>
      <c r="H3986" s="3">
        <v>2</v>
      </c>
      <c r="I3986" s="3">
        <v>786</v>
      </c>
      <c r="J3986" s="3">
        <v>1572</v>
      </c>
      <c r="K3986" s="3">
        <v>600</v>
      </c>
      <c r="L3986" s="3">
        <v>1200</v>
      </c>
      <c r="M3986" s="3">
        <v>372</v>
      </c>
      <c r="N3986" s="4">
        <v>0.23664122137404581</v>
      </c>
    </row>
    <row r="3987" spans="1:14" x14ac:dyDescent="0.3">
      <c r="A3987" s="6">
        <v>45942</v>
      </c>
      <c r="B3987" s="1" t="s">
        <v>4171</v>
      </c>
      <c r="C3987" s="1" t="s">
        <v>27</v>
      </c>
      <c r="D3987" t="s">
        <v>31</v>
      </c>
      <c r="E3987" t="s">
        <v>807</v>
      </c>
      <c r="F3987" t="s">
        <v>16</v>
      </c>
      <c r="G3987" t="s">
        <v>15</v>
      </c>
      <c r="H3987" s="3">
        <v>10</v>
      </c>
      <c r="I3987" s="3">
        <v>47120</v>
      </c>
      <c r="J3987" s="3">
        <v>471200</v>
      </c>
      <c r="K3987" s="3">
        <v>38000</v>
      </c>
      <c r="L3987" s="3">
        <v>380000</v>
      </c>
      <c r="M3987" s="3">
        <v>91200</v>
      </c>
      <c r="N3987" s="4">
        <v>0.19354838709677419</v>
      </c>
    </row>
    <row r="3988" spans="1:14" x14ac:dyDescent="0.3">
      <c r="A3988" s="6">
        <v>45942</v>
      </c>
      <c r="B3988" s="1" t="s">
        <v>4172</v>
      </c>
      <c r="C3988" s="1" t="s">
        <v>29</v>
      </c>
      <c r="D3988" t="s">
        <v>30</v>
      </c>
      <c r="E3988" t="s">
        <v>126</v>
      </c>
      <c r="F3988" t="s">
        <v>19</v>
      </c>
      <c r="G3988" t="s">
        <v>20</v>
      </c>
      <c r="H3988" s="3">
        <v>5</v>
      </c>
      <c r="I3988" s="3">
        <v>1206</v>
      </c>
      <c r="J3988" s="3">
        <v>6030</v>
      </c>
      <c r="K3988" s="3">
        <v>900</v>
      </c>
      <c r="L3988" s="3">
        <v>4500</v>
      </c>
      <c r="M3988" s="3">
        <v>1530</v>
      </c>
      <c r="N3988" s="4">
        <v>0.2537313432835821</v>
      </c>
    </row>
    <row r="3989" spans="1:14" x14ac:dyDescent="0.3">
      <c r="A3989" s="6">
        <v>45942</v>
      </c>
      <c r="B3989" s="1" t="s">
        <v>4173</v>
      </c>
      <c r="C3989" s="1" t="s">
        <v>27</v>
      </c>
      <c r="D3989" t="s">
        <v>33</v>
      </c>
      <c r="E3989" t="s">
        <v>319</v>
      </c>
      <c r="F3989" t="s">
        <v>16</v>
      </c>
      <c r="G3989" t="s">
        <v>15</v>
      </c>
      <c r="H3989" s="3">
        <v>7</v>
      </c>
      <c r="I3989" s="3">
        <v>45600</v>
      </c>
      <c r="J3989" s="3">
        <v>319200</v>
      </c>
      <c r="K3989" s="3">
        <v>38000</v>
      </c>
      <c r="L3989" s="3">
        <v>266000</v>
      </c>
      <c r="M3989" s="3">
        <v>53200</v>
      </c>
      <c r="N3989" s="4">
        <v>0.16666666666666666</v>
      </c>
    </row>
    <row r="3990" spans="1:14" x14ac:dyDescent="0.3">
      <c r="A3990" s="6">
        <v>45943</v>
      </c>
      <c r="B3990" s="1" t="s">
        <v>4174</v>
      </c>
      <c r="C3990" s="1" t="s">
        <v>27</v>
      </c>
      <c r="D3990" t="s">
        <v>30</v>
      </c>
      <c r="E3990" t="s">
        <v>751</v>
      </c>
      <c r="F3990" t="s">
        <v>14</v>
      </c>
      <c r="G3990" t="s">
        <v>15</v>
      </c>
      <c r="H3990" s="3">
        <v>9</v>
      </c>
      <c r="I3990" s="3">
        <v>60300</v>
      </c>
      <c r="J3990" s="3">
        <v>542700</v>
      </c>
      <c r="K3990" s="3">
        <v>45000</v>
      </c>
      <c r="L3990" s="3">
        <v>405000</v>
      </c>
      <c r="M3990" s="3">
        <v>137700</v>
      </c>
      <c r="N3990" s="4">
        <v>0.2537313432835821</v>
      </c>
    </row>
    <row r="3991" spans="1:14" x14ac:dyDescent="0.3">
      <c r="A3991" s="6">
        <v>45943</v>
      </c>
      <c r="B3991" s="1" t="s">
        <v>4175</v>
      </c>
      <c r="C3991" s="1" t="s">
        <v>29</v>
      </c>
      <c r="D3991" t="s">
        <v>32</v>
      </c>
      <c r="E3991" t="s">
        <v>90</v>
      </c>
      <c r="F3991" t="s">
        <v>22</v>
      </c>
      <c r="G3991" t="s">
        <v>18</v>
      </c>
      <c r="H3991" s="3">
        <v>3</v>
      </c>
      <c r="I3991" s="3">
        <v>9240</v>
      </c>
      <c r="J3991" s="3">
        <v>27720</v>
      </c>
      <c r="K3991" s="3">
        <v>7000</v>
      </c>
      <c r="L3991" s="3">
        <v>21000</v>
      </c>
      <c r="M3991" s="3">
        <v>6720</v>
      </c>
      <c r="N3991" s="4">
        <v>0.24242424242424243</v>
      </c>
    </row>
    <row r="3992" spans="1:14" x14ac:dyDescent="0.3">
      <c r="A3992" s="6">
        <v>45943</v>
      </c>
      <c r="B3992" s="1" t="s">
        <v>4176</v>
      </c>
      <c r="C3992" s="1" t="s">
        <v>28</v>
      </c>
      <c r="D3992" t="s">
        <v>30</v>
      </c>
      <c r="E3992" t="s">
        <v>249</v>
      </c>
      <c r="F3992" t="s">
        <v>14</v>
      </c>
      <c r="G3992" t="s">
        <v>15</v>
      </c>
      <c r="H3992" s="3">
        <v>6</v>
      </c>
      <c r="I3992" s="3">
        <v>58050</v>
      </c>
      <c r="J3992" s="3">
        <v>348300</v>
      </c>
      <c r="K3992" s="3">
        <v>45000</v>
      </c>
      <c r="L3992" s="3">
        <v>270000</v>
      </c>
      <c r="M3992" s="3">
        <v>78300</v>
      </c>
      <c r="N3992" s="4">
        <v>0.22480620155038761</v>
      </c>
    </row>
    <row r="3993" spans="1:14" x14ac:dyDescent="0.3">
      <c r="A3993" s="6">
        <v>45943</v>
      </c>
      <c r="B3993" s="1" t="s">
        <v>4177</v>
      </c>
      <c r="C3993" s="1" t="s">
        <v>29</v>
      </c>
      <c r="D3993" t="s">
        <v>31</v>
      </c>
      <c r="E3993" t="s">
        <v>118</v>
      </c>
      <c r="F3993" t="s">
        <v>21</v>
      </c>
      <c r="G3993" t="s">
        <v>20</v>
      </c>
      <c r="H3993" s="3">
        <v>7</v>
      </c>
      <c r="I3993" s="3">
        <v>815.99999999999989</v>
      </c>
      <c r="J3993" s="3">
        <v>5711.9999999999991</v>
      </c>
      <c r="K3993" s="3">
        <v>600</v>
      </c>
      <c r="L3993" s="3">
        <v>4200</v>
      </c>
      <c r="M3993" s="3">
        <v>1511.9999999999991</v>
      </c>
      <c r="N3993" s="4">
        <v>0.26470588235294107</v>
      </c>
    </row>
    <row r="3994" spans="1:14" x14ac:dyDescent="0.3">
      <c r="A3994" s="6">
        <v>45943</v>
      </c>
      <c r="B3994" s="1" t="s">
        <v>4178</v>
      </c>
      <c r="C3994" s="1" t="s">
        <v>26</v>
      </c>
      <c r="D3994" t="s">
        <v>33</v>
      </c>
      <c r="E3994" t="s">
        <v>308</v>
      </c>
      <c r="F3994" t="s">
        <v>21</v>
      </c>
      <c r="G3994" t="s">
        <v>20</v>
      </c>
      <c r="H3994" s="3">
        <v>5</v>
      </c>
      <c r="I3994" s="3">
        <v>792</v>
      </c>
      <c r="J3994" s="3">
        <v>3960</v>
      </c>
      <c r="K3994" s="3">
        <v>600</v>
      </c>
      <c r="L3994" s="3">
        <v>3000</v>
      </c>
      <c r="M3994" s="3">
        <v>960</v>
      </c>
      <c r="N3994" s="4">
        <v>0.24242424242424243</v>
      </c>
    </row>
    <row r="3995" spans="1:14" x14ac:dyDescent="0.3">
      <c r="A3995" s="6">
        <v>45943</v>
      </c>
      <c r="B3995" s="1" t="s">
        <v>4179</v>
      </c>
      <c r="C3995" s="1" t="s">
        <v>28</v>
      </c>
      <c r="D3995" t="s">
        <v>34</v>
      </c>
      <c r="E3995" t="s">
        <v>236</v>
      </c>
      <c r="F3995" t="s">
        <v>21</v>
      </c>
      <c r="G3995" t="s">
        <v>20</v>
      </c>
      <c r="H3995" s="3">
        <v>7</v>
      </c>
      <c r="I3995" s="3">
        <v>720</v>
      </c>
      <c r="J3995" s="3">
        <v>5040</v>
      </c>
      <c r="K3995" s="3">
        <v>600</v>
      </c>
      <c r="L3995" s="3">
        <v>4200</v>
      </c>
      <c r="M3995" s="3">
        <v>840</v>
      </c>
      <c r="N3995" s="4">
        <v>0.16666666666666666</v>
      </c>
    </row>
    <row r="3996" spans="1:14" x14ac:dyDescent="0.3">
      <c r="A3996" s="6">
        <v>45943</v>
      </c>
      <c r="B3996" s="1" t="s">
        <v>4180</v>
      </c>
      <c r="C3996" s="1" t="s">
        <v>27</v>
      </c>
      <c r="D3996" t="s">
        <v>35</v>
      </c>
      <c r="E3996" t="s">
        <v>134</v>
      </c>
      <c r="F3996" t="s">
        <v>23</v>
      </c>
      <c r="G3996" t="s">
        <v>25</v>
      </c>
      <c r="H3996" s="3">
        <v>7</v>
      </c>
      <c r="I3996" s="3">
        <v>4512</v>
      </c>
      <c r="J3996" s="3">
        <v>31584</v>
      </c>
      <c r="K3996" s="3">
        <v>3200</v>
      </c>
      <c r="L3996" s="3">
        <v>22400</v>
      </c>
      <c r="M3996" s="3">
        <v>9184</v>
      </c>
      <c r="N3996" s="4">
        <v>0.29078014184397161</v>
      </c>
    </row>
    <row r="3997" spans="1:14" x14ac:dyDescent="0.3">
      <c r="A3997" s="6">
        <v>45943</v>
      </c>
      <c r="B3997" s="1" t="s">
        <v>4181</v>
      </c>
      <c r="C3997" s="1" t="s">
        <v>28</v>
      </c>
      <c r="D3997" t="s">
        <v>35</v>
      </c>
      <c r="E3997" t="s">
        <v>114</v>
      </c>
      <c r="F3997" t="s">
        <v>19</v>
      </c>
      <c r="G3997" t="s">
        <v>20</v>
      </c>
      <c r="H3997" s="3">
        <v>9</v>
      </c>
      <c r="I3997" s="3">
        <v>1080</v>
      </c>
      <c r="J3997" s="3">
        <v>9720</v>
      </c>
      <c r="K3997" s="3">
        <v>900</v>
      </c>
      <c r="L3997" s="3">
        <v>8100</v>
      </c>
      <c r="M3997" s="3">
        <v>1620</v>
      </c>
      <c r="N3997" s="4">
        <v>0.16666666666666666</v>
      </c>
    </row>
    <row r="3998" spans="1:14" x14ac:dyDescent="0.3">
      <c r="A3998" s="6">
        <v>45943</v>
      </c>
      <c r="B3998" s="1" t="s">
        <v>4182</v>
      </c>
      <c r="C3998" s="1" t="s">
        <v>27</v>
      </c>
      <c r="D3998" t="s">
        <v>35</v>
      </c>
      <c r="E3998" t="s">
        <v>129</v>
      </c>
      <c r="F3998" t="s">
        <v>23</v>
      </c>
      <c r="G3998" t="s">
        <v>25</v>
      </c>
      <c r="H3998" s="3">
        <v>5</v>
      </c>
      <c r="I3998" s="3">
        <v>4064</v>
      </c>
      <c r="J3998" s="3">
        <v>20320</v>
      </c>
      <c r="K3998" s="3">
        <v>3200</v>
      </c>
      <c r="L3998" s="3">
        <v>16000</v>
      </c>
      <c r="M3998" s="3">
        <v>4320</v>
      </c>
      <c r="N3998" s="4">
        <v>0.2125984251968504</v>
      </c>
    </row>
    <row r="3999" spans="1:14" x14ac:dyDescent="0.3">
      <c r="A3999" s="6">
        <v>45943</v>
      </c>
      <c r="B3999" s="1" t="s">
        <v>4183</v>
      </c>
      <c r="C3999" s="1" t="s">
        <v>26</v>
      </c>
      <c r="D3999" t="s">
        <v>33</v>
      </c>
      <c r="E3999" t="s">
        <v>151</v>
      </c>
      <c r="F3999" t="s">
        <v>24</v>
      </c>
      <c r="G3999" t="s">
        <v>25</v>
      </c>
      <c r="H3999" s="3">
        <v>3</v>
      </c>
      <c r="I3999" s="3">
        <v>3075</v>
      </c>
      <c r="J3999" s="3">
        <v>9225</v>
      </c>
      <c r="K3999" s="3">
        <v>2500</v>
      </c>
      <c r="L3999" s="3">
        <v>7500</v>
      </c>
      <c r="M3999" s="3">
        <v>1725</v>
      </c>
      <c r="N3999" s="4">
        <v>0.18699186991869918</v>
      </c>
    </row>
    <row r="4000" spans="1:14" x14ac:dyDescent="0.3">
      <c r="A4000" s="6">
        <v>45943</v>
      </c>
      <c r="B4000" s="1" t="s">
        <v>4184</v>
      </c>
      <c r="C4000" s="1" t="s">
        <v>27</v>
      </c>
      <c r="D4000" t="s">
        <v>34</v>
      </c>
      <c r="E4000" t="s">
        <v>157</v>
      </c>
      <c r="F4000" t="s">
        <v>22</v>
      </c>
      <c r="G4000" t="s">
        <v>18</v>
      </c>
      <c r="H4000" s="3">
        <v>3</v>
      </c>
      <c r="I4000" s="3">
        <v>9170</v>
      </c>
      <c r="J4000" s="3">
        <v>27510</v>
      </c>
      <c r="K4000" s="3">
        <v>7000</v>
      </c>
      <c r="L4000" s="3">
        <v>21000</v>
      </c>
      <c r="M4000" s="3">
        <v>6510</v>
      </c>
      <c r="N4000" s="4">
        <v>0.23664122137404581</v>
      </c>
    </row>
    <row r="4001" spans="1:14" x14ac:dyDescent="0.3">
      <c r="A4001" s="6">
        <v>45943</v>
      </c>
      <c r="B4001" s="1" t="s">
        <v>4185</v>
      </c>
      <c r="C4001" s="1" t="s">
        <v>29</v>
      </c>
      <c r="D4001" t="s">
        <v>35</v>
      </c>
      <c r="E4001" t="s">
        <v>116</v>
      </c>
      <c r="F4001" t="s">
        <v>14</v>
      </c>
      <c r="G4001" t="s">
        <v>15</v>
      </c>
      <c r="H4001" s="3">
        <v>8</v>
      </c>
      <c r="I4001" s="3">
        <v>58950</v>
      </c>
      <c r="J4001" s="3">
        <v>471600</v>
      </c>
      <c r="K4001" s="3">
        <v>45000</v>
      </c>
      <c r="L4001" s="3">
        <v>360000</v>
      </c>
      <c r="M4001" s="3">
        <v>111600</v>
      </c>
      <c r="N4001" s="4">
        <v>0.23664122137404581</v>
      </c>
    </row>
    <row r="4002" spans="1:14" x14ac:dyDescent="0.3">
      <c r="A4002" s="6">
        <v>45943</v>
      </c>
      <c r="B4002" s="1" t="s">
        <v>4186</v>
      </c>
      <c r="C4002" s="1" t="s">
        <v>26</v>
      </c>
      <c r="D4002" t="s">
        <v>33</v>
      </c>
      <c r="E4002" t="s">
        <v>327</v>
      </c>
      <c r="F4002" t="s">
        <v>22</v>
      </c>
      <c r="G4002" t="s">
        <v>18</v>
      </c>
      <c r="H4002" s="3">
        <v>8</v>
      </c>
      <c r="I4002" s="3">
        <v>8960</v>
      </c>
      <c r="J4002" s="3">
        <v>71680</v>
      </c>
      <c r="K4002" s="3">
        <v>7000</v>
      </c>
      <c r="L4002" s="3">
        <v>56000</v>
      </c>
      <c r="M4002" s="3">
        <v>15680</v>
      </c>
      <c r="N4002" s="4">
        <v>0.21875</v>
      </c>
    </row>
    <row r="4003" spans="1:14" x14ac:dyDescent="0.3">
      <c r="A4003" s="6">
        <v>45943</v>
      </c>
      <c r="B4003" s="1" t="s">
        <v>4187</v>
      </c>
      <c r="C4003" s="1" t="s">
        <v>28</v>
      </c>
      <c r="D4003" t="s">
        <v>35</v>
      </c>
      <c r="E4003" t="s">
        <v>166</v>
      </c>
      <c r="F4003" t="s">
        <v>16</v>
      </c>
      <c r="G4003" t="s">
        <v>15</v>
      </c>
      <c r="H4003" s="3">
        <v>10</v>
      </c>
      <c r="I4003" s="3">
        <v>52439.999999999993</v>
      </c>
      <c r="J4003" s="3">
        <v>524399.99999999988</v>
      </c>
      <c r="K4003" s="3">
        <v>38000</v>
      </c>
      <c r="L4003" s="3">
        <v>380000</v>
      </c>
      <c r="M4003" s="3">
        <v>144399.99999999988</v>
      </c>
      <c r="N4003" s="4">
        <v>0.27536231884057955</v>
      </c>
    </row>
    <row r="4004" spans="1:14" x14ac:dyDescent="0.3">
      <c r="A4004" s="6">
        <v>45944</v>
      </c>
      <c r="B4004" s="1" t="s">
        <v>4188</v>
      </c>
      <c r="C4004" s="1" t="s">
        <v>27</v>
      </c>
      <c r="D4004" t="s">
        <v>30</v>
      </c>
      <c r="E4004" t="s">
        <v>116</v>
      </c>
      <c r="F4004" t="s">
        <v>19</v>
      </c>
      <c r="G4004" t="s">
        <v>20</v>
      </c>
      <c r="H4004" s="3">
        <v>8</v>
      </c>
      <c r="I4004" s="3">
        <v>1224</v>
      </c>
      <c r="J4004" s="3">
        <v>9792</v>
      </c>
      <c r="K4004" s="3">
        <v>900</v>
      </c>
      <c r="L4004" s="3">
        <v>7200</v>
      </c>
      <c r="M4004" s="3">
        <v>2592</v>
      </c>
      <c r="N4004" s="4">
        <v>0.26470588235294118</v>
      </c>
    </row>
    <row r="4005" spans="1:14" x14ac:dyDescent="0.3">
      <c r="A4005" s="6">
        <v>45944</v>
      </c>
      <c r="B4005" s="1" t="s">
        <v>4189</v>
      </c>
      <c r="C4005" s="1" t="s">
        <v>27</v>
      </c>
      <c r="D4005" t="s">
        <v>34</v>
      </c>
      <c r="E4005" t="s">
        <v>137</v>
      </c>
      <c r="F4005" t="s">
        <v>21</v>
      </c>
      <c r="G4005" t="s">
        <v>20</v>
      </c>
      <c r="H4005" s="3">
        <v>9</v>
      </c>
      <c r="I4005" s="3">
        <v>726</v>
      </c>
      <c r="J4005" s="3">
        <v>6534</v>
      </c>
      <c r="K4005" s="3">
        <v>600</v>
      </c>
      <c r="L4005" s="3">
        <v>5400</v>
      </c>
      <c r="M4005" s="3">
        <v>1134</v>
      </c>
      <c r="N4005" s="4">
        <v>0.17355371900826447</v>
      </c>
    </row>
    <row r="4006" spans="1:14" x14ac:dyDescent="0.3">
      <c r="A4006" s="6">
        <v>45944</v>
      </c>
      <c r="B4006" s="1" t="s">
        <v>4190</v>
      </c>
      <c r="C4006" s="1" t="s">
        <v>27</v>
      </c>
      <c r="D4006" t="s">
        <v>35</v>
      </c>
      <c r="E4006" t="s">
        <v>304</v>
      </c>
      <c r="F4006" t="s">
        <v>16</v>
      </c>
      <c r="G4006" t="s">
        <v>15</v>
      </c>
      <c r="H4006" s="3">
        <v>8</v>
      </c>
      <c r="I4006" s="3">
        <v>46360</v>
      </c>
      <c r="J4006" s="3">
        <v>370880</v>
      </c>
      <c r="K4006" s="3">
        <v>38000</v>
      </c>
      <c r="L4006" s="3">
        <v>304000</v>
      </c>
      <c r="M4006" s="3">
        <v>66880</v>
      </c>
      <c r="N4006" s="4">
        <v>0.18032786885245902</v>
      </c>
    </row>
    <row r="4007" spans="1:14" x14ac:dyDescent="0.3">
      <c r="A4007" s="6">
        <v>45944</v>
      </c>
      <c r="B4007" s="1" t="s">
        <v>4191</v>
      </c>
      <c r="C4007" s="1" t="s">
        <v>28</v>
      </c>
      <c r="D4007" t="s">
        <v>32</v>
      </c>
      <c r="E4007" t="s">
        <v>126</v>
      </c>
      <c r="F4007" t="s">
        <v>14</v>
      </c>
      <c r="G4007" t="s">
        <v>15</v>
      </c>
      <c r="H4007" s="3">
        <v>2</v>
      </c>
      <c r="I4007" s="3">
        <v>64800</v>
      </c>
      <c r="J4007" s="3">
        <v>129600</v>
      </c>
      <c r="K4007" s="3">
        <v>45000</v>
      </c>
      <c r="L4007" s="3">
        <v>90000</v>
      </c>
      <c r="M4007" s="3">
        <v>39600</v>
      </c>
      <c r="N4007" s="4">
        <v>0.30555555555555558</v>
      </c>
    </row>
    <row r="4008" spans="1:14" x14ac:dyDescent="0.3">
      <c r="A4008" s="6">
        <v>45944</v>
      </c>
      <c r="B4008" s="1" t="s">
        <v>4192</v>
      </c>
      <c r="C4008" s="1" t="s">
        <v>29</v>
      </c>
      <c r="D4008" t="s">
        <v>32</v>
      </c>
      <c r="E4008" t="s">
        <v>442</v>
      </c>
      <c r="F4008" t="s">
        <v>17</v>
      </c>
      <c r="G4008" t="s">
        <v>18</v>
      </c>
      <c r="H4008" s="3">
        <v>7</v>
      </c>
      <c r="I4008" s="3">
        <v>11220</v>
      </c>
      <c r="J4008" s="3">
        <v>78540</v>
      </c>
      <c r="K4008" s="3">
        <v>8500</v>
      </c>
      <c r="L4008" s="3">
        <v>59500</v>
      </c>
      <c r="M4008" s="3">
        <v>19040</v>
      </c>
      <c r="N4008" s="4">
        <v>0.24242424242424243</v>
      </c>
    </row>
    <row r="4009" spans="1:14" x14ac:dyDescent="0.3">
      <c r="A4009" s="6">
        <v>45944</v>
      </c>
      <c r="B4009" s="1" t="s">
        <v>4193</v>
      </c>
      <c r="C4009" s="1" t="s">
        <v>27</v>
      </c>
      <c r="D4009" t="s">
        <v>30</v>
      </c>
      <c r="E4009" t="s">
        <v>45</v>
      </c>
      <c r="F4009" t="s">
        <v>24</v>
      </c>
      <c r="G4009" t="s">
        <v>25</v>
      </c>
      <c r="H4009" s="3">
        <v>10</v>
      </c>
      <c r="I4009" s="3">
        <v>3275</v>
      </c>
      <c r="J4009" s="3">
        <v>32750</v>
      </c>
      <c r="K4009" s="3">
        <v>2500</v>
      </c>
      <c r="L4009" s="3">
        <v>25000</v>
      </c>
      <c r="M4009" s="3">
        <v>7750</v>
      </c>
      <c r="N4009" s="4">
        <v>0.23664122137404581</v>
      </c>
    </row>
    <row r="4010" spans="1:14" x14ac:dyDescent="0.3">
      <c r="A4010" s="6">
        <v>45944</v>
      </c>
      <c r="B4010" s="1" t="s">
        <v>4194</v>
      </c>
      <c r="C4010" s="1" t="s">
        <v>29</v>
      </c>
      <c r="D4010" t="s">
        <v>35</v>
      </c>
      <c r="E4010" t="s">
        <v>204</v>
      </c>
      <c r="F4010" t="s">
        <v>17</v>
      </c>
      <c r="G4010" t="s">
        <v>18</v>
      </c>
      <c r="H4010" s="3">
        <v>2</v>
      </c>
      <c r="I4010" s="3">
        <v>11390</v>
      </c>
      <c r="J4010" s="3">
        <v>22780</v>
      </c>
      <c r="K4010" s="3">
        <v>8500</v>
      </c>
      <c r="L4010" s="3">
        <v>17000</v>
      </c>
      <c r="M4010" s="3">
        <v>5780</v>
      </c>
      <c r="N4010" s="4">
        <v>0.2537313432835821</v>
      </c>
    </row>
    <row r="4011" spans="1:14" x14ac:dyDescent="0.3">
      <c r="A4011" s="6">
        <v>45944</v>
      </c>
      <c r="B4011" s="1" t="s">
        <v>4195</v>
      </c>
      <c r="C4011" s="1" t="s">
        <v>26</v>
      </c>
      <c r="D4011" t="s">
        <v>34</v>
      </c>
      <c r="E4011" t="s">
        <v>65</v>
      </c>
      <c r="F4011" t="s">
        <v>19</v>
      </c>
      <c r="G4011" t="s">
        <v>20</v>
      </c>
      <c r="H4011" s="3">
        <v>6</v>
      </c>
      <c r="I4011" s="3">
        <v>1134</v>
      </c>
      <c r="J4011" s="3">
        <v>6804</v>
      </c>
      <c r="K4011" s="3">
        <v>900</v>
      </c>
      <c r="L4011" s="3">
        <v>5400</v>
      </c>
      <c r="M4011" s="3">
        <v>1404</v>
      </c>
      <c r="N4011" s="4">
        <v>0.20634920634920634</v>
      </c>
    </row>
    <row r="4012" spans="1:14" x14ac:dyDescent="0.3">
      <c r="A4012" s="6">
        <v>45944</v>
      </c>
      <c r="B4012" s="1" t="s">
        <v>4196</v>
      </c>
      <c r="C4012" s="1" t="s">
        <v>29</v>
      </c>
      <c r="D4012" t="s">
        <v>32</v>
      </c>
      <c r="E4012" t="s">
        <v>196</v>
      </c>
      <c r="F4012" t="s">
        <v>14</v>
      </c>
      <c r="G4012" t="s">
        <v>15</v>
      </c>
      <c r="H4012" s="3">
        <v>7</v>
      </c>
      <c r="I4012" s="3">
        <v>56700</v>
      </c>
      <c r="J4012" s="3">
        <v>396900</v>
      </c>
      <c r="K4012" s="3">
        <v>45000</v>
      </c>
      <c r="L4012" s="3">
        <v>315000</v>
      </c>
      <c r="M4012" s="3">
        <v>81900</v>
      </c>
      <c r="N4012" s="4">
        <v>0.20634920634920634</v>
      </c>
    </row>
    <row r="4013" spans="1:14" x14ac:dyDescent="0.3">
      <c r="A4013" s="6">
        <v>45944</v>
      </c>
      <c r="B4013" s="1" t="s">
        <v>4197</v>
      </c>
      <c r="C4013" s="1" t="s">
        <v>27</v>
      </c>
      <c r="D4013" t="s">
        <v>33</v>
      </c>
      <c r="E4013" t="s">
        <v>409</v>
      </c>
      <c r="F4013" t="s">
        <v>21</v>
      </c>
      <c r="G4013" t="s">
        <v>20</v>
      </c>
      <c r="H4013" s="3">
        <v>1</v>
      </c>
      <c r="I4013" s="3">
        <v>846</v>
      </c>
      <c r="J4013" s="3">
        <v>846</v>
      </c>
      <c r="K4013" s="3">
        <v>600</v>
      </c>
      <c r="L4013" s="3">
        <v>600</v>
      </c>
      <c r="M4013" s="3">
        <v>246</v>
      </c>
      <c r="N4013" s="4">
        <v>0.29078014184397161</v>
      </c>
    </row>
    <row r="4014" spans="1:14" x14ac:dyDescent="0.3">
      <c r="A4014" s="6">
        <v>45944</v>
      </c>
      <c r="B4014" s="1" t="s">
        <v>4198</v>
      </c>
      <c r="C4014" s="1" t="s">
        <v>29</v>
      </c>
      <c r="D4014" t="s">
        <v>35</v>
      </c>
      <c r="E4014" t="s">
        <v>114</v>
      </c>
      <c r="F4014" t="s">
        <v>21</v>
      </c>
      <c r="G4014" t="s">
        <v>20</v>
      </c>
      <c r="H4014" s="3">
        <v>9</v>
      </c>
      <c r="I4014" s="3">
        <v>786</v>
      </c>
      <c r="J4014" s="3">
        <v>7074</v>
      </c>
      <c r="K4014" s="3">
        <v>600</v>
      </c>
      <c r="L4014" s="3">
        <v>5400</v>
      </c>
      <c r="M4014" s="3">
        <v>1674</v>
      </c>
      <c r="N4014" s="4">
        <v>0.23664122137404581</v>
      </c>
    </row>
    <row r="4015" spans="1:14" x14ac:dyDescent="0.3">
      <c r="A4015" s="6">
        <v>45944</v>
      </c>
      <c r="B4015" s="1" t="s">
        <v>4199</v>
      </c>
      <c r="C4015" s="1" t="s">
        <v>29</v>
      </c>
      <c r="D4015" t="s">
        <v>35</v>
      </c>
      <c r="E4015" t="s">
        <v>59</v>
      </c>
      <c r="F4015" t="s">
        <v>23</v>
      </c>
      <c r="G4015" t="s">
        <v>25</v>
      </c>
      <c r="H4015" s="3">
        <v>8</v>
      </c>
      <c r="I4015" s="3">
        <v>3872</v>
      </c>
      <c r="J4015" s="3">
        <v>30976</v>
      </c>
      <c r="K4015" s="3">
        <v>3200</v>
      </c>
      <c r="L4015" s="3">
        <v>25600</v>
      </c>
      <c r="M4015" s="3">
        <v>5376</v>
      </c>
      <c r="N4015" s="4">
        <v>0.17355371900826447</v>
      </c>
    </row>
    <row r="4016" spans="1:14" x14ac:dyDescent="0.3">
      <c r="A4016" s="6">
        <v>45944</v>
      </c>
      <c r="B4016" s="1" t="s">
        <v>4200</v>
      </c>
      <c r="C4016" s="1" t="s">
        <v>29</v>
      </c>
      <c r="D4016" t="s">
        <v>30</v>
      </c>
      <c r="E4016" t="s">
        <v>228</v>
      </c>
      <c r="F4016" t="s">
        <v>21</v>
      </c>
      <c r="G4016" t="s">
        <v>20</v>
      </c>
      <c r="H4016" s="3">
        <v>9</v>
      </c>
      <c r="I4016" s="3">
        <v>750</v>
      </c>
      <c r="J4016" s="3">
        <v>6750</v>
      </c>
      <c r="K4016" s="3">
        <v>600</v>
      </c>
      <c r="L4016" s="3">
        <v>5400</v>
      </c>
      <c r="M4016" s="3">
        <v>1350</v>
      </c>
      <c r="N4016" s="4">
        <v>0.2</v>
      </c>
    </row>
    <row r="4017" spans="1:14" x14ac:dyDescent="0.3">
      <c r="A4017" s="6">
        <v>45944</v>
      </c>
      <c r="B4017" s="1" t="s">
        <v>4201</v>
      </c>
      <c r="C4017" s="1" t="s">
        <v>29</v>
      </c>
      <c r="D4017" t="s">
        <v>32</v>
      </c>
      <c r="E4017" t="s">
        <v>131</v>
      </c>
      <c r="F4017" t="s">
        <v>24</v>
      </c>
      <c r="G4017" t="s">
        <v>25</v>
      </c>
      <c r="H4017" s="3">
        <v>8</v>
      </c>
      <c r="I4017" s="3">
        <v>3350</v>
      </c>
      <c r="J4017" s="3">
        <v>26800</v>
      </c>
      <c r="K4017" s="3">
        <v>2500</v>
      </c>
      <c r="L4017" s="3">
        <v>20000</v>
      </c>
      <c r="M4017" s="3">
        <v>6800</v>
      </c>
      <c r="N4017" s="4">
        <v>0.2537313432835821</v>
      </c>
    </row>
    <row r="4018" spans="1:14" x14ac:dyDescent="0.3">
      <c r="A4018" s="6">
        <v>45945</v>
      </c>
      <c r="B4018" s="1" t="s">
        <v>4202</v>
      </c>
      <c r="C4018" s="1" t="s">
        <v>29</v>
      </c>
      <c r="D4018" t="s">
        <v>30</v>
      </c>
      <c r="E4018" t="s">
        <v>442</v>
      </c>
      <c r="F4018" t="s">
        <v>16</v>
      </c>
      <c r="G4018" t="s">
        <v>15</v>
      </c>
      <c r="H4018" s="3">
        <v>4</v>
      </c>
      <c r="I4018" s="3">
        <v>54720</v>
      </c>
      <c r="J4018" s="3">
        <v>218880</v>
      </c>
      <c r="K4018" s="3">
        <v>38000</v>
      </c>
      <c r="L4018" s="3">
        <v>152000</v>
      </c>
      <c r="M4018" s="3">
        <v>66880</v>
      </c>
      <c r="N4018" s="4">
        <v>0.30555555555555558</v>
      </c>
    </row>
    <row r="4019" spans="1:14" x14ac:dyDescent="0.3">
      <c r="A4019" s="6">
        <v>45945</v>
      </c>
      <c r="B4019" s="1" t="s">
        <v>4203</v>
      </c>
      <c r="C4019" s="1" t="s">
        <v>26</v>
      </c>
      <c r="D4019" t="s">
        <v>31</v>
      </c>
      <c r="E4019" t="s">
        <v>51</v>
      </c>
      <c r="F4019" t="s">
        <v>19</v>
      </c>
      <c r="G4019" t="s">
        <v>20</v>
      </c>
      <c r="H4019" s="3">
        <v>2</v>
      </c>
      <c r="I4019" s="3">
        <v>1206</v>
      </c>
      <c r="J4019" s="3">
        <v>2412</v>
      </c>
      <c r="K4019" s="3">
        <v>900</v>
      </c>
      <c r="L4019" s="3">
        <v>1800</v>
      </c>
      <c r="M4019" s="3">
        <v>612</v>
      </c>
      <c r="N4019" s="4">
        <v>0.2537313432835821</v>
      </c>
    </row>
    <row r="4020" spans="1:14" x14ac:dyDescent="0.3">
      <c r="A4020" s="6">
        <v>45945</v>
      </c>
      <c r="B4020" s="1" t="s">
        <v>4204</v>
      </c>
      <c r="C4020" s="1" t="s">
        <v>27</v>
      </c>
      <c r="D4020" t="s">
        <v>33</v>
      </c>
      <c r="E4020" t="s">
        <v>359</v>
      </c>
      <c r="F4020" t="s">
        <v>19</v>
      </c>
      <c r="G4020" t="s">
        <v>20</v>
      </c>
      <c r="H4020" s="3">
        <v>10</v>
      </c>
      <c r="I4020" s="3">
        <v>1233</v>
      </c>
      <c r="J4020" s="3">
        <v>12330</v>
      </c>
      <c r="K4020" s="3">
        <v>900</v>
      </c>
      <c r="L4020" s="3">
        <v>9000</v>
      </c>
      <c r="M4020" s="3">
        <v>3330</v>
      </c>
      <c r="N4020" s="4">
        <v>0.27007299270072993</v>
      </c>
    </row>
    <row r="4021" spans="1:14" x14ac:dyDescent="0.3">
      <c r="A4021" s="6">
        <v>45945</v>
      </c>
      <c r="B4021" s="1" t="s">
        <v>4205</v>
      </c>
      <c r="C4021" s="1" t="s">
        <v>28</v>
      </c>
      <c r="D4021" t="s">
        <v>31</v>
      </c>
      <c r="E4021" t="s">
        <v>122</v>
      </c>
      <c r="F4021" t="s">
        <v>16</v>
      </c>
      <c r="G4021" t="s">
        <v>15</v>
      </c>
      <c r="H4021" s="3">
        <v>10</v>
      </c>
      <c r="I4021" s="3">
        <v>50540</v>
      </c>
      <c r="J4021" s="3">
        <v>505400</v>
      </c>
      <c r="K4021" s="3">
        <v>38000</v>
      </c>
      <c r="L4021" s="3">
        <v>380000</v>
      </c>
      <c r="M4021" s="3">
        <v>125400</v>
      </c>
      <c r="N4021" s="4">
        <v>0.24812030075187969</v>
      </c>
    </row>
    <row r="4022" spans="1:14" x14ac:dyDescent="0.3">
      <c r="A4022" s="6">
        <v>45945</v>
      </c>
      <c r="B4022" s="1" t="s">
        <v>4206</v>
      </c>
      <c r="C4022" s="1" t="s">
        <v>29</v>
      </c>
      <c r="D4022" t="s">
        <v>34</v>
      </c>
      <c r="E4022" t="s">
        <v>96</v>
      </c>
      <c r="F4022" t="s">
        <v>17</v>
      </c>
      <c r="G4022" t="s">
        <v>18</v>
      </c>
      <c r="H4022" s="3">
        <v>10</v>
      </c>
      <c r="I4022" s="3">
        <v>10795</v>
      </c>
      <c r="J4022" s="3">
        <v>107950</v>
      </c>
      <c r="K4022" s="3">
        <v>8500</v>
      </c>
      <c r="L4022" s="3">
        <v>85000</v>
      </c>
      <c r="M4022" s="3">
        <v>22950</v>
      </c>
      <c r="N4022" s="4">
        <v>0.2125984251968504</v>
      </c>
    </row>
    <row r="4023" spans="1:14" x14ac:dyDescent="0.3">
      <c r="A4023" s="6">
        <v>45945</v>
      </c>
      <c r="B4023" s="1" t="s">
        <v>4207</v>
      </c>
      <c r="C4023" s="1" t="s">
        <v>26</v>
      </c>
      <c r="D4023" t="s">
        <v>35</v>
      </c>
      <c r="E4023" t="s">
        <v>268</v>
      </c>
      <c r="F4023" t="s">
        <v>17</v>
      </c>
      <c r="G4023" t="s">
        <v>18</v>
      </c>
      <c r="H4023" s="3">
        <v>4</v>
      </c>
      <c r="I4023" s="3">
        <v>12155</v>
      </c>
      <c r="J4023" s="3">
        <v>48620</v>
      </c>
      <c r="K4023" s="3">
        <v>8500</v>
      </c>
      <c r="L4023" s="3">
        <v>34000</v>
      </c>
      <c r="M4023" s="3">
        <v>14620</v>
      </c>
      <c r="N4023" s="4">
        <v>0.30069930069930068</v>
      </c>
    </row>
    <row r="4024" spans="1:14" x14ac:dyDescent="0.3">
      <c r="A4024" s="6">
        <v>45945</v>
      </c>
      <c r="B4024" s="1" t="s">
        <v>4208</v>
      </c>
      <c r="C4024" s="1" t="s">
        <v>28</v>
      </c>
      <c r="D4024" t="s">
        <v>32</v>
      </c>
      <c r="E4024" t="s">
        <v>453</v>
      </c>
      <c r="F4024" t="s">
        <v>16</v>
      </c>
      <c r="G4024" t="s">
        <v>15</v>
      </c>
      <c r="H4024" s="3">
        <v>4</v>
      </c>
      <c r="I4024" s="3">
        <v>47500</v>
      </c>
      <c r="J4024" s="3">
        <v>190000</v>
      </c>
      <c r="K4024" s="3">
        <v>38000</v>
      </c>
      <c r="L4024" s="3">
        <v>152000</v>
      </c>
      <c r="M4024" s="3">
        <v>38000</v>
      </c>
      <c r="N4024" s="4">
        <v>0.2</v>
      </c>
    </row>
    <row r="4025" spans="1:14" x14ac:dyDescent="0.3">
      <c r="A4025" s="6">
        <v>45945</v>
      </c>
      <c r="B4025" s="1" t="s">
        <v>4209</v>
      </c>
      <c r="C4025" s="1" t="s">
        <v>29</v>
      </c>
      <c r="D4025" t="s">
        <v>30</v>
      </c>
      <c r="E4025" t="s">
        <v>186</v>
      </c>
      <c r="F4025" t="s">
        <v>14</v>
      </c>
      <c r="G4025" t="s">
        <v>15</v>
      </c>
      <c r="H4025" s="3">
        <v>5</v>
      </c>
      <c r="I4025" s="3">
        <v>62099.999999999993</v>
      </c>
      <c r="J4025" s="3">
        <v>310499.99999999994</v>
      </c>
      <c r="K4025" s="3">
        <v>45000</v>
      </c>
      <c r="L4025" s="3">
        <v>225000</v>
      </c>
      <c r="M4025" s="3">
        <v>85499.999999999942</v>
      </c>
      <c r="N4025" s="4">
        <v>0.2753623188405796</v>
      </c>
    </row>
    <row r="4026" spans="1:14" x14ac:dyDescent="0.3">
      <c r="A4026" s="6">
        <v>45945</v>
      </c>
      <c r="B4026" s="1" t="s">
        <v>4210</v>
      </c>
      <c r="C4026" s="1" t="s">
        <v>26</v>
      </c>
      <c r="D4026" t="s">
        <v>30</v>
      </c>
      <c r="E4026" t="s">
        <v>306</v>
      </c>
      <c r="F4026" t="s">
        <v>14</v>
      </c>
      <c r="G4026" t="s">
        <v>15</v>
      </c>
      <c r="H4026" s="3">
        <v>7</v>
      </c>
      <c r="I4026" s="3">
        <v>55800</v>
      </c>
      <c r="J4026" s="3">
        <v>390600</v>
      </c>
      <c r="K4026" s="3">
        <v>45000</v>
      </c>
      <c r="L4026" s="3">
        <v>315000</v>
      </c>
      <c r="M4026" s="3">
        <v>75600</v>
      </c>
      <c r="N4026" s="4">
        <v>0.19354838709677419</v>
      </c>
    </row>
    <row r="4027" spans="1:14" x14ac:dyDescent="0.3">
      <c r="A4027" s="6">
        <v>45945</v>
      </c>
      <c r="B4027" s="1" t="s">
        <v>4211</v>
      </c>
      <c r="C4027" s="1" t="s">
        <v>28</v>
      </c>
      <c r="D4027" t="s">
        <v>32</v>
      </c>
      <c r="E4027" t="s">
        <v>83</v>
      </c>
      <c r="F4027" t="s">
        <v>16</v>
      </c>
      <c r="G4027" t="s">
        <v>15</v>
      </c>
      <c r="H4027" s="3">
        <v>1</v>
      </c>
      <c r="I4027" s="3">
        <v>46360</v>
      </c>
      <c r="J4027" s="3">
        <v>46360</v>
      </c>
      <c r="K4027" s="3">
        <v>38000</v>
      </c>
      <c r="L4027" s="3">
        <v>38000</v>
      </c>
      <c r="M4027" s="3">
        <v>8360</v>
      </c>
      <c r="N4027" s="4">
        <v>0.18032786885245902</v>
      </c>
    </row>
    <row r="4028" spans="1:14" x14ac:dyDescent="0.3">
      <c r="A4028" s="6">
        <v>45945</v>
      </c>
      <c r="B4028" s="1" t="s">
        <v>4212</v>
      </c>
      <c r="C4028" s="1" t="s">
        <v>26</v>
      </c>
      <c r="D4028" t="s">
        <v>32</v>
      </c>
      <c r="E4028" t="s">
        <v>53</v>
      </c>
      <c r="F4028" t="s">
        <v>23</v>
      </c>
      <c r="G4028" t="s">
        <v>25</v>
      </c>
      <c r="H4028" s="3">
        <v>6</v>
      </c>
      <c r="I4028" s="3">
        <v>4096</v>
      </c>
      <c r="J4028" s="3">
        <v>24576</v>
      </c>
      <c r="K4028" s="3">
        <v>3200</v>
      </c>
      <c r="L4028" s="3">
        <v>19200</v>
      </c>
      <c r="M4028" s="3">
        <v>5376</v>
      </c>
      <c r="N4028" s="4">
        <v>0.21875</v>
      </c>
    </row>
    <row r="4029" spans="1:14" x14ac:dyDescent="0.3">
      <c r="A4029" s="6">
        <v>45945</v>
      </c>
      <c r="B4029" s="1" t="s">
        <v>4213</v>
      </c>
      <c r="C4029" s="1" t="s">
        <v>26</v>
      </c>
      <c r="D4029" t="s">
        <v>33</v>
      </c>
      <c r="E4029" t="s">
        <v>51</v>
      </c>
      <c r="F4029" t="s">
        <v>23</v>
      </c>
      <c r="G4029" t="s">
        <v>25</v>
      </c>
      <c r="H4029" s="3">
        <v>6</v>
      </c>
      <c r="I4029" s="3">
        <v>4096</v>
      </c>
      <c r="J4029" s="3">
        <v>24576</v>
      </c>
      <c r="K4029" s="3">
        <v>3200</v>
      </c>
      <c r="L4029" s="3">
        <v>19200</v>
      </c>
      <c r="M4029" s="3">
        <v>5376</v>
      </c>
      <c r="N4029" s="4">
        <v>0.21875</v>
      </c>
    </row>
    <row r="4030" spans="1:14" x14ac:dyDescent="0.3">
      <c r="A4030" s="6">
        <v>45945</v>
      </c>
      <c r="B4030" s="1" t="s">
        <v>4214</v>
      </c>
      <c r="C4030" s="1" t="s">
        <v>29</v>
      </c>
      <c r="D4030" t="s">
        <v>30</v>
      </c>
      <c r="E4030" t="s">
        <v>147</v>
      </c>
      <c r="F4030" t="s">
        <v>19</v>
      </c>
      <c r="G4030" t="s">
        <v>20</v>
      </c>
      <c r="H4030" s="3">
        <v>1</v>
      </c>
      <c r="I4030" s="3">
        <v>1107</v>
      </c>
      <c r="J4030" s="3">
        <v>1107</v>
      </c>
      <c r="K4030" s="3">
        <v>900</v>
      </c>
      <c r="L4030" s="3">
        <v>900</v>
      </c>
      <c r="M4030" s="3">
        <v>207</v>
      </c>
      <c r="N4030" s="4">
        <v>0.18699186991869918</v>
      </c>
    </row>
    <row r="4031" spans="1:14" x14ac:dyDescent="0.3">
      <c r="A4031" s="6">
        <v>45945</v>
      </c>
      <c r="B4031" s="1" t="s">
        <v>4215</v>
      </c>
      <c r="C4031" s="1" t="s">
        <v>28</v>
      </c>
      <c r="D4031" t="s">
        <v>30</v>
      </c>
      <c r="E4031" t="s">
        <v>39</v>
      </c>
      <c r="F4031" t="s">
        <v>22</v>
      </c>
      <c r="G4031" t="s">
        <v>18</v>
      </c>
      <c r="H4031" s="3">
        <v>4</v>
      </c>
      <c r="I4031" s="3">
        <v>9940</v>
      </c>
      <c r="J4031" s="3">
        <v>39760</v>
      </c>
      <c r="K4031" s="3">
        <v>7000</v>
      </c>
      <c r="L4031" s="3">
        <v>28000</v>
      </c>
      <c r="M4031" s="3">
        <v>11760</v>
      </c>
      <c r="N4031" s="4">
        <v>0.29577464788732394</v>
      </c>
    </row>
    <row r="4032" spans="1:14" x14ac:dyDescent="0.3">
      <c r="A4032" s="6">
        <v>45946</v>
      </c>
      <c r="B4032" s="1" t="s">
        <v>4216</v>
      </c>
      <c r="C4032" s="1" t="s">
        <v>27</v>
      </c>
      <c r="D4032" t="s">
        <v>31</v>
      </c>
      <c r="E4032" t="s">
        <v>342</v>
      </c>
      <c r="F4032" t="s">
        <v>24</v>
      </c>
      <c r="G4032" t="s">
        <v>25</v>
      </c>
      <c r="H4032" s="3">
        <v>10</v>
      </c>
      <c r="I4032" s="3">
        <v>3150</v>
      </c>
      <c r="J4032" s="3">
        <v>31500</v>
      </c>
      <c r="K4032" s="3">
        <v>2500</v>
      </c>
      <c r="L4032" s="3">
        <v>25000</v>
      </c>
      <c r="M4032" s="3">
        <v>6500</v>
      </c>
      <c r="N4032" s="4">
        <v>0.20634920634920634</v>
      </c>
    </row>
    <row r="4033" spans="1:14" x14ac:dyDescent="0.3">
      <c r="A4033" s="6">
        <v>45946</v>
      </c>
      <c r="B4033" s="1" t="s">
        <v>4217</v>
      </c>
      <c r="C4033" s="1" t="s">
        <v>26</v>
      </c>
      <c r="D4033" t="s">
        <v>30</v>
      </c>
      <c r="E4033" t="s">
        <v>131</v>
      </c>
      <c r="F4033" t="s">
        <v>23</v>
      </c>
      <c r="G4033" t="s">
        <v>25</v>
      </c>
      <c r="H4033" s="3">
        <v>8</v>
      </c>
      <c r="I4033" s="3">
        <v>3840</v>
      </c>
      <c r="J4033" s="3">
        <v>30720</v>
      </c>
      <c r="K4033" s="3">
        <v>3200</v>
      </c>
      <c r="L4033" s="3">
        <v>25600</v>
      </c>
      <c r="M4033" s="3">
        <v>5120</v>
      </c>
      <c r="N4033" s="4">
        <v>0.16666666666666666</v>
      </c>
    </row>
    <row r="4034" spans="1:14" x14ac:dyDescent="0.3">
      <c r="A4034" s="6">
        <v>45946</v>
      </c>
      <c r="B4034" s="1" t="s">
        <v>4218</v>
      </c>
      <c r="C4034" s="1" t="s">
        <v>28</v>
      </c>
      <c r="D4034" t="s">
        <v>35</v>
      </c>
      <c r="E4034" t="s">
        <v>390</v>
      </c>
      <c r="F4034" t="s">
        <v>16</v>
      </c>
      <c r="G4034" t="s">
        <v>15</v>
      </c>
      <c r="H4034" s="3">
        <v>3</v>
      </c>
      <c r="I4034" s="3">
        <v>46740</v>
      </c>
      <c r="J4034" s="3">
        <v>140220</v>
      </c>
      <c r="K4034" s="3">
        <v>38000</v>
      </c>
      <c r="L4034" s="3">
        <v>114000</v>
      </c>
      <c r="M4034" s="3">
        <v>26220</v>
      </c>
      <c r="N4034" s="4">
        <v>0.18699186991869918</v>
      </c>
    </row>
    <row r="4035" spans="1:14" x14ac:dyDescent="0.3">
      <c r="A4035" s="6">
        <v>45946</v>
      </c>
      <c r="B4035" s="1" t="s">
        <v>4219</v>
      </c>
      <c r="C4035" s="1" t="s">
        <v>29</v>
      </c>
      <c r="D4035" t="s">
        <v>30</v>
      </c>
      <c r="E4035" t="s">
        <v>415</v>
      </c>
      <c r="F4035" t="s">
        <v>17</v>
      </c>
      <c r="G4035" t="s">
        <v>18</v>
      </c>
      <c r="H4035" s="3">
        <v>2</v>
      </c>
      <c r="I4035" s="3">
        <v>10370</v>
      </c>
      <c r="J4035" s="3">
        <v>20740</v>
      </c>
      <c r="K4035" s="3">
        <v>8500</v>
      </c>
      <c r="L4035" s="3">
        <v>17000</v>
      </c>
      <c r="M4035" s="3">
        <v>3740</v>
      </c>
      <c r="N4035" s="4">
        <v>0.18032786885245902</v>
      </c>
    </row>
    <row r="4036" spans="1:14" x14ac:dyDescent="0.3">
      <c r="A4036" s="6">
        <v>45946</v>
      </c>
      <c r="B4036" s="1" t="s">
        <v>4220</v>
      </c>
      <c r="C4036" s="1" t="s">
        <v>26</v>
      </c>
      <c r="D4036" t="s">
        <v>34</v>
      </c>
      <c r="E4036" t="s">
        <v>106</v>
      </c>
      <c r="F4036" t="s">
        <v>19</v>
      </c>
      <c r="G4036" t="s">
        <v>20</v>
      </c>
      <c r="H4036" s="3">
        <v>5</v>
      </c>
      <c r="I4036" s="3">
        <v>1170</v>
      </c>
      <c r="J4036" s="3">
        <v>5850</v>
      </c>
      <c r="K4036" s="3">
        <v>900</v>
      </c>
      <c r="L4036" s="3">
        <v>4500</v>
      </c>
      <c r="M4036" s="3">
        <v>1350</v>
      </c>
      <c r="N4036" s="4">
        <v>0.23076923076923078</v>
      </c>
    </row>
    <row r="4037" spans="1:14" x14ac:dyDescent="0.3">
      <c r="A4037" s="6">
        <v>45946</v>
      </c>
      <c r="B4037" s="1" t="s">
        <v>4221</v>
      </c>
      <c r="C4037" s="1" t="s">
        <v>27</v>
      </c>
      <c r="D4037" t="s">
        <v>34</v>
      </c>
      <c r="E4037" t="s">
        <v>69</v>
      </c>
      <c r="F4037" t="s">
        <v>23</v>
      </c>
      <c r="G4037" t="s">
        <v>25</v>
      </c>
      <c r="H4037" s="3">
        <v>10</v>
      </c>
      <c r="I4037" s="3">
        <v>4544</v>
      </c>
      <c r="J4037" s="3">
        <v>45440</v>
      </c>
      <c r="K4037" s="3">
        <v>3200</v>
      </c>
      <c r="L4037" s="3">
        <v>32000</v>
      </c>
      <c r="M4037" s="3">
        <v>13440</v>
      </c>
      <c r="N4037" s="4">
        <v>0.29577464788732394</v>
      </c>
    </row>
    <row r="4038" spans="1:14" x14ac:dyDescent="0.3">
      <c r="A4038" s="6">
        <v>45946</v>
      </c>
      <c r="B4038" s="1" t="s">
        <v>4222</v>
      </c>
      <c r="C4038" s="1" t="s">
        <v>28</v>
      </c>
      <c r="D4038" t="s">
        <v>30</v>
      </c>
      <c r="E4038" t="s">
        <v>204</v>
      </c>
      <c r="F4038" t="s">
        <v>17</v>
      </c>
      <c r="G4038" t="s">
        <v>18</v>
      </c>
      <c r="H4038" s="3">
        <v>1</v>
      </c>
      <c r="I4038" s="3">
        <v>12240</v>
      </c>
      <c r="J4038" s="3">
        <v>12240</v>
      </c>
      <c r="K4038" s="3">
        <v>8500</v>
      </c>
      <c r="L4038" s="3">
        <v>8500</v>
      </c>
      <c r="M4038" s="3">
        <v>3740</v>
      </c>
      <c r="N4038" s="4">
        <v>0.30555555555555558</v>
      </c>
    </row>
    <row r="4039" spans="1:14" x14ac:dyDescent="0.3">
      <c r="A4039" s="6">
        <v>45946</v>
      </c>
      <c r="B4039" s="1" t="s">
        <v>4223</v>
      </c>
      <c r="C4039" s="1" t="s">
        <v>28</v>
      </c>
      <c r="D4039" t="s">
        <v>31</v>
      </c>
      <c r="E4039" t="s">
        <v>698</v>
      </c>
      <c r="F4039" t="s">
        <v>21</v>
      </c>
      <c r="G4039" t="s">
        <v>20</v>
      </c>
      <c r="H4039" s="3">
        <v>3</v>
      </c>
      <c r="I4039" s="3">
        <v>750</v>
      </c>
      <c r="J4039" s="3">
        <v>2250</v>
      </c>
      <c r="K4039" s="3">
        <v>600</v>
      </c>
      <c r="L4039" s="3">
        <v>1800</v>
      </c>
      <c r="M4039" s="3">
        <v>450</v>
      </c>
      <c r="N4039" s="4">
        <v>0.2</v>
      </c>
    </row>
    <row r="4040" spans="1:14" x14ac:dyDescent="0.3">
      <c r="A4040" s="6">
        <v>45946</v>
      </c>
      <c r="B4040" s="1" t="s">
        <v>4224</v>
      </c>
      <c r="C4040" s="1" t="s">
        <v>26</v>
      </c>
      <c r="D4040" t="s">
        <v>32</v>
      </c>
      <c r="E4040" t="s">
        <v>193</v>
      </c>
      <c r="F4040" t="s">
        <v>14</v>
      </c>
      <c r="G4040" t="s">
        <v>15</v>
      </c>
      <c r="H4040" s="3">
        <v>10</v>
      </c>
      <c r="I4040" s="3">
        <v>64800</v>
      </c>
      <c r="J4040" s="3">
        <v>648000</v>
      </c>
      <c r="K4040" s="3">
        <v>45000</v>
      </c>
      <c r="L4040" s="3">
        <v>450000</v>
      </c>
      <c r="M4040" s="3">
        <v>198000</v>
      </c>
      <c r="N4040" s="4">
        <v>0.30555555555555558</v>
      </c>
    </row>
    <row r="4041" spans="1:14" x14ac:dyDescent="0.3">
      <c r="A4041" s="6">
        <v>45946</v>
      </c>
      <c r="B4041" s="1" t="s">
        <v>4225</v>
      </c>
      <c r="C4041" s="1" t="s">
        <v>26</v>
      </c>
      <c r="D4041" t="s">
        <v>34</v>
      </c>
      <c r="E4041" t="s">
        <v>90</v>
      </c>
      <c r="F4041" t="s">
        <v>19</v>
      </c>
      <c r="G4041" t="s">
        <v>20</v>
      </c>
      <c r="H4041" s="3">
        <v>7</v>
      </c>
      <c r="I4041" s="3">
        <v>1107</v>
      </c>
      <c r="J4041" s="3">
        <v>7749</v>
      </c>
      <c r="K4041" s="3">
        <v>900</v>
      </c>
      <c r="L4041" s="3">
        <v>6300</v>
      </c>
      <c r="M4041" s="3">
        <v>1449</v>
      </c>
      <c r="N4041" s="4">
        <v>0.18699186991869918</v>
      </c>
    </row>
    <row r="4042" spans="1:14" x14ac:dyDescent="0.3">
      <c r="A4042" s="6">
        <v>45946</v>
      </c>
      <c r="B4042" s="1" t="s">
        <v>4226</v>
      </c>
      <c r="C4042" s="1" t="s">
        <v>27</v>
      </c>
      <c r="D4042" t="s">
        <v>34</v>
      </c>
      <c r="E4042" t="s">
        <v>574</v>
      </c>
      <c r="F4042" t="s">
        <v>17</v>
      </c>
      <c r="G4042" t="s">
        <v>18</v>
      </c>
      <c r="H4042" s="3">
        <v>10</v>
      </c>
      <c r="I4042" s="3">
        <v>10285</v>
      </c>
      <c r="J4042" s="3">
        <v>102850</v>
      </c>
      <c r="K4042" s="3">
        <v>8500</v>
      </c>
      <c r="L4042" s="3">
        <v>85000</v>
      </c>
      <c r="M4042" s="3">
        <v>17850</v>
      </c>
      <c r="N4042" s="4">
        <v>0.17355371900826447</v>
      </c>
    </row>
    <row r="4043" spans="1:14" x14ac:dyDescent="0.3">
      <c r="A4043" s="6">
        <v>45946</v>
      </c>
      <c r="B4043" s="1" t="s">
        <v>4227</v>
      </c>
      <c r="C4043" s="1" t="s">
        <v>28</v>
      </c>
      <c r="D4043" t="s">
        <v>32</v>
      </c>
      <c r="E4043" t="s">
        <v>37</v>
      </c>
      <c r="F4043" t="s">
        <v>22</v>
      </c>
      <c r="G4043" t="s">
        <v>18</v>
      </c>
      <c r="H4043" s="3">
        <v>7</v>
      </c>
      <c r="I4043" s="3">
        <v>8400</v>
      </c>
      <c r="J4043" s="3">
        <v>58800</v>
      </c>
      <c r="K4043" s="3">
        <v>7000</v>
      </c>
      <c r="L4043" s="3">
        <v>49000</v>
      </c>
      <c r="M4043" s="3">
        <v>9800</v>
      </c>
      <c r="N4043" s="4">
        <v>0.16666666666666666</v>
      </c>
    </row>
    <row r="4044" spans="1:14" x14ac:dyDescent="0.3">
      <c r="A4044" s="6">
        <v>45946</v>
      </c>
      <c r="B4044" s="1" t="s">
        <v>4228</v>
      </c>
      <c r="C4044" s="1" t="s">
        <v>26</v>
      </c>
      <c r="D4044" t="s">
        <v>35</v>
      </c>
      <c r="E4044" t="s">
        <v>51</v>
      </c>
      <c r="F4044" t="s">
        <v>24</v>
      </c>
      <c r="G4044" t="s">
        <v>25</v>
      </c>
      <c r="H4044" s="3">
        <v>10</v>
      </c>
      <c r="I4044" s="3">
        <v>3200</v>
      </c>
      <c r="J4044" s="3">
        <v>32000</v>
      </c>
      <c r="K4044" s="3">
        <v>2500</v>
      </c>
      <c r="L4044" s="3">
        <v>25000</v>
      </c>
      <c r="M4044" s="3">
        <v>7000</v>
      </c>
      <c r="N4044" s="4">
        <v>0.21875</v>
      </c>
    </row>
    <row r="4045" spans="1:14" x14ac:dyDescent="0.3">
      <c r="A4045" s="6">
        <v>45946</v>
      </c>
      <c r="B4045" s="1" t="s">
        <v>4229</v>
      </c>
      <c r="C4045" s="1" t="s">
        <v>27</v>
      </c>
      <c r="D4045" t="s">
        <v>31</v>
      </c>
      <c r="E4045" t="s">
        <v>104</v>
      </c>
      <c r="F4045" t="s">
        <v>17</v>
      </c>
      <c r="G4045" t="s">
        <v>18</v>
      </c>
      <c r="H4045" s="3">
        <v>1</v>
      </c>
      <c r="I4045" s="3">
        <v>10625</v>
      </c>
      <c r="J4045" s="3">
        <v>10625</v>
      </c>
      <c r="K4045" s="3">
        <v>8500</v>
      </c>
      <c r="L4045" s="3">
        <v>8500</v>
      </c>
      <c r="M4045" s="3">
        <v>2125</v>
      </c>
      <c r="N4045" s="4">
        <v>0.2</v>
      </c>
    </row>
    <row r="4046" spans="1:14" x14ac:dyDescent="0.3">
      <c r="A4046" s="6">
        <v>45947</v>
      </c>
      <c r="B4046" s="1" t="s">
        <v>4230</v>
      </c>
      <c r="C4046" s="1" t="s">
        <v>29</v>
      </c>
      <c r="D4046" t="s">
        <v>35</v>
      </c>
      <c r="E4046" t="s">
        <v>508</v>
      </c>
      <c r="F4046" t="s">
        <v>21</v>
      </c>
      <c r="G4046" t="s">
        <v>20</v>
      </c>
      <c r="H4046" s="3">
        <v>4</v>
      </c>
      <c r="I4046" s="3">
        <v>815.99999999999989</v>
      </c>
      <c r="J4046" s="3">
        <v>3263.9999999999995</v>
      </c>
      <c r="K4046" s="3">
        <v>600</v>
      </c>
      <c r="L4046" s="3">
        <v>2400</v>
      </c>
      <c r="M4046" s="3">
        <v>863.99999999999955</v>
      </c>
      <c r="N4046" s="4">
        <v>0.26470588235294107</v>
      </c>
    </row>
    <row r="4047" spans="1:14" x14ac:dyDescent="0.3">
      <c r="A4047" s="6">
        <v>45947</v>
      </c>
      <c r="B4047" s="1" t="s">
        <v>4231</v>
      </c>
      <c r="C4047" s="1" t="s">
        <v>27</v>
      </c>
      <c r="D4047" t="s">
        <v>30</v>
      </c>
      <c r="E4047" t="s">
        <v>275</v>
      </c>
      <c r="F4047" t="s">
        <v>16</v>
      </c>
      <c r="G4047" t="s">
        <v>15</v>
      </c>
      <c r="H4047" s="3">
        <v>7</v>
      </c>
      <c r="I4047" s="3">
        <v>48640</v>
      </c>
      <c r="J4047" s="3">
        <v>340480</v>
      </c>
      <c r="K4047" s="3">
        <v>38000</v>
      </c>
      <c r="L4047" s="3">
        <v>266000</v>
      </c>
      <c r="M4047" s="3">
        <v>74480</v>
      </c>
      <c r="N4047" s="4">
        <v>0.21875</v>
      </c>
    </row>
    <row r="4048" spans="1:14" x14ac:dyDescent="0.3">
      <c r="A4048" s="6">
        <v>45947</v>
      </c>
      <c r="B4048" s="1" t="s">
        <v>4232</v>
      </c>
      <c r="C4048" s="1" t="s">
        <v>26</v>
      </c>
      <c r="D4048" t="s">
        <v>32</v>
      </c>
      <c r="E4048" t="s">
        <v>139</v>
      </c>
      <c r="F4048" t="s">
        <v>22</v>
      </c>
      <c r="G4048" t="s">
        <v>18</v>
      </c>
      <c r="H4048" s="3">
        <v>6</v>
      </c>
      <c r="I4048" s="3">
        <v>8610</v>
      </c>
      <c r="J4048" s="3">
        <v>51660</v>
      </c>
      <c r="K4048" s="3">
        <v>7000</v>
      </c>
      <c r="L4048" s="3">
        <v>42000</v>
      </c>
      <c r="M4048" s="3">
        <v>9660</v>
      </c>
      <c r="N4048" s="4">
        <v>0.18699186991869918</v>
      </c>
    </row>
    <row r="4049" spans="1:14" x14ac:dyDescent="0.3">
      <c r="A4049" s="6">
        <v>45947</v>
      </c>
      <c r="B4049" s="1" t="s">
        <v>4233</v>
      </c>
      <c r="C4049" s="1" t="s">
        <v>28</v>
      </c>
      <c r="D4049" t="s">
        <v>35</v>
      </c>
      <c r="E4049" t="s">
        <v>365</v>
      </c>
      <c r="F4049" t="s">
        <v>23</v>
      </c>
      <c r="G4049" t="s">
        <v>25</v>
      </c>
      <c r="H4049" s="3">
        <v>8</v>
      </c>
      <c r="I4049" s="3">
        <v>4576</v>
      </c>
      <c r="J4049" s="3">
        <v>36608</v>
      </c>
      <c r="K4049" s="3">
        <v>3200</v>
      </c>
      <c r="L4049" s="3">
        <v>25600</v>
      </c>
      <c r="M4049" s="3">
        <v>11008</v>
      </c>
      <c r="N4049" s="4">
        <v>0.30069930069930068</v>
      </c>
    </row>
    <row r="4050" spans="1:14" x14ac:dyDescent="0.3">
      <c r="A4050" s="6">
        <v>45947</v>
      </c>
      <c r="B4050" s="1" t="s">
        <v>4234</v>
      </c>
      <c r="C4050" s="1" t="s">
        <v>27</v>
      </c>
      <c r="D4050" t="s">
        <v>35</v>
      </c>
      <c r="E4050" t="s">
        <v>283</v>
      </c>
      <c r="F4050" t="s">
        <v>19</v>
      </c>
      <c r="G4050" t="s">
        <v>20</v>
      </c>
      <c r="H4050" s="3">
        <v>6</v>
      </c>
      <c r="I4050" s="3">
        <v>1251</v>
      </c>
      <c r="J4050" s="3">
        <v>7506</v>
      </c>
      <c r="K4050" s="3">
        <v>900</v>
      </c>
      <c r="L4050" s="3">
        <v>5400</v>
      </c>
      <c r="M4050" s="3">
        <v>2106</v>
      </c>
      <c r="N4050" s="4">
        <v>0.2805755395683453</v>
      </c>
    </row>
    <row r="4051" spans="1:14" x14ac:dyDescent="0.3">
      <c r="A4051" s="6">
        <v>45947</v>
      </c>
      <c r="B4051" s="1" t="s">
        <v>4235</v>
      </c>
      <c r="C4051" s="1" t="s">
        <v>26</v>
      </c>
      <c r="D4051" t="s">
        <v>31</v>
      </c>
      <c r="E4051" t="s">
        <v>388</v>
      </c>
      <c r="F4051" t="s">
        <v>21</v>
      </c>
      <c r="G4051" t="s">
        <v>20</v>
      </c>
      <c r="H4051" s="3">
        <v>3</v>
      </c>
      <c r="I4051" s="3">
        <v>815.99999999999989</v>
      </c>
      <c r="J4051" s="3">
        <v>2447.9999999999995</v>
      </c>
      <c r="K4051" s="3">
        <v>600</v>
      </c>
      <c r="L4051" s="3">
        <v>1800</v>
      </c>
      <c r="M4051" s="3">
        <v>647.99999999999955</v>
      </c>
      <c r="N4051" s="4">
        <v>0.26470588235294101</v>
      </c>
    </row>
    <row r="4052" spans="1:14" x14ac:dyDescent="0.3">
      <c r="A4052" s="6">
        <v>45947</v>
      </c>
      <c r="B4052" s="1" t="s">
        <v>4236</v>
      </c>
      <c r="C4052" s="1" t="s">
        <v>28</v>
      </c>
      <c r="D4052" t="s">
        <v>32</v>
      </c>
      <c r="E4052" t="s">
        <v>184</v>
      </c>
      <c r="F4052" t="s">
        <v>22</v>
      </c>
      <c r="G4052" t="s">
        <v>18</v>
      </c>
      <c r="H4052" s="3">
        <v>7</v>
      </c>
      <c r="I4052" s="3">
        <v>9590</v>
      </c>
      <c r="J4052" s="3">
        <v>67130</v>
      </c>
      <c r="K4052" s="3">
        <v>7000</v>
      </c>
      <c r="L4052" s="3">
        <v>49000</v>
      </c>
      <c r="M4052" s="3">
        <v>18130</v>
      </c>
      <c r="N4052" s="4">
        <v>0.27007299270072993</v>
      </c>
    </row>
    <row r="4053" spans="1:14" x14ac:dyDescent="0.3">
      <c r="A4053" s="6">
        <v>45947</v>
      </c>
      <c r="B4053" s="1" t="s">
        <v>4237</v>
      </c>
      <c r="C4053" s="1" t="s">
        <v>27</v>
      </c>
      <c r="D4053" t="s">
        <v>33</v>
      </c>
      <c r="E4053" t="s">
        <v>275</v>
      </c>
      <c r="F4053" t="s">
        <v>14</v>
      </c>
      <c r="G4053" t="s">
        <v>15</v>
      </c>
      <c r="H4053" s="3">
        <v>2</v>
      </c>
      <c r="I4053" s="3">
        <v>62099.999999999993</v>
      </c>
      <c r="J4053" s="3">
        <v>124199.99999999999</v>
      </c>
      <c r="K4053" s="3">
        <v>45000</v>
      </c>
      <c r="L4053" s="3">
        <v>90000</v>
      </c>
      <c r="M4053" s="3">
        <v>34199.999999999985</v>
      </c>
      <c r="N4053" s="4">
        <v>0.2753623188405796</v>
      </c>
    </row>
    <row r="4054" spans="1:14" x14ac:dyDescent="0.3">
      <c r="A4054" s="6">
        <v>45947</v>
      </c>
      <c r="B4054" s="1" t="s">
        <v>4238</v>
      </c>
      <c r="C4054" s="1" t="s">
        <v>28</v>
      </c>
      <c r="D4054" t="s">
        <v>35</v>
      </c>
      <c r="E4054" t="s">
        <v>139</v>
      </c>
      <c r="F4054" t="s">
        <v>19</v>
      </c>
      <c r="G4054" t="s">
        <v>20</v>
      </c>
      <c r="H4054" s="3">
        <v>9</v>
      </c>
      <c r="I4054" s="3">
        <v>1179</v>
      </c>
      <c r="J4054" s="3">
        <v>10611</v>
      </c>
      <c r="K4054" s="3">
        <v>900</v>
      </c>
      <c r="L4054" s="3">
        <v>8100</v>
      </c>
      <c r="M4054" s="3">
        <v>2511</v>
      </c>
      <c r="N4054" s="4">
        <v>0.23664122137404581</v>
      </c>
    </row>
    <row r="4055" spans="1:14" x14ac:dyDescent="0.3">
      <c r="A4055" s="6">
        <v>45947</v>
      </c>
      <c r="B4055" s="1" t="s">
        <v>4239</v>
      </c>
      <c r="C4055" s="1" t="s">
        <v>26</v>
      </c>
      <c r="D4055" t="s">
        <v>33</v>
      </c>
      <c r="E4055" t="s">
        <v>582</v>
      </c>
      <c r="F4055" t="s">
        <v>17</v>
      </c>
      <c r="G4055" t="s">
        <v>18</v>
      </c>
      <c r="H4055" s="3">
        <v>1</v>
      </c>
      <c r="I4055" s="3">
        <v>11900</v>
      </c>
      <c r="J4055" s="3">
        <v>11900</v>
      </c>
      <c r="K4055" s="3">
        <v>8500</v>
      </c>
      <c r="L4055" s="3">
        <v>8500</v>
      </c>
      <c r="M4055" s="3">
        <v>3400</v>
      </c>
      <c r="N4055" s="4">
        <v>0.2857142857142857</v>
      </c>
    </row>
    <row r="4056" spans="1:14" x14ac:dyDescent="0.3">
      <c r="A4056" s="6">
        <v>45947</v>
      </c>
      <c r="B4056" s="1" t="s">
        <v>4240</v>
      </c>
      <c r="C4056" s="1" t="s">
        <v>27</v>
      </c>
      <c r="D4056" t="s">
        <v>31</v>
      </c>
      <c r="E4056" t="s">
        <v>59</v>
      </c>
      <c r="F4056" t="s">
        <v>24</v>
      </c>
      <c r="G4056" t="s">
        <v>25</v>
      </c>
      <c r="H4056" s="3">
        <v>6</v>
      </c>
      <c r="I4056" s="3">
        <v>3325</v>
      </c>
      <c r="J4056" s="3">
        <v>19950</v>
      </c>
      <c r="K4056" s="3">
        <v>2500</v>
      </c>
      <c r="L4056" s="3">
        <v>15000</v>
      </c>
      <c r="M4056" s="3">
        <v>4950</v>
      </c>
      <c r="N4056" s="4">
        <v>0.24812030075187969</v>
      </c>
    </row>
    <row r="4057" spans="1:14" x14ac:dyDescent="0.3">
      <c r="A4057" s="6">
        <v>45947</v>
      </c>
      <c r="B4057" s="1" t="s">
        <v>4241</v>
      </c>
      <c r="C4057" s="1" t="s">
        <v>27</v>
      </c>
      <c r="D4057" t="s">
        <v>34</v>
      </c>
      <c r="E4057" t="s">
        <v>96</v>
      </c>
      <c r="F4057" t="s">
        <v>19</v>
      </c>
      <c r="G4057" t="s">
        <v>20</v>
      </c>
      <c r="H4057" s="3">
        <v>2</v>
      </c>
      <c r="I4057" s="3">
        <v>1125</v>
      </c>
      <c r="J4057" s="3">
        <v>2250</v>
      </c>
      <c r="K4057" s="3">
        <v>900</v>
      </c>
      <c r="L4057" s="3">
        <v>1800</v>
      </c>
      <c r="M4057" s="3">
        <v>450</v>
      </c>
      <c r="N4057" s="4">
        <v>0.2</v>
      </c>
    </row>
    <row r="4058" spans="1:14" x14ac:dyDescent="0.3">
      <c r="A4058" s="6">
        <v>45947</v>
      </c>
      <c r="B4058" s="1" t="s">
        <v>4242</v>
      </c>
      <c r="C4058" s="1" t="s">
        <v>27</v>
      </c>
      <c r="D4058" t="s">
        <v>35</v>
      </c>
      <c r="E4058" t="s">
        <v>447</v>
      </c>
      <c r="F4058" t="s">
        <v>16</v>
      </c>
      <c r="G4058" t="s">
        <v>15</v>
      </c>
      <c r="H4058" s="3">
        <v>10</v>
      </c>
      <c r="I4058" s="3">
        <v>53200</v>
      </c>
      <c r="J4058" s="3">
        <v>532000</v>
      </c>
      <c r="K4058" s="3">
        <v>38000</v>
      </c>
      <c r="L4058" s="3">
        <v>380000</v>
      </c>
      <c r="M4058" s="3">
        <v>152000</v>
      </c>
      <c r="N4058" s="4">
        <v>0.2857142857142857</v>
      </c>
    </row>
    <row r="4059" spans="1:14" x14ac:dyDescent="0.3">
      <c r="A4059" s="6">
        <v>45947</v>
      </c>
      <c r="B4059" s="1" t="s">
        <v>4243</v>
      </c>
      <c r="C4059" s="1" t="s">
        <v>27</v>
      </c>
      <c r="D4059" t="s">
        <v>32</v>
      </c>
      <c r="E4059" t="s">
        <v>427</v>
      </c>
      <c r="F4059" t="s">
        <v>23</v>
      </c>
      <c r="G4059" t="s">
        <v>25</v>
      </c>
      <c r="H4059" s="3">
        <v>3</v>
      </c>
      <c r="I4059" s="3">
        <v>3936</v>
      </c>
      <c r="J4059" s="3">
        <v>11808</v>
      </c>
      <c r="K4059" s="3">
        <v>3200</v>
      </c>
      <c r="L4059" s="3">
        <v>9600</v>
      </c>
      <c r="M4059" s="3">
        <v>2208</v>
      </c>
      <c r="N4059" s="4">
        <v>0.18699186991869918</v>
      </c>
    </row>
    <row r="4060" spans="1:14" x14ac:dyDescent="0.3">
      <c r="A4060" s="6">
        <v>45948</v>
      </c>
      <c r="B4060" s="1" t="s">
        <v>4244</v>
      </c>
      <c r="C4060" s="1" t="s">
        <v>29</v>
      </c>
      <c r="D4060" t="s">
        <v>31</v>
      </c>
      <c r="E4060" t="s">
        <v>100</v>
      </c>
      <c r="F4060" t="s">
        <v>24</v>
      </c>
      <c r="G4060" t="s">
        <v>25</v>
      </c>
      <c r="H4060" s="3">
        <v>4</v>
      </c>
      <c r="I4060" s="3">
        <v>3600</v>
      </c>
      <c r="J4060" s="3">
        <v>14400</v>
      </c>
      <c r="K4060" s="3">
        <v>2500</v>
      </c>
      <c r="L4060" s="3">
        <v>10000</v>
      </c>
      <c r="M4060" s="3">
        <v>4400</v>
      </c>
      <c r="N4060" s="4">
        <v>0.30555555555555558</v>
      </c>
    </row>
    <row r="4061" spans="1:14" x14ac:dyDescent="0.3">
      <c r="A4061" s="6">
        <v>45948</v>
      </c>
      <c r="B4061" s="1" t="s">
        <v>4245</v>
      </c>
      <c r="C4061" s="1" t="s">
        <v>29</v>
      </c>
      <c r="D4061" t="s">
        <v>35</v>
      </c>
      <c r="E4061" t="s">
        <v>108</v>
      </c>
      <c r="F4061" t="s">
        <v>21</v>
      </c>
      <c r="G4061" t="s">
        <v>20</v>
      </c>
      <c r="H4061" s="3">
        <v>3</v>
      </c>
      <c r="I4061" s="3">
        <v>780</v>
      </c>
      <c r="J4061" s="3">
        <v>2340</v>
      </c>
      <c r="K4061" s="3">
        <v>600</v>
      </c>
      <c r="L4061" s="3">
        <v>1800</v>
      </c>
      <c r="M4061" s="3">
        <v>540</v>
      </c>
      <c r="N4061" s="4">
        <v>0.23076923076923078</v>
      </c>
    </row>
    <row r="4062" spans="1:14" x14ac:dyDescent="0.3">
      <c r="A4062" s="6">
        <v>45948</v>
      </c>
      <c r="B4062" s="1" t="s">
        <v>4246</v>
      </c>
      <c r="C4062" s="1" t="s">
        <v>29</v>
      </c>
      <c r="D4062" t="s">
        <v>32</v>
      </c>
      <c r="E4062" t="s">
        <v>186</v>
      </c>
      <c r="F4062" t="s">
        <v>14</v>
      </c>
      <c r="G4062" t="s">
        <v>15</v>
      </c>
      <c r="H4062" s="3">
        <v>10</v>
      </c>
      <c r="I4062" s="3">
        <v>63450</v>
      </c>
      <c r="J4062" s="3">
        <v>634500</v>
      </c>
      <c r="K4062" s="3">
        <v>45000</v>
      </c>
      <c r="L4062" s="3">
        <v>450000</v>
      </c>
      <c r="M4062" s="3">
        <v>184500</v>
      </c>
      <c r="N4062" s="4">
        <v>0.29078014184397161</v>
      </c>
    </row>
    <row r="4063" spans="1:14" x14ac:dyDescent="0.3">
      <c r="A4063" s="6">
        <v>45948</v>
      </c>
      <c r="B4063" s="1" t="s">
        <v>4247</v>
      </c>
      <c r="C4063" s="1" t="s">
        <v>27</v>
      </c>
      <c r="D4063" t="s">
        <v>31</v>
      </c>
      <c r="E4063" t="s">
        <v>411</v>
      </c>
      <c r="F4063" t="s">
        <v>17</v>
      </c>
      <c r="G4063" t="s">
        <v>18</v>
      </c>
      <c r="H4063" s="3">
        <v>4</v>
      </c>
      <c r="I4063" s="3">
        <v>11220</v>
      </c>
      <c r="J4063" s="3">
        <v>44880</v>
      </c>
      <c r="K4063" s="3">
        <v>8500</v>
      </c>
      <c r="L4063" s="3">
        <v>34000</v>
      </c>
      <c r="M4063" s="3">
        <v>10880</v>
      </c>
      <c r="N4063" s="4">
        <v>0.24242424242424243</v>
      </c>
    </row>
    <row r="4064" spans="1:14" x14ac:dyDescent="0.3">
      <c r="A4064" s="6">
        <v>45948</v>
      </c>
      <c r="B4064" s="1" t="s">
        <v>4248</v>
      </c>
      <c r="C4064" s="1" t="s">
        <v>29</v>
      </c>
      <c r="D4064" t="s">
        <v>32</v>
      </c>
      <c r="E4064" t="s">
        <v>218</v>
      </c>
      <c r="F4064" t="s">
        <v>14</v>
      </c>
      <c r="G4064" t="s">
        <v>15</v>
      </c>
      <c r="H4064" s="3">
        <v>8</v>
      </c>
      <c r="I4064" s="3">
        <v>58500</v>
      </c>
      <c r="J4064" s="3">
        <v>468000</v>
      </c>
      <c r="K4064" s="3">
        <v>45000</v>
      </c>
      <c r="L4064" s="3">
        <v>360000</v>
      </c>
      <c r="M4064" s="3">
        <v>108000</v>
      </c>
      <c r="N4064" s="4">
        <v>0.23076923076923078</v>
      </c>
    </row>
    <row r="4065" spans="1:14" x14ac:dyDescent="0.3">
      <c r="A4065" s="6">
        <v>45948</v>
      </c>
      <c r="B4065" s="1" t="s">
        <v>4249</v>
      </c>
      <c r="C4065" s="1" t="s">
        <v>27</v>
      </c>
      <c r="D4065" t="s">
        <v>31</v>
      </c>
      <c r="E4065" t="s">
        <v>94</v>
      </c>
      <c r="F4065" t="s">
        <v>21</v>
      </c>
      <c r="G4065" t="s">
        <v>20</v>
      </c>
      <c r="H4065" s="3">
        <v>1</v>
      </c>
      <c r="I4065" s="3">
        <v>834.00000000000011</v>
      </c>
      <c r="J4065" s="3">
        <v>834.00000000000011</v>
      </c>
      <c r="K4065" s="3">
        <v>600</v>
      </c>
      <c r="L4065" s="3">
        <v>600</v>
      </c>
      <c r="M4065" s="3">
        <v>234.00000000000011</v>
      </c>
      <c r="N4065" s="4">
        <v>0.28057553956834541</v>
      </c>
    </row>
    <row r="4066" spans="1:14" x14ac:dyDescent="0.3">
      <c r="A4066" s="6">
        <v>45948</v>
      </c>
      <c r="B4066" s="1" t="s">
        <v>4250</v>
      </c>
      <c r="C4066" s="1" t="s">
        <v>29</v>
      </c>
      <c r="D4066" t="s">
        <v>33</v>
      </c>
      <c r="E4066" t="s">
        <v>283</v>
      </c>
      <c r="F4066" t="s">
        <v>24</v>
      </c>
      <c r="G4066" t="s">
        <v>25</v>
      </c>
      <c r="H4066" s="3">
        <v>9</v>
      </c>
      <c r="I4066" s="3">
        <v>3350</v>
      </c>
      <c r="J4066" s="3">
        <v>30150</v>
      </c>
      <c r="K4066" s="3">
        <v>2500</v>
      </c>
      <c r="L4066" s="3">
        <v>22500</v>
      </c>
      <c r="M4066" s="3">
        <v>7650</v>
      </c>
      <c r="N4066" s="4">
        <v>0.2537313432835821</v>
      </c>
    </row>
    <row r="4067" spans="1:14" x14ac:dyDescent="0.3">
      <c r="A4067" s="6">
        <v>45948</v>
      </c>
      <c r="B4067" s="1" t="s">
        <v>4251</v>
      </c>
      <c r="C4067" s="1" t="s">
        <v>28</v>
      </c>
      <c r="D4067" t="s">
        <v>31</v>
      </c>
      <c r="E4067" t="s">
        <v>327</v>
      </c>
      <c r="F4067" t="s">
        <v>16</v>
      </c>
      <c r="G4067" t="s">
        <v>15</v>
      </c>
      <c r="H4067" s="3">
        <v>4</v>
      </c>
      <c r="I4067" s="3">
        <v>51679.999999999993</v>
      </c>
      <c r="J4067" s="3">
        <v>206719.99999999997</v>
      </c>
      <c r="K4067" s="3">
        <v>38000</v>
      </c>
      <c r="L4067" s="3">
        <v>152000</v>
      </c>
      <c r="M4067" s="3">
        <v>54719.999999999971</v>
      </c>
      <c r="N4067" s="4">
        <v>0.26470588235294107</v>
      </c>
    </row>
    <row r="4068" spans="1:14" x14ac:dyDescent="0.3">
      <c r="A4068" s="6">
        <v>45948</v>
      </c>
      <c r="B4068" s="1" t="s">
        <v>4252</v>
      </c>
      <c r="C4068" s="1" t="s">
        <v>27</v>
      </c>
      <c r="D4068" t="s">
        <v>33</v>
      </c>
      <c r="E4068" t="s">
        <v>574</v>
      </c>
      <c r="F4068" t="s">
        <v>17</v>
      </c>
      <c r="G4068" t="s">
        <v>18</v>
      </c>
      <c r="H4068" s="3">
        <v>9</v>
      </c>
      <c r="I4068" s="3">
        <v>10795</v>
      </c>
      <c r="J4068" s="3">
        <v>97155</v>
      </c>
      <c r="K4068" s="3">
        <v>8500</v>
      </c>
      <c r="L4068" s="3">
        <v>76500</v>
      </c>
      <c r="M4068" s="3">
        <v>20655</v>
      </c>
      <c r="N4068" s="4">
        <v>0.2125984251968504</v>
      </c>
    </row>
    <row r="4069" spans="1:14" x14ac:dyDescent="0.3">
      <c r="A4069" s="6">
        <v>45948</v>
      </c>
      <c r="B4069" s="1" t="s">
        <v>4253</v>
      </c>
      <c r="C4069" s="1" t="s">
        <v>26</v>
      </c>
      <c r="D4069" t="s">
        <v>35</v>
      </c>
      <c r="E4069" t="s">
        <v>698</v>
      </c>
      <c r="F4069" t="s">
        <v>16</v>
      </c>
      <c r="G4069" t="s">
        <v>15</v>
      </c>
      <c r="H4069" s="3">
        <v>6</v>
      </c>
      <c r="I4069" s="3">
        <v>45980</v>
      </c>
      <c r="J4069" s="3">
        <v>275880</v>
      </c>
      <c r="K4069" s="3">
        <v>38000</v>
      </c>
      <c r="L4069" s="3">
        <v>228000</v>
      </c>
      <c r="M4069" s="3">
        <v>47880</v>
      </c>
      <c r="N4069" s="4">
        <v>0.17355371900826447</v>
      </c>
    </row>
    <row r="4070" spans="1:14" x14ac:dyDescent="0.3">
      <c r="A4070" s="6">
        <v>45948</v>
      </c>
      <c r="B4070" s="1" t="s">
        <v>4254</v>
      </c>
      <c r="C4070" s="1" t="s">
        <v>27</v>
      </c>
      <c r="D4070" t="s">
        <v>34</v>
      </c>
      <c r="E4070" t="s">
        <v>415</v>
      </c>
      <c r="F4070" t="s">
        <v>22</v>
      </c>
      <c r="G4070" t="s">
        <v>18</v>
      </c>
      <c r="H4070" s="3">
        <v>5</v>
      </c>
      <c r="I4070" s="3">
        <v>9030</v>
      </c>
      <c r="J4070" s="3">
        <v>45150</v>
      </c>
      <c r="K4070" s="3">
        <v>7000</v>
      </c>
      <c r="L4070" s="3">
        <v>35000</v>
      </c>
      <c r="M4070" s="3">
        <v>10150</v>
      </c>
      <c r="N4070" s="4">
        <v>0.22480620155038761</v>
      </c>
    </row>
    <row r="4071" spans="1:14" x14ac:dyDescent="0.3">
      <c r="A4071" s="6">
        <v>45948</v>
      </c>
      <c r="B4071" s="1" t="s">
        <v>4255</v>
      </c>
      <c r="C4071" s="1" t="s">
        <v>26</v>
      </c>
      <c r="D4071" t="s">
        <v>30</v>
      </c>
      <c r="E4071" t="s">
        <v>407</v>
      </c>
      <c r="F4071" t="s">
        <v>14</v>
      </c>
      <c r="G4071" t="s">
        <v>15</v>
      </c>
      <c r="H4071" s="3">
        <v>7</v>
      </c>
      <c r="I4071" s="3">
        <v>58950</v>
      </c>
      <c r="J4071" s="3">
        <v>412650</v>
      </c>
      <c r="K4071" s="3">
        <v>45000</v>
      </c>
      <c r="L4071" s="3">
        <v>315000</v>
      </c>
      <c r="M4071" s="3">
        <v>97650</v>
      </c>
      <c r="N4071" s="4">
        <v>0.23664122137404581</v>
      </c>
    </row>
    <row r="4072" spans="1:14" x14ac:dyDescent="0.3">
      <c r="A4072" s="6">
        <v>45948</v>
      </c>
      <c r="B4072" s="1" t="s">
        <v>4256</v>
      </c>
      <c r="C4072" s="1" t="s">
        <v>28</v>
      </c>
      <c r="D4072" t="s">
        <v>30</v>
      </c>
      <c r="E4072" t="s">
        <v>273</v>
      </c>
      <c r="F4072" t="s">
        <v>24</v>
      </c>
      <c r="G4072" t="s">
        <v>25</v>
      </c>
      <c r="H4072" s="3">
        <v>4</v>
      </c>
      <c r="I4072" s="3">
        <v>3225</v>
      </c>
      <c r="J4072" s="3">
        <v>12900</v>
      </c>
      <c r="K4072" s="3">
        <v>2500</v>
      </c>
      <c r="L4072" s="3">
        <v>10000</v>
      </c>
      <c r="M4072" s="3">
        <v>2900</v>
      </c>
      <c r="N4072" s="4">
        <v>0.22480620155038761</v>
      </c>
    </row>
    <row r="4073" spans="1:14" x14ac:dyDescent="0.3">
      <c r="A4073" s="6">
        <v>45948</v>
      </c>
      <c r="B4073" s="1" t="s">
        <v>4257</v>
      </c>
      <c r="C4073" s="1" t="s">
        <v>29</v>
      </c>
      <c r="D4073" t="s">
        <v>34</v>
      </c>
      <c r="E4073" t="s">
        <v>98</v>
      </c>
      <c r="F4073" t="s">
        <v>16</v>
      </c>
      <c r="G4073" t="s">
        <v>15</v>
      </c>
      <c r="H4073" s="3">
        <v>4</v>
      </c>
      <c r="I4073" s="3">
        <v>46360</v>
      </c>
      <c r="J4073" s="3">
        <v>185440</v>
      </c>
      <c r="K4073" s="3">
        <v>38000</v>
      </c>
      <c r="L4073" s="3">
        <v>152000</v>
      </c>
      <c r="M4073" s="3">
        <v>33440</v>
      </c>
      <c r="N4073" s="4">
        <v>0.18032786885245902</v>
      </c>
    </row>
    <row r="4074" spans="1:14" x14ac:dyDescent="0.3">
      <c r="A4074" s="6">
        <v>45949</v>
      </c>
      <c r="B4074" s="1" t="s">
        <v>4258</v>
      </c>
      <c r="C4074" s="1" t="s">
        <v>28</v>
      </c>
      <c r="D4074" t="s">
        <v>32</v>
      </c>
      <c r="E4074" t="s">
        <v>126</v>
      </c>
      <c r="F4074" t="s">
        <v>17</v>
      </c>
      <c r="G4074" t="s">
        <v>18</v>
      </c>
      <c r="H4074" s="3">
        <v>3</v>
      </c>
      <c r="I4074" s="3">
        <v>11475</v>
      </c>
      <c r="J4074" s="3">
        <v>34425</v>
      </c>
      <c r="K4074" s="3">
        <v>8500</v>
      </c>
      <c r="L4074" s="3">
        <v>25500</v>
      </c>
      <c r="M4074" s="3">
        <v>8925</v>
      </c>
      <c r="N4074" s="4">
        <v>0.25925925925925924</v>
      </c>
    </row>
    <row r="4075" spans="1:14" x14ac:dyDescent="0.3">
      <c r="A4075" s="6">
        <v>45949</v>
      </c>
      <c r="B4075" s="1" t="s">
        <v>4259</v>
      </c>
      <c r="C4075" s="1" t="s">
        <v>29</v>
      </c>
      <c r="D4075" t="s">
        <v>32</v>
      </c>
      <c r="E4075" t="s">
        <v>112</v>
      </c>
      <c r="F4075" t="s">
        <v>23</v>
      </c>
      <c r="G4075" t="s">
        <v>25</v>
      </c>
      <c r="H4075" s="3">
        <v>2</v>
      </c>
      <c r="I4075" s="3">
        <v>3872</v>
      </c>
      <c r="J4075" s="3">
        <v>7744</v>
      </c>
      <c r="K4075" s="3">
        <v>3200</v>
      </c>
      <c r="L4075" s="3">
        <v>6400</v>
      </c>
      <c r="M4075" s="3">
        <v>1344</v>
      </c>
      <c r="N4075" s="4">
        <v>0.17355371900826447</v>
      </c>
    </row>
    <row r="4076" spans="1:14" x14ac:dyDescent="0.3">
      <c r="A4076" s="6">
        <v>45949</v>
      </c>
      <c r="B4076" s="1" t="s">
        <v>4260</v>
      </c>
      <c r="C4076" s="1" t="s">
        <v>28</v>
      </c>
      <c r="D4076" t="s">
        <v>33</v>
      </c>
      <c r="E4076" t="s">
        <v>359</v>
      </c>
      <c r="F4076" t="s">
        <v>24</v>
      </c>
      <c r="G4076" t="s">
        <v>25</v>
      </c>
      <c r="H4076" s="3">
        <v>7</v>
      </c>
      <c r="I4076" s="3">
        <v>3425.0000000000005</v>
      </c>
      <c r="J4076" s="3">
        <v>23975.000000000004</v>
      </c>
      <c r="K4076" s="3">
        <v>2500</v>
      </c>
      <c r="L4076" s="3">
        <v>17500</v>
      </c>
      <c r="M4076" s="3">
        <v>6475.0000000000036</v>
      </c>
      <c r="N4076" s="4">
        <v>0.27007299270073004</v>
      </c>
    </row>
    <row r="4077" spans="1:14" x14ac:dyDescent="0.3">
      <c r="A4077" s="6">
        <v>45949</v>
      </c>
      <c r="B4077" s="1" t="s">
        <v>4261</v>
      </c>
      <c r="C4077" s="1" t="s">
        <v>27</v>
      </c>
      <c r="D4077" t="s">
        <v>32</v>
      </c>
      <c r="E4077" t="s">
        <v>342</v>
      </c>
      <c r="F4077" t="s">
        <v>22</v>
      </c>
      <c r="G4077" t="s">
        <v>18</v>
      </c>
      <c r="H4077" s="3">
        <v>3</v>
      </c>
      <c r="I4077" s="3">
        <v>10080</v>
      </c>
      <c r="J4077" s="3">
        <v>30240</v>
      </c>
      <c r="K4077" s="3">
        <v>7000</v>
      </c>
      <c r="L4077" s="3">
        <v>21000</v>
      </c>
      <c r="M4077" s="3">
        <v>9240</v>
      </c>
      <c r="N4077" s="4">
        <v>0.30555555555555558</v>
      </c>
    </row>
    <row r="4078" spans="1:14" x14ac:dyDescent="0.3">
      <c r="A4078" s="6">
        <v>45949</v>
      </c>
      <c r="B4078" s="1" t="s">
        <v>4262</v>
      </c>
      <c r="C4078" s="1" t="s">
        <v>27</v>
      </c>
      <c r="D4078" t="s">
        <v>33</v>
      </c>
      <c r="E4078" t="s">
        <v>431</v>
      </c>
      <c r="F4078" t="s">
        <v>22</v>
      </c>
      <c r="G4078" t="s">
        <v>18</v>
      </c>
      <c r="H4078" s="3">
        <v>7</v>
      </c>
      <c r="I4078" s="3">
        <v>9730</v>
      </c>
      <c r="J4078" s="3">
        <v>68110</v>
      </c>
      <c r="K4078" s="3">
        <v>7000</v>
      </c>
      <c r="L4078" s="3">
        <v>49000</v>
      </c>
      <c r="M4078" s="3">
        <v>19110</v>
      </c>
      <c r="N4078" s="4">
        <v>0.2805755395683453</v>
      </c>
    </row>
    <row r="4079" spans="1:14" x14ac:dyDescent="0.3">
      <c r="A4079" s="6">
        <v>45949</v>
      </c>
      <c r="B4079" s="1" t="s">
        <v>4263</v>
      </c>
      <c r="C4079" s="1" t="s">
        <v>26</v>
      </c>
      <c r="D4079" t="s">
        <v>35</v>
      </c>
      <c r="E4079" t="s">
        <v>110</v>
      </c>
      <c r="F4079" t="s">
        <v>19</v>
      </c>
      <c r="G4079" t="s">
        <v>20</v>
      </c>
      <c r="H4079" s="3">
        <v>10</v>
      </c>
      <c r="I4079" s="3">
        <v>1242</v>
      </c>
      <c r="J4079" s="3">
        <v>12420</v>
      </c>
      <c r="K4079" s="3">
        <v>900</v>
      </c>
      <c r="L4079" s="3">
        <v>9000</v>
      </c>
      <c r="M4079" s="3">
        <v>3420</v>
      </c>
      <c r="N4079" s="4">
        <v>0.27536231884057971</v>
      </c>
    </row>
    <row r="4080" spans="1:14" x14ac:dyDescent="0.3">
      <c r="A4080" s="6">
        <v>45949</v>
      </c>
      <c r="B4080" s="1" t="s">
        <v>4264</v>
      </c>
      <c r="C4080" s="1" t="s">
        <v>29</v>
      </c>
      <c r="D4080" t="s">
        <v>34</v>
      </c>
      <c r="E4080" t="s">
        <v>124</v>
      </c>
      <c r="F4080" t="s">
        <v>24</v>
      </c>
      <c r="G4080" t="s">
        <v>25</v>
      </c>
      <c r="H4080" s="3">
        <v>1</v>
      </c>
      <c r="I4080" s="3">
        <v>3200</v>
      </c>
      <c r="J4080" s="3">
        <v>3200</v>
      </c>
      <c r="K4080" s="3">
        <v>2500</v>
      </c>
      <c r="L4080" s="3">
        <v>2500</v>
      </c>
      <c r="M4080" s="3">
        <v>700</v>
      </c>
      <c r="N4080" s="4">
        <v>0.21875</v>
      </c>
    </row>
    <row r="4081" spans="1:14" x14ac:dyDescent="0.3">
      <c r="A4081" s="6">
        <v>45949</v>
      </c>
      <c r="B4081" s="1" t="s">
        <v>4265</v>
      </c>
      <c r="C4081" s="1" t="s">
        <v>28</v>
      </c>
      <c r="D4081" t="s">
        <v>30</v>
      </c>
      <c r="E4081" t="s">
        <v>131</v>
      </c>
      <c r="F4081" t="s">
        <v>22</v>
      </c>
      <c r="G4081" t="s">
        <v>18</v>
      </c>
      <c r="H4081" s="3">
        <v>1</v>
      </c>
      <c r="I4081" s="3">
        <v>9520</v>
      </c>
      <c r="J4081" s="3">
        <v>9520</v>
      </c>
      <c r="K4081" s="3">
        <v>7000</v>
      </c>
      <c r="L4081" s="3">
        <v>7000</v>
      </c>
      <c r="M4081" s="3">
        <v>2520</v>
      </c>
      <c r="N4081" s="4">
        <v>0.26470588235294118</v>
      </c>
    </row>
    <row r="4082" spans="1:14" x14ac:dyDescent="0.3">
      <c r="A4082" s="6">
        <v>45949</v>
      </c>
      <c r="B4082" s="1" t="s">
        <v>4266</v>
      </c>
      <c r="C4082" s="1" t="s">
        <v>26</v>
      </c>
      <c r="D4082" t="s">
        <v>32</v>
      </c>
      <c r="E4082" t="s">
        <v>302</v>
      </c>
      <c r="F4082" t="s">
        <v>19</v>
      </c>
      <c r="G4082" t="s">
        <v>20</v>
      </c>
      <c r="H4082" s="3">
        <v>5</v>
      </c>
      <c r="I4082" s="3">
        <v>1179</v>
      </c>
      <c r="J4082" s="3">
        <v>5895</v>
      </c>
      <c r="K4082" s="3">
        <v>900</v>
      </c>
      <c r="L4082" s="3">
        <v>4500</v>
      </c>
      <c r="M4082" s="3">
        <v>1395</v>
      </c>
      <c r="N4082" s="4">
        <v>0.23664122137404581</v>
      </c>
    </row>
    <row r="4083" spans="1:14" x14ac:dyDescent="0.3">
      <c r="A4083" s="6">
        <v>45949</v>
      </c>
      <c r="B4083" s="1" t="s">
        <v>4267</v>
      </c>
      <c r="C4083" s="1" t="s">
        <v>28</v>
      </c>
      <c r="D4083" t="s">
        <v>35</v>
      </c>
      <c r="E4083" t="s">
        <v>147</v>
      </c>
      <c r="F4083" t="s">
        <v>23</v>
      </c>
      <c r="G4083" t="s">
        <v>25</v>
      </c>
      <c r="H4083" s="3">
        <v>3</v>
      </c>
      <c r="I4083" s="3">
        <v>4544</v>
      </c>
      <c r="J4083" s="3">
        <v>13632</v>
      </c>
      <c r="K4083" s="3">
        <v>3200</v>
      </c>
      <c r="L4083" s="3">
        <v>9600</v>
      </c>
      <c r="M4083" s="3">
        <v>4032</v>
      </c>
      <c r="N4083" s="4">
        <v>0.29577464788732394</v>
      </c>
    </row>
    <row r="4084" spans="1:14" x14ac:dyDescent="0.3">
      <c r="A4084" s="6">
        <v>45949</v>
      </c>
      <c r="B4084" s="1" t="s">
        <v>4268</v>
      </c>
      <c r="C4084" s="1" t="s">
        <v>28</v>
      </c>
      <c r="D4084" t="s">
        <v>32</v>
      </c>
      <c r="E4084" t="s">
        <v>381</v>
      </c>
      <c r="F4084" t="s">
        <v>23</v>
      </c>
      <c r="G4084" t="s">
        <v>25</v>
      </c>
      <c r="H4084" s="3">
        <v>2</v>
      </c>
      <c r="I4084" s="3">
        <v>4224</v>
      </c>
      <c r="J4084" s="3">
        <v>8448</v>
      </c>
      <c r="K4084" s="3">
        <v>3200</v>
      </c>
      <c r="L4084" s="3">
        <v>6400</v>
      </c>
      <c r="M4084" s="3">
        <v>2048</v>
      </c>
      <c r="N4084" s="4">
        <v>0.24242424242424243</v>
      </c>
    </row>
    <row r="4085" spans="1:14" x14ac:dyDescent="0.3">
      <c r="A4085" s="6">
        <v>45949</v>
      </c>
      <c r="B4085" s="1" t="s">
        <v>4269</v>
      </c>
      <c r="C4085" s="1" t="s">
        <v>26</v>
      </c>
      <c r="D4085" t="s">
        <v>31</v>
      </c>
      <c r="E4085" t="s">
        <v>222</v>
      </c>
      <c r="F4085" t="s">
        <v>17</v>
      </c>
      <c r="G4085" t="s">
        <v>18</v>
      </c>
      <c r="H4085" s="3">
        <v>7</v>
      </c>
      <c r="I4085" s="3">
        <v>10370</v>
      </c>
      <c r="J4085" s="3">
        <v>72590</v>
      </c>
      <c r="K4085" s="3">
        <v>8500</v>
      </c>
      <c r="L4085" s="3">
        <v>59500</v>
      </c>
      <c r="M4085" s="3">
        <v>13090</v>
      </c>
      <c r="N4085" s="4">
        <v>0.18032786885245902</v>
      </c>
    </row>
    <row r="4086" spans="1:14" x14ac:dyDescent="0.3">
      <c r="A4086" s="6">
        <v>45949</v>
      </c>
      <c r="B4086" s="1" t="s">
        <v>4270</v>
      </c>
      <c r="C4086" s="1" t="s">
        <v>29</v>
      </c>
      <c r="D4086" t="s">
        <v>34</v>
      </c>
      <c r="E4086" t="s">
        <v>381</v>
      </c>
      <c r="F4086" t="s">
        <v>24</v>
      </c>
      <c r="G4086" t="s">
        <v>25</v>
      </c>
      <c r="H4086" s="3">
        <v>8</v>
      </c>
      <c r="I4086" s="3">
        <v>3200</v>
      </c>
      <c r="J4086" s="3">
        <v>25600</v>
      </c>
      <c r="K4086" s="3">
        <v>2500</v>
      </c>
      <c r="L4086" s="3">
        <v>20000</v>
      </c>
      <c r="M4086" s="3">
        <v>5600</v>
      </c>
      <c r="N4086" s="4">
        <v>0.21875</v>
      </c>
    </row>
    <row r="4087" spans="1:14" x14ac:dyDescent="0.3">
      <c r="A4087" s="6">
        <v>45949</v>
      </c>
      <c r="B4087" s="1" t="s">
        <v>4271</v>
      </c>
      <c r="C4087" s="1" t="s">
        <v>28</v>
      </c>
      <c r="D4087" t="s">
        <v>34</v>
      </c>
      <c r="E4087" t="s">
        <v>807</v>
      </c>
      <c r="F4087" t="s">
        <v>21</v>
      </c>
      <c r="G4087" t="s">
        <v>20</v>
      </c>
      <c r="H4087" s="3">
        <v>5</v>
      </c>
      <c r="I4087" s="3">
        <v>846</v>
      </c>
      <c r="J4087" s="3">
        <v>4230</v>
      </c>
      <c r="K4087" s="3">
        <v>600</v>
      </c>
      <c r="L4087" s="3">
        <v>3000</v>
      </c>
      <c r="M4087" s="3">
        <v>1230</v>
      </c>
      <c r="N4087" s="4">
        <v>0.29078014184397161</v>
      </c>
    </row>
    <row r="4088" spans="1:14" x14ac:dyDescent="0.3">
      <c r="A4088" s="6">
        <v>45950</v>
      </c>
      <c r="B4088" s="1" t="s">
        <v>4272</v>
      </c>
      <c r="C4088" s="1" t="s">
        <v>27</v>
      </c>
      <c r="D4088" t="s">
        <v>30</v>
      </c>
      <c r="E4088" t="s">
        <v>51</v>
      </c>
      <c r="F4088" t="s">
        <v>16</v>
      </c>
      <c r="G4088" t="s">
        <v>15</v>
      </c>
      <c r="H4088" s="3">
        <v>9</v>
      </c>
      <c r="I4088" s="3">
        <v>52439.999999999993</v>
      </c>
      <c r="J4088" s="3">
        <v>471959.99999999994</v>
      </c>
      <c r="K4088" s="3">
        <v>38000</v>
      </c>
      <c r="L4088" s="3">
        <v>342000</v>
      </c>
      <c r="M4088" s="3">
        <v>129959.99999999994</v>
      </c>
      <c r="N4088" s="4">
        <v>0.2753623188405796</v>
      </c>
    </row>
    <row r="4089" spans="1:14" x14ac:dyDescent="0.3">
      <c r="A4089" s="6">
        <v>45950</v>
      </c>
      <c r="B4089" s="1" t="s">
        <v>4273</v>
      </c>
      <c r="C4089" s="1" t="s">
        <v>29</v>
      </c>
      <c r="D4089" t="s">
        <v>30</v>
      </c>
      <c r="E4089" t="s">
        <v>336</v>
      </c>
      <c r="F4089" t="s">
        <v>23</v>
      </c>
      <c r="G4089" t="s">
        <v>25</v>
      </c>
      <c r="H4089" s="3">
        <v>5</v>
      </c>
      <c r="I4089" s="3">
        <v>4224</v>
      </c>
      <c r="J4089" s="3">
        <v>21120</v>
      </c>
      <c r="K4089" s="3">
        <v>3200</v>
      </c>
      <c r="L4089" s="3">
        <v>16000</v>
      </c>
      <c r="M4089" s="3">
        <v>5120</v>
      </c>
      <c r="N4089" s="4">
        <v>0.24242424242424243</v>
      </c>
    </row>
    <row r="4090" spans="1:14" x14ac:dyDescent="0.3">
      <c r="A4090" s="6">
        <v>45950</v>
      </c>
      <c r="B4090" s="1" t="s">
        <v>4274</v>
      </c>
      <c r="C4090" s="1" t="s">
        <v>27</v>
      </c>
      <c r="D4090" t="s">
        <v>33</v>
      </c>
      <c r="E4090" t="s">
        <v>280</v>
      </c>
      <c r="F4090" t="s">
        <v>16</v>
      </c>
      <c r="G4090" t="s">
        <v>15</v>
      </c>
      <c r="H4090" s="3">
        <v>1</v>
      </c>
      <c r="I4090" s="3">
        <v>49020</v>
      </c>
      <c r="J4090" s="3">
        <v>49020</v>
      </c>
      <c r="K4090" s="3">
        <v>38000</v>
      </c>
      <c r="L4090" s="3">
        <v>38000</v>
      </c>
      <c r="M4090" s="3">
        <v>11020</v>
      </c>
      <c r="N4090" s="4">
        <v>0.22480620155038761</v>
      </c>
    </row>
    <row r="4091" spans="1:14" x14ac:dyDescent="0.3">
      <c r="A4091" s="6">
        <v>45950</v>
      </c>
      <c r="B4091" s="1" t="s">
        <v>4275</v>
      </c>
      <c r="C4091" s="1" t="s">
        <v>28</v>
      </c>
      <c r="D4091" t="s">
        <v>30</v>
      </c>
      <c r="E4091" t="s">
        <v>807</v>
      </c>
      <c r="F4091" t="s">
        <v>24</v>
      </c>
      <c r="G4091" t="s">
        <v>25</v>
      </c>
      <c r="H4091" s="3">
        <v>5</v>
      </c>
      <c r="I4091" s="3">
        <v>3275</v>
      </c>
      <c r="J4091" s="3">
        <v>16375</v>
      </c>
      <c r="K4091" s="3">
        <v>2500</v>
      </c>
      <c r="L4091" s="3">
        <v>12500</v>
      </c>
      <c r="M4091" s="3">
        <v>3875</v>
      </c>
      <c r="N4091" s="4">
        <v>0.23664122137404581</v>
      </c>
    </row>
    <row r="4092" spans="1:14" x14ac:dyDescent="0.3">
      <c r="A4092" s="6">
        <v>45950</v>
      </c>
      <c r="B4092" s="1" t="s">
        <v>4276</v>
      </c>
      <c r="C4092" s="1" t="s">
        <v>27</v>
      </c>
      <c r="D4092" t="s">
        <v>32</v>
      </c>
      <c r="E4092" t="s">
        <v>424</v>
      </c>
      <c r="F4092" t="s">
        <v>22</v>
      </c>
      <c r="G4092" t="s">
        <v>18</v>
      </c>
      <c r="H4092" s="3">
        <v>4</v>
      </c>
      <c r="I4092" s="3">
        <v>8680</v>
      </c>
      <c r="J4092" s="3">
        <v>34720</v>
      </c>
      <c r="K4092" s="3">
        <v>7000</v>
      </c>
      <c r="L4092" s="3">
        <v>28000</v>
      </c>
      <c r="M4092" s="3">
        <v>6720</v>
      </c>
      <c r="N4092" s="4">
        <v>0.19354838709677419</v>
      </c>
    </row>
    <row r="4093" spans="1:14" x14ac:dyDescent="0.3">
      <c r="A4093" s="6">
        <v>45950</v>
      </c>
      <c r="B4093" s="1" t="s">
        <v>4277</v>
      </c>
      <c r="C4093" s="1" t="s">
        <v>29</v>
      </c>
      <c r="D4093" t="s">
        <v>30</v>
      </c>
      <c r="E4093" t="s">
        <v>196</v>
      </c>
      <c r="F4093" t="s">
        <v>22</v>
      </c>
      <c r="G4093" t="s">
        <v>18</v>
      </c>
      <c r="H4093" s="3">
        <v>7</v>
      </c>
      <c r="I4093" s="3">
        <v>9660</v>
      </c>
      <c r="J4093" s="3">
        <v>67620</v>
      </c>
      <c r="K4093" s="3">
        <v>7000</v>
      </c>
      <c r="L4093" s="3">
        <v>49000</v>
      </c>
      <c r="M4093" s="3">
        <v>18620</v>
      </c>
      <c r="N4093" s="4">
        <v>0.27536231884057971</v>
      </c>
    </row>
    <row r="4094" spans="1:14" x14ac:dyDescent="0.3">
      <c r="A4094" s="6">
        <v>45950</v>
      </c>
      <c r="B4094" s="1" t="s">
        <v>4278</v>
      </c>
      <c r="C4094" s="1" t="s">
        <v>29</v>
      </c>
      <c r="D4094" t="s">
        <v>34</v>
      </c>
      <c r="E4094" t="s">
        <v>243</v>
      </c>
      <c r="F4094" t="s">
        <v>17</v>
      </c>
      <c r="G4094" t="s">
        <v>18</v>
      </c>
      <c r="H4094" s="3">
        <v>5</v>
      </c>
      <c r="I4094" s="3">
        <v>12070</v>
      </c>
      <c r="J4094" s="3">
        <v>60350</v>
      </c>
      <c r="K4094" s="3">
        <v>8500</v>
      </c>
      <c r="L4094" s="3">
        <v>42500</v>
      </c>
      <c r="M4094" s="3">
        <v>17850</v>
      </c>
      <c r="N4094" s="4">
        <v>0.29577464788732394</v>
      </c>
    </row>
    <row r="4095" spans="1:14" x14ac:dyDescent="0.3">
      <c r="A4095" s="6">
        <v>45950</v>
      </c>
      <c r="B4095" s="1" t="s">
        <v>4279</v>
      </c>
      <c r="C4095" s="1" t="s">
        <v>26</v>
      </c>
      <c r="D4095" t="s">
        <v>32</v>
      </c>
      <c r="E4095" t="s">
        <v>349</v>
      </c>
      <c r="F4095" t="s">
        <v>17</v>
      </c>
      <c r="G4095" t="s">
        <v>18</v>
      </c>
      <c r="H4095" s="3">
        <v>1</v>
      </c>
      <c r="I4095" s="3">
        <v>10880</v>
      </c>
      <c r="J4095" s="3">
        <v>10880</v>
      </c>
      <c r="K4095" s="3">
        <v>8500</v>
      </c>
      <c r="L4095" s="3">
        <v>8500</v>
      </c>
      <c r="M4095" s="3">
        <v>2380</v>
      </c>
      <c r="N4095" s="4">
        <v>0.21875</v>
      </c>
    </row>
    <row r="4096" spans="1:14" x14ac:dyDescent="0.3">
      <c r="A4096" s="6">
        <v>45950</v>
      </c>
      <c r="B4096" s="1" t="s">
        <v>4280</v>
      </c>
      <c r="C4096" s="1" t="s">
        <v>28</v>
      </c>
      <c r="D4096" t="s">
        <v>31</v>
      </c>
      <c r="E4096" t="s">
        <v>388</v>
      </c>
      <c r="F4096" t="s">
        <v>16</v>
      </c>
      <c r="G4096" t="s">
        <v>15</v>
      </c>
      <c r="H4096" s="3">
        <v>5</v>
      </c>
      <c r="I4096" s="3">
        <v>52060.000000000007</v>
      </c>
      <c r="J4096" s="3">
        <v>260300.00000000003</v>
      </c>
      <c r="K4096" s="3">
        <v>38000</v>
      </c>
      <c r="L4096" s="3">
        <v>190000</v>
      </c>
      <c r="M4096" s="3">
        <v>70300.000000000029</v>
      </c>
      <c r="N4096" s="4">
        <v>0.27007299270072999</v>
      </c>
    </row>
    <row r="4097" spans="1:14" x14ac:dyDescent="0.3">
      <c r="A4097" s="6">
        <v>45950</v>
      </c>
      <c r="B4097" s="1" t="s">
        <v>4281</v>
      </c>
      <c r="C4097" s="1" t="s">
        <v>27</v>
      </c>
      <c r="D4097" t="s">
        <v>32</v>
      </c>
      <c r="E4097" t="s">
        <v>175</v>
      </c>
      <c r="F4097" t="s">
        <v>21</v>
      </c>
      <c r="G4097" t="s">
        <v>20</v>
      </c>
      <c r="H4097" s="3">
        <v>3</v>
      </c>
      <c r="I4097" s="3">
        <v>756</v>
      </c>
      <c r="J4097" s="3">
        <v>2268</v>
      </c>
      <c r="K4097" s="3">
        <v>600</v>
      </c>
      <c r="L4097" s="3">
        <v>1800</v>
      </c>
      <c r="M4097" s="3">
        <v>468</v>
      </c>
      <c r="N4097" s="4">
        <v>0.20634920634920634</v>
      </c>
    </row>
    <row r="4098" spans="1:14" x14ac:dyDescent="0.3">
      <c r="A4098" s="6">
        <v>45950</v>
      </c>
      <c r="B4098" s="1" t="s">
        <v>4282</v>
      </c>
      <c r="C4098" s="1" t="s">
        <v>26</v>
      </c>
      <c r="D4098" t="s">
        <v>35</v>
      </c>
      <c r="E4098" t="s">
        <v>371</v>
      </c>
      <c r="F4098" t="s">
        <v>22</v>
      </c>
      <c r="G4098" t="s">
        <v>18</v>
      </c>
      <c r="H4098" s="3">
        <v>3</v>
      </c>
      <c r="I4098" s="3">
        <v>8610</v>
      </c>
      <c r="J4098" s="3">
        <v>25830</v>
      </c>
      <c r="K4098" s="3">
        <v>7000</v>
      </c>
      <c r="L4098" s="3">
        <v>21000</v>
      </c>
      <c r="M4098" s="3">
        <v>4830</v>
      </c>
      <c r="N4098" s="4">
        <v>0.18699186991869918</v>
      </c>
    </row>
    <row r="4099" spans="1:14" x14ac:dyDescent="0.3">
      <c r="A4099" s="6">
        <v>45950</v>
      </c>
      <c r="B4099" s="1" t="s">
        <v>4283</v>
      </c>
      <c r="C4099" s="1" t="s">
        <v>26</v>
      </c>
      <c r="D4099" t="s">
        <v>30</v>
      </c>
      <c r="E4099" t="s">
        <v>206</v>
      </c>
      <c r="F4099" t="s">
        <v>21</v>
      </c>
      <c r="G4099" t="s">
        <v>20</v>
      </c>
      <c r="H4099" s="3">
        <v>10</v>
      </c>
      <c r="I4099" s="3">
        <v>798</v>
      </c>
      <c r="J4099" s="3">
        <v>7980</v>
      </c>
      <c r="K4099" s="3">
        <v>600</v>
      </c>
      <c r="L4099" s="3">
        <v>6000</v>
      </c>
      <c r="M4099" s="3">
        <v>1980</v>
      </c>
      <c r="N4099" s="4">
        <v>0.24812030075187969</v>
      </c>
    </row>
    <row r="4100" spans="1:14" x14ac:dyDescent="0.3">
      <c r="A4100" s="6">
        <v>45950</v>
      </c>
      <c r="B4100" s="1" t="s">
        <v>4284</v>
      </c>
      <c r="C4100" s="1" t="s">
        <v>27</v>
      </c>
      <c r="D4100" t="s">
        <v>30</v>
      </c>
      <c r="E4100" t="s">
        <v>198</v>
      </c>
      <c r="F4100" t="s">
        <v>21</v>
      </c>
      <c r="G4100" t="s">
        <v>20</v>
      </c>
      <c r="H4100" s="3">
        <v>7</v>
      </c>
      <c r="I4100" s="3">
        <v>804</v>
      </c>
      <c r="J4100" s="3">
        <v>5628</v>
      </c>
      <c r="K4100" s="3">
        <v>600</v>
      </c>
      <c r="L4100" s="3">
        <v>4200</v>
      </c>
      <c r="M4100" s="3">
        <v>1428</v>
      </c>
      <c r="N4100" s="4">
        <v>0.2537313432835821</v>
      </c>
    </row>
    <row r="4101" spans="1:14" x14ac:dyDescent="0.3">
      <c r="A4101" s="6">
        <v>45950</v>
      </c>
      <c r="B4101" s="1" t="s">
        <v>4285</v>
      </c>
      <c r="C4101" s="1" t="s">
        <v>28</v>
      </c>
      <c r="D4101" t="s">
        <v>32</v>
      </c>
      <c r="E4101" t="s">
        <v>265</v>
      </c>
      <c r="F4101" t="s">
        <v>17</v>
      </c>
      <c r="G4101" t="s">
        <v>18</v>
      </c>
      <c r="H4101" s="3">
        <v>4</v>
      </c>
      <c r="I4101" s="3">
        <v>11730</v>
      </c>
      <c r="J4101" s="3">
        <v>46920</v>
      </c>
      <c r="K4101" s="3">
        <v>8500</v>
      </c>
      <c r="L4101" s="3">
        <v>34000</v>
      </c>
      <c r="M4101" s="3">
        <v>12920</v>
      </c>
      <c r="N4101" s="4">
        <v>0.27536231884057971</v>
      </c>
    </row>
    <row r="4102" spans="1:14" x14ac:dyDescent="0.3">
      <c r="A4102" s="6">
        <v>45951</v>
      </c>
      <c r="B4102" s="1" t="s">
        <v>4286</v>
      </c>
      <c r="C4102" s="1" t="s">
        <v>28</v>
      </c>
      <c r="D4102" t="s">
        <v>31</v>
      </c>
      <c r="E4102" t="s">
        <v>243</v>
      </c>
      <c r="F4102" t="s">
        <v>14</v>
      </c>
      <c r="G4102" t="s">
        <v>15</v>
      </c>
      <c r="H4102" s="3">
        <v>5</v>
      </c>
      <c r="I4102" s="3">
        <v>60300</v>
      </c>
      <c r="J4102" s="3">
        <v>301500</v>
      </c>
      <c r="K4102" s="3">
        <v>45000</v>
      </c>
      <c r="L4102" s="3">
        <v>225000</v>
      </c>
      <c r="M4102" s="3">
        <v>76500</v>
      </c>
      <c r="N4102" s="4">
        <v>0.2537313432835821</v>
      </c>
    </row>
    <row r="4103" spans="1:14" x14ac:dyDescent="0.3">
      <c r="A4103" s="6">
        <v>45951</v>
      </c>
      <c r="B4103" s="1" t="s">
        <v>4287</v>
      </c>
      <c r="C4103" s="1" t="s">
        <v>27</v>
      </c>
      <c r="D4103" t="s">
        <v>30</v>
      </c>
      <c r="E4103" t="s">
        <v>218</v>
      </c>
      <c r="F4103" t="s">
        <v>23</v>
      </c>
      <c r="G4103" t="s">
        <v>25</v>
      </c>
      <c r="H4103" s="3">
        <v>2</v>
      </c>
      <c r="I4103" s="3">
        <v>4512</v>
      </c>
      <c r="J4103" s="3">
        <v>9024</v>
      </c>
      <c r="K4103" s="3">
        <v>3200</v>
      </c>
      <c r="L4103" s="3">
        <v>6400</v>
      </c>
      <c r="M4103" s="3">
        <v>2624</v>
      </c>
      <c r="N4103" s="4">
        <v>0.29078014184397161</v>
      </c>
    </row>
    <row r="4104" spans="1:14" x14ac:dyDescent="0.3">
      <c r="A4104" s="6">
        <v>45951</v>
      </c>
      <c r="B4104" s="1" t="s">
        <v>4288</v>
      </c>
      <c r="C4104" s="1" t="s">
        <v>28</v>
      </c>
      <c r="D4104" t="s">
        <v>35</v>
      </c>
      <c r="E4104" t="s">
        <v>85</v>
      </c>
      <c r="F4104" t="s">
        <v>16</v>
      </c>
      <c r="G4104" t="s">
        <v>15</v>
      </c>
      <c r="H4104" s="3">
        <v>6</v>
      </c>
      <c r="I4104" s="3">
        <v>52060.000000000007</v>
      </c>
      <c r="J4104" s="3">
        <v>312360.00000000006</v>
      </c>
      <c r="K4104" s="3">
        <v>38000</v>
      </c>
      <c r="L4104" s="3">
        <v>228000</v>
      </c>
      <c r="M4104" s="3">
        <v>84360.000000000058</v>
      </c>
      <c r="N4104" s="4">
        <v>0.27007299270073004</v>
      </c>
    </row>
    <row r="4105" spans="1:14" x14ac:dyDescent="0.3">
      <c r="A4105" s="6">
        <v>45951</v>
      </c>
      <c r="B4105" s="1" t="s">
        <v>4289</v>
      </c>
      <c r="C4105" s="1" t="s">
        <v>29</v>
      </c>
      <c r="D4105" t="s">
        <v>31</v>
      </c>
      <c r="E4105" t="s">
        <v>415</v>
      </c>
      <c r="F4105" t="s">
        <v>14</v>
      </c>
      <c r="G4105" t="s">
        <v>15</v>
      </c>
      <c r="H4105" s="3">
        <v>9</v>
      </c>
      <c r="I4105" s="3">
        <v>60300</v>
      </c>
      <c r="J4105" s="3">
        <v>542700</v>
      </c>
      <c r="K4105" s="3">
        <v>45000</v>
      </c>
      <c r="L4105" s="3">
        <v>405000</v>
      </c>
      <c r="M4105" s="3">
        <v>137700</v>
      </c>
      <c r="N4105" s="4">
        <v>0.2537313432835821</v>
      </c>
    </row>
    <row r="4106" spans="1:14" x14ac:dyDescent="0.3">
      <c r="A4106" s="6">
        <v>45951</v>
      </c>
      <c r="B4106" s="1" t="s">
        <v>4290</v>
      </c>
      <c r="C4106" s="1" t="s">
        <v>26</v>
      </c>
      <c r="D4106" t="s">
        <v>33</v>
      </c>
      <c r="E4106" t="s">
        <v>255</v>
      </c>
      <c r="F4106" t="s">
        <v>17</v>
      </c>
      <c r="G4106" t="s">
        <v>18</v>
      </c>
      <c r="H4106" s="3">
        <v>5</v>
      </c>
      <c r="I4106" s="3">
        <v>10455</v>
      </c>
      <c r="J4106" s="3">
        <v>52275</v>
      </c>
      <c r="K4106" s="3">
        <v>8500</v>
      </c>
      <c r="L4106" s="3">
        <v>42500</v>
      </c>
      <c r="M4106" s="3">
        <v>9775</v>
      </c>
      <c r="N4106" s="4">
        <v>0.18699186991869918</v>
      </c>
    </row>
    <row r="4107" spans="1:14" x14ac:dyDescent="0.3">
      <c r="A4107" s="6">
        <v>45951</v>
      </c>
      <c r="B4107" s="1" t="s">
        <v>4291</v>
      </c>
      <c r="C4107" s="1" t="s">
        <v>28</v>
      </c>
      <c r="D4107" t="s">
        <v>32</v>
      </c>
      <c r="E4107" t="s">
        <v>104</v>
      </c>
      <c r="F4107" t="s">
        <v>23</v>
      </c>
      <c r="G4107" t="s">
        <v>25</v>
      </c>
      <c r="H4107" s="3">
        <v>3</v>
      </c>
      <c r="I4107" s="3">
        <v>3936</v>
      </c>
      <c r="J4107" s="3">
        <v>11808</v>
      </c>
      <c r="K4107" s="3">
        <v>3200</v>
      </c>
      <c r="L4107" s="3">
        <v>9600</v>
      </c>
      <c r="M4107" s="3">
        <v>2208</v>
      </c>
      <c r="N4107" s="4">
        <v>0.18699186991869918</v>
      </c>
    </row>
    <row r="4108" spans="1:14" x14ac:dyDescent="0.3">
      <c r="A4108" s="6">
        <v>45951</v>
      </c>
      <c r="B4108" s="1" t="s">
        <v>4292</v>
      </c>
      <c r="C4108" s="1" t="s">
        <v>28</v>
      </c>
      <c r="D4108" t="s">
        <v>33</v>
      </c>
      <c r="E4108" t="s">
        <v>216</v>
      </c>
      <c r="F4108" t="s">
        <v>16</v>
      </c>
      <c r="G4108" t="s">
        <v>15</v>
      </c>
      <c r="H4108" s="3">
        <v>3</v>
      </c>
      <c r="I4108" s="3">
        <v>51679.999999999993</v>
      </c>
      <c r="J4108" s="3">
        <v>155039.99999999997</v>
      </c>
      <c r="K4108" s="3">
        <v>38000</v>
      </c>
      <c r="L4108" s="3">
        <v>114000</v>
      </c>
      <c r="M4108" s="3">
        <v>41039.999999999971</v>
      </c>
      <c r="N4108" s="4">
        <v>0.26470588235294101</v>
      </c>
    </row>
    <row r="4109" spans="1:14" x14ac:dyDescent="0.3">
      <c r="A4109" s="6">
        <v>45951</v>
      </c>
      <c r="B4109" s="1" t="s">
        <v>4293</v>
      </c>
      <c r="C4109" s="1" t="s">
        <v>28</v>
      </c>
      <c r="D4109" t="s">
        <v>32</v>
      </c>
      <c r="E4109" t="s">
        <v>388</v>
      </c>
      <c r="F4109" t="s">
        <v>14</v>
      </c>
      <c r="G4109" t="s">
        <v>15</v>
      </c>
      <c r="H4109" s="3">
        <v>10</v>
      </c>
      <c r="I4109" s="3">
        <v>56250</v>
      </c>
      <c r="J4109" s="3">
        <v>562500</v>
      </c>
      <c r="K4109" s="3">
        <v>45000</v>
      </c>
      <c r="L4109" s="3">
        <v>450000</v>
      </c>
      <c r="M4109" s="3">
        <v>112500</v>
      </c>
      <c r="N4109" s="4">
        <v>0.2</v>
      </c>
    </row>
    <row r="4110" spans="1:14" x14ac:dyDescent="0.3">
      <c r="A4110" s="6">
        <v>45951</v>
      </c>
      <c r="B4110" s="1" t="s">
        <v>4294</v>
      </c>
      <c r="C4110" s="1" t="s">
        <v>26</v>
      </c>
      <c r="D4110" t="s">
        <v>33</v>
      </c>
      <c r="E4110" t="s">
        <v>151</v>
      </c>
      <c r="F4110" t="s">
        <v>24</v>
      </c>
      <c r="G4110" t="s">
        <v>25</v>
      </c>
      <c r="H4110" s="3">
        <v>2</v>
      </c>
      <c r="I4110" s="3">
        <v>3125</v>
      </c>
      <c r="J4110" s="3">
        <v>6250</v>
      </c>
      <c r="K4110" s="3">
        <v>2500</v>
      </c>
      <c r="L4110" s="3">
        <v>5000</v>
      </c>
      <c r="M4110" s="3">
        <v>1250</v>
      </c>
      <c r="N4110" s="4">
        <v>0.2</v>
      </c>
    </row>
    <row r="4111" spans="1:14" x14ac:dyDescent="0.3">
      <c r="A4111" s="6">
        <v>45951</v>
      </c>
      <c r="B4111" s="1" t="s">
        <v>4295</v>
      </c>
      <c r="C4111" s="1" t="s">
        <v>26</v>
      </c>
      <c r="D4111" t="s">
        <v>33</v>
      </c>
      <c r="E4111" t="s">
        <v>69</v>
      </c>
      <c r="F4111" t="s">
        <v>17</v>
      </c>
      <c r="G4111" t="s">
        <v>18</v>
      </c>
      <c r="H4111" s="3">
        <v>8</v>
      </c>
      <c r="I4111" s="3">
        <v>11645</v>
      </c>
      <c r="J4111" s="3">
        <v>93160</v>
      </c>
      <c r="K4111" s="3">
        <v>8500</v>
      </c>
      <c r="L4111" s="3">
        <v>68000</v>
      </c>
      <c r="M4111" s="3">
        <v>25160</v>
      </c>
      <c r="N4111" s="4">
        <v>0.27007299270072993</v>
      </c>
    </row>
    <row r="4112" spans="1:14" x14ac:dyDescent="0.3">
      <c r="A4112" s="6">
        <v>45951</v>
      </c>
      <c r="B4112" s="1" t="s">
        <v>4296</v>
      </c>
      <c r="C4112" s="1" t="s">
        <v>27</v>
      </c>
      <c r="D4112" t="s">
        <v>33</v>
      </c>
      <c r="E4112" t="s">
        <v>122</v>
      </c>
      <c r="F4112" t="s">
        <v>14</v>
      </c>
      <c r="G4112" t="s">
        <v>15</v>
      </c>
      <c r="H4112" s="3">
        <v>4</v>
      </c>
      <c r="I4112" s="3">
        <v>54450</v>
      </c>
      <c r="J4112" s="3">
        <v>217800</v>
      </c>
      <c r="K4112" s="3">
        <v>45000</v>
      </c>
      <c r="L4112" s="3">
        <v>180000</v>
      </c>
      <c r="M4112" s="3">
        <v>37800</v>
      </c>
      <c r="N4112" s="4">
        <v>0.17355371900826447</v>
      </c>
    </row>
    <row r="4113" spans="1:14" x14ac:dyDescent="0.3">
      <c r="A4113" s="6">
        <v>45951</v>
      </c>
      <c r="B4113" s="1" t="s">
        <v>4297</v>
      </c>
      <c r="C4113" s="1" t="s">
        <v>29</v>
      </c>
      <c r="D4113" t="s">
        <v>35</v>
      </c>
      <c r="E4113" t="s">
        <v>506</v>
      </c>
      <c r="F4113" t="s">
        <v>16</v>
      </c>
      <c r="G4113" t="s">
        <v>15</v>
      </c>
      <c r="H4113" s="3">
        <v>10</v>
      </c>
      <c r="I4113" s="3">
        <v>49400</v>
      </c>
      <c r="J4113" s="3">
        <v>494000</v>
      </c>
      <c r="K4113" s="3">
        <v>38000</v>
      </c>
      <c r="L4113" s="3">
        <v>380000</v>
      </c>
      <c r="M4113" s="3">
        <v>114000</v>
      </c>
      <c r="N4113" s="4">
        <v>0.23076923076923078</v>
      </c>
    </row>
    <row r="4114" spans="1:14" x14ac:dyDescent="0.3">
      <c r="A4114" s="6">
        <v>45951</v>
      </c>
      <c r="B4114" s="1" t="s">
        <v>4298</v>
      </c>
      <c r="C4114" s="1" t="s">
        <v>29</v>
      </c>
      <c r="D4114" t="s">
        <v>34</v>
      </c>
      <c r="E4114" t="s">
        <v>175</v>
      </c>
      <c r="F4114" t="s">
        <v>19</v>
      </c>
      <c r="G4114" t="s">
        <v>20</v>
      </c>
      <c r="H4114" s="3">
        <v>8</v>
      </c>
      <c r="I4114" s="3">
        <v>1287</v>
      </c>
      <c r="J4114" s="3">
        <v>10296</v>
      </c>
      <c r="K4114" s="3">
        <v>900</v>
      </c>
      <c r="L4114" s="3">
        <v>7200</v>
      </c>
      <c r="M4114" s="3">
        <v>3096</v>
      </c>
      <c r="N4114" s="4">
        <v>0.30069930069930068</v>
      </c>
    </row>
    <row r="4115" spans="1:14" x14ac:dyDescent="0.3">
      <c r="A4115" s="6">
        <v>45951</v>
      </c>
      <c r="B4115" s="1" t="s">
        <v>4299</v>
      </c>
      <c r="C4115" s="1" t="s">
        <v>29</v>
      </c>
      <c r="D4115" t="s">
        <v>34</v>
      </c>
      <c r="E4115" t="s">
        <v>98</v>
      </c>
      <c r="F4115" t="s">
        <v>17</v>
      </c>
      <c r="G4115" t="s">
        <v>18</v>
      </c>
      <c r="H4115" s="3">
        <v>8</v>
      </c>
      <c r="I4115" s="3">
        <v>11135</v>
      </c>
      <c r="J4115" s="3">
        <v>89080</v>
      </c>
      <c r="K4115" s="3">
        <v>8500</v>
      </c>
      <c r="L4115" s="3">
        <v>68000</v>
      </c>
      <c r="M4115" s="3">
        <v>21080</v>
      </c>
      <c r="N4115" s="4">
        <v>0.23664122137404581</v>
      </c>
    </row>
    <row r="4116" spans="1:14" x14ac:dyDescent="0.3">
      <c r="A4116" s="6">
        <v>45952</v>
      </c>
      <c r="B4116" s="1" t="s">
        <v>4300</v>
      </c>
      <c r="C4116" s="1" t="s">
        <v>29</v>
      </c>
      <c r="D4116" t="s">
        <v>34</v>
      </c>
      <c r="E4116" t="s">
        <v>120</v>
      </c>
      <c r="F4116" t="s">
        <v>17</v>
      </c>
      <c r="G4116" t="s">
        <v>18</v>
      </c>
      <c r="H4116" s="3">
        <v>5</v>
      </c>
      <c r="I4116" s="3">
        <v>10370</v>
      </c>
      <c r="J4116" s="3">
        <v>51850</v>
      </c>
      <c r="K4116" s="3">
        <v>8500</v>
      </c>
      <c r="L4116" s="3">
        <v>42500</v>
      </c>
      <c r="M4116" s="3">
        <v>9350</v>
      </c>
      <c r="N4116" s="4">
        <v>0.18032786885245902</v>
      </c>
    </row>
    <row r="4117" spans="1:14" x14ac:dyDescent="0.3">
      <c r="A4117" s="6">
        <v>45952</v>
      </c>
      <c r="B4117" s="1" t="s">
        <v>4301</v>
      </c>
      <c r="C4117" s="1" t="s">
        <v>28</v>
      </c>
      <c r="D4117" t="s">
        <v>32</v>
      </c>
      <c r="E4117" t="s">
        <v>85</v>
      </c>
      <c r="F4117" t="s">
        <v>21</v>
      </c>
      <c r="G4117" t="s">
        <v>20</v>
      </c>
      <c r="H4117" s="3">
        <v>3</v>
      </c>
      <c r="I4117" s="3">
        <v>768</v>
      </c>
      <c r="J4117" s="3">
        <v>2304</v>
      </c>
      <c r="K4117" s="3">
        <v>600</v>
      </c>
      <c r="L4117" s="3">
        <v>1800</v>
      </c>
      <c r="M4117" s="3">
        <v>504</v>
      </c>
      <c r="N4117" s="4">
        <v>0.21875</v>
      </c>
    </row>
    <row r="4118" spans="1:14" x14ac:dyDescent="0.3">
      <c r="A4118" s="6">
        <v>45952</v>
      </c>
      <c r="B4118" s="1" t="s">
        <v>4302</v>
      </c>
      <c r="C4118" s="1" t="s">
        <v>28</v>
      </c>
      <c r="D4118" t="s">
        <v>30</v>
      </c>
      <c r="E4118" t="s">
        <v>365</v>
      </c>
      <c r="F4118" t="s">
        <v>22</v>
      </c>
      <c r="G4118" t="s">
        <v>18</v>
      </c>
      <c r="H4118" s="3">
        <v>7</v>
      </c>
      <c r="I4118" s="3">
        <v>8960</v>
      </c>
      <c r="J4118" s="3">
        <v>62720</v>
      </c>
      <c r="K4118" s="3">
        <v>7000</v>
      </c>
      <c r="L4118" s="3">
        <v>49000</v>
      </c>
      <c r="M4118" s="3">
        <v>13720</v>
      </c>
      <c r="N4118" s="4">
        <v>0.21875</v>
      </c>
    </row>
    <row r="4119" spans="1:14" x14ac:dyDescent="0.3">
      <c r="A4119" s="6">
        <v>45952</v>
      </c>
      <c r="B4119" s="1" t="s">
        <v>4303</v>
      </c>
      <c r="C4119" s="1" t="s">
        <v>28</v>
      </c>
      <c r="D4119" t="s">
        <v>33</v>
      </c>
      <c r="E4119" t="s">
        <v>436</v>
      </c>
      <c r="F4119" t="s">
        <v>17</v>
      </c>
      <c r="G4119" t="s">
        <v>18</v>
      </c>
      <c r="H4119" s="3">
        <v>4</v>
      </c>
      <c r="I4119" s="3">
        <v>12240</v>
      </c>
      <c r="J4119" s="3">
        <v>48960</v>
      </c>
      <c r="K4119" s="3">
        <v>8500</v>
      </c>
      <c r="L4119" s="3">
        <v>34000</v>
      </c>
      <c r="M4119" s="3">
        <v>14960</v>
      </c>
      <c r="N4119" s="4">
        <v>0.30555555555555558</v>
      </c>
    </row>
    <row r="4120" spans="1:14" x14ac:dyDescent="0.3">
      <c r="A4120" s="6">
        <v>45952</v>
      </c>
      <c r="B4120" s="1" t="s">
        <v>4304</v>
      </c>
      <c r="C4120" s="1" t="s">
        <v>26</v>
      </c>
      <c r="D4120" t="s">
        <v>34</v>
      </c>
      <c r="E4120" t="s">
        <v>198</v>
      </c>
      <c r="F4120" t="s">
        <v>21</v>
      </c>
      <c r="G4120" t="s">
        <v>20</v>
      </c>
      <c r="H4120" s="3">
        <v>10</v>
      </c>
      <c r="I4120" s="3">
        <v>822.00000000000011</v>
      </c>
      <c r="J4120" s="3">
        <v>8220.0000000000018</v>
      </c>
      <c r="K4120" s="3">
        <v>600</v>
      </c>
      <c r="L4120" s="3">
        <v>6000</v>
      </c>
      <c r="M4120" s="3">
        <v>2220.0000000000018</v>
      </c>
      <c r="N4120" s="4">
        <v>0.2700729927007301</v>
      </c>
    </row>
    <row r="4121" spans="1:14" x14ac:dyDescent="0.3">
      <c r="A4121" s="6">
        <v>45952</v>
      </c>
      <c r="B4121" s="1" t="s">
        <v>4305</v>
      </c>
      <c r="C4121" s="1" t="s">
        <v>27</v>
      </c>
      <c r="D4121" t="s">
        <v>33</v>
      </c>
      <c r="E4121" t="s">
        <v>574</v>
      </c>
      <c r="F4121" t="s">
        <v>16</v>
      </c>
      <c r="G4121" t="s">
        <v>15</v>
      </c>
      <c r="H4121" s="3">
        <v>7</v>
      </c>
      <c r="I4121" s="3">
        <v>48640</v>
      </c>
      <c r="J4121" s="3">
        <v>340480</v>
      </c>
      <c r="K4121" s="3">
        <v>38000</v>
      </c>
      <c r="L4121" s="3">
        <v>266000</v>
      </c>
      <c r="M4121" s="3">
        <v>74480</v>
      </c>
      <c r="N4121" s="4">
        <v>0.21875</v>
      </c>
    </row>
    <row r="4122" spans="1:14" x14ac:dyDescent="0.3">
      <c r="A4122" s="6">
        <v>45952</v>
      </c>
      <c r="B4122" s="1" t="s">
        <v>4306</v>
      </c>
      <c r="C4122" s="1" t="s">
        <v>28</v>
      </c>
      <c r="D4122" t="s">
        <v>34</v>
      </c>
      <c r="E4122" t="s">
        <v>139</v>
      </c>
      <c r="F4122" t="s">
        <v>22</v>
      </c>
      <c r="G4122" t="s">
        <v>18</v>
      </c>
      <c r="H4122" s="3">
        <v>3</v>
      </c>
      <c r="I4122" s="3">
        <v>9730</v>
      </c>
      <c r="J4122" s="3">
        <v>29190</v>
      </c>
      <c r="K4122" s="3">
        <v>7000</v>
      </c>
      <c r="L4122" s="3">
        <v>21000</v>
      </c>
      <c r="M4122" s="3">
        <v>8190</v>
      </c>
      <c r="N4122" s="4">
        <v>0.2805755395683453</v>
      </c>
    </row>
    <row r="4123" spans="1:14" x14ac:dyDescent="0.3">
      <c r="A4123" s="6">
        <v>45952</v>
      </c>
      <c r="B4123" s="1" t="s">
        <v>4307</v>
      </c>
      <c r="C4123" s="1" t="s">
        <v>26</v>
      </c>
      <c r="D4123" t="s">
        <v>33</v>
      </c>
      <c r="E4123" t="s">
        <v>268</v>
      </c>
      <c r="F4123" t="s">
        <v>23</v>
      </c>
      <c r="G4123" t="s">
        <v>25</v>
      </c>
      <c r="H4123" s="3">
        <v>1</v>
      </c>
      <c r="I4123" s="3">
        <v>4192</v>
      </c>
      <c r="J4123" s="3">
        <v>4192</v>
      </c>
      <c r="K4123" s="3">
        <v>3200</v>
      </c>
      <c r="L4123" s="3">
        <v>3200</v>
      </c>
      <c r="M4123" s="3">
        <v>992</v>
      </c>
      <c r="N4123" s="4">
        <v>0.23664122137404581</v>
      </c>
    </row>
    <row r="4124" spans="1:14" x14ac:dyDescent="0.3">
      <c r="A4124" s="6">
        <v>45952</v>
      </c>
      <c r="B4124" s="1" t="s">
        <v>4308</v>
      </c>
      <c r="C4124" s="1" t="s">
        <v>26</v>
      </c>
      <c r="D4124" t="s">
        <v>35</v>
      </c>
      <c r="E4124" t="s">
        <v>69</v>
      </c>
      <c r="F4124" t="s">
        <v>23</v>
      </c>
      <c r="G4124" t="s">
        <v>25</v>
      </c>
      <c r="H4124" s="3">
        <v>5</v>
      </c>
      <c r="I4124" s="3">
        <v>4448</v>
      </c>
      <c r="J4124" s="3">
        <v>22240</v>
      </c>
      <c r="K4124" s="3">
        <v>3200</v>
      </c>
      <c r="L4124" s="3">
        <v>16000</v>
      </c>
      <c r="M4124" s="3">
        <v>6240</v>
      </c>
      <c r="N4124" s="4">
        <v>0.2805755395683453</v>
      </c>
    </row>
    <row r="4125" spans="1:14" x14ac:dyDescent="0.3">
      <c r="A4125" s="6">
        <v>45952</v>
      </c>
      <c r="B4125" s="1" t="s">
        <v>4309</v>
      </c>
      <c r="C4125" s="1" t="s">
        <v>28</v>
      </c>
      <c r="D4125" t="s">
        <v>30</v>
      </c>
      <c r="E4125" t="s">
        <v>216</v>
      </c>
      <c r="F4125" t="s">
        <v>21</v>
      </c>
      <c r="G4125" t="s">
        <v>20</v>
      </c>
      <c r="H4125" s="3">
        <v>10</v>
      </c>
      <c r="I4125" s="3">
        <v>786</v>
      </c>
      <c r="J4125" s="3">
        <v>7860</v>
      </c>
      <c r="K4125" s="3">
        <v>600</v>
      </c>
      <c r="L4125" s="3">
        <v>6000</v>
      </c>
      <c r="M4125" s="3">
        <v>1860</v>
      </c>
      <c r="N4125" s="4">
        <v>0.23664122137404581</v>
      </c>
    </row>
    <row r="4126" spans="1:14" x14ac:dyDescent="0.3">
      <c r="A4126" s="6">
        <v>45952</v>
      </c>
      <c r="B4126" s="1" t="s">
        <v>4310</v>
      </c>
      <c r="C4126" s="1" t="s">
        <v>28</v>
      </c>
      <c r="D4126" t="s">
        <v>32</v>
      </c>
      <c r="E4126" t="s">
        <v>114</v>
      </c>
      <c r="F4126" t="s">
        <v>22</v>
      </c>
      <c r="G4126" t="s">
        <v>18</v>
      </c>
      <c r="H4126" s="3">
        <v>6</v>
      </c>
      <c r="I4126" s="3">
        <v>8890</v>
      </c>
      <c r="J4126" s="3">
        <v>53340</v>
      </c>
      <c r="K4126" s="3">
        <v>7000</v>
      </c>
      <c r="L4126" s="3">
        <v>42000</v>
      </c>
      <c r="M4126" s="3">
        <v>11340</v>
      </c>
      <c r="N4126" s="4">
        <v>0.2125984251968504</v>
      </c>
    </row>
    <row r="4127" spans="1:14" x14ac:dyDescent="0.3">
      <c r="A4127" s="6">
        <v>45952</v>
      </c>
      <c r="B4127" s="1" t="s">
        <v>4311</v>
      </c>
      <c r="C4127" s="1" t="s">
        <v>26</v>
      </c>
      <c r="D4127" t="s">
        <v>34</v>
      </c>
      <c r="E4127" t="s">
        <v>280</v>
      </c>
      <c r="F4127" t="s">
        <v>24</v>
      </c>
      <c r="G4127" t="s">
        <v>25</v>
      </c>
      <c r="H4127" s="3">
        <v>10</v>
      </c>
      <c r="I4127" s="3">
        <v>3350</v>
      </c>
      <c r="J4127" s="3">
        <v>33500</v>
      </c>
      <c r="K4127" s="3">
        <v>2500</v>
      </c>
      <c r="L4127" s="3">
        <v>25000</v>
      </c>
      <c r="M4127" s="3">
        <v>8500</v>
      </c>
      <c r="N4127" s="4">
        <v>0.2537313432835821</v>
      </c>
    </row>
    <row r="4128" spans="1:14" x14ac:dyDescent="0.3">
      <c r="A4128" s="6">
        <v>45952</v>
      </c>
      <c r="B4128" s="1" t="s">
        <v>4312</v>
      </c>
      <c r="C4128" s="1" t="s">
        <v>28</v>
      </c>
      <c r="D4128" t="s">
        <v>35</v>
      </c>
      <c r="E4128" t="s">
        <v>935</v>
      </c>
      <c r="F4128" t="s">
        <v>21</v>
      </c>
      <c r="G4128" t="s">
        <v>20</v>
      </c>
      <c r="H4128" s="3">
        <v>6</v>
      </c>
      <c r="I4128" s="3">
        <v>774</v>
      </c>
      <c r="J4128" s="3">
        <v>4644</v>
      </c>
      <c r="K4128" s="3">
        <v>600</v>
      </c>
      <c r="L4128" s="3">
        <v>3600</v>
      </c>
      <c r="M4128" s="3">
        <v>1044</v>
      </c>
      <c r="N4128" s="4">
        <v>0.22480620155038761</v>
      </c>
    </row>
    <row r="4129" spans="1:14" x14ac:dyDescent="0.3">
      <c r="A4129" s="6">
        <v>45952</v>
      </c>
      <c r="B4129" s="1" t="s">
        <v>4313</v>
      </c>
      <c r="C4129" s="1" t="s">
        <v>28</v>
      </c>
      <c r="D4129" t="s">
        <v>35</v>
      </c>
      <c r="E4129" t="s">
        <v>69</v>
      </c>
      <c r="F4129" t="s">
        <v>14</v>
      </c>
      <c r="G4129" t="s">
        <v>15</v>
      </c>
      <c r="H4129" s="3">
        <v>8</v>
      </c>
      <c r="I4129" s="3">
        <v>63900</v>
      </c>
      <c r="J4129" s="3">
        <v>511200</v>
      </c>
      <c r="K4129" s="3">
        <v>45000</v>
      </c>
      <c r="L4129" s="3">
        <v>360000</v>
      </c>
      <c r="M4129" s="3">
        <v>151200</v>
      </c>
      <c r="N4129" s="4">
        <v>0.29577464788732394</v>
      </c>
    </row>
    <row r="4130" spans="1:14" x14ac:dyDescent="0.3">
      <c r="A4130" s="6">
        <v>45953</v>
      </c>
      <c r="B4130" s="1" t="s">
        <v>4314</v>
      </c>
      <c r="C4130" s="1" t="s">
        <v>29</v>
      </c>
      <c r="D4130" t="s">
        <v>31</v>
      </c>
      <c r="E4130" t="s">
        <v>220</v>
      </c>
      <c r="F4130" t="s">
        <v>19</v>
      </c>
      <c r="G4130" t="s">
        <v>20</v>
      </c>
      <c r="H4130" s="3">
        <v>8</v>
      </c>
      <c r="I4130" s="3">
        <v>1224</v>
      </c>
      <c r="J4130" s="3">
        <v>9792</v>
      </c>
      <c r="K4130" s="3">
        <v>900</v>
      </c>
      <c r="L4130" s="3">
        <v>7200</v>
      </c>
      <c r="M4130" s="3">
        <v>2592</v>
      </c>
      <c r="N4130" s="4">
        <v>0.26470588235294118</v>
      </c>
    </row>
    <row r="4131" spans="1:14" x14ac:dyDescent="0.3">
      <c r="A4131" s="6">
        <v>45953</v>
      </c>
      <c r="B4131" s="1" t="s">
        <v>4315</v>
      </c>
      <c r="C4131" s="1" t="s">
        <v>28</v>
      </c>
      <c r="D4131" t="s">
        <v>32</v>
      </c>
      <c r="E4131" t="s">
        <v>436</v>
      </c>
      <c r="F4131" t="s">
        <v>16</v>
      </c>
      <c r="G4131" t="s">
        <v>15</v>
      </c>
      <c r="H4131" s="3">
        <v>6</v>
      </c>
      <c r="I4131" s="3">
        <v>55100</v>
      </c>
      <c r="J4131" s="3">
        <v>330600</v>
      </c>
      <c r="K4131" s="3">
        <v>38000</v>
      </c>
      <c r="L4131" s="3">
        <v>228000</v>
      </c>
      <c r="M4131" s="3">
        <v>102600</v>
      </c>
      <c r="N4131" s="4">
        <v>0.31034482758620691</v>
      </c>
    </row>
    <row r="4132" spans="1:14" x14ac:dyDescent="0.3">
      <c r="A4132" s="6">
        <v>45953</v>
      </c>
      <c r="B4132" s="1" t="s">
        <v>4316</v>
      </c>
      <c r="C4132" s="1" t="s">
        <v>26</v>
      </c>
      <c r="D4132" t="s">
        <v>33</v>
      </c>
      <c r="E4132" t="s">
        <v>453</v>
      </c>
      <c r="F4132" t="s">
        <v>16</v>
      </c>
      <c r="G4132" t="s">
        <v>15</v>
      </c>
      <c r="H4132" s="3">
        <v>8</v>
      </c>
      <c r="I4132" s="3">
        <v>48640</v>
      </c>
      <c r="J4132" s="3">
        <v>389120</v>
      </c>
      <c r="K4132" s="3">
        <v>38000</v>
      </c>
      <c r="L4132" s="3">
        <v>304000</v>
      </c>
      <c r="M4132" s="3">
        <v>85120</v>
      </c>
      <c r="N4132" s="4">
        <v>0.21875</v>
      </c>
    </row>
    <row r="4133" spans="1:14" x14ac:dyDescent="0.3">
      <c r="A4133" s="6">
        <v>45953</v>
      </c>
      <c r="B4133" s="1" t="s">
        <v>4317</v>
      </c>
      <c r="C4133" s="1" t="s">
        <v>29</v>
      </c>
      <c r="D4133" t="s">
        <v>35</v>
      </c>
      <c r="E4133" t="s">
        <v>120</v>
      </c>
      <c r="F4133" t="s">
        <v>16</v>
      </c>
      <c r="G4133" t="s">
        <v>15</v>
      </c>
      <c r="H4133" s="3">
        <v>10</v>
      </c>
      <c r="I4133" s="3">
        <v>51300</v>
      </c>
      <c r="J4133" s="3">
        <v>513000</v>
      </c>
      <c r="K4133" s="3">
        <v>38000</v>
      </c>
      <c r="L4133" s="3">
        <v>380000</v>
      </c>
      <c r="M4133" s="3">
        <v>133000</v>
      </c>
      <c r="N4133" s="4">
        <v>0.25925925925925924</v>
      </c>
    </row>
    <row r="4134" spans="1:14" x14ac:dyDescent="0.3">
      <c r="A4134" s="6">
        <v>45953</v>
      </c>
      <c r="B4134" s="1" t="s">
        <v>4318</v>
      </c>
      <c r="C4134" s="1" t="s">
        <v>28</v>
      </c>
      <c r="D4134" t="s">
        <v>34</v>
      </c>
      <c r="E4134" t="s">
        <v>206</v>
      </c>
      <c r="F4134" t="s">
        <v>23</v>
      </c>
      <c r="G4134" t="s">
        <v>25</v>
      </c>
      <c r="H4134" s="3">
        <v>4</v>
      </c>
      <c r="I4134" s="3">
        <v>3872</v>
      </c>
      <c r="J4134" s="3">
        <v>15488</v>
      </c>
      <c r="K4134" s="3">
        <v>3200</v>
      </c>
      <c r="L4134" s="3">
        <v>12800</v>
      </c>
      <c r="M4134" s="3">
        <v>2688</v>
      </c>
      <c r="N4134" s="4">
        <v>0.17355371900826447</v>
      </c>
    </row>
    <row r="4135" spans="1:14" x14ac:dyDescent="0.3">
      <c r="A4135" s="6">
        <v>45953</v>
      </c>
      <c r="B4135" s="1" t="s">
        <v>4319</v>
      </c>
      <c r="C4135" s="1" t="s">
        <v>26</v>
      </c>
      <c r="D4135" t="s">
        <v>33</v>
      </c>
      <c r="E4135" t="s">
        <v>255</v>
      </c>
      <c r="F4135" t="s">
        <v>19</v>
      </c>
      <c r="G4135" t="s">
        <v>20</v>
      </c>
      <c r="H4135" s="3">
        <v>3</v>
      </c>
      <c r="I4135" s="3">
        <v>1080</v>
      </c>
      <c r="J4135" s="3">
        <v>3240</v>
      </c>
      <c r="K4135" s="3">
        <v>900</v>
      </c>
      <c r="L4135" s="3">
        <v>2700</v>
      </c>
      <c r="M4135" s="3">
        <v>540</v>
      </c>
      <c r="N4135" s="4">
        <v>0.16666666666666666</v>
      </c>
    </row>
    <row r="4136" spans="1:14" x14ac:dyDescent="0.3">
      <c r="A4136" s="6">
        <v>45953</v>
      </c>
      <c r="B4136" s="1" t="s">
        <v>4320</v>
      </c>
      <c r="C4136" s="1" t="s">
        <v>26</v>
      </c>
      <c r="D4136" t="s">
        <v>34</v>
      </c>
      <c r="E4136" t="s">
        <v>63</v>
      </c>
      <c r="F4136" t="s">
        <v>24</v>
      </c>
      <c r="G4136" t="s">
        <v>25</v>
      </c>
      <c r="H4136" s="3">
        <v>1</v>
      </c>
      <c r="I4136" s="3">
        <v>3125</v>
      </c>
      <c r="J4136" s="3">
        <v>3125</v>
      </c>
      <c r="K4136" s="3">
        <v>2500</v>
      </c>
      <c r="L4136" s="3">
        <v>2500</v>
      </c>
      <c r="M4136" s="3">
        <v>625</v>
      </c>
      <c r="N4136" s="4">
        <v>0.2</v>
      </c>
    </row>
    <row r="4137" spans="1:14" x14ac:dyDescent="0.3">
      <c r="A4137" s="6">
        <v>45953</v>
      </c>
      <c r="B4137" s="1" t="s">
        <v>4321</v>
      </c>
      <c r="C4137" s="1" t="s">
        <v>28</v>
      </c>
      <c r="D4137" t="s">
        <v>35</v>
      </c>
      <c r="E4137" t="s">
        <v>51</v>
      </c>
      <c r="F4137" t="s">
        <v>14</v>
      </c>
      <c r="G4137" t="s">
        <v>15</v>
      </c>
      <c r="H4137" s="3">
        <v>2</v>
      </c>
      <c r="I4137" s="3">
        <v>59850</v>
      </c>
      <c r="J4137" s="3">
        <v>119700</v>
      </c>
      <c r="K4137" s="3">
        <v>45000</v>
      </c>
      <c r="L4137" s="3">
        <v>90000</v>
      </c>
      <c r="M4137" s="3">
        <v>29700</v>
      </c>
      <c r="N4137" s="4">
        <v>0.24812030075187969</v>
      </c>
    </row>
    <row r="4138" spans="1:14" x14ac:dyDescent="0.3">
      <c r="A4138" s="6">
        <v>45953</v>
      </c>
      <c r="B4138" s="1" t="s">
        <v>4322</v>
      </c>
      <c r="C4138" s="1" t="s">
        <v>27</v>
      </c>
      <c r="D4138" t="s">
        <v>34</v>
      </c>
      <c r="E4138" t="s">
        <v>304</v>
      </c>
      <c r="F4138" t="s">
        <v>23</v>
      </c>
      <c r="G4138" t="s">
        <v>25</v>
      </c>
      <c r="H4138" s="3">
        <v>5</v>
      </c>
      <c r="I4138" s="3">
        <v>4320</v>
      </c>
      <c r="J4138" s="3">
        <v>21600</v>
      </c>
      <c r="K4138" s="3">
        <v>3200</v>
      </c>
      <c r="L4138" s="3">
        <v>16000</v>
      </c>
      <c r="M4138" s="3">
        <v>5600</v>
      </c>
      <c r="N4138" s="4">
        <v>0.25925925925925924</v>
      </c>
    </row>
    <row r="4139" spans="1:14" x14ac:dyDescent="0.3">
      <c r="A4139" s="6">
        <v>45953</v>
      </c>
      <c r="B4139" s="1" t="s">
        <v>4323</v>
      </c>
      <c r="C4139" s="1" t="s">
        <v>26</v>
      </c>
      <c r="D4139" t="s">
        <v>34</v>
      </c>
      <c r="E4139" t="s">
        <v>379</v>
      </c>
      <c r="F4139" t="s">
        <v>24</v>
      </c>
      <c r="G4139" t="s">
        <v>25</v>
      </c>
      <c r="H4139" s="3">
        <v>2</v>
      </c>
      <c r="I4139" s="3">
        <v>3100</v>
      </c>
      <c r="J4139" s="3">
        <v>6200</v>
      </c>
      <c r="K4139" s="3">
        <v>2500</v>
      </c>
      <c r="L4139" s="3">
        <v>5000</v>
      </c>
      <c r="M4139" s="3">
        <v>1200</v>
      </c>
      <c r="N4139" s="4">
        <v>0.19354838709677419</v>
      </c>
    </row>
    <row r="4140" spans="1:14" x14ac:dyDescent="0.3">
      <c r="A4140" s="6">
        <v>45953</v>
      </c>
      <c r="B4140" s="1" t="s">
        <v>4324</v>
      </c>
      <c r="C4140" s="1" t="s">
        <v>27</v>
      </c>
      <c r="D4140" t="s">
        <v>33</v>
      </c>
      <c r="E4140" t="s">
        <v>239</v>
      </c>
      <c r="F4140" t="s">
        <v>17</v>
      </c>
      <c r="G4140" t="s">
        <v>18</v>
      </c>
      <c r="H4140" s="3">
        <v>10</v>
      </c>
      <c r="I4140" s="3">
        <v>11815.000000000002</v>
      </c>
      <c r="J4140" s="3">
        <v>118150.00000000001</v>
      </c>
      <c r="K4140" s="3">
        <v>8500</v>
      </c>
      <c r="L4140" s="3">
        <v>85000</v>
      </c>
      <c r="M4140" s="3">
        <v>33150.000000000015</v>
      </c>
      <c r="N4140" s="4">
        <v>0.28057553956834541</v>
      </c>
    </row>
    <row r="4141" spans="1:14" x14ac:dyDescent="0.3">
      <c r="A4141" s="6">
        <v>45953</v>
      </c>
      <c r="B4141" s="1" t="s">
        <v>4325</v>
      </c>
      <c r="C4141" s="1" t="s">
        <v>26</v>
      </c>
      <c r="D4141" t="s">
        <v>33</v>
      </c>
      <c r="E4141" t="s">
        <v>37</v>
      </c>
      <c r="F4141" t="s">
        <v>19</v>
      </c>
      <c r="G4141" t="s">
        <v>20</v>
      </c>
      <c r="H4141" s="3">
        <v>2</v>
      </c>
      <c r="I4141" s="3">
        <v>1098</v>
      </c>
      <c r="J4141" s="3">
        <v>2196</v>
      </c>
      <c r="K4141" s="3">
        <v>900</v>
      </c>
      <c r="L4141" s="3">
        <v>1800</v>
      </c>
      <c r="M4141" s="3">
        <v>396</v>
      </c>
      <c r="N4141" s="4">
        <v>0.18032786885245902</v>
      </c>
    </row>
    <row r="4142" spans="1:14" x14ac:dyDescent="0.3">
      <c r="A4142" s="6">
        <v>45953</v>
      </c>
      <c r="B4142" s="1" t="s">
        <v>4326</v>
      </c>
      <c r="C4142" s="1" t="s">
        <v>28</v>
      </c>
      <c r="D4142" t="s">
        <v>31</v>
      </c>
      <c r="E4142" t="s">
        <v>112</v>
      </c>
      <c r="F4142" t="s">
        <v>17</v>
      </c>
      <c r="G4142" t="s">
        <v>18</v>
      </c>
      <c r="H4142" s="3">
        <v>2</v>
      </c>
      <c r="I4142" s="3">
        <v>10710</v>
      </c>
      <c r="J4142" s="3">
        <v>21420</v>
      </c>
      <c r="K4142" s="3">
        <v>8500</v>
      </c>
      <c r="L4142" s="3">
        <v>17000</v>
      </c>
      <c r="M4142" s="3">
        <v>4420</v>
      </c>
      <c r="N4142" s="4">
        <v>0.20634920634920634</v>
      </c>
    </row>
    <row r="4143" spans="1:14" x14ac:dyDescent="0.3">
      <c r="A4143" s="6">
        <v>45953</v>
      </c>
      <c r="B4143" s="1" t="s">
        <v>4327</v>
      </c>
      <c r="C4143" s="1" t="s">
        <v>28</v>
      </c>
      <c r="D4143" t="s">
        <v>31</v>
      </c>
      <c r="E4143" t="s">
        <v>249</v>
      </c>
      <c r="F4143" t="s">
        <v>16</v>
      </c>
      <c r="G4143" t="s">
        <v>15</v>
      </c>
      <c r="H4143" s="3">
        <v>7</v>
      </c>
      <c r="I4143" s="3">
        <v>52060.000000000007</v>
      </c>
      <c r="J4143" s="3">
        <v>364420.00000000006</v>
      </c>
      <c r="K4143" s="3">
        <v>38000</v>
      </c>
      <c r="L4143" s="3">
        <v>266000</v>
      </c>
      <c r="M4143" s="3">
        <v>98420.000000000058</v>
      </c>
      <c r="N4143" s="4">
        <v>0.27007299270073004</v>
      </c>
    </row>
    <row r="4144" spans="1:14" x14ac:dyDescent="0.3">
      <c r="A4144" s="6">
        <v>45954</v>
      </c>
      <c r="B4144" s="1" t="s">
        <v>4328</v>
      </c>
      <c r="C4144" s="1" t="s">
        <v>26</v>
      </c>
      <c r="D4144" t="s">
        <v>30</v>
      </c>
      <c r="E4144" t="s">
        <v>37</v>
      </c>
      <c r="F4144" t="s">
        <v>17</v>
      </c>
      <c r="G4144" t="s">
        <v>18</v>
      </c>
      <c r="H4144" s="3">
        <v>8</v>
      </c>
      <c r="I4144" s="3">
        <v>12240</v>
      </c>
      <c r="J4144" s="3">
        <v>97920</v>
      </c>
      <c r="K4144" s="3">
        <v>8500</v>
      </c>
      <c r="L4144" s="3">
        <v>68000</v>
      </c>
      <c r="M4144" s="3">
        <v>29920</v>
      </c>
      <c r="N4144" s="4">
        <v>0.30555555555555558</v>
      </c>
    </row>
    <row r="4145" spans="1:14" x14ac:dyDescent="0.3">
      <c r="A4145" s="6">
        <v>45954</v>
      </c>
      <c r="B4145" s="1" t="s">
        <v>4329</v>
      </c>
      <c r="C4145" s="1" t="s">
        <v>26</v>
      </c>
      <c r="D4145" t="s">
        <v>33</v>
      </c>
      <c r="E4145" t="s">
        <v>222</v>
      </c>
      <c r="F4145" t="s">
        <v>16</v>
      </c>
      <c r="G4145" t="s">
        <v>15</v>
      </c>
      <c r="H4145" s="3">
        <v>4</v>
      </c>
      <c r="I4145" s="3">
        <v>49020</v>
      </c>
      <c r="J4145" s="3">
        <v>196080</v>
      </c>
      <c r="K4145" s="3">
        <v>38000</v>
      </c>
      <c r="L4145" s="3">
        <v>152000</v>
      </c>
      <c r="M4145" s="3">
        <v>44080</v>
      </c>
      <c r="N4145" s="4">
        <v>0.22480620155038761</v>
      </c>
    </row>
    <row r="4146" spans="1:14" x14ac:dyDescent="0.3">
      <c r="A4146" s="6">
        <v>45954</v>
      </c>
      <c r="B4146" s="1" t="s">
        <v>4330</v>
      </c>
      <c r="C4146" s="1" t="s">
        <v>27</v>
      </c>
      <c r="D4146" t="s">
        <v>33</v>
      </c>
      <c r="E4146" t="s">
        <v>76</v>
      </c>
      <c r="F4146" t="s">
        <v>17</v>
      </c>
      <c r="G4146" t="s">
        <v>18</v>
      </c>
      <c r="H4146" s="3">
        <v>9</v>
      </c>
      <c r="I4146" s="3">
        <v>11050</v>
      </c>
      <c r="J4146" s="3">
        <v>99450</v>
      </c>
      <c r="K4146" s="3">
        <v>8500</v>
      </c>
      <c r="L4146" s="3">
        <v>76500</v>
      </c>
      <c r="M4146" s="3">
        <v>22950</v>
      </c>
      <c r="N4146" s="4">
        <v>0.23076923076923078</v>
      </c>
    </row>
    <row r="4147" spans="1:14" x14ac:dyDescent="0.3">
      <c r="A4147" s="6">
        <v>45954</v>
      </c>
      <c r="B4147" s="1" t="s">
        <v>4331</v>
      </c>
      <c r="C4147" s="1" t="s">
        <v>28</v>
      </c>
      <c r="D4147" t="s">
        <v>33</v>
      </c>
      <c r="E4147" t="s">
        <v>206</v>
      </c>
      <c r="F4147" t="s">
        <v>23</v>
      </c>
      <c r="G4147" t="s">
        <v>25</v>
      </c>
      <c r="H4147" s="3">
        <v>4</v>
      </c>
      <c r="I4147" s="3">
        <v>4128</v>
      </c>
      <c r="J4147" s="3">
        <v>16512</v>
      </c>
      <c r="K4147" s="3">
        <v>3200</v>
      </c>
      <c r="L4147" s="3">
        <v>12800</v>
      </c>
      <c r="M4147" s="3">
        <v>3712</v>
      </c>
      <c r="N4147" s="4">
        <v>0.22480620155038761</v>
      </c>
    </row>
    <row r="4148" spans="1:14" x14ac:dyDescent="0.3">
      <c r="A4148" s="6">
        <v>45954</v>
      </c>
      <c r="B4148" s="1" t="s">
        <v>4332</v>
      </c>
      <c r="C4148" s="1" t="s">
        <v>27</v>
      </c>
      <c r="D4148" t="s">
        <v>35</v>
      </c>
      <c r="E4148" t="s">
        <v>88</v>
      </c>
      <c r="F4148" t="s">
        <v>24</v>
      </c>
      <c r="G4148" t="s">
        <v>25</v>
      </c>
      <c r="H4148" s="3">
        <v>6</v>
      </c>
      <c r="I4148" s="3">
        <v>3300</v>
      </c>
      <c r="J4148" s="3">
        <v>19800</v>
      </c>
      <c r="K4148" s="3">
        <v>2500</v>
      </c>
      <c r="L4148" s="3">
        <v>15000</v>
      </c>
      <c r="M4148" s="3">
        <v>4800</v>
      </c>
      <c r="N4148" s="4">
        <v>0.24242424242424243</v>
      </c>
    </row>
    <row r="4149" spans="1:14" x14ac:dyDescent="0.3">
      <c r="A4149" s="6">
        <v>45954</v>
      </c>
      <c r="B4149" s="1" t="s">
        <v>4333</v>
      </c>
      <c r="C4149" s="1" t="s">
        <v>27</v>
      </c>
      <c r="D4149" t="s">
        <v>33</v>
      </c>
      <c r="E4149" t="s">
        <v>83</v>
      </c>
      <c r="F4149" t="s">
        <v>21</v>
      </c>
      <c r="G4149" t="s">
        <v>20</v>
      </c>
      <c r="H4149" s="3">
        <v>4</v>
      </c>
      <c r="I4149" s="3">
        <v>720</v>
      </c>
      <c r="J4149" s="3">
        <v>2880</v>
      </c>
      <c r="K4149" s="3">
        <v>600</v>
      </c>
      <c r="L4149" s="3">
        <v>2400</v>
      </c>
      <c r="M4149" s="3">
        <v>480</v>
      </c>
      <c r="N4149" s="4">
        <v>0.16666666666666666</v>
      </c>
    </row>
    <row r="4150" spans="1:14" x14ac:dyDescent="0.3">
      <c r="A4150" s="6">
        <v>45954</v>
      </c>
      <c r="B4150" s="1" t="s">
        <v>4334</v>
      </c>
      <c r="C4150" s="1" t="s">
        <v>28</v>
      </c>
      <c r="D4150" t="s">
        <v>31</v>
      </c>
      <c r="E4150" t="s">
        <v>407</v>
      </c>
      <c r="F4150" t="s">
        <v>17</v>
      </c>
      <c r="G4150" t="s">
        <v>18</v>
      </c>
      <c r="H4150" s="3">
        <v>4</v>
      </c>
      <c r="I4150" s="3">
        <v>11050</v>
      </c>
      <c r="J4150" s="3">
        <v>44200</v>
      </c>
      <c r="K4150" s="3">
        <v>8500</v>
      </c>
      <c r="L4150" s="3">
        <v>34000</v>
      </c>
      <c r="M4150" s="3">
        <v>10200</v>
      </c>
      <c r="N4150" s="4">
        <v>0.23076923076923078</v>
      </c>
    </row>
    <row r="4151" spans="1:14" x14ac:dyDescent="0.3">
      <c r="A4151" s="6">
        <v>45954</v>
      </c>
      <c r="B4151" s="1" t="s">
        <v>4335</v>
      </c>
      <c r="C4151" s="1" t="s">
        <v>29</v>
      </c>
      <c r="D4151" t="s">
        <v>35</v>
      </c>
      <c r="E4151" t="s">
        <v>161</v>
      </c>
      <c r="F4151" t="s">
        <v>14</v>
      </c>
      <c r="G4151" t="s">
        <v>15</v>
      </c>
      <c r="H4151" s="3">
        <v>7</v>
      </c>
      <c r="I4151" s="3">
        <v>63900</v>
      </c>
      <c r="J4151" s="3">
        <v>447300</v>
      </c>
      <c r="K4151" s="3">
        <v>45000</v>
      </c>
      <c r="L4151" s="3">
        <v>315000</v>
      </c>
      <c r="M4151" s="3">
        <v>132300</v>
      </c>
      <c r="N4151" s="4">
        <v>0.29577464788732394</v>
      </c>
    </row>
    <row r="4152" spans="1:14" x14ac:dyDescent="0.3">
      <c r="A4152" s="6">
        <v>45954</v>
      </c>
      <c r="B4152" s="1" t="s">
        <v>4336</v>
      </c>
      <c r="C4152" s="1" t="s">
        <v>26</v>
      </c>
      <c r="D4152" t="s">
        <v>30</v>
      </c>
      <c r="E4152" t="s">
        <v>112</v>
      </c>
      <c r="F4152" t="s">
        <v>19</v>
      </c>
      <c r="G4152" t="s">
        <v>20</v>
      </c>
      <c r="H4152" s="3">
        <v>8</v>
      </c>
      <c r="I4152" s="3">
        <v>1152</v>
      </c>
      <c r="J4152" s="3">
        <v>9216</v>
      </c>
      <c r="K4152" s="3">
        <v>900</v>
      </c>
      <c r="L4152" s="3">
        <v>7200</v>
      </c>
      <c r="M4152" s="3">
        <v>2016</v>
      </c>
      <c r="N4152" s="4">
        <v>0.21875</v>
      </c>
    </row>
    <row r="4153" spans="1:14" x14ac:dyDescent="0.3">
      <c r="A4153" s="6">
        <v>45954</v>
      </c>
      <c r="B4153" s="1" t="s">
        <v>4337</v>
      </c>
      <c r="C4153" s="1" t="s">
        <v>28</v>
      </c>
      <c r="D4153" t="s">
        <v>33</v>
      </c>
      <c r="E4153" t="s">
        <v>57</v>
      </c>
      <c r="F4153" t="s">
        <v>16</v>
      </c>
      <c r="G4153" t="s">
        <v>15</v>
      </c>
      <c r="H4153" s="3">
        <v>3</v>
      </c>
      <c r="I4153" s="3">
        <v>46360</v>
      </c>
      <c r="J4153" s="3">
        <v>139080</v>
      </c>
      <c r="K4153" s="3">
        <v>38000</v>
      </c>
      <c r="L4153" s="3">
        <v>114000</v>
      </c>
      <c r="M4153" s="3">
        <v>25080</v>
      </c>
      <c r="N4153" s="4">
        <v>0.18032786885245902</v>
      </c>
    </row>
    <row r="4154" spans="1:14" x14ac:dyDescent="0.3">
      <c r="A4154" s="6">
        <v>45954</v>
      </c>
      <c r="B4154" s="1" t="s">
        <v>4338</v>
      </c>
      <c r="C4154" s="1" t="s">
        <v>27</v>
      </c>
      <c r="D4154" t="s">
        <v>34</v>
      </c>
      <c r="E4154" t="s">
        <v>198</v>
      </c>
      <c r="F4154" t="s">
        <v>16</v>
      </c>
      <c r="G4154" t="s">
        <v>15</v>
      </c>
      <c r="H4154" s="3">
        <v>9</v>
      </c>
      <c r="I4154" s="3">
        <v>47880</v>
      </c>
      <c r="J4154" s="3">
        <v>430920</v>
      </c>
      <c r="K4154" s="3">
        <v>38000</v>
      </c>
      <c r="L4154" s="3">
        <v>342000</v>
      </c>
      <c r="M4154" s="3">
        <v>88920</v>
      </c>
      <c r="N4154" s="4">
        <v>0.20634920634920634</v>
      </c>
    </row>
    <row r="4155" spans="1:14" x14ac:dyDescent="0.3">
      <c r="A4155" s="6">
        <v>45954</v>
      </c>
      <c r="B4155" s="1" t="s">
        <v>4339</v>
      </c>
      <c r="C4155" s="1" t="s">
        <v>27</v>
      </c>
      <c r="D4155" t="s">
        <v>32</v>
      </c>
      <c r="E4155" t="s">
        <v>39</v>
      </c>
      <c r="F4155" t="s">
        <v>14</v>
      </c>
      <c r="G4155" t="s">
        <v>15</v>
      </c>
      <c r="H4155" s="3">
        <v>4</v>
      </c>
      <c r="I4155" s="3">
        <v>57150</v>
      </c>
      <c r="J4155" s="3">
        <v>228600</v>
      </c>
      <c r="K4155" s="3">
        <v>45000</v>
      </c>
      <c r="L4155" s="3">
        <v>180000</v>
      </c>
      <c r="M4155" s="3">
        <v>48600</v>
      </c>
      <c r="N4155" s="4">
        <v>0.2125984251968504</v>
      </c>
    </row>
    <row r="4156" spans="1:14" x14ac:dyDescent="0.3">
      <c r="A4156" s="6">
        <v>45954</v>
      </c>
      <c r="B4156" s="1" t="s">
        <v>4340</v>
      </c>
      <c r="C4156" s="1" t="s">
        <v>28</v>
      </c>
      <c r="D4156" t="s">
        <v>34</v>
      </c>
      <c r="E4156" t="s">
        <v>447</v>
      </c>
      <c r="F4156" t="s">
        <v>24</v>
      </c>
      <c r="G4156" t="s">
        <v>25</v>
      </c>
      <c r="H4156" s="3">
        <v>10</v>
      </c>
      <c r="I4156" s="3">
        <v>3050</v>
      </c>
      <c r="J4156" s="3">
        <v>30500</v>
      </c>
      <c r="K4156" s="3">
        <v>2500</v>
      </c>
      <c r="L4156" s="3">
        <v>25000</v>
      </c>
      <c r="M4156" s="3">
        <v>5500</v>
      </c>
      <c r="N4156" s="4">
        <v>0.18032786885245902</v>
      </c>
    </row>
    <row r="4157" spans="1:14" x14ac:dyDescent="0.3">
      <c r="A4157" s="6">
        <v>45954</v>
      </c>
      <c r="B4157" s="1" t="s">
        <v>4341</v>
      </c>
      <c r="C4157" s="1" t="s">
        <v>26</v>
      </c>
      <c r="D4157" t="s">
        <v>35</v>
      </c>
      <c r="E4157" t="s">
        <v>265</v>
      </c>
      <c r="F4157" t="s">
        <v>17</v>
      </c>
      <c r="G4157" t="s">
        <v>18</v>
      </c>
      <c r="H4157" s="3">
        <v>8</v>
      </c>
      <c r="I4157" s="3">
        <v>11730</v>
      </c>
      <c r="J4157" s="3">
        <v>93840</v>
      </c>
      <c r="K4157" s="3">
        <v>8500</v>
      </c>
      <c r="L4157" s="3">
        <v>68000</v>
      </c>
      <c r="M4157" s="3">
        <v>25840</v>
      </c>
      <c r="N4157" s="4">
        <v>0.27536231884057971</v>
      </c>
    </row>
    <row r="4158" spans="1:14" x14ac:dyDescent="0.3">
      <c r="A4158" s="6">
        <v>45955</v>
      </c>
      <c r="B4158" s="1" t="s">
        <v>4342</v>
      </c>
      <c r="C4158" s="1" t="s">
        <v>29</v>
      </c>
      <c r="D4158" t="s">
        <v>34</v>
      </c>
      <c r="E4158" t="s">
        <v>447</v>
      </c>
      <c r="F4158" t="s">
        <v>16</v>
      </c>
      <c r="G4158" t="s">
        <v>15</v>
      </c>
      <c r="H4158" s="3">
        <v>6</v>
      </c>
      <c r="I4158" s="3">
        <v>52060.000000000007</v>
      </c>
      <c r="J4158" s="3">
        <v>312360.00000000006</v>
      </c>
      <c r="K4158" s="3">
        <v>38000</v>
      </c>
      <c r="L4158" s="3">
        <v>228000</v>
      </c>
      <c r="M4158" s="3">
        <v>84360.000000000058</v>
      </c>
      <c r="N4158" s="4">
        <v>0.27007299270073004</v>
      </c>
    </row>
    <row r="4159" spans="1:14" x14ac:dyDescent="0.3">
      <c r="A4159" s="6">
        <v>45955</v>
      </c>
      <c r="B4159" s="1" t="s">
        <v>4343</v>
      </c>
      <c r="C4159" s="1" t="s">
        <v>27</v>
      </c>
      <c r="D4159" t="s">
        <v>33</v>
      </c>
      <c r="E4159" t="s">
        <v>59</v>
      </c>
      <c r="F4159" t="s">
        <v>19</v>
      </c>
      <c r="G4159" t="s">
        <v>20</v>
      </c>
      <c r="H4159" s="3">
        <v>8</v>
      </c>
      <c r="I4159" s="3">
        <v>1107</v>
      </c>
      <c r="J4159" s="3">
        <v>8856</v>
      </c>
      <c r="K4159" s="3">
        <v>900</v>
      </c>
      <c r="L4159" s="3">
        <v>7200</v>
      </c>
      <c r="M4159" s="3">
        <v>1656</v>
      </c>
      <c r="N4159" s="4">
        <v>0.18699186991869918</v>
      </c>
    </row>
    <row r="4160" spans="1:14" x14ac:dyDescent="0.3">
      <c r="A4160" s="6">
        <v>45955</v>
      </c>
      <c r="B4160" s="1" t="s">
        <v>4344</v>
      </c>
      <c r="C4160" s="1" t="s">
        <v>27</v>
      </c>
      <c r="D4160" t="s">
        <v>34</v>
      </c>
      <c r="E4160" t="s">
        <v>388</v>
      </c>
      <c r="F4160" t="s">
        <v>19</v>
      </c>
      <c r="G4160" t="s">
        <v>20</v>
      </c>
      <c r="H4160" s="3">
        <v>2</v>
      </c>
      <c r="I4160" s="3">
        <v>1251</v>
      </c>
      <c r="J4160" s="3">
        <v>2502</v>
      </c>
      <c r="K4160" s="3">
        <v>900</v>
      </c>
      <c r="L4160" s="3">
        <v>1800</v>
      </c>
      <c r="M4160" s="3">
        <v>702</v>
      </c>
      <c r="N4160" s="4">
        <v>0.2805755395683453</v>
      </c>
    </row>
    <row r="4161" spans="1:14" x14ac:dyDescent="0.3">
      <c r="A4161" s="6">
        <v>45955</v>
      </c>
      <c r="B4161" s="1" t="s">
        <v>4345</v>
      </c>
      <c r="C4161" s="1" t="s">
        <v>29</v>
      </c>
      <c r="D4161" t="s">
        <v>32</v>
      </c>
      <c r="E4161" t="s">
        <v>47</v>
      </c>
      <c r="F4161" t="s">
        <v>17</v>
      </c>
      <c r="G4161" t="s">
        <v>18</v>
      </c>
      <c r="H4161" s="3">
        <v>9</v>
      </c>
      <c r="I4161" s="3">
        <v>11050</v>
      </c>
      <c r="J4161" s="3">
        <v>99450</v>
      </c>
      <c r="K4161" s="3">
        <v>8500</v>
      </c>
      <c r="L4161" s="3">
        <v>76500</v>
      </c>
      <c r="M4161" s="3">
        <v>22950</v>
      </c>
      <c r="N4161" s="4">
        <v>0.23076923076923078</v>
      </c>
    </row>
    <row r="4162" spans="1:14" x14ac:dyDescent="0.3">
      <c r="A4162" s="6">
        <v>45955</v>
      </c>
      <c r="B4162" s="1" t="s">
        <v>4346</v>
      </c>
      <c r="C4162" s="1" t="s">
        <v>29</v>
      </c>
      <c r="D4162" t="s">
        <v>30</v>
      </c>
      <c r="E4162" t="s">
        <v>239</v>
      </c>
      <c r="F4162" t="s">
        <v>24</v>
      </c>
      <c r="G4162" t="s">
        <v>25</v>
      </c>
      <c r="H4162" s="3">
        <v>9</v>
      </c>
      <c r="I4162" s="3">
        <v>3475.0000000000005</v>
      </c>
      <c r="J4162" s="3">
        <v>31275.000000000004</v>
      </c>
      <c r="K4162" s="3">
        <v>2500</v>
      </c>
      <c r="L4162" s="3">
        <v>22500</v>
      </c>
      <c r="M4162" s="3">
        <v>8775.0000000000036</v>
      </c>
      <c r="N4162" s="4">
        <v>0.28057553956834541</v>
      </c>
    </row>
    <row r="4163" spans="1:14" x14ac:dyDescent="0.3">
      <c r="A4163" s="6">
        <v>45955</v>
      </c>
      <c r="B4163" s="1" t="s">
        <v>4347</v>
      </c>
      <c r="C4163" s="1" t="s">
        <v>27</v>
      </c>
      <c r="D4163" t="s">
        <v>31</v>
      </c>
      <c r="E4163" t="s">
        <v>83</v>
      </c>
      <c r="F4163" t="s">
        <v>14</v>
      </c>
      <c r="G4163" t="s">
        <v>15</v>
      </c>
      <c r="H4163" s="3">
        <v>10</v>
      </c>
      <c r="I4163" s="3">
        <v>60300</v>
      </c>
      <c r="J4163" s="3">
        <v>603000</v>
      </c>
      <c r="K4163" s="3">
        <v>45000</v>
      </c>
      <c r="L4163" s="3">
        <v>450000</v>
      </c>
      <c r="M4163" s="3">
        <v>153000</v>
      </c>
      <c r="N4163" s="4">
        <v>0.2537313432835821</v>
      </c>
    </row>
    <row r="4164" spans="1:14" x14ac:dyDescent="0.3">
      <c r="A4164" s="6">
        <v>45955</v>
      </c>
      <c r="B4164" s="1" t="s">
        <v>4348</v>
      </c>
      <c r="C4164" s="1" t="s">
        <v>27</v>
      </c>
      <c r="D4164" t="s">
        <v>33</v>
      </c>
      <c r="E4164" t="s">
        <v>83</v>
      </c>
      <c r="F4164" t="s">
        <v>24</v>
      </c>
      <c r="G4164" t="s">
        <v>25</v>
      </c>
      <c r="H4164" s="3">
        <v>10</v>
      </c>
      <c r="I4164" s="3">
        <v>3399.9999999999995</v>
      </c>
      <c r="J4164" s="3">
        <v>33999.999999999993</v>
      </c>
      <c r="K4164" s="3">
        <v>2500</v>
      </c>
      <c r="L4164" s="3">
        <v>25000</v>
      </c>
      <c r="M4164" s="3">
        <v>8999.9999999999927</v>
      </c>
      <c r="N4164" s="4">
        <v>0.26470588235294101</v>
      </c>
    </row>
    <row r="4165" spans="1:14" x14ac:dyDescent="0.3">
      <c r="A4165" s="6">
        <v>45955</v>
      </c>
      <c r="B4165" s="1" t="s">
        <v>4349</v>
      </c>
      <c r="C4165" s="1" t="s">
        <v>26</v>
      </c>
      <c r="D4165" t="s">
        <v>33</v>
      </c>
      <c r="E4165" t="s">
        <v>63</v>
      </c>
      <c r="F4165" t="s">
        <v>19</v>
      </c>
      <c r="G4165" t="s">
        <v>20</v>
      </c>
      <c r="H4165" s="3">
        <v>2</v>
      </c>
      <c r="I4165" s="3">
        <v>1206</v>
      </c>
      <c r="J4165" s="3">
        <v>2412</v>
      </c>
      <c r="K4165" s="3">
        <v>900</v>
      </c>
      <c r="L4165" s="3">
        <v>1800</v>
      </c>
      <c r="M4165" s="3">
        <v>612</v>
      </c>
      <c r="N4165" s="4">
        <v>0.2537313432835821</v>
      </c>
    </row>
    <row r="4166" spans="1:14" x14ac:dyDescent="0.3">
      <c r="A4166" s="6">
        <v>45955</v>
      </c>
      <c r="B4166" s="1" t="s">
        <v>4350</v>
      </c>
      <c r="C4166" s="1" t="s">
        <v>29</v>
      </c>
      <c r="D4166" t="s">
        <v>32</v>
      </c>
      <c r="E4166" t="s">
        <v>216</v>
      </c>
      <c r="F4166" t="s">
        <v>17</v>
      </c>
      <c r="G4166" t="s">
        <v>18</v>
      </c>
      <c r="H4166" s="3">
        <v>2</v>
      </c>
      <c r="I4166" s="3">
        <v>10200</v>
      </c>
      <c r="J4166" s="3">
        <v>20400</v>
      </c>
      <c r="K4166" s="3">
        <v>8500</v>
      </c>
      <c r="L4166" s="3">
        <v>17000</v>
      </c>
      <c r="M4166" s="3">
        <v>3400</v>
      </c>
      <c r="N4166" s="4">
        <v>0.16666666666666666</v>
      </c>
    </row>
    <row r="4167" spans="1:14" x14ac:dyDescent="0.3">
      <c r="A4167" s="6">
        <v>45955</v>
      </c>
      <c r="B4167" s="1" t="s">
        <v>4351</v>
      </c>
      <c r="C4167" s="1" t="s">
        <v>27</v>
      </c>
      <c r="D4167" t="s">
        <v>32</v>
      </c>
      <c r="E4167" t="s">
        <v>106</v>
      </c>
      <c r="F4167" t="s">
        <v>24</v>
      </c>
      <c r="G4167" t="s">
        <v>25</v>
      </c>
      <c r="H4167" s="3">
        <v>9</v>
      </c>
      <c r="I4167" s="3">
        <v>3050</v>
      </c>
      <c r="J4167" s="3">
        <v>27450</v>
      </c>
      <c r="K4167" s="3">
        <v>2500</v>
      </c>
      <c r="L4167" s="3">
        <v>22500</v>
      </c>
      <c r="M4167" s="3">
        <v>4950</v>
      </c>
      <c r="N4167" s="4">
        <v>0.18032786885245902</v>
      </c>
    </row>
    <row r="4168" spans="1:14" x14ac:dyDescent="0.3">
      <c r="A4168" s="6">
        <v>45955</v>
      </c>
      <c r="B4168" s="1" t="s">
        <v>4352</v>
      </c>
      <c r="C4168" s="1" t="s">
        <v>29</v>
      </c>
      <c r="D4168" t="s">
        <v>34</v>
      </c>
      <c r="E4168" t="s">
        <v>243</v>
      </c>
      <c r="F4168" t="s">
        <v>16</v>
      </c>
      <c r="G4168" t="s">
        <v>15</v>
      </c>
      <c r="H4168" s="3">
        <v>10</v>
      </c>
      <c r="I4168" s="3">
        <v>50920</v>
      </c>
      <c r="J4168" s="3">
        <v>509200</v>
      </c>
      <c r="K4168" s="3">
        <v>38000</v>
      </c>
      <c r="L4168" s="3">
        <v>380000</v>
      </c>
      <c r="M4168" s="3">
        <v>129200</v>
      </c>
      <c r="N4168" s="4">
        <v>0.2537313432835821</v>
      </c>
    </row>
    <row r="4169" spans="1:14" x14ac:dyDescent="0.3">
      <c r="A4169" s="6">
        <v>45955</v>
      </c>
      <c r="B4169" s="1" t="s">
        <v>4353</v>
      </c>
      <c r="C4169" s="1" t="s">
        <v>28</v>
      </c>
      <c r="D4169" t="s">
        <v>30</v>
      </c>
      <c r="E4169" t="s">
        <v>72</v>
      </c>
      <c r="F4169" t="s">
        <v>14</v>
      </c>
      <c r="G4169" t="s">
        <v>15</v>
      </c>
      <c r="H4169" s="3">
        <v>4</v>
      </c>
      <c r="I4169" s="3">
        <v>64800</v>
      </c>
      <c r="J4169" s="3">
        <v>259200</v>
      </c>
      <c r="K4169" s="3">
        <v>45000</v>
      </c>
      <c r="L4169" s="3">
        <v>180000</v>
      </c>
      <c r="M4169" s="3">
        <v>79200</v>
      </c>
      <c r="N4169" s="4">
        <v>0.30555555555555558</v>
      </c>
    </row>
    <row r="4170" spans="1:14" x14ac:dyDescent="0.3">
      <c r="A4170" s="6">
        <v>45955</v>
      </c>
      <c r="B4170" s="1" t="s">
        <v>4354</v>
      </c>
      <c r="C4170" s="1" t="s">
        <v>27</v>
      </c>
      <c r="D4170" t="s">
        <v>35</v>
      </c>
      <c r="E4170" t="s">
        <v>85</v>
      </c>
      <c r="F4170" t="s">
        <v>16</v>
      </c>
      <c r="G4170" t="s">
        <v>15</v>
      </c>
      <c r="H4170" s="3">
        <v>5</v>
      </c>
      <c r="I4170" s="3">
        <v>54720</v>
      </c>
      <c r="J4170" s="3">
        <v>273600</v>
      </c>
      <c r="K4170" s="3">
        <v>38000</v>
      </c>
      <c r="L4170" s="3">
        <v>190000</v>
      </c>
      <c r="M4170" s="3">
        <v>83600</v>
      </c>
      <c r="N4170" s="4">
        <v>0.30555555555555558</v>
      </c>
    </row>
    <row r="4171" spans="1:14" x14ac:dyDescent="0.3">
      <c r="A4171" s="6">
        <v>45955</v>
      </c>
      <c r="B4171" s="1" t="s">
        <v>4355</v>
      </c>
      <c r="C4171" s="1" t="s">
        <v>26</v>
      </c>
      <c r="D4171" t="s">
        <v>35</v>
      </c>
      <c r="E4171" t="s">
        <v>331</v>
      </c>
      <c r="F4171" t="s">
        <v>19</v>
      </c>
      <c r="G4171" t="s">
        <v>20</v>
      </c>
      <c r="H4171" s="3">
        <v>3</v>
      </c>
      <c r="I4171" s="3">
        <v>1080</v>
      </c>
      <c r="J4171" s="3">
        <v>3240</v>
      </c>
      <c r="K4171" s="3">
        <v>900</v>
      </c>
      <c r="L4171" s="3">
        <v>2700</v>
      </c>
      <c r="M4171" s="3">
        <v>540</v>
      </c>
      <c r="N4171" s="4">
        <v>0.16666666666666666</v>
      </c>
    </row>
    <row r="4172" spans="1:14" x14ac:dyDescent="0.3">
      <c r="A4172" s="6">
        <v>45956</v>
      </c>
      <c r="B4172" s="1" t="s">
        <v>4356</v>
      </c>
      <c r="C4172" s="1" t="s">
        <v>26</v>
      </c>
      <c r="D4172" t="s">
        <v>33</v>
      </c>
      <c r="E4172" t="s">
        <v>447</v>
      </c>
      <c r="F4172" t="s">
        <v>16</v>
      </c>
      <c r="G4172" t="s">
        <v>15</v>
      </c>
      <c r="H4172" s="3">
        <v>4</v>
      </c>
      <c r="I4172" s="3">
        <v>53200</v>
      </c>
      <c r="J4172" s="3">
        <v>212800</v>
      </c>
      <c r="K4172" s="3">
        <v>38000</v>
      </c>
      <c r="L4172" s="3">
        <v>152000</v>
      </c>
      <c r="M4172" s="3">
        <v>60800</v>
      </c>
      <c r="N4172" s="4">
        <v>0.2857142857142857</v>
      </c>
    </row>
    <row r="4173" spans="1:14" x14ac:dyDescent="0.3">
      <c r="A4173" s="6">
        <v>45956</v>
      </c>
      <c r="B4173" s="1" t="s">
        <v>4357</v>
      </c>
      <c r="C4173" s="1" t="s">
        <v>29</v>
      </c>
      <c r="D4173" t="s">
        <v>34</v>
      </c>
      <c r="E4173" t="s">
        <v>336</v>
      </c>
      <c r="F4173" t="s">
        <v>24</v>
      </c>
      <c r="G4173" t="s">
        <v>25</v>
      </c>
      <c r="H4173" s="3">
        <v>9</v>
      </c>
      <c r="I4173" s="3">
        <v>3150</v>
      </c>
      <c r="J4173" s="3">
        <v>28350</v>
      </c>
      <c r="K4173" s="3">
        <v>2500</v>
      </c>
      <c r="L4173" s="3">
        <v>22500</v>
      </c>
      <c r="M4173" s="3">
        <v>5850</v>
      </c>
      <c r="N4173" s="4">
        <v>0.20634920634920634</v>
      </c>
    </row>
    <row r="4174" spans="1:14" x14ac:dyDescent="0.3">
      <c r="A4174" s="6">
        <v>45956</v>
      </c>
      <c r="B4174" s="1" t="s">
        <v>4358</v>
      </c>
      <c r="C4174" s="1" t="s">
        <v>27</v>
      </c>
      <c r="D4174" t="s">
        <v>35</v>
      </c>
      <c r="E4174" t="s">
        <v>49</v>
      </c>
      <c r="F4174" t="s">
        <v>22</v>
      </c>
      <c r="G4174" t="s">
        <v>18</v>
      </c>
      <c r="H4174" s="3">
        <v>7</v>
      </c>
      <c r="I4174" s="3">
        <v>8890</v>
      </c>
      <c r="J4174" s="3">
        <v>62230</v>
      </c>
      <c r="K4174" s="3">
        <v>7000</v>
      </c>
      <c r="L4174" s="3">
        <v>49000</v>
      </c>
      <c r="M4174" s="3">
        <v>13230</v>
      </c>
      <c r="N4174" s="4">
        <v>0.2125984251968504</v>
      </c>
    </row>
    <row r="4175" spans="1:14" x14ac:dyDescent="0.3">
      <c r="A4175" s="6">
        <v>45956</v>
      </c>
      <c r="B4175" s="1" t="s">
        <v>4359</v>
      </c>
      <c r="C4175" s="1" t="s">
        <v>29</v>
      </c>
      <c r="D4175" t="s">
        <v>32</v>
      </c>
      <c r="E4175" t="s">
        <v>55</v>
      </c>
      <c r="F4175" t="s">
        <v>21</v>
      </c>
      <c r="G4175" t="s">
        <v>20</v>
      </c>
      <c r="H4175" s="3">
        <v>8</v>
      </c>
      <c r="I4175" s="3">
        <v>786</v>
      </c>
      <c r="J4175" s="3">
        <v>6288</v>
      </c>
      <c r="K4175" s="3">
        <v>600</v>
      </c>
      <c r="L4175" s="3">
        <v>4800</v>
      </c>
      <c r="M4175" s="3">
        <v>1488</v>
      </c>
      <c r="N4175" s="4">
        <v>0.23664122137404581</v>
      </c>
    </row>
    <row r="4176" spans="1:14" x14ac:dyDescent="0.3">
      <c r="A4176" s="6">
        <v>45956</v>
      </c>
      <c r="B4176" s="1" t="s">
        <v>4360</v>
      </c>
      <c r="C4176" s="1" t="s">
        <v>28</v>
      </c>
      <c r="D4176" t="s">
        <v>33</v>
      </c>
      <c r="E4176" t="s">
        <v>255</v>
      </c>
      <c r="F4176" t="s">
        <v>23</v>
      </c>
      <c r="G4176" t="s">
        <v>25</v>
      </c>
      <c r="H4176" s="3">
        <v>8</v>
      </c>
      <c r="I4176" s="3">
        <v>3936</v>
      </c>
      <c r="J4176" s="3">
        <v>31488</v>
      </c>
      <c r="K4176" s="3">
        <v>3200</v>
      </c>
      <c r="L4176" s="3">
        <v>25600</v>
      </c>
      <c r="M4176" s="3">
        <v>5888</v>
      </c>
      <c r="N4176" s="4">
        <v>0.18699186991869918</v>
      </c>
    </row>
    <row r="4177" spans="1:14" x14ac:dyDescent="0.3">
      <c r="A4177" s="6">
        <v>45956</v>
      </c>
      <c r="B4177" s="1" t="s">
        <v>4361</v>
      </c>
      <c r="C4177" s="1" t="s">
        <v>26</v>
      </c>
      <c r="D4177" t="s">
        <v>30</v>
      </c>
      <c r="E4177" t="s">
        <v>110</v>
      </c>
      <c r="F4177" t="s">
        <v>24</v>
      </c>
      <c r="G4177" t="s">
        <v>25</v>
      </c>
      <c r="H4177" s="3">
        <v>10</v>
      </c>
      <c r="I4177" s="3">
        <v>3050</v>
      </c>
      <c r="J4177" s="3">
        <v>30500</v>
      </c>
      <c r="K4177" s="3">
        <v>2500</v>
      </c>
      <c r="L4177" s="3">
        <v>25000</v>
      </c>
      <c r="M4177" s="3">
        <v>5500</v>
      </c>
      <c r="N4177" s="4">
        <v>0.18032786885245902</v>
      </c>
    </row>
    <row r="4178" spans="1:14" x14ac:dyDescent="0.3">
      <c r="A4178" s="6">
        <v>45956</v>
      </c>
      <c r="B4178" s="1" t="s">
        <v>4362</v>
      </c>
      <c r="C4178" s="1" t="s">
        <v>28</v>
      </c>
      <c r="D4178" t="s">
        <v>31</v>
      </c>
      <c r="E4178" t="s">
        <v>521</v>
      </c>
      <c r="F4178" t="s">
        <v>24</v>
      </c>
      <c r="G4178" t="s">
        <v>25</v>
      </c>
      <c r="H4178" s="3">
        <v>7</v>
      </c>
      <c r="I4178" s="3">
        <v>3000</v>
      </c>
      <c r="J4178" s="3">
        <v>21000</v>
      </c>
      <c r="K4178" s="3">
        <v>2500</v>
      </c>
      <c r="L4178" s="3">
        <v>17500</v>
      </c>
      <c r="M4178" s="3">
        <v>3500</v>
      </c>
      <c r="N4178" s="4">
        <v>0.16666666666666666</v>
      </c>
    </row>
    <row r="4179" spans="1:14" x14ac:dyDescent="0.3">
      <c r="A4179" s="6">
        <v>45956</v>
      </c>
      <c r="B4179" s="1" t="s">
        <v>4363</v>
      </c>
      <c r="C4179" s="1" t="s">
        <v>29</v>
      </c>
      <c r="D4179" t="s">
        <v>30</v>
      </c>
      <c r="E4179" t="s">
        <v>342</v>
      </c>
      <c r="F4179" t="s">
        <v>17</v>
      </c>
      <c r="G4179" t="s">
        <v>18</v>
      </c>
      <c r="H4179" s="3">
        <v>10</v>
      </c>
      <c r="I4179" s="3">
        <v>11730</v>
      </c>
      <c r="J4179" s="3">
        <v>117300</v>
      </c>
      <c r="K4179" s="3">
        <v>8500</v>
      </c>
      <c r="L4179" s="3">
        <v>85000</v>
      </c>
      <c r="M4179" s="3">
        <v>32300</v>
      </c>
      <c r="N4179" s="4">
        <v>0.27536231884057971</v>
      </c>
    </row>
    <row r="4180" spans="1:14" x14ac:dyDescent="0.3">
      <c r="A4180" s="6">
        <v>45956</v>
      </c>
      <c r="B4180" s="1" t="s">
        <v>4364</v>
      </c>
      <c r="C4180" s="1" t="s">
        <v>28</v>
      </c>
      <c r="D4180" t="s">
        <v>34</v>
      </c>
      <c r="E4180" t="s">
        <v>329</v>
      </c>
      <c r="F4180" t="s">
        <v>24</v>
      </c>
      <c r="G4180" t="s">
        <v>25</v>
      </c>
      <c r="H4180" s="3">
        <v>2</v>
      </c>
      <c r="I4180" s="3">
        <v>3075</v>
      </c>
      <c r="J4180" s="3">
        <v>6150</v>
      </c>
      <c r="K4180" s="3">
        <v>2500</v>
      </c>
      <c r="L4180" s="3">
        <v>5000</v>
      </c>
      <c r="M4180" s="3">
        <v>1150</v>
      </c>
      <c r="N4180" s="4">
        <v>0.18699186991869918</v>
      </c>
    </row>
    <row r="4181" spans="1:14" x14ac:dyDescent="0.3">
      <c r="A4181" s="6">
        <v>45956</v>
      </c>
      <c r="B4181" s="1" t="s">
        <v>4365</v>
      </c>
      <c r="C4181" s="1" t="s">
        <v>28</v>
      </c>
      <c r="D4181" t="s">
        <v>32</v>
      </c>
      <c r="E4181" t="s">
        <v>45</v>
      </c>
      <c r="F4181" t="s">
        <v>21</v>
      </c>
      <c r="G4181" t="s">
        <v>20</v>
      </c>
      <c r="H4181" s="3">
        <v>7</v>
      </c>
      <c r="I4181" s="3">
        <v>815.99999999999989</v>
      </c>
      <c r="J4181" s="3">
        <v>5711.9999999999991</v>
      </c>
      <c r="K4181" s="3">
        <v>600</v>
      </c>
      <c r="L4181" s="3">
        <v>4200</v>
      </c>
      <c r="M4181" s="3">
        <v>1511.9999999999991</v>
      </c>
      <c r="N4181" s="4">
        <v>0.26470588235294107</v>
      </c>
    </row>
    <row r="4182" spans="1:14" x14ac:dyDescent="0.3">
      <c r="A4182" s="6">
        <v>45956</v>
      </c>
      <c r="B4182" s="1" t="s">
        <v>4366</v>
      </c>
      <c r="C4182" s="1" t="s">
        <v>26</v>
      </c>
      <c r="D4182" t="s">
        <v>31</v>
      </c>
      <c r="E4182" t="s">
        <v>96</v>
      </c>
      <c r="F4182" t="s">
        <v>23</v>
      </c>
      <c r="G4182" t="s">
        <v>25</v>
      </c>
      <c r="H4182" s="3">
        <v>4</v>
      </c>
      <c r="I4182" s="3">
        <v>4192</v>
      </c>
      <c r="J4182" s="3">
        <v>16768</v>
      </c>
      <c r="K4182" s="3">
        <v>3200</v>
      </c>
      <c r="L4182" s="3">
        <v>12800</v>
      </c>
      <c r="M4182" s="3">
        <v>3968</v>
      </c>
      <c r="N4182" s="4">
        <v>0.23664122137404581</v>
      </c>
    </row>
    <row r="4183" spans="1:14" x14ac:dyDescent="0.3">
      <c r="A4183" s="6">
        <v>45956</v>
      </c>
      <c r="B4183" s="1" t="s">
        <v>4367</v>
      </c>
      <c r="C4183" s="1" t="s">
        <v>28</v>
      </c>
      <c r="D4183" t="s">
        <v>32</v>
      </c>
      <c r="E4183" t="s">
        <v>204</v>
      </c>
      <c r="F4183" t="s">
        <v>14</v>
      </c>
      <c r="G4183" t="s">
        <v>15</v>
      </c>
      <c r="H4183" s="3">
        <v>4</v>
      </c>
      <c r="I4183" s="3">
        <v>54450</v>
      </c>
      <c r="J4183" s="3">
        <v>217800</v>
      </c>
      <c r="K4183" s="3">
        <v>45000</v>
      </c>
      <c r="L4183" s="3">
        <v>180000</v>
      </c>
      <c r="M4183" s="3">
        <v>37800</v>
      </c>
      <c r="N4183" s="4">
        <v>0.17355371900826447</v>
      </c>
    </row>
    <row r="4184" spans="1:14" x14ac:dyDescent="0.3">
      <c r="A4184" s="6">
        <v>45956</v>
      </c>
      <c r="B4184" s="1" t="s">
        <v>4368</v>
      </c>
      <c r="C4184" s="1" t="s">
        <v>28</v>
      </c>
      <c r="D4184" t="s">
        <v>35</v>
      </c>
      <c r="E4184" t="s">
        <v>166</v>
      </c>
      <c r="F4184" t="s">
        <v>22</v>
      </c>
      <c r="G4184" t="s">
        <v>18</v>
      </c>
      <c r="H4184" s="3">
        <v>10</v>
      </c>
      <c r="I4184" s="3">
        <v>10150</v>
      </c>
      <c r="J4184" s="3">
        <v>101500</v>
      </c>
      <c r="K4184" s="3">
        <v>7000</v>
      </c>
      <c r="L4184" s="3">
        <v>70000</v>
      </c>
      <c r="M4184" s="3">
        <v>31500</v>
      </c>
      <c r="N4184" s="4">
        <v>0.31034482758620691</v>
      </c>
    </row>
    <row r="4185" spans="1:14" x14ac:dyDescent="0.3">
      <c r="A4185" s="6">
        <v>45956</v>
      </c>
      <c r="B4185" s="1" t="s">
        <v>4369</v>
      </c>
      <c r="C4185" s="1" t="s">
        <v>27</v>
      </c>
      <c r="D4185" t="s">
        <v>31</v>
      </c>
      <c r="E4185" t="s">
        <v>63</v>
      </c>
      <c r="F4185" t="s">
        <v>22</v>
      </c>
      <c r="G4185" t="s">
        <v>18</v>
      </c>
      <c r="H4185" s="3">
        <v>10</v>
      </c>
      <c r="I4185" s="3">
        <v>9030</v>
      </c>
      <c r="J4185" s="3">
        <v>90300</v>
      </c>
      <c r="K4185" s="3">
        <v>7000</v>
      </c>
      <c r="L4185" s="3">
        <v>70000</v>
      </c>
      <c r="M4185" s="3">
        <v>20300</v>
      </c>
      <c r="N4185" s="4">
        <v>0.22480620155038761</v>
      </c>
    </row>
    <row r="4186" spans="1:14" x14ac:dyDescent="0.3">
      <c r="A4186" s="6">
        <v>45957</v>
      </c>
      <c r="B4186" s="1" t="s">
        <v>4370</v>
      </c>
      <c r="C4186" s="1" t="s">
        <v>27</v>
      </c>
      <c r="D4186" t="s">
        <v>35</v>
      </c>
      <c r="E4186" t="s">
        <v>355</v>
      </c>
      <c r="F4186" t="s">
        <v>21</v>
      </c>
      <c r="G4186" t="s">
        <v>20</v>
      </c>
      <c r="H4186" s="3">
        <v>10</v>
      </c>
      <c r="I4186" s="3">
        <v>864</v>
      </c>
      <c r="J4186" s="3">
        <v>8640</v>
      </c>
      <c r="K4186" s="3">
        <v>600</v>
      </c>
      <c r="L4186" s="3">
        <v>6000</v>
      </c>
      <c r="M4186" s="3">
        <v>2640</v>
      </c>
      <c r="N4186" s="4">
        <v>0.30555555555555558</v>
      </c>
    </row>
    <row r="4187" spans="1:14" x14ac:dyDescent="0.3">
      <c r="A4187" s="6">
        <v>45957</v>
      </c>
      <c r="B4187" s="1" t="s">
        <v>4371</v>
      </c>
      <c r="C4187" s="1" t="s">
        <v>28</v>
      </c>
      <c r="D4187" t="s">
        <v>35</v>
      </c>
      <c r="E4187" t="s">
        <v>407</v>
      </c>
      <c r="F4187" t="s">
        <v>22</v>
      </c>
      <c r="G4187" t="s">
        <v>18</v>
      </c>
      <c r="H4187" s="3">
        <v>5</v>
      </c>
      <c r="I4187" s="3">
        <v>10080</v>
      </c>
      <c r="J4187" s="3">
        <v>50400</v>
      </c>
      <c r="K4187" s="3">
        <v>7000</v>
      </c>
      <c r="L4187" s="3">
        <v>35000</v>
      </c>
      <c r="M4187" s="3">
        <v>15400</v>
      </c>
      <c r="N4187" s="4">
        <v>0.30555555555555558</v>
      </c>
    </row>
    <row r="4188" spans="1:14" x14ac:dyDescent="0.3">
      <c r="A4188" s="6">
        <v>45957</v>
      </c>
      <c r="B4188" s="1" t="s">
        <v>4372</v>
      </c>
      <c r="C4188" s="1" t="s">
        <v>29</v>
      </c>
      <c r="D4188" t="s">
        <v>34</v>
      </c>
      <c r="E4188" t="s">
        <v>204</v>
      </c>
      <c r="F4188" t="s">
        <v>24</v>
      </c>
      <c r="G4188" t="s">
        <v>25</v>
      </c>
      <c r="H4188" s="3">
        <v>8</v>
      </c>
      <c r="I4188" s="3">
        <v>3425.0000000000005</v>
      </c>
      <c r="J4188" s="3">
        <v>27400.000000000004</v>
      </c>
      <c r="K4188" s="3">
        <v>2500</v>
      </c>
      <c r="L4188" s="3">
        <v>20000</v>
      </c>
      <c r="M4188" s="3">
        <v>7400.0000000000036</v>
      </c>
      <c r="N4188" s="4">
        <v>0.27007299270073004</v>
      </c>
    </row>
    <row r="4189" spans="1:14" x14ac:dyDescent="0.3">
      <c r="A4189" s="6">
        <v>45957</v>
      </c>
      <c r="B4189" s="1" t="s">
        <v>4373</v>
      </c>
      <c r="C4189" s="1" t="s">
        <v>27</v>
      </c>
      <c r="D4189" t="s">
        <v>35</v>
      </c>
      <c r="E4189" t="s">
        <v>39</v>
      </c>
      <c r="F4189" t="s">
        <v>14</v>
      </c>
      <c r="G4189" t="s">
        <v>15</v>
      </c>
      <c r="H4189" s="3">
        <v>2</v>
      </c>
      <c r="I4189" s="3">
        <v>58950</v>
      </c>
      <c r="J4189" s="3">
        <v>117900</v>
      </c>
      <c r="K4189" s="3">
        <v>45000</v>
      </c>
      <c r="L4189" s="3">
        <v>90000</v>
      </c>
      <c r="M4189" s="3">
        <v>27900</v>
      </c>
      <c r="N4189" s="4">
        <v>0.23664122137404581</v>
      </c>
    </row>
    <row r="4190" spans="1:14" x14ac:dyDescent="0.3">
      <c r="A4190" s="6">
        <v>45957</v>
      </c>
      <c r="B4190" s="1" t="s">
        <v>4374</v>
      </c>
      <c r="C4190" s="1" t="s">
        <v>28</v>
      </c>
      <c r="D4190" t="s">
        <v>35</v>
      </c>
      <c r="E4190" t="s">
        <v>57</v>
      </c>
      <c r="F4190" t="s">
        <v>17</v>
      </c>
      <c r="G4190" t="s">
        <v>18</v>
      </c>
      <c r="H4190" s="3">
        <v>7</v>
      </c>
      <c r="I4190" s="3">
        <v>11135</v>
      </c>
      <c r="J4190" s="3">
        <v>77945</v>
      </c>
      <c r="K4190" s="3">
        <v>8500</v>
      </c>
      <c r="L4190" s="3">
        <v>59500</v>
      </c>
      <c r="M4190" s="3">
        <v>18445</v>
      </c>
      <c r="N4190" s="4">
        <v>0.23664122137404581</v>
      </c>
    </row>
    <row r="4191" spans="1:14" x14ac:dyDescent="0.3">
      <c r="A4191" s="6">
        <v>45957</v>
      </c>
      <c r="B4191" s="1" t="s">
        <v>4375</v>
      </c>
      <c r="C4191" s="1" t="s">
        <v>27</v>
      </c>
      <c r="D4191" t="s">
        <v>35</v>
      </c>
      <c r="E4191" t="s">
        <v>153</v>
      </c>
      <c r="F4191" t="s">
        <v>22</v>
      </c>
      <c r="G4191" t="s">
        <v>18</v>
      </c>
      <c r="H4191" s="3">
        <v>2</v>
      </c>
      <c r="I4191" s="3">
        <v>8750</v>
      </c>
      <c r="J4191" s="3">
        <v>17500</v>
      </c>
      <c r="K4191" s="3">
        <v>7000</v>
      </c>
      <c r="L4191" s="3">
        <v>14000</v>
      </c>
      <c r="M4191" s="3">
        <v>3500</v>
      </c>
      <c r="N4191" s="4">
        <v>0.2</v>
      </c>
    </row>
    <row r="4192" spans="1:14" x14ac:dyDescent="0.3">
      <c r="A4192" s="6">
        <v>45957</v>
      </c>
      <c r="B4192" s="1" t="s">
        <v>4376</v>
      </c>
      <c r="C4192" s="1" t="s">
        <v>29</v>
      </c>
      <c r="D4192" t="s">
        <v>31</v>
      </c>
      <c r="E4192" t="s">
        <v>104</v>
      </c>
      <c r="F4192" t="s">
        <v>24</v>
      </c>
      <c r="G4192" t="s">
        <v>25</v>
      </c>
      <c r="H4192" s="3">
        <v>3</v>
      </c>
      <c r="I4192" s="3">
        <v>3300</v>
      </c>
      <c r="J4192" s="3">
        <v>9900</v>
      </c>
      <c r="K4192" s="3">
        <v>2500</v>
      </c>
      <c r="L4192" s="3">
        <v>7500</v>
      </c>
      <c r="M4192" s="3">
        <v>2400</v>
      </c>
      <c r="N4192" s="4">
        <v>0.24242424242424243</v>
      </c>
    </row>
    <row r="4193" spans="1:14" x14ac:dyDescent="0.3">
      <c r="A4193" s="6">
        <v>45957</v>
      </c>
      <c r="B4193" s="1" t="s">
        <v>4377</v>
      </c>
      <c r="C4193" s="1" t="s">
        <v>27</v>
      </c>
      <c r="D4193" t="s">
        <v>30</v>
      </c>
      <c r="E4193" t="s">
        <v>273</v>
      </c>
      <c r="F4193" t="s">
        <v>16</v>
      </c>
      <c r="G4193" t="s">
        <v>15</v>
      </c>
      <c r="H4193" s="3">
        <v>3</v>
      </c>
      <c r="I4193" s="3">
        <v>52820.000000000007</v>
      </c>
      <c r="J4193" s="3">
        <v>158460.00000000003</v>
      </c>
      <c r="K4193" s="3">
        <v>38000</v>
      </c>
      <c r="L4193" s="3">
        <v>114000</v>
      </c>
      <c r="M4193" s="3">
        <v>44460.000000000029</v>
      </c>
      <c r="N4193" s="4">
        <v>0.28057553956834547</v>
      </c>
    </row>
    <row r="4194" spans="1:14" x14ac:dyDescent="0.3">
      <c r="A4194" s="6">
        <v>45957</v>
      </c>
      <c r="B4194" s="1" t="s">
        <v>4378</v>
      </c>
      <c r="C4194" s="1" t="s">
        <v>29</v>
      </c>
      <c r="D4194" t="s">
        <v>31</v>
      </c>
      <c r="E4194" t="s">
        <v>65</v>
      </c>
      <c r="F4194" t="s">
        <v>22</v>
      </c>
      <c r="G4194" t="s">
        <v>18</v>
      </c>
      <c r="H4194" s="3">
        <v>1</v>
      </c>
      <c r="I4194" s="3">
        <v>9870</v>
      </c>
      <c r="J4194" s="3">
        <v>9870</v>
      </c>
      <c r="K4194" s="3">
        <v>7000</v>
      </c>
      <c r="L4194" s="3">
        <v>7000</v>
      </c>
      <c r="M4194" s="3">
        <v>2870</v>
      </c>
      <c r="N4194" s="4">
        <v>0.29078014184397161</v>
      </c>
    </row>
    <row r="4195" spans="1:14" x14ac:dyDescent="0.3">
      <c r="A4195" s="6">
        <v>45957</v>
      </c>
      <c r="B4195" s="1" t="s">
        <v>4379</v>
      </c>
      <c r="C4195" s="1" t="s">
        <v>26</v>
      </c>
      <c r="D4195" t="s">
        <v>32</v>
      </c>
      <c r="E4195" t="s">
        <v>409</v>
      </c>
      <c r="F4195" t="s">
        <v>24</v>
      </c>
      <c r="G4195" t="s">
        <v>25</v>
      </c>
      <c r="H4195" s="3">
        <v>5</v>
      </c>
      <c r="I4195" s="3">
        <v>3100</v>
      </c>
      <c r="J4195" s="3">
        <v>15500</v>
      </c>
      <c r="K4195" s="3">
        <v>2500</v>
      </c>
      <c r="L4195" s="3">
        <v>12500</v>
      </c>
      <c r="M4195" s="3">
        <v>3000</v>
      </c>
      <c r="N4195" s="4">
        <v>0.19354838709677419</v>
      </c>
    </row>
    <row r="4196" spans="1:14" x14ac:dyDescent="0.3">
      <c r="A4196" s="6">
        <v>45957</v>
      </c>
      <c r="B4196" s="1" t="s">
        <v>4380</v>
      </c>
      <c r="C4196" s="1" t="s">
        <v>27</v>
      </c>
      <c r="D4196" t="s">
        <v>30</v>
      </c>
      <c r="E4196" t="s">
        <v>357</v>
      </c>
      <c r="F4196" t="s">
        <v>16</v>
      </c>
      <c r="G4196" t="s">
        <v>15</v>
      </c>
      <c r="H4196" s="3">
        <v>10</v>
      </c>
      <c r="I4196" s="3">
        <v>55100</v>
      </c>
      <c r="J4196" s="3">
        <v>551000</v>
      </c>
      <c r="K4196" s="3">
        <v>38000</v>
      </c>
      <c r="L4196" s="3">
        <v>380000</v>
      </c>
      <c r="M4196" s="3">
        <v>171000</v>
      </c>
      <c r="N4196" s="4">
        <v>0.31034482758620691</v>
      </c>
    </row>
    <row r="4197" spans="1:14" x14ac:dyDescent="0.3">
      <c r="A4197" s="6">
        <v>45957</v>
      </c>
      <c r="B4197" s="1" t="s">
        <v>4381</v>
      </c>
      <c r="C4197" s="1" t="s">
        <v>29</v>
      </c>
      <c r="D4197" t="s">
        <v>33</v>
      </c>
      <c r="E4197" t="s">
        <v>59</v>
      </c>
      <c r="F4197" t="s">
        <v>22</v>
      </c>
      <c r="G4197" t="s">
        <v>18</v>
      </c>
      <c r="H4197" s="3">
        <v>7</v>
      </c>
      <c r="I4197" s="3">
        <v>9450</v>
      </c>
      <c r="J4197" s="3">
        <v>66150</v>
      </c>
      <c r="K4197" s="3">
        <v>7000</v>
      </c>
      <c r="L4197" s="3">
        <v>49000</v>
      </c>
      <c r="M4197" s="3">
        <v>17150</v>
      </c>
      <c r="N4197" s="4">
        <v>0.25925925925925924</v>
      </c>
    </row>
    <row r="4198" spans="1:14" x14ac:dyDescent="0.3">
      <c r="A4198" s="6">
        <v>45957</v>
      </c>
      <c r="B4198" s="1" t="s">
        <v>4382</v>
      </c>
      <c r="C4198" s="1" t="s">
        <v>29</v>
      </c>
      <c r="D4198" t="s">
        <v>35</v>
      </c>
      <c r="E4198" t="s">
        <v>159</v>
      </c>
      <c r="F4198" t="s">
        <v>16</v>
      </c>
      <c r="G4198" t="s">
        <v>15</v>
      </c>
      <c r="H4198" s="3">
        <v>6</v>
      </c>
      <c r="I4198" s="3">
        <v>46740</v>
      </c>
      <c r="J4198" s="3">
        <v>280440</v>
      </c>
      <c r="K4198" s="3">
        <v>38000</v>
      </c>
      <c r="L4198" s="3">
        <v>228000</v>
      </c>
      <c r="M4198" s="3">
        <v>52440</v>
      </c>
      <c r="N4198" s="4">
        <v>0.18699186991869918</v>
      </c>
    </row>
    <row r="4199" spans="1:14" x14ac:dyDescent="0.3">
      <c r="A4199" s="6">
        <v>45957</v>
      </c>
      <c r="B4199" s="1" t="s">
        <v>4383</v>
      </c>
      <c r="C4199" s="1" t="s">
        <v>26</v>
      </c>
      <c r="D4199" t="s">
        <v>34</v>
      </c>
      <c r="E4199" t="s">
        <v>342</v>
      </c>
      <c r="F4199" t="s">
        <v>22</v>
      </c>
      <c r="G4199" t="s">
        <v>18</v>
      </c>
      <c r="H4199" s="3">
        <v>1</v>
      </c>
      <c r="I4199" s="3">
        <v>9590</v>
      </c>
      <c r="J4199" s="3">
        <v>9590</v>
      </c>
      <c r="K4199" s="3">
        <v>7000</v>
      </c>
      <c r="L4199" s="3">
        <v>7000</v>
      </c>
      <c r="M4199" s="3">
        <v>2590</v>
      </c>
      <c r="N4199" s="4">
        <v>0.27007299270072993</v>
      </c>
    </row>
    <row r="4200" spans="1:14" x14ac:dyDescent="0.3">
      <c r="A4200" s="6">
        <v>45958</v>
      </c>
      <c r="B4200" s="1" t="s">
        <v>4384</v>
      </c>
      <c r="C4200" s="1" t="s">
        <v>29</v>
      </c>
      <c r="D4200" t="s">
        <v>31</v>
      </c>
      <c r="E4200" t="s">
        <v>43</v>
      </c>
      <c r="F4200" t="s">
        <v>22</v>
      </c>
      <c r="G4200" t="s">
        <v>18</v>
      </c>
      <c r="H4200" s="3">
        <v>2</v>
      </c>
      <c r="I4200" s="3">
        <v>9800</v>
      </c>
      <c r="J4200" s="3">
        <v>19600</v>
      </c>
      <c r="K4200" s="3">
        <v>7000</v>
      </c>
      <c r="L4200" s="3">
        <v>14000</v>
      </c>
      <c r="M4200" s="3">
        <v>5600</v>
      </c>
      <c r="N4200" s="4">
        <v>0.2857142857142857</v>
      </c>
    </row>
    <row r="4201" spans="1:14" x14ac:dyDescent="0.3">
      <c r="A4201" s="6">
        <v>45958</v>
      </c>
      <c r="B4201" s="1" t="s">
        <v>4385</v>
      </c>
      <c r="C4201" s="1" t="s">
        <v>29</v>
      </c>
      <c r="D4201" t="s">
        <v>32</v>
      </c>
      <c r="E4201" t="s">
        <v>255</v>
      </c>
      <c r="F4201" t="s">
        <v>22</v>
      </c>
      <c r="G4201" t="s">
        <v>18</v>
      </c>
      <c r="H4201" s="3">
        <v>8</v>
      </c>
      <c r="I4201" s="3">
        <v>9800</v>
      </c>
      <c r="J4201" s="3">
        <v>78400</v>
      </c>
      <c r="K4201" s="3">
        <v>7000</v>
      </c>
      <c r="L4201" s="3">
        <v>56000</v>
      </c>
      <c r="M4201" s="3">
        <v>22400</v>
      </c>
      <c r="N4201" s="4">
        <v>0.2857142857142857</v>
      </c>
    </row>
    <row r="4202" spans="1:14" x14ac:dyDescent="0.3">
      <c r="A4202" s="6">
        <v>45958</v>
      </c>
      <c r="B4202" s="1" t="s">
        <v>4386</v>
      </c>
      <c r="C4202" s="1" t="s">
        <v>26</v>
      </c>
      <c r="D4202" t="s">
        <v>30</v>
      </c>
      <c r="E4202" t="s">
        <v>321</v>
      </c>
      <c r="F4202" t="s">
        <v>23</v>
      </c>
      <c r="G4202" t="s">
        <v>25</v>
      </c>
      <c r="H4202" s="3">
        <v>7</v>
      </c>
      <c r="I4202" s="3">
        <v>4096</v>
      </c>
      <c r="J4202" s="3">
        <v>28672</v>
      </c>
      <c r="K4202" s="3">
        <v>3200</v>
      </c>
      <c r="L4202" s="3">
        <v>22400</v>
      </c>
      <c r="M4202" s="3">
        <v>6272</v>
      </c>
      <c r="N4202" s="4">
        <v>0.21875</v>
      </c>
    </row>
    <row r="4203" spans="1:14" x14ac:dyDescent="0.3">
      <c r="A4203" s="6">
        <v>45958</v>
      </c>
      <c r="B4203" s="1" t="s">
        <v>4387</v>
      </c>
      <c r="C4203" s="1" t="s">
        <v>29</v>
      </c>
      <c r="D4203" t="s">
        <v>31</v>
      </c>
      <c r="E4203" t="s">
        <v>442</v>
      </c>
      <c r="F4203" t="s">
        <v>24</v>
      </c>
      <c r="G4203" t="s">
        <v>25</v>
      </c>
      <c r="H4203" s="3">
        <v>5</v>
      </c>
      <c r="I4203" s="3">
        <v>3100</v>
      </c>
      <c r="J4203" s="3">
        <v>15500</v>
      </c>
      <c r="K4203" s="3">
        <v>2500</v>
      </c>
      <c r="L4203" s="3">
        <v>12500</v>
      </c>
      <c r="M4203" s="3">
        <v>3000</v>
      </c>
      <c r="N4203" s="4">
        <v>0.19354838709677419</v>
      </c>
    </row>
    <row r="4204" spans="1:14" x14ac:dyDescent="0.3">
      <c r="A4204" s="6">
        <v>45958</v>
      </c>
      <c r="B4204" s="1" t="s">
        <v>4388</v>
      </c>
      <c r="C4204" s="1" t="s">
        <v>29</v>
      </c>
      <c r="D4204" t="s">
        <v>31</v>
      </c>
      <c r="E4204" t="s">
        <v>61</v>
      </c>
      <c r="F4204" t="s">
        <v>16</v>
      </c>
      <c r="G4204" t="s">
        <v>15</v>
      </c>
      <c r="H4204" s="3">
        <v>4</v>
      </c>
      <c r="I4204" s="3">
        <v>53960</v>
      </c>
      <c r="J4204" s="3">
        <v>215840</v>
      </c>
      <c r="K4204" s="3">
        <v>38000</v>
      </c>
      <c r="L4204" s="3">
        <v>152000</v>
      </c>
      <c r="M4204" s="3">
        <v>63840</v>
      </c>
      <c r="N4204" s="4">
        <v>0.29577464788732394</v>
      </c>
    </row>
    <row r="4205" spans="1:14" x14ac:dyDescent="0.3">
      <c r="A4205" s="6">
        <v>45958</v>
      </c>
      <c r="B4205" s="1" t="s">
        <v>4389</v>
      </c>
      <c r="C4205" s="1" t="s">
        <v>29</v>
      </c>
      <c r="D4205" t="s">
        <v>31</v>
      </c>
      <c r="E4205" t="s">
        <v>37</v>
      </c>
      <c r="F4205" t="s">
        <v>16</v>
      </c>
      <c r="G4205" t="s">
        <v>15</v>
      </c>
      <c r="H4205" s="3">
        <v>6</v>
      </c>
      <c r="I4205" s="3">
        <v>51300</v>
      </c>
      <c r="J4205" s="3">
        <v>307800</v>
      </c>
      <c r="K4205" s="3">
        <v>38000</v>
      </c>
      <c r="L4205" s="3">
        <v>228000</v>
      </c>
      <c r="M4205" s="3">
        <v>79800</v>
      </c>
      <c r="N4205" s="4">
        <v>0.25925925925925924</v>
      </c>
    </row>
    <row r="4206" spans="1:14" x14ac:dyDescent="0.3">
      <c r="A4206" s="6">
        <v>45958</v>
      </c>
      <c r="B4206" s="1" t="s">
        <v>4390</v>
      </c>
      <c r="C4206" s="1" t="s">
        <v>26</v>
      </c>
      <c r="D4206" t="s">
        <v>34</v>
      </c>
      <c r="E4206" t="s">
        <v>175</v>
      </c>
      <c r="F4206" t="s">
        <v>16</v>
      </c>
      <c r="G4206" t="s">
        <v>15</v>
      </c>
      <c r="H4206" s="3">
        <v>8</v>
      </c>
      <c r="I4206" s="3">
        <v>53580</v>
      </c>
      <c r="J4206" s="3">
        <v>428640</v>
      </c>
      <c r="K4206" s="3">
        <v>38000</v>
      </c>
      <c r="L4206" s="3">
        <v>304000</v>
      </c>
      <c r="M4206" s="3">
        <v>124640</v>
      </c>
      <c r="N4206" s="4">
        <v>0.29078014184397161</v>
      </c>
    </row>
    <row r="4207" spans="1:14" x14ac:dyDescent="0.3">
      <c r="A4207" s="6">
        <v>45958</v>
      </c>
      <c r="B4207" s="1" t="s">
        <v>4391</v>
      </c>
      <c r="C4207" s="1" t="s">
        <v>28</v>
      </c>
      <c r="D4207" t="s">
        <v>33</v>
      </c>
      <c r="E4207" t="s">
        <v>83</v>
      </c>
      <c r="F4207" t="s">
        <v>22</v>
      </c>
      <c r="G4207" t="s">
        <v>18</v>
      </c>
      <c r="H4207" s="3">
        <v>3</v>
      </c>
      <c r="I4207" s="3">
        <v>8610</v>
      </c>
      <c r="J4207" s="3">
        <v>25830</v>
      </c>
      <c r="K4207" s="3">
        <v>7000</v>
      </c>
      <c r="L4207" s="3">
        <v>21000</v>
      </c>
      <c r="M4207" s="3">
        <v>4830</v>
      </c>
      <c r="N4207" s="4">
        <v>0.18699186991869918</v>
      </c>
    </row>
    <row r="4208" spans="1:14" x14ac:dyDescent="0.3">
      <c r="A4208" s="6">
        <v>45958</v>
      </c>
      <c r="B4208" s="1" t="s">
        <v>4392</v>
      </c>
      <c r="C4208" s="1" t="s">
        <v>28</v>
      </c>
      <c r="D4208" t="s">
        <v>30</v>
      </c>
      <c r="E4208" t="s">
        <v>351</v>
      </c>
      <c r="F4208" t="s">
        <v>16</v>
      </c>
      <c r="G4208" t="s">
        <v>15</v>
      </c>
      <c r="H4208" s="3">
        <v>6</v>
      </c>
      <c r="I4208" s="3">
        <v>54720</v>
      </c>
      <c r="J4208" s="3">
        <v>328320</v>
      </c>
      <c r="K4208" s="3">
        <v>38000</v>
      </c>
      <c r="L4208" s="3">
        <v>228000</v>
      </c>
      <c r="M4208" s="3">
        <v>100320</v>
      </c>
      <c r="N4208" s="4">
        <v>0.30555555555555558</v>
      </c>
    </row>
    <row r="4209" spans="1:14" x14ac:dyDescent="0.3">
      <c r="A4209" s="6">
        <v>45958</v>
      </c>
      <c r="B4209" s="1" t="s">
        <v>4393</v>
      </c>
      <c r="C4209" s="1" t="s">
        <v>29</v>
      </c>
      <c r="D4209" t="s">
        <v>35</v>
      </c>
      <c r="E4209" t="s">
        <v>92</v>
      </c>
      <c r="F4209" t="s">
        <v>21</v>
      </c>
      <c r="G4209" t="s">
        <v>20</v>
      </c>
      <c r="H4209" s="3">
        <v>10</v>
      </c>
      <c r="I4209" s="3">
        <v>792</v>
      </c>
      <c r="J4209" s="3">
        <v>7920</v>
      </c>
      <c r="K4209" s="3">
        <v>600</v>
      </c>
      <c r="L4209" s="3">
        <v>6000</v>
      </c>
      <c r="M4209" s="3">
        <v>1920</v>
      </c>
      <c r="N4209" s="4">
        <v>0.24242424242424243</v>
      </c>
    </row>
    <row r="4210" spans="1:14" x14ac:dyDescent="0.3">
      <c r="A4210" s="6">
        <v>45958</v>
      </c>
      <c r="B4210" s="1" t="s">
        <v>4394</v>
      </c>
      <c r="C4210" s="1" t="s">
        <v>26</v>
      </c>
      <c r="D4210" t="s">
        <v>32</v>
      </c>
      <c r="E4210" t="s">
        <v>83</v>
      </c>
      <c r="F4210" t="s">
        <v>21</v>
      </c>
      <c r="G4210" t="s">
        <v>20</v>
      </c>
      <c r="H4210" s="3">
        <v>1</v>
      </c>
      <c r="I4210" s="3">
        <v>827.99999999999989</v>
      </c>
      <c r="J4210" s="3">
        <v>827.99999999999989</v>
      </c>
      <c r="K4210" s="3">
        <v>600</v>
      </c>
      <c r="L4210" s="3">
        <v>600</v>
      </c>
      <c r="M4210" s="3">
        <v>227.99999999999989</v>
      </c>
      <c r="N4210" s="4">
        <v>0.2753623188405796</v>
      </c>
    </row>
    <row r="4211" spans="1:14" x14ac:dyDescent="0.3">
      <c r="A4211" s="6">
        <v>45958</v>
      </c>
      <c r="B4211" s="1" t="s">
        <v>4395</v>
      </c>
      <c r="C4211" s="1" t="s">
        <v>28</v>
      </c>
      <c r="D4211" t="s">
        <v>31</v>
      </c>
      <c r="E4211" t="s">
        <v>576</v>
      </c>
      <c r="F4211" t="s">
        <v>14</v>
      </c>
      <c r="G4211" t="s">
        <v>15</v>
      </c>
      <c r="H4211" s="3">
        <v>3</v>
      </c>
      <c r="I4211" s="3">
        <v>64350</v>
      </c>
      <c r="J4211" s="3">
        <v>193050</v>
      </c>
      <c r="K4211" s="3">
        <v>45000</v>
      </c>
      <c r="L4211" s="3">
        <v>135000</v>
      </c>
      <c r="M4211" s="3">
        <v>58050</v>
      </c>
      <c r="N4211" s="4">
        <v>0.30069930069930068</v>
      </c>
    </row>
    <row r="4212" spans="1:14" x14ac:dyDescent="0.3">
      <c r="A4212" s="6">
        <v>45958</v>
      </c>
      <c r="B4212" s="1" t="s">
        <v>4396</v>
      </c>
      <c r="C4212" s="1" t="s">
        <v>29</v>
      </c>
      <c r="D4212" t="s">
        <v>31</v>
      </c>
      <c r="E4212" t="s">
        <v>43</v>
      </c>
      <c r="F4212" t="s">
        <v>14</v>
      </c>
      <c r="G4212" t="s">
        <v>15</v>
      </c>
      <c r="H4212" s="3">
        <v>5</v>
      </c>
      <c r="I4212" s="3">
        <v>54900</v>
      </c>
      <c r="J4212" s="3">
        <v>274500</v>
      </c>
      <c r="K4212" s="3">
        <v>45000</v>
      </c>
      <c r="L4212" s="3">
        <v>225000</v>
      </c>
      <c r="M4212" s="3">
        <v>49500</v>
      </c>
      <c r="N4212" s="4">
        <v>0.18032786885245902</v>
      </c>
    </row>
    <row r="4213" spans="1:14" x14ac:dyDescent="0.3">
      <c r="A4213" s="6">
        <v>45958</v>
      </c>
      <c r="B4213" s="1" t="s">
        <v>4397</v>
      </c>
      <c r="C4213" s="1" t="s">
        <v>29</v>
      </c>
      <c r="D4213" t="s">
        <v>33</v>
      </c>
      <c r="E4213" t="s">
        <v>243</v>
      </c>
      <c r="F4213" t="s">
        <v>16</v>
      </c>
      <c r="G4213" t="s">
        <v>15</v>
      </c>
      <c r="H4213" s="3">
        <v>9</v>
      </c>
      <c r="I4213" s="3">
        <v>52439.999999999993</v>
      </c>
      <c r="J4213" s="3">
        <v>471959.99999999994</v>
      </c>
      <c r="K4213" s="3">
        <v>38000</v>
      </c>
      <c r="L4213" s="3">
        <v>342000</v>
      </c>
      <c r="M4213" s="3">
        <v>129959.99999999994</v>
      </c>
      <c r="N4213" s="4">
        <v>0.2753623188405796</v>
      </c>
    </row>
    <row r="4214" spans="1:14" x14ac:dyDescent="0.3">
      <c r="A4214" s="6">
        <v>45959</v>
      </c>
      <c r="B4214" s="1" t="s">
        <v>4398</v>
      </c>
      <c r="C4214" s="1" t="s">
        <v>26</v>
      </c>
      <c r="D4214" t="s">
        <v>33</v>
      </c>
      <c r="E4214" t="s">
        <v>169</v>
      </c>
      <c r="F4214" t="s">
        <v>14</v>
      </c>
      <c r="G4214" t="s">
        <v>15</v>
      </c>
      <c r="H4214" s="3">
        <v>4</v>
      </c>
      <c r="I4214" s="3">
        <v>59400</v>
      </c>
      <c r="J4214" s="3">
        <v>237600</v>
      </c>
      <c r="K4214" s="3">
        <v>45000</v>
      </c>
      <c r="L4214" s="3">
        <v>180000</v>
      </c>
      <c r="M4214" s="3">
        <v>57600</v>
      </c>
      <c r="N4214" s="4">
        <v>0.24242424242424243</v>
      </c>
    </row>
    <row r="4215" spans="1:14" x14ac:dyDescent="0.3">
      <c r="A4215" s="6">
        <v>45959</v>
      </c>
      <c r="B4215" s="1" t="s">
        <v>4399</v>
      </c>
      <c r="C4215" s="1" t="s">
        <v>27</v>
      </c>
      <c r="D4215" t="s">
        <v>33</v>
      </c>
      <c r="E4215" t="s">
        <v>447</v>
      </c>
      <c r="F4215" t="s">
        <v>23</v>
      </c>
      <c r="G4215" t="s">
        <v>25</v>
      </c>
      <c r="H4215" s="3">
        <v>5</v>
      </c>
      <c r="I4215" s="3">
        <v>4160</v>
      </c>
      <c r="J4215" s="3">
        <v>20800</v>
      </c>
      <c r="K4215" s="3">
        <v>3200</v>
      </c>
      <c r="L4215" s="3">
        <v>16000</v>
      </c>
      <c r="M4215" s="3">
        <v>4800</v>
      </c>
      <c r="N4215" s="4">
        <v>0.23076923076923078</v>
      </c>
    </row>
    <row r="4216" spans="1:14" x14ac:dyDescent="0.3">
      <c r="A4216" s="6">
        <v>45959</v>
      </c>
      <c r="B4216" s="1" t="s">
        <v>4400</v>
      </c>
      <c r="C4216" s="1" t="s">
        <v>28</v>
      </c>
      <c r="D4216" t="s">
        <v>35</v>
      </c>
      <c r="E4216" t="s">
        <v>442</v>
      </c>
      <c r="F4216" t="s">
        <v>22</v>
      </c>
      <c r="G4216" t="s">
        <v>18</v>
      </c>
      <c r="H4216" s="3">
        <v>4</v>
      </c>
      <c r="I4216" s="3">
        <v>8680</v>
      </c>
      <c r="J4216" s="3">
        <v>34720</v>
      </c>
      <c r="K4216" s="3">
        <v>7000</v>
      </c>
      <c r="L4216" s="3">
        <v>28000</v>
      </c>
      <c r="M4216" s="3">
        <v>6720</v>
      </c>
      <c r="N4216" s="4">
        <v>0.19354838709677419</v>
      </c>
    </row>
    <row r="4217" spans="1:14" x14ac:dyDescent="0.3">
      <c r="A4217" s="6">
        <v>45959</v>
      </c>
      <c r="B4217" s="1" t="s">
        <v>4401</v>
      </c>
      <c r="C4217" s="1" t="s">
        <v>26</v>
      </c>
      <c r="D4217" t="s">
        <v>30</v>
      </c>
      <c r="E4217" t="s">
        <v>538</v>
      </c>
      <c r="F4217" t="s">
        <v>16</v>
      </c>
      <c r="G4217" t="s">
        <v>15</v>
      </c>
      <c r="H4217" s="3">
        <v>2</v>
      </c>
      <c r="I4217" s="3">
        <v>54720</v>
      </c>
      <c r="J4217" s="3">
        <v>109440</v>
      </c>
      <c r="K4217" s="3">
        <v>38000</v>
      </c>
      <c r="L4217" s="3">
        <v>76000</v>
      </c>
      <c r="M4217" s="3">
        <v>33440</v>
      </c>
      <c r="N4217" s="4">
        <v>0.30555555555555558</v>
      </c>
    </row>
    <row r="4218" spans="1:14" x14ac:dyDescent="0.3">
      <c r="A4218" s="6">
        <v>45959</v>
      </c>
      <c r="B4218" s="1" t="s">
        <v>4402</v>
      </c>
      <c r="C4218" s="1" t="s">
        <v>27</v>
      </c>
      <c r="D4218" t="s">
        <v>30</v>
      </c>
      <c r="E4218" t="s">
        <v>102</v>
      </c>
      <c r="F4218" t="s">
        <v>22</v>
      </c>
      <c r="G4218" t="s">
        <v>18</v>
      </c>
      <c r="H4218" s="3">
        <v>1</v>
      </c>
      <c r="I4218" s="3">
        <v>9170</v>
      </c>
      <c r="J4218" s="3">
        <v>9170</v>
      </c>
      <c r="K4218" s="3">
        <v>7000</v>
      </c>
      <c r="L4218" s="3">
        <v>7000</v>
      </c>
      <c r="M4218" s="3">
        <v>2170</v>
      </c>
      <c r="N4218" s="4">
        <v>0.23664122137404581</v>
      </c>
    </row>
    <row r="4219" spans="1:14" x14ac:dyDescent="0.3">
      <c r="A4219" s="6">
        <v>45959</v>
      </c>
      <c r="B4219" s="1" t="s">
        <v>4403</v>
      </c>
      <c r="C4219" s="1" t="s">
        <v>28</v>
      </c>
      <c r="D4219" t="s">
        <v>30</v>
      </c>
      <c r="E4219" t="s">
        <v>189</v>
      </c>
      <c r="F4219" t="s">
        <v>16</v>
      </c>
      <c r="G4219" t="s">
        <v>15</v>
      </c>
      <c r="H4219" s="3">
        <v>7</v>
      </c>
      <c r="I4219" s="3">
        <v>49400</v>
      </c>
      <c r="J4219" s="3">
        <v>345800</v>
      </c>
      <c r="K4219" s="3">
        <v>38000</v>
      </c>
      <c r="L4219" s="3">
        <v>266000</v>
      </c>
      <c r="M4219" s="3">
        <v>79800</v>
      </c>
      <c r="N4219" s="4">
        <v>0.23076923076923078</v>
      </c>
    </row>
    <row r="4220" spans="1:14" x14ac:dyDescent="0.3">
      <c r="A4220" s="6">
        <v>45959</v>
      </c>
      <c r="B4220" s="1" t="s">
        <v>4404</v>
      </c>
      <c r="C4220" s="1" t="s">
        <v>29</v>
      </c>
      <c r="D4220" t="s">
        <v>30</v>
      </c>
      <c r="E4220" t="s">
        <v>365</v>
      </c>
      <c r="F4220" t="s">
        <v>22</v>
      </c>
      <c r="G4220" t="s">
        <v>18</v>
      </c>
      <c r="H4220" s="3">
        <v>6</v>
      </c>
      <c r="I4220" s="3">
        <v>9240</v>
      </c>
      <c r="J4220" s="3">
        <v>55440</v>
      </c>
      <c r="K4220" s="3">
        <v>7000</v>
      </c>
      <c r="L4220" s="3">
        <v>42000</v>
      </c>
      <c r="M4220" s="3">
        <v>13440</v>
      </c>
      <c r="N4220" s="4">
        <v>0.24242424242424243</v>
      </c>
    </row>
    <row r="4221" spans="1:14" x14ac:dyDescent="0.3">
      <c r="A4221" s="6">
        <v>45959</v>
      </c>
      <c r="B4221" s="1" t="s">
        <v>4405</v>
      </c>
      <c r="C4221" s="1" t="s">
        <v>27</v>
      </c>
      <c r="D4221" t="s">
        <v>34</v>
      </c>
      <c r="E4221" t="s">
        <v>280</v>
      </c>
      <c r="F4221" t="s">
        <v>17</v>
      </c>
      <c r="G4221" t="s">
        <v>18</v>
      </c>
      <c r="H4221" s="3">
        <v>6</v>
      </c>
      <c r="I4221" s="3">
        <v>12155</v>
      </c>
      <c r="J4221" s="3">
        <v>72930</v>
      </c>
      <c r="K4221" s="3">
        <v>8500</v>
      </c>
      <c r="L4221" s="3">
        <v>51000</v>
      </c>
      <c r="M4221" s="3">
        <v>21930</v>
      </c>
      <c r="N4221" s="4">
        <v>0.30069930069930068</v>
      </c>
    </row>
    <row r="4222" spans="1:14" x14ac:dyDescent="0.3">
      <c r="A4222" s="6">
        <v>45959</v>
      </c>
      <c r="B4222" s="1" t="s">
        <v>4406</v>
      </c>
      <c r="C4222" s="1" t="s">
        <v>29</v>
      </c>
      <c r="D4222" t="s">
        <v>31</v>
      </c>
      <c r="E4222" t="s">
        <v>233</v>
      </c>
      <c r="F4222" t="s">
        <v>23</v>
      </c>
      <c r="G4222" t="s">
        <v>25</v>
      </c>
      <c r="H4222" s="3">
        <v>9</v>
      </c>
      <c r="I4222" s="3">
        <v>4224</v>
      </c>
      <c r="J4222" s="3">
        <v>38016</v>
      </c>
      <c r="K4222" s="3">
        <v>3200</v>
      </c>
      <c r="L4222" s="3">
        <v>28800</v>
      </c>
      <c r="M4222" s="3">
        <v>9216</v>
      </c>
      <c r="N4222" s="4">
        <v>0.24242424242424243</v>
      </c>
    </row>
    <row r="4223" spans="1:14" x14ac:dyDescent="0.3">
      <c r="A4223" s="6">
        <v>45959</v>
      </c>
      <c r="B4223" s="1" t="s">
        <v>4407</v>
      </c>
      <c r="C4223" s="1" t="s">
        <v>28</v>
      </c>
      <c r="D4223" t="s">
        <v>34</v>
      </c>
      <c r="E4223" t="s">
        <v>159</v>
      </c>
      <c r="F4223" t="s">
        <v>22</v>
      </c>
      <c r="G4223" t="s">
        <v>18</v>
      </c>
      <c r="H4223" s="3">
        <v>2</v>
      </c>
      <c r="I4223" s="3">
        <v>9100</v>
      </c>
      <c r="J4223" s="3">
        <v>18200</v>
      </c>
      <c r="K4223" s="3">
        <v>7000</v>
      </c>
      <c r="L4223" s="3">
        <v>14000</v>
      </c>
      <c r="M4223" s="3">
        <v>4200</v>
      </c>
      <c r="N4223" s="4">
        <v>0.23076923076923078</v>
      </c>
    </row>
    <row r="4224" spans="1:14" x14ac:dyDescent="0.3">
      <c r="A4224" s="6">
        <v>45959</v>
      </c>
      <c r="B4224" s="1" t="s">
        <v>4408</v>
      </c>
      <c r="C4224" s="1" t="s">
        <v>28</v>
      </c>
      <c r="D4224" t="s">
        <v>35</v>
      </c>
      <c r="E4224" t="s">
        <v>216</v>
      </c>
      <c r="F4224" t="s">
        <v>22</v>
      </c>
      <c r="G4224" t="s">
        <v>18</v>
      </c>
      <c r="H4224" s="3">
        <v>10</v>
      </c>
      <c r="I4224" s="3">
        <v>8890</v>
      </c>
      <c r="J4224" s="3">
        <v>88900</v>
      </c>
      <c r="K4224" s="3">
        <v>7000</v>
      </c>
      <c r="L4224" s="3">
        <v>70000</v>
      </c>
      <c r="M4224" s="3">
        <v>18900</v>
      </c>
      <c r="N4224" s="4">
        <v>0.2125984251968504</v>
      </c>
    </row>
    <row r="4225" spans="1:14" x14ac:dyDescent="0.3">
      <c r="A4225" s="6">
        <v>45959</v>
      </c>
      <c r="B4225" s="1" t="s">
        <v>4409</v>
      </c>
      <c r="C4225" s="1" t="s">
        <v>27</v>
      </c>
      <c r="D4225" t="s">
        <v>34</v>
      </c>
      <c r="E4225" t="s">
        <v>159</v>
      </c>
      <c r="F4225" t="s">
        <v>22</v>
      </c>
      <c r="G4225" t="s">
        <v>18</v>
      </c>
      <c r="H4225" s="3">
        <v>7</v>
      </c>
      <c r="I4225" s="3">
        <v>9100</v>
      </c>
      <c r="J4225" s="3">
        <v>63700</v>
      </c>
      <c r="K4225" s="3">
        <v>7000</v>
      </c>
      <c r="L4225" s="3">
        <v>49000</v>
      </c>
      <c r="M4225" s="3">
        <v>14700</v>
      </c>
      <c r="N4225" s="4">
        <v>0.23076923076923078</v>
      </c>
    </row>
    <row r="4226" spans="1:14" x14ac:dyDescent="0.3">
      <c r="A4226" s="6">
        <v>45959</v>
      </c>
      <c r="B4226" s="1" t="s">
        <v>4410</v>
      </c>
      <c r="C4226" s="1" t="s">
        <v>27</v>
      </c>
      <c r="D4226" t="s">
        <v>35</v>
      </c>
      <c r="E4226" t="s">
        <v>85</v>
      </c>
      <c r="F4226" t="s">
        <v>16</v>
      </c>
      <c r="G4226" t="s">
        <v>15</v>
      </c>
      <c r="H4226" s="3">
        <v>10</v>
      </c>
      <c r="I4226" s="3">
        <v>47120</v>
      </c>
      <c r="J4226" s="3">
        <v>471200</v>
      </c>
      <c r="K4226" s="3">
        <v>38000</v>
      </c>
      <c r="L4226" s="3">
        <v>380000</v>
      </c>
      <c r="M4226" s="3">
        <v>91200</v>
      </c>
      <c r="N4226" s="4">
        <v>0.19354838709677419</v>
      </c>
    </row>
    <row r="4227" spans="1:14" x14ac:dyDescent="0.3">
      <c r="A4227" s="6">
        <v>45959</v>
      </c>
      <c r="B4227" s="1" t="s">
        <v>4411</v>
      </c>
      <c r="C4227" s="1" t="s">
        <v>29</v>
      </c>
      <c r="D4227" t="s">
        <v>32</v>
      </c>
      <c r="E4227" t="s">
        <v>506</v>
      </c>
      <c r="F4227" t="s">
        <v>19</v>
      </c>
      <c r="G4227" t="s">
        <v>20</v>
      </c>
      <c r="H4227" s="3">
        <v>10</v>
      </c>
      <c r="I4227" s="3">
        <v>1278</v>
      </c>
      <c r="J4227" s="3">
        <v>12780</v>
      </c>
      <c r="K4227" s="3">
        <v>900</v>
      </c>
      <c r="L4227" s="3">
        <v>9000</v>
      </c>
      <c r="M4227" s="3">
        <v>3780</v>
      </c>
      <c r="N4227" s="4">
        <v>0.29577464788732394</v>
      </c>
    </row>
    <row r="4228" spans="1:14" x14ac:dyDescent="0.3">
      <c r="A4228" s="6">
        <v>45960</v>
      </c>
      <c r="B4228" s="1" t="s">
        <v>4412</v>
      </c>
      <c r="C4228" s="1" t="s">
        <v>27</v>
      </c>
      <c r="D4228" t="s">
        <v>33</v>
      </c>
      <c r="E4228" t="s">
        <v>104</v>
      </c>
      <c r="F4228" t="s">
        <v>19</v>
      </c>
      <c r="G4228" t="s">
        <v>20</v>
      </c>
      <c r="H4228" s="3">
        <v>9</v>
      </c>
      <c r="I4228" s="3">
        <v>1224</v>
      </c>
      <c r="J4228" s="3">
        <v>11016</v>
      </c>
      <c r="K4228" s="3">
        <v>900</v>
      </c>
      <c r="L4228" s="3">
        <v>8100</v>
      </c>
      <c r="M4228" s="3">
        <v>2916</v>
      </c>
      <c r="N4228" s="4">
        <v>0.26470588235294118</v>
      </c>
    </row>
    <row r="4229" spans="1:14" x14ac:dyDescent="0.3">
      <c r="A4229" s="6">
        <v>45960</v>
      </c>
      <c r="B4229" s="1" t="s">
        <v>4413</v>
      </c>
      <c r="C4229" s="1" t="s">
        <v>29</v>
      </c>
      <c r="D4229" t="s">
        <v>30</v>
      </c>
      <c r="E4229" t="s">
        <v>120</v>
      </c>
      <c r="F4229" t="s">
        <v>17</v>
      </c>
      <c r="G4229" t="s">
        <v>18</v>
      </c>
      <c r="H4229" s="3">
        <v>9</v>
      </c>
      <c r="I4229" s="3">
        <v>12155</v>
      </c>
      <c r="J4229" s="3">
        <v>109395</v>
      </c>
      <c r="K4229" s="3">
        <v>8500</v>
      </c>
      <c r="L4229" s="3">
        <v>76500</v>
      </c>
      <c r="M4229" s="3">
        <v>32895</v>
      </c>
      <c r="N4229" s="4">
        <v>0.30069930069930068</v>
      </c>
    </row>
    <row r="4230" spans="1:14" x14ac:dyDescent="0.3">
      <c r="A4230" s="6">
        <v>45960</v>
      </c>
      <c r="B4230" s="1" t="s">
        <v>4414</v>
      </c>
      <c r="C4230" s="1" t="s">
        <v>28</v>
      </c>
      <c r="D4230" t="s">
        <v>34</v>
      </c>
      <c r="E4230" t="s">
        <v>233</v>
      </c>
      <c r="F4230" t="s">
        <v>17</v>
      </c>
      <c r="G4230" t="s">
        <v>18</v>
      </c>
      <c r="H4230" s="3">
        <v>6</v>
      </c>
      <c r="I4230" s="3">
        <v>12240</v>
      </c>
      <c r="J4230" s="3">
        <v>73440</v>
      </c>
      <c r="K4230" s="3">
        <v>8500</v>
      </c>
      <c r="L4230" s="3">
        <v>51000</v>
      </c>
      <c r="M4230" s="3">
        <v>22440</v>
      </c>
      <c r="N4230" s="4">
        <v>0.30555555555555558</v>
      </c>
    </row>
    <row r="4231" spans="1:14" x14ac:dyDescent="0.3">
      <c r="A4231" s="6">
        <v>45960</v>
      </c>
      <c r="B4231" s="1" t="s">
        <v>4415</v>
      </c>
      <c r="C4231" s="1" t="s">
        <v>29</v>
      </c>
      <c r="D4231" t="s">
        <v>32</v>
      </c>
      <c r="E4231" t="s">
        <v>357</v>
      </c>
      <c r="F4231" t="s">
        <v>22</v>
      </c>
      <c r="G4231" t="s">
        <v>18</v>
      </c>
      <c r="H4231" s="3">
        <v>5</v>
      </c>
      <c r="I4231" s="3">
        <v>8960</v>
      </c>
      <c r="J4231" s="3">
        <v>44800</v>
      </c>
      <c r="K4231" s="3">
        <v>7000</v>
      </c>
      <c r="L4231" s="3">
        <v>35000</v>
      </c>
      <c r="M4231" s="3">
        <v>9800</v>
      </c>
      <c r="N4231" s="4">
        <v>0.21875</v>
      </c>
    </row>
    <row r="4232" spans="1:14" x14ac:dyDescent="0.3">
      <c r="A4232" s="6">
        <v>45960</v>
      </c>
      <c r="B4232" s="1" t="s">
        <v>4416</v>
      </c>
      <c r="C4232" s="1" t="s">
        <v>28</v>
      </c>
      <c r="D4232" t="s">
        <v>33</v>
      </c>
      <c r="E4232" t="s">
        <v>198</v>
      </c>
      <c r="F4232" t="s">
        <v>23</v>
      </c>
      <c r="G4232" t="s">
        <v>25</v>
      </c>
      <c r="H4232" s="3">
        <v>6</v>
      </c>
      <c r="I4232" s="3">
        <v>4224</v>
      </c>
      <c r="J4232" s="3">
        <v>25344</v>
      </c>
      <c r="K4232" s="3">
        <v>3200</v>
      </c>
      <c r="L4232" s="3">
        <v>19200</v>
      </c>
      <c r="M4232" s="3">
        <v>6144</v>
      </c>
      <c r="N4232" s="4">
        <v>0.24242424242424243</v>
      </c>
    </row>
    <row r="4233" spans="1:14" x14ac:dyDescent="0.3">
      <c r="A4233" s="6">
        <v>45960</v>
      </c>
      <c r="B4233" s="1" t="s">
        <v>4417</v>
      </c>
      <c r="C4233" s="1" t="s">
        <v>26</v>
      </c>
      <c r="D4233" t="s">
        <v>32</v>
      </c>
      <c r="E4233" t="s">
        <v>134</v>
      </c>
      <c r="F4233" t="s">
        <v>16</v>
      </c>
      <c r="G4233" t="s">
        <v>15</v>
      </c>
      <c r="H4233" s="3">
        <v>3</v>
      </c>
      <c r="I4233" s="3">
        <v>50920</v>
      </c>
      <c r="J4233" s="3">
        <v>152760</v>
      </c>
      <c r="K4233" s="3">
        <v>38000</v>
      </c>
      <c r="L4233" s="3">
        <v>114000</v>
      </c>
      <c r="M4233" s="3">
        <v>38760</v>
      </c>
      <c r="N4233" s="4">
        <v>0.2537313432835821</v>
      </c>
    </row>
    <row r="4234" spans="1:14" x14ac:dyDescent="0.3">
      <c r="A4234" s="6">
        <v>45960</v>
      </c>
      <c r="B4234" s="1" t="s">
        <v>4418</v>
      </c>
      <c r="C4234" s="1" t="s">
        <v>28</v>
      </c>
      <c r="D4234" t="s">
        <v>34</v>
      </c>
      <c r="E4234" t="s">
        <v>61</v>
      </c>
      <c r="F4234" t="s">
        <v>16</v>
      </c>
      <c r="G4234" t="s">
        <v>15</v>
      </c>
      <c r="H4234" s="3">
        <v>4</v>
      </c>
      <c r="I4234" s="3">
        <v>50920</v>
      </c>
      <c r="J4234" s="3">
        <v>203680</v>
      </c>
      <c r="K4234" s="3">
        <v>38000</v>
      </c>
      <c r="L4234" s="3">
        <v>152000</v>
      </c>
      <c r="M4234" s="3">
        <v>51680</v>
      </c>
      <c r="N4234" s="4">
        <v>0.2537313432835821</v>
      </c>
    </row>
    <row r="4235" spans="1:14" x14ac:dyDescent="0.3">
      <c r="A4235" s="6">
        <v>45960</v>
      </c>
      <c r="B4235" s="1" t="s">
        <v>4419</v>
      </c>
      <c r="C4235" s="1" t="s">
        <v>29</v>
      </c>
      <c r="D4235" t="s">
        <v>30</v>
      </c>
      <c r="E4235" t="s">
        <v>131</v>
      </c>
      <c r="F4235" t="s">
        <v>14</v>
      </c>
      <c r="G4235" t="s">
        <v>15</v>
      </c>
      <c r="H4235" s="3">
        <v>5</v>
      </c>
      <c r="I4235" s="3">
        <v>65250</v>
      </c>
      <c r="J4235" s="3">
        <v>326250</v>
      </c>
      <c r="K4235" s="3">
        <v>45000</v>
      </c>
      <c r="L4235" s="3">
        <v>225000</v>
      </c>
      <c r="M4235" s="3">
        <v>101250</v>
      </c>
      <c r="N4235" s="4">
        <v>0.31034482758620691</v>
      </c>
    </row>
    <row r="4236" spans="1:14" x14ac:dyDescent="0.3">
      <c r="A4236" s="6">
        <v>45960</v>
      </c>
      <c r="B4236" s="1" t="s">
        <v>4420</v>
      </c>
      <c r="C4236" s="1" t="s">
        <v>28</v>
      </c>
      <c r="D4236" t="s">
        <v>31</v>
      </c>
      <c r="E4236" t="s">
        <v>122</v>
      </c>
      <c r="F4236" t="s">
        <v>16</v>
      </c>
      <c r="G4236" t="s">
        <v>15</v>
      </c>
      <c r="H4236" s="3">
        <v>6</v>
      </c>
      <c r="I4236" s="3">
        <v>53580</v>
      </c>
      <c r="J4236" s="3">
        <v>321480</v>
      </c>
      <c r="K4236" s="3">
        <v>38000</v>
      </c>
      <c r="L4236" s="3">
        <v>228000</v>
      </c>
      <c r="M4236" s="3">
        <v>93480</v>
      </c>
      <c r="N4236" s="4">
        <v>0.29078014184397161</v>
      </c>
    </row>
    <row r="4237" spans="1:14" x14ac:dyDescent="0.3">
      <c r="A4237" s="6">
        <v>45960</v>
      </c>
      <c r="B4237" s="1" t="s">
        <v>4421</v>
      </c>
      <c r="C4237" s="1" t="s">
        <v>26</v>
      </c>
      <c r="D4237" t="s">
        <v>34</v>
      </c>
      <c r="E4237" t="s">
        <v>317</v>
      </c>
      <c r="F4237" t="s">
        <v>16</v>
      </c>
      <c r="G4237" t="s">
        <v>15</v>
      </c>
      <c r="H4237" s="3">
        <v>2</v>
      </c>
      <c r="I4237" s="3">
        <v>54720</v>
      </c>
      <c r="J4237" s="3">
        <v>109440</v>
      </c>
      <c r="K4237" s="3">
        <v>38000</v>
      </c>
      <c r="L4237" s="3">
        <v>76000</v>
      </c>
      <c r="M4237" s="3">
        <v>33440</v>
      </c>
      <c r="N4237" s="4">
        <v>0.30555555555555558</v>
      </c>
    </row>
    <row r="4238" spans="1:14" x14ac:dyDescent="0.3">
      <c r="A4238" s="6">
        <v>45960</v>
      </c>
      <c r="B4238" s="1" t="s">
        <v>4422</v>
      </c>
      <c r="C4238" s="1" t="s">
        <v>27</v>
      </c>
      <c r="D4238" t="s">
        <v>32</v>
      </c>
      <c r="E4238" t="s">
        <v>310</v>
      </c>
      <c r="F4238" t="s">
        <v>14</v>
      </c>
      <c r="G4238" t="s">
        <v>15</v>
      </c>
      <c r="H4238" s="3">
        <v>2</v>
      </c>
      <c r="I4238" s="3">
        <v>62999.999999999993</v>
      </c>
      <c r="J4238" s="3">
        <v>125999.99999999999</v>
      </c>
      <c r="K4238" s="3">
        <v>45000</v>
      </c>
      <c r="L4238" s="3">
        <v>90000</v>
      </c>
      <c r="M4238" s="3">
        <v>35999.999999999985</v>
      </c>
      <c r="N4238" s="4">
        <v>0.28571428571428564</v>
      </c>
    </row>
    <row r="4239" spans="1:14" x14ac:dyDescent="0.3">
      <c r="A4239" s="6">
        <v>45960</v>
      </c>
      <c r="B4239" s="1" t="s">
        <v>4423</v>
      </c>
      <c r="C4239" s="1" t="s">
        <v>27</v>
      </c>
      <c r="D4239" t="s">
        <v>34</v>
      </c>
      <c r="E4239" t="s">
        <v>280</v>
      </c>
      <c r="F4239" t="s">
        <v>24</v>
      </c>
      <c r="G4239" t="s">
        <v>25</v>
      </c>
      <c r="H4239" s="3">
        <v>3</v>
      </c>
      <c r="I4239" s="3">
        <v>3550</v>
      </c>
      <c r="J4239" s="3">
        <v>10650</v>
      </c>
      <c r="K4239" s="3">
        <v>2500</v>
      </c>
      <c r="L4239" s="3">
        <v>7500</v>
      </c>
      <c r="M4239" s="3">
        <v>3150</v>
      </c>
      <c r="N4239" s="4">
        <v>0.29577464788732394</v>
      </c>
    </row>
    <row r="4240" spans="1:14" x14ac:dyDescent="0.3">
      <c r="A4240" s="6">
        <v>45960</v>
      </c>
      <c r="B4240" s="1" t="s">
        <v>4424</v>
      </c>
      <c r="C4240" s="1" t="s">
        <v>29</v>
      </c>
      <c r="D4240" t="s">
        <v>33</v>
      </c>
      <c r="E4240" t="s">
        <v>411</v>
      </c>
      <c r="F4240" t="s">
        <v>21</v>
      </c>
      <c r="G4240" t="s">
        <v>20</v>
      </c>
      <c r="H4240" s="3">
        <v>10</v>
      </c>
      <c r="I4240" s="3">
        <v>815.99999999999989</v>
      </c>
      <c r="J4240" s="3">
        <v>8159.9999999999991</v>
      </c>
      <c r="K4240" s="3">
        <v>600</v>
      </c>
      <c r="L4240" s="3">
        <v>6000</v>
      </c>
      <c r="M4240" s="3">
        <v>2159.9999999999991</v>
      </c>
      <c r="N4240" s="4">
        <v>0.26470588235294107</v>
      </c>
    </row>
    <row r="4241" spans="1:14" x14ac:dyDescent="0.3">
      <c r="A4241" s="6">
        <v>45960</v>
      </c>
      <c r="B4241" s="1" t="s">
        <v>4425</v>
      </c>
      <c r="C4241" s="1" t="s">
        <v>29</v>
      </c>
      <c r="D4241" t="s">
        <v>33</v>
      </c>
      <c r="E4241" t="s">
        <v>236</v>
      </c>
      <c r="F4241" t="s">
        <v>16</v>
      </c>
      <c r="G4241" t="s">
        <v>15</v>
      </c>
      <c r="H4241" s="3">
        <v>10</v>
      </c>
      <c r="I4241" s="3">
        <v>49400</v>
      </c>
      <c r="J4241" s="3">
        <v>494000</v>
      </c>
      <c r="K4241" s="3">
        <v>38000</v>
      </c>
      <c r="L4241" s="3">
        <v>380000</v>
      </c>
      <c r="M4241" s="3">
        <v>114000</v>
      </c>
      <c r="N4241" s="4">
        <v>0.23076923076923078</v>
      </c>
    </row>
    <row r="4242" spans="1:14" x14ac:dyDescent="0.3">
      <c r="A4242" s="6">
        <v>45961</v>
      </c>
      <c r="B4242" s="1" t="s">
        <v>4426</v>
      </c>
      <c r="C4242" s="1" t="s">
        <v>29</v>
      </c>
      <c r="D4242" t="s">
        <v>34</v>
      </c>
      <c r="E4242" t="s">
        <v>524</v>
      </c>
      <c r="F4242" t="s">
        <v>17</v>
      </c>
      <c r="G4242" t="s">
        <v>18</v>
      </c>
      <c r="H4242" s="3">
        <v>9</v>
      </c>
      <c r="I4242" s="3">
        <v>11475</v>
      </c>
      <c r="J4242" s="3">
        <v>103275</v>
      </c>
      <c r="K4242" s="3">
        <v>8500</v>
      </c>
      <c r="L4242" s="3">
        <v>76500</v>
      </c>
      <c r="M4242" s="3">
        <v>26775</v>
      </c>
      <c r="N4242" s="4">
        <v>0.25925925925925924</v>
      </c>
    </row>
    <row r="4243" spans="1:14" x14ac:dyDescent="0.3">
      <c r="A4243" s="6">
        <v>45961</v>
      </c>
      <c r="B4243" s="1" t="s">
        <v>4427</v>
      </c>
      <c r="C4243" s="1" t="s">
        <v>27</v>
      </c>
      <c r="D4243" t="s">
        <v>31</v>
      </c>
      <c r="E4243" t="s">
        <v>96</v>
      </c>
      <c r="F4243" t="s">
        <v>19</v>
      </c>
      <c r="G4243" t="s">
        <v>20</v>
      </c>
      <c r="H4243" s="3">
        <v>2</v>
      </c>
      <c r="I4243" s="3">
        <v>1125</v>
      </c>
      <c r="J4243" s="3">
        <v>2250</v>
      </c>
      <c r="K4243" s="3">
        <v>900</v>
      </c>
      <c r="L4243" s="3">
        <v>1800</v>
      </c>
      <c r="M4243" s="3">
        <v>450</v>
      </c>
      <c r="N4243" s="4">
        <v>0.2</v>
      </c>
    </row>
    <row r="4244" spans="1:14" x14ac:dyDescent="0.3">
      <c r="A4244" s="6">
        <v>45961</v>
      </c>
      <c r="B4244" s="1" t="s">
        <v>4428</v>
      </c>
      <c r="C4244" s="1" t="s">
        <v>29</v>
      </c>
      <c r="D4244" t="s">
        <v>33</v>
      </c>
      <c r="E4244" t="s">
        <v>233</v>
      </c>
      <c r="F4244" t="s">
        <v>14</v>
      </c>
      <c r="G4244" t="s">
        <v>15</v>
      </c>
      <c r="H4244" s="3">
        <v>10</v>
      </c>
      <c r="I4244" s="3">
        <v>65250</v>
      </c>
      <c r="J4244" s="3">
        <v>652500</v>
      </c>
      <c r="K4244" s="3">
        <v>45000</v>
      </c>
      <c r="L4244" s="3">
        <v>450000</v>
      </c>
      <c r="M4244" s="3">
        <v>202500</v>
      </c>
      <c r="N4244" s="4">
        <v>0.31034482758620691</v>
      </c>
    </row>
    <row r="4245" spans="1:14" x14ac:dyDescent="0.3">
      <c r="A4245" s="6">
        <v>45961</v>
      </c>
      <c r="B4245" s="1" t="s">
        <v>4429</v>
      </c>
      <c r="C4245" s="1" t="s">
        <v>26</v>
      </c>
      <c r="D4245" t="s">
        <v>30</v>
      </c>
      <c r="E4245" t="s">
        <v>218</v>
      </c>
      <c r="F4245" t="s">
        <v>17</v>
      </c>
      <c r="G4245" t="s">
        <v>18</v>
      </c>
      <c r="H4245" s="3">
        <v>6</v>
      </c>
      <c r="I4245" s="3">
        <v>10880</v>
      </c>
      <c r="J4245" s="3">
        <v>65280</v>
      </c>
      <c r="K4245" s="3">
        <v>8500</v>
      </c>
      <c r="L4245" s="3">
        <v>51000</v>
      </c>
      <c r="M4245" s="3">
        <v>14280</v>
      </c>
      <c r="N4245" s="4">
        <v>0.21875</v>
      </c>
    </row>
    <row r="4246" spans="1:14" x14ac:dyDescent="0.3">
      <c r="A4246" s="6">
        <v>45961</v>
      </c>
      <c r="B4246" s="1" t="s">
        <v>4430</v>
      </c>
      <c r="C4246" s="1" t="s">
        <v>27</v>
      </c>
      <c r="D4246" t="s">
        <v>35</v>
      </c>
      <c r="E4246" t="s">
        <v>157</v>
      </c>
      <c r="F4246" t="s">
        <v>24</v>
      </c>
      <c r="G4246" t="s">
        <v>25</v>
      </c>
      <c r="H4246" s="3">
        <v>3</v>
      </c>
      <c r="I4246" s="3">
        <v>3500</v>
      </c>
      <c r="J4246" s="3">
        <v>10500</v>
      </c>
      <c r="K4246" s="3">
        <v>2500</v>
      </c>
      <c r="L4246" s="3">
        <v>7500</v>
      </c>
      <c r="M4246" s="3">
        <v>3000</v>
      </c>
      <c r="N4246" s="4">
        <v>0.2857142857142857</v>
      </c>
    </row>
    <row r="4247" spans="1:14" x14ac:dyDescent="0.3">
      <c r="A4247" s="6">
        <v>45961</v>
      </c>
      <c r="B4247" s="1" t="s">
        <v>4431</v>
      </c>
      <c r="C4247" s="1" t="s">
        <v>29</v>
      </c>
      <c r="D4247" t="s">
        <v>32</v>
      </c>
      <c r="E4247" t="s">
        <v>76</v>
      </c>
      <c r="F4247" t="s">
        <v>24</v>
      </c>
      <c r="G4247" t="s">
        <v>25</v>
      </c>
      <c r="H4247" s="3">
        <v>5</v>
      </c>
      <c r="I4247" s="3">
        <v>3150</v>
      </c>
      <c r="J4247" s="3">
        <v>15750</v>
      </c>
      <c r="K4247" s="3">
        <v>2500</v>
      </c>
      <c r="L4247" s="3">
        <v>12500</v>
      </c>
      <c r="M4247" s="3">
        <v>3250</v>
      </c>
      <c r="N4247" s="4">
        <v>0.20634920634920634</v>
      </c>
    </row>
    <row r="4248" spans="1:14" x14ac:dyDescent="0.3">
      <c r="A4248" s="6">
        <v>45961</v>
      </c>
      <c r="B4248" s="1" t="s">
        <v>4432</v>
      </c>
      <c r="C4248" s="1" t="s">
        <v>28</v>
      </c>
      <c r="D4248" t="s">
        <v>35</v>
      </c>
      <c r="E4248" t="s">
        <v>157</v>
      </c>
      <c r="F4248" t="s">
        <v>17</v>
      </c>
      <c r="G4248" t="s">
        <v>18</v>
      </c>
      <c r="H4248" s="3">
        <v>7</v>
      </c>
      <c r="I4248" s="3">
        <v>11305</v>
      </c>
      <c r="J4248" s="3">
        <v>79135</v>
      </c>
      <c r="K4248" s="3">
        <v>8500</v>
      </c>
      <c r="L4248" s="3">
        <v>59500</v>
      </c>
      <c r="M4248" s="3">
        <v>19635</v>
      </c>
      <c r="N4248" s="4">
        <v>0.24812030075187969</v>
      </c>
    </row>
    <row r="4249" spans="1:14" x14ac:dyDescent="0.3">
      <c r="A4249" s="6">
        <v>45961</v>
      </c>
      <c r="B4249" s="1" t="s">
        <v>4433</v>
      </c>
      <c r="C4249" s="1" t="s">
        <v>26</v>
      </c>
      <c r="D4249" t="s">
        <v>34</v>
      </c>
      <c r="E4249" t="s">
        <v>102</v>
      </c>
      <c r="F4249" t="s">
        <v>14</v>
      </c>
      <c r="G4249" t="s">
        <v>15</v>
      </c>
      <c r="H4249" s="3">
        <v>9</v>
      </c>
      <c r="I4249" s="3">
        <v>65250</v>
      </c>
      <c r="J4249" s="3">
        <v>587250</v>
      </c>
      <c r="K4249" s="3">
        <v>45000</v>
      </c>
      <c r="L4249" s="3">
        <v>405000</v>
      </c>
      <c r="M4249" s="3">
        <v>182250</v>
      </c>
      <c r="N4249" s="4">
        <v>0.31034482758620691</v>
      </c>
    </row>
    <row r="4250" spans="1:14" x14ac:dyDescent="0.3">
      <c r="A4250" s="6">
        <v>45961</v>
      </c>
      <c r="B4250" s="1" t="s">
        <v>4434</v>
      </c>
      <c r="C4250" s="1" t="s">
        <v>28</v>
      </c>
      <c r="D4250" t="s">
        <v>35</v>
      </c>
      <c r="E4250" t="s">
        <v>72</v>
      </c>
      <c r="F4250" t="s">
        <v>14</v>
      </c>
      <c r="G4250" t="s">
        <v>15</v>
      </c>
      <c r="H4250" s="3">
        <v>4</v>
      </c>
      <c r="I4250" s="3">
        <v>65250</v>
      </c>
      <c r="J4250" s="3">
        <v>261000</v>
      </c>
      <c r="K4250" s="3">
        <v>45000</v>
      </c>
      <c r="L4250" s="3">
        <v>180000</v>
      </c>
      <c r="M4250" s="3">
        <v>81000</v>
      </c>
      <c r="N4250" s="4">
        <v>0.31034482758620691</v>
      </c>
    </row>
    <row r="4251" spans="1:14" x14ac:dyDescent="0.3">
      <c r="A4251" s="6">
        <v>45961</v>
      </c>
      <c r="B4251" s="1" t="s">
        <v>4435</v>
      </c>
      <c r="C4251" s="1" t="s">
        <v>29</v>
      </c>
      <c r="D4251" t="s">
        <v>32</v>
      </c>
      <c r="E4251" t="s">
        <v>76</v>
      </c>
      <c r="F4251" t="s">
        <v>19</v>
      </c>
      <c r="G4251" t="s">
        <v>20</v>
      </c>
      <c r="H4251" s="3">
        <v>9</v>
      </c>
      <c r="I4251" s="3">
        <v>1161</v>
      </c>
      <c r="J4251" s="3">
        <v>10449</v>
      </c>
      <c r="K4251" s="3">
        <v>900</v>
      </c>
      <c r="L4251" s="3">
        <v>8100</v>
      </c>
      <c r="M4251" s="3">
        <v>2349</v>
      </c>
      <c r="N4251" s="4">
        <v>0.22480620155038761</v>
      </c>
    </row>
    <row r="4252" spans="1:14" x14ac:dyDescent="0.3">
      <c r="A4252" s="6">
        <v>45961</v>
      </c>
      <c r="B4252" s="1" t="s">
        <v>4436</v>
      </c>
      <c r="C4252" s="1" t="s">
        <v>29</v>
      </c>
      <c r="D4252" t="s">
        <v>31</v>
      </c>
      <c r="E4252" t="s">
        <v>243</v>
      </c>
      <c r="F4252" t="s">
        <v>19</v>
      </c>
      <c r="G4252" t="s">
        <v>20</v>
      </c>
      <c r="H4252" s="3">
        <v>7</v>
      </c>
      <c r="I4252" s="3">
        <v>1089</v>
      </c>
      <c r="J4252" s="3">
        <v>7623</v>
      </c>
      <c r="K4252" s="3">
        <v>900</v>
      </c>
      <c r="L4252" s="3">
        <v>6300</v>
      </c>
      <c r="M4252" s="3">
        <v>1323</v>
      </c>
      <c r="N4252" s="4">
        <v>0.17355371900826447</v>
      </c>
    </row>
    <row r="4253" spans="1:14" x14ac:dyDescent="0.3">
      <c r="A4253" s="6">
        <v>45961</v>
      </c>
      <c r="B4253" s="1" t="s">
        <v>4437</v>
      </c>
      <c r="C4253" s="1" t="s">
        <v>29</v>
      </c>
      <c r="D4253" t="s">
        <v>30</v>
      </c>
      <c r="E4253" t="s">
        <v>153</v>
      </c>
      <c r="F4253" t="s">
        <v>17</v>
      </c>
      <c r="G4253" t="s">
        <v>18</v>
      </c>
      <c r="H4253" s="3">
        <v>10</v>
      </c>
      <c r="I4253" s="3">
        <v>10795</v>
      </c>
      <c r="J4253" s="3">
        <v>107950</v>
      </c>
      <c r="K4253" s="3">
        <v>8500</v>
      </c>
      <c r="L4253" s="3">
        <v>85000</v>
      </c>
      <c r="M4253" s="3">
        <v>22950</v>
      </c>
      <c r="N4253" s="4">
        <v>0.2125984251968504</v>
      </c>
    </row>
    <row r="4254" spans="1:14" x14ac:dyDescent="0.3">
      <c r="A4254" s="6">
        <v>45961</v>
      </c>
      <c r="B4254" s="1" t="s">
        <v>4438</v>
      </c>
      <c r="C4254" s="1" t="s">
        <v>26</v>
      </c>
      <c r="D4254" t="s">
        <v>35</v>
      </c>
      <c r="E4254" t="s">
        <v>57</v>
      </c>
      <c r="F4254" t="s">
        <v>21</v>
      </c>
      <c r="G4254" t="s">
        <v>20</v>
      </c>
      <c r="H4254" s="3">
        <v>7</v>
      </c>
      <c r="I4254" s="3">
        <v>720</v>
      </c>
      <c r="J4254" s="3">
        <v>5040</v>
      </c>
      <c r="K4254" s="3">
        <v>600</v>
      </c>
      <c r="L4254" s="3">
        <v>4200</v>
      </c>
      <c r="M4254" s="3">
        <v>840</v>
      </c>
      <c r="N4254" s="4">
        <v>0.16666666666666666</v>
      </c>
    </row>
    <row r="4255" spans="1:14" x14ac:dyDescent="0.3">
      <c r="A4255" s="6">
        <v>45961</v>
      </c>
      <c r="B4255" s="1" t="s">
        <v>4439</v>
      </c>
      <c r="C4255" s="1" t="s">
        <v>26</v>
      </c>
      <c r="D4255" t="s">
        <v>33</v>
      </c>
      <c r="E4255" t="s">
        <v>233</v>
      </c>
      <c r="F4255" t="s">
        <v>14</v>
      </c>
      <c r="G4255" t="s">
        <v>15</v>
      </c>
      <c r="H4255" s="3">
        <v>1</v>
      </c>
      <c r="I4255" s="3">
        <v>55800</v>
      </c>
      <c r="J4255" s="3">
        <v>55800</v>
      </c>
      <c r="K4255" s="3">
        <v>45000</v>
      </c>
      <c r="L4255" s="3">
        <v>45000</v>
      </c>
      <c r="M4255" s="3">
        <v>10800</v>
      </c>
      <c r="N4255" s="4">
        <v>0.19354838709677419</v>
      </c>
    </row>
    <row r="4256" spans="1:14" x14ac:dyDescent="0.3">
      <c r="A4256" s="6">
        <v>45962</v>
      </c>
      <c r="B4256" s="1" t="s">
        <v>4440</v>
      </c>
      <c r="C4256" s="1" t="s">
        <v>29</v>
      </c>
      <c r="D4256" t="s">
        <v>33</v>
      </c>
      <c r="E4256" t="s">
        <v>576</v>
      </c>
      <c r="F4256" t="s">
        <v>24</v>
      </c>
      <c r="G4256" t="s">
        <v>25</v>
      </c>
      <c r="H4256" s="3">
        <v>4</v>
      </c>
      <c r="I4256" s="3">
        <v>3075</v>
      </c>
      <c r="J4256" s="3">
        <v>12300</v>
      </c>
      <c r="K4256" s="3">
        <v>2500</v>
      </c>
      <c r="L4256" s="3">
        <v>10000</v>
      </c>
      <c r="M4256" s="3">
        <v>2300</v>
      </c>
      <c r="N4256" s="4">
        <v>0.18699186991869918</v>
      </c>
    </row>
    <row r="4257" spans="1:14" x14ac:dyDescent="0.3">
      <c r="A4257" s="6">
        <v>45962</v>
      </c>
      <c r="B4257" s="1" t="s">
        <v>4441</v>
      </c>
      <c r="C4257" s="1" t="s">
        <v>26</v>
      </c>
      <c r="D4257" t="s">
        <v>34</v>
      </c>
      <c r="E4257" t="s">
        <v>268</v>
      </c>
      <c r="F4257" t="s">
        <v>23</v>
      </c>
      <c r="G4257" t="s">
        <v>25</v>
      </c>
      <c r="H4257" s="3">
        <v>9</v>
      </c>
      <c r="I4257" s="3">
        <v>3936</v>
      </c>
      <c r="J4257" s="3">
        <v>35424</v>
      </c>
      <c r="K4257" s="3">
        <v>3200</v>
      </c>
      <c r="L4257" s="3">
        <v>28800</v>
      </c>
      <c r="M4257" s="3">
        <v>6624</v>
      </c>
      <c r="N4257" s="4">
        <v>0.18699186991869918</v>
      </c>
    </row>
    <row r="4258" spans="1:14" x14ac:dyDescent="0.3">
      <c r="A4258" s="6">
        <v>45962</v>
      </c>
      <c r="B4258" s="1" t="s">
        <v>4442</v>
      </c>
      <c r="C4258" s="1" t="s">
        <v>27</v>
      </c>
      <c r="D4258" t="s">
        <v>33</v>
      </c>
      <c r="E4258" t="s">
        <v>265</v>
      </c>
      <c r="F4258" t="s">
        <v>21</v>
      </c>
      <c r="G4258" t="s">
        <v>20</v>
      </c>
      <c r="H4258" s="3">
        <v>8</v>
      </c>
      <c r="I4258" s="3">
        <v>738</v>
      </c>
      <c r="J4258" s="3">
        <v>5904</v>
      </c>
      <c r="K4258" s="3">
        <v>600</v>
      </c>
      <c r="L4258" s="3">
        <v>4800</v>
      </c>
      <c r="M4258" s="3">
        <v>1104</v>
      </c>
      <c r="N4258" s="4">
        <v>0.18699186991869918</v>
      </c>
    </row>
    <row r="4259" spans="1:14" x14ac:dyDescent="0.3">
      <c r="A4259" s="6">
        <v>45962</v>
      </c>
      <c r="B4259" s="1" t="s">
        <v>4443</v>
      </c>
      <c r="C4259" s="1" t="s">
        <v>28</v>
      </c>
      <c r="D4259" t="s">
        <v>35</v>
      </c>
      <c r="E4259" t="s">
        <v>226</v>
      </c>
      <c r="F4259" t="s">
        <v>22</v>
      </c>
      <c r="G4259" t="s">
        <v>18</v>
      </c>
      <c r="H4259" s="3">
        <v>8</v>
      </c>
      <c r="I4259" s="3">
        <v>9380</v>
      </c>
      <c r="J4259" s="3">
        <v>75040</v>
      </c>
      <c r="K4259" s="3">
        <v>7000</v>
      </c>
      <c r="L4259" s="3">
        <v>56000</v>
      </c>
      <c r="M4259" s="3">
        <v>19040</v>
      </c>
      <c r="N4259" s="4">
        <v>0.2537313432835821</v>
      </c>
    </row>
    <row r="4260" spans="1:14" x14ac:dyDescent="0.3">
      <c r="A4260" s="6">
        <v>45962</v>
      </c>
      <c r="B4260" s="1" t="s">
        <v>4444</v>
      </c>
      <c r="C4260" s="1" t="s">
        <v>27</v>
      </c>
      <c r="D4260" t="s">
        <v>35</v>
      </c>
      <c r="E4260" t="s">
        <v>379</v>
      </c>
      <c r="F4260" t="s">
        <v>14</v>
      </c>
      <c r="G4260" t="s">
        <v>15</v>
      </c>
      <c r="H4260" s="3">
        <v>2</v>
      </c>
      <c r="I4260" s="3">
        <v>62099.999999999993</v>
      </c>
      <c r="J4260" s="3">
        <v>124199.99999999999</v>
      </c>
      <c r="K4260" s="3">
        <v>45000</v>
      </c>
      <c r="L4260" s="3">
        <v>90000</v>
      </c>
      <c r="M4260" s="3">
        <v>34199.999999999985</v>
      </c>
      <c r="N4260" s="4">
        <v>0.2753623188405796</v>
      </c>
    </row>
    <row r="4261" spans="1:14" x14ac:dyDescent="0.3">
      <c r="A4261" s="6">
        <v>45962</v>
      </c>
      <c r="B4261" s="1" t="s">
        <v>4445</v>
      </c>
      <c r="C4261" s="1" t="s">
        <v>27</v>
      </c>
      <c r="D4261" t="s">
        <v>31</v>
      </c>
      <c r="E4261" t="s">
        <v>204</v>
      </c>
      <c r="F4261" t="s">
        <v>16</v>
      </c>
      <c r="G4261" t="s">
        <v>15</v>
      </c>
      <c r="H4261" s="3">
        <v>9</v>
      </c>
      <c r="I4261" s="3">
        <v>55100</v>
      </c>
      <c r="J4261" s="3">
        <v>495900</v>
      </c>
      <c r="K4261" s="3">
        <v>38000</v>
      </c>
      <c r="L4261" s="3">
        <v>342000</v>
      </c>
      <c r="M4261" s="3">
        <v>153900</v>
      </c>
      <c r="N4261" s="4">
        <v>0.31034482758620691</v>
      </c>
    </row>
    <row r="4262" spans="1:14" x14ac:dyDescent="0.3">
      <c r="A4262" s="6">
        <v>45962</v>
      </c>
      <c r="B4262" s="1" t="s">
        <v>4446</v>
      </c>
      <c r="C4262" s="1" t="s">
        <v>28</v>
      </c>
      <c r="D4262" t="s">
        <v>31</v>
      </c>
      <c r="E4262" t="s">
        <v>67</v>
      </c>
      <c r="F4262" t="s">
        <v>23</v>
      </c>
      <c r="G4262" t="s">
        <v>25</v>
      </c>
      <c r="H4262" s="3">
        <v>10</v>
      </c>
      <c r="I4262" s="3">
        <v>4480</v>
      </c>
      <c r="J4262" s="3">
        <v>44800</v>
      </c>
      <c r="K4262" s="3">
        <v>3200</v>
      </c>
      <c r="L4262" s="3">
        <v>32000</v>
      </c>
      <c r="M4262" s="3">
        <v>12800</v>
      </c>
      <c r="N4262" s="4">
        <v>0.2857142857142857</v>
      </c>
    </row>
    <row r="4263" spans="1:14" x14ac:dyDescent="0.3">
      <c r="A4263" s="6">
        <v>45962</v>
      </c>
      <c r="B4263" s="1" t="s">
        <v>4447</v>
      </c>
      <c r="C4263" s="1" t="s">
        <v>26</v>
      </c>
      <c r="D4263" t="s">
        <v>32</v>
      </c>
      <c r="E4263" t="s">
        <v>145</v>
      </c>
      <c r="F4263" t="s">
        <v>21</v>
      </c>
      <c r="G4263" t="s">
        <v>20</v>
      </c>
      <c r="H4263" s="3">
        <v>3</v>
      </c>
      <c r="I4263" s="3">
        <v>774</v>
      </c>
      <c r="J4263" s="3">
        <v>2322</v>
      </c>
      <c r="K4263" s="3">
        <v>600</v>
      </c>
      <c r="L4263" s="3">
        <v>1800</v>
      </c>
      <c r="M4263" s="3">
        <v>522</v>
      </c>
      <c r="N4263" s="4">
        <v>0.22480620155038761</v>
      </c>
    </row>
    <row r="4264" spans="1:14" x14ac:dyDescent="0.3">
      <c r="A4264" s="6">
        <v>45962</v>
      </c>
      <c r="B4264" s="1" t="s">
        <v>4448</v>
      </c>
      <c r="C4264" s="1" t="s">
        <v>29</v>
      </c>
      <c r="D4264" t="s">
        <v>33</v>
      </c>
      <c r="E4264" t="s">
        <v>371</v>
      </c>
      <c r="F4264" t="s">
        <v>19</v>
      </c>
      <c r="G4264" t="s">
        <v>20</v>
      </c>
      <c r="H4264" s="3">
        <v>9</v>
      </c>
      <c r="I4264" s="3">
        <v>1215</v>
      </c>
      <c r="J4264" s="3">
        <v>10935</v>
      </c>
      <c r="K4264" s="3">
        <v>900</v>
      </c>
      <c r="L4264" s="3">
        <v>8100</v>
      </c>
      <c r="M4264" s="3">
        <v>2835</v>
      </c>
      <c r="N4264" s="4">
        <v>0.25925925925925924</v>
      </c>
    </row>
    <row r="4265" spans="1:14" x14ac:dyDescent="0.3">
      <c r="A4265" s="6">
        <v>45962</v>
      </c>
      <c r="B4265" s="1" t="s">
        <v>4449</v>
      </c>
      <c r="C4265" s="1" t="s">
        <v>29</v>
      </c>
      <c r="D4265" t="s">
        <v>32</v>
      </c>
      <c r="E4265" t="s">
        <v>319</v>
      </c>
      <c r="F4265" t="s">
        <v>23</v>
      </c>
      <c r="G4265" t="s">
        <v>25</v>
      </c>
      <c r="H4265" s="3">
        <v>5</v>
      </c>
      <c r="I4265" s="3">
        <v>3904</v>
      </c>
      <c r="J4265" s="3">
        <v>19520</v>
      </c>
      <c r="K4265" s="3">
        <v>3200</v>
      </c>
      <c r="L4265" s="3">
        <v>16000</v>
      </c>
      <c r="M4265" s="3">
        <v>3520</v>
      </c>
      <c r="N4265" s="4">
        <v>0.18032786885245902</v>
      </c>
    </row>
    <row r="4266" spans="1:14" x14ac:dyDescent="0.3">
      <c r="A4266" s="6">
        <v>45962</v>
      </c>
      <c r="B4266" s="1" t="s">
        <v>4450</v>
      </c>
      <c r="C4266" s="1" t="s">
        <v>26</v>
      </c>
      <c r="D4266" t="s">
        <v>31</v>
      </c>
      <c r="E4266" t="s">
        <v>548</v>
      </c>
      <c r="F4266" t="s">
        <v>16</v>
      </c>
      <c r="G4266" t="s">
        <v>15</v>
      </c>
      <c r="H4266" s="3">
        <v>2</v>
      </c>
      <c r="I4266" s="3">
        <v>53200</v>
      </c>
      <c r="J4266" s="3">
        <v>106400</v>
      </c>
      <c r="K4266" s="3">
        <v>38000</v>
      </c>
      <c r="L4266" s="3">
        <v>76000</v>
      </c>
      <c r="M4266" s="3">
        <v>30400</v>
      </c>
      <c r="N4266" s="4">
        <v>0.2857142857142857</v>
      </c>
    </row>
    <row r="4267" spans="1:14" x14ac:dyDescent="0.3">
      <c r="A4267" s="6">
        <v>45962</v>
      </c>
      <c r="B4267" s="1" t="s">
        <v>4451</v>
      </c>
      <c r="C4267" s="1" t="s">
        <v>26</v>
      </c>
      <c r="D4267" t="s">
        <v>34</v>
      </c>
      <c r="E4267" t="s">
        <v>349</v>
      </c>
      <c r="F4267" t="s">
        <v>23</v>
      </c>
      <c r="G4267" t="s">
        <v>25</v>
      </c>
      <c r="H4267" s="3">
        <v>6</v>
      </c>
      <c r="I4267" s="3">
        <v>4000</v>
      </c>
      <c r="J4267" s="3">
        <v>24000</v>
      </c>
      <c r="K4267" s="3">
        <v>3200</v>
      </c>
      <c r="L4267" s="3">
        <v>19200</v>
      </c>
      <c r="M4267" s="3">
        <v>4800</v>
      </c>
      <c r="N4267" s="4">
        <v>0.2</v>
      </c>
    </row>
    <row r="4268" spans="1:14" x14ac:dyDescent="0.3">
      <c r="A4268" s="6">
        <v>45962</v>
      </c>
      <c r="B4268" s="1" t="s">
        <v>4452</v>
      </c>
      <c r="C4268" s="1" t="s">
        <v>26</v>
      </c>
      <c r="D4268" t="s">
        <v>30</v>
      </c>
      <c r="E4268" t="s">
        <v>108</v>
      </c>
      <c r="F4268" t="s">
        <v>24</v>
      </c>
      <c r="G4268" t="s">
        <v>25</v>
      </c>
      <c r="H4268" s="3">
        <v>6</v>
      </c>
      <c r="I4268" s="3">
        <v>3025</v>
      </c>
      <c r="J4268" s="3">
        <v>18150</v>
      </c>
      <c r="K4268" s="3">
        <v>2500</v>
      </c>
      <c r="L4268" s="3">
        <v>15000</v>
      </c>
      <c r="M4268" s="3">
        <v>3150</v>
      </c>
      <c r="N4268" s="4">
        <v>0.17355371900826447</v>
      </c>
    </row>
    <row r="4269" spans="1:14" x14ac:dyDescent="0.3">
      <c r="A4269" s="6">
        <v>45962</v>
      </c>
      <c r="B4269" s="1" t="s">
        <v>4453</v>
      </c>
      <c r="C4269" s="1" t="s">
        <v>28</v>
      </c>
      <c r="D4269" t="s">
        <v>31</v>
      </c>
      <c r="E4269" t="s">
        <v>55</v>
      </c>
      <c r="F4269" t="s">
        <v>22</v>
      </c>
      <c r="G4269" t="s">
        <v>18</v>
      </c>
      <c r="H4269" s="3">
        <v>1</v>
      </c>
      <c r="I4269" s="3">
        <v>9100</v>
      </c>
      <c r="J4269" s="3">
        <v>9100</v>
      </c>
      <c r="K4269" s="3">
        <v>7000</v>
      </c>
      <c r="L4269" s="3">
        <v>7000</v>
      </c>
      <c r="M4269" s="3">
        <v>2100</v>
      </c>
      <c r="N4269" s="4">
        <v>0.23076923076923078</v>
      </c>
    </row>
    <row r="4270" spans="1:14" x14ac:dyDescent="0.3">
      <c r="A4270" s="6">
        <v>45963</v>
      </c>
      <c r="B4270" s="1" t="s">
        <v>4454</v>
      </c>
      <c r="C4270" s="1" t="s">
        <v>26</v>
      </c>
      <c r="D4270" t="s">
        <v>35</v>
      </c>
      <c r="E4270" t="s">
        <v>112</v>
      </c>
      <c r="F4270" t="s">
        <v>22</v>
      </c>
      <c r="G4270" t="s">
        <v>18</v>
      </c>
      <c r="H4270" s="3">
        <v>2</v>
      </c>
      <c r="I4270" s="3">
        <v>8820</v>
      </c>
      <c r="J4270" s="3">
        <v>17640</v>
      </c>
      <c r="K4270" s="3">
        <v>7000</v>
      </c>
      <c r="L4270" s="3">
        <v>14000</v>
      </c>
      <c r="M4270" s="3">
        <v>3640</v>
      </c>
      <c r="N4270" s="4">
        <v>0.20634920634920634</v>
      </c>
    </row>
    <row r="4271" spans="1:14" x14ac:dyDescent="0.3">
      <c r="A4271" s="6">
        <v>45963</v>
      </c>
      <c r="B4271" s="1" t="s">
        <v>4455</v>
      </c>
      <c r="C4271" s="1" t="s">
        <v>28</v>
      </c>
      <c r="D4271" t="s">
        <v>30</v>
      </c>
      <c r="E4271" t="s">
        <v>226</v>
      </c>
      <c r="F4271" t="s">
        <v>17</v>
      </c>
      <c r="G4271" t="s">
        <v>18</v>
      </c>
      <c r="H4271" s="3">
        <v>8</v>
      </c>
      <c r="I4271" s="3">
        <v>10455</v>
      </c>
      <c r="J4271" s="3">
        <v>83640</v>
      </c>
      <c r="K4271" s="3">
        <v>8500</v>
      </c>
      <c r="L4271" s="3">
        <v>68000</v>
      </c>
      <c r="M4271" s="3">
        <v>15640</v>
      </c>
      <c r="N4271" s="4">
        <v>0.18699186991869918</v>
      </c>
    </row>
    <row r="4272" spans="1:14" x14ac:dyDescent="0.3">
      <c r="A4272" s="6">
        <v>45963</v>
      </c>
      <c r="B4272" s="1" t="s">
        <v>4456</v>
      </c>
      <c r="C4272" s="1" t="s">
        <v>26</v>
      </c>
      <c r="D4272" t="s">
        <v>32</v>
      </c>
      <c r="E4272" t="s">
        <v>807</v>
      </c>
      <c r="F4272" t="s">
        <v>14</v>
      </c>
      <c r="G4272" t="s">
        <v>15</v>
      </c>
      <c r="H4272" s="3">
        <v>10</v>
      </c>
      <c r="I4272" s="3">
        <v>63450</v>
      </c>
      <c r="J4272" s="3">
        <v>634500</v>
      </c>
      <c r="K4272" s="3">
        <v>45000</v>
      </c>
      <c r="L4272" s="3">
        <v>450000</v>
      </c>
      <c r="M4272" s="3">
        <v>184500</v>
      </c>
      <c r="N4272" s="4">
        <v>0.29078014184397161</v>
      </c>
    </row>
    <row r="4273" spans="1:14" x14ac:dyDescent="0.3">
      <c r="A4273" s="6">
        <v>45963</v>
      </c>
      <c r="B4273" s="1" t="s">
        <v>4457</v>
      </c>
      <c r="C4273" s="1" t="s">
        <v>28</v>
      </c>
      <c r="D4273" t="s">
        <v>33</v>
      </c>
      <c r="E4273" t="s">
        <v>327</v>
      </c>
      <c r="F4273" t="s">
        <v>24</v>
      </c>
      <c r="G4273" t="s">
        <v>25</v>
      </c>
      <c r="H4273" s="3">
        <v>6</v>
      </c>
      <c r="I4273" s="3">
        <v>3350</v>
      </c>
      <c r="J4273" s="3">
        <v>20100</v>
      </c>
      <c r="K4273" s="3">
        <v>2500</v>
      </c>
      <c r="L4273" s="3">
        <v>15000</v>
      </c>
      <c r="M4273" s="3">
        <v>5100</v>
      </c>
      <c r="N4273" s="4">
        <v>0.2537313432835821</v>
      </c>
    </row>
    <row r="4274" spans="1:14" x14ac:dyDescent="0.3">
      <c r="A4274" s="6">
        <v>45963</v>
      </c>
      <c r="B4274" s="1" t="s">
        <v>4458</v>
      </c>
      <c r="C4274" s="1" t="s">
        <v>27</v>
      </c>
      <c r="D4274" t="s">
        <v>32</v>
      </c>
      <c r="E4274" t="s">
        <v>163</v>
      </c>
      <c r="F4274" t="s">
        <v>22</v>
      </c>
      <c r="G4274" t="s">
        <v>18</v>
      </c>
      <c r="H4274" s="3">
        <v>10</v>
      </c>
      <c r="I4274" s="3">
        <v>9590</v>
      </c>
      <c r="J4274" s="3">
        <v>95900</v>
      </c>
      <c r="K4274" s="3">
        <v>7000</v>
      </c>
      <c r="L4274" s="3">
        <v>70000</v>
      </c>
      <c r="M4274" s="3">
        <v>25900</v>
      </c>
      <c r="N4274" s="4">
        <v>0.27007299270072993</v>
      </c>
    </row>
    <row r="4275" spans="1:14" x14ac:dyDescent="0.3">
      <c r="A4275" s="6">
        <v>45963</v>
      </c>
      <c r="B4275" s="1" t="s">
        <v>4459</v>
      </c>
      <c r="C4275" s="1" t="s">
        <v>27</v>
      </c>
      <c r="D4275" t="s">
        <v>35</v>
      </c>
      <c r="E4275" t="s">
        <v>85</v>
      </c>
      <c r="F4275" t="s">
        <v>22</v>
      </c>
      <c r="G4275" t="s">
        <v>18</v>
      </c>
      <c r="H4275" s="3">
        <v>1</v>
      </c>
      <c r="I4275" s="3">
        <v>10010</v>
      </c>
      <c r="J4275" s="3">
        <v>10010</v>
      </c>
      <c r="K4275" s="3">
        <v>7000</v>
      </c>
      <c r="L4275" s="3">
        <v>7000</v>
      </c>
      <c r="M4275" s="3">
        <v>3010</v>
      </c>
      <c r="N4275" s="4">
        <v>0.30069930069930068</v>
      </c>
    </row>
    <row r="4276" spans="1:14" x14ac:dyDescent="0.3">
      <c r="A4276" s="6">
        <v>45963</v>
      </c>
      <c r="B4276" s="1" t="s">
        <v>4460</v>
      </c>
      <c r="C4276" s="1" t="s">
        <v>26</v>
      </c>
      <c r="D4276" t="s">
        <v>31</v>
      </c>
      <c r="E4276" t="s">
        <v>453</v>
      </c>
      <c r="F4276" t="s">
        <v>19</v>
      </c>
      <c r="G4276" t="s">
        <v>20</v>
      </c>
      <c r="H4276" s="3">
        <v>2</v>
      </c>
      <c r="I4276" s="3">
        <v>1233</v>
      </c>
      <c r="J4276" s="3">
        <v>2466</v>
      </c>
      <c r="K4276" s="3">
        <v>900</v>
      </c>
      <c r="L4276" s="3">
        <v>1800</v>
      </c>
      <c r="M4276" s="3">
        <v>666</v>
      </c>
      <c r="N4276" s="4">
        <v>0.27007299270072993</v>
      </c>
    </row>
    <row r="4277" spans="1:14" x14ac:dyDescent="0.3">
      <c r="A4277" s="6">
        <v>45963</v>
      </c>
      <c r="B4277" s="1" t="s">
        <v>4461</v>
      </c>
      <c r="C4277" s="1" t="s">
        <v>27</v>
      </c>
      <c r="D4277" t="s">
        <v>33</v>
      </c>
      <c r="E4277" t="s">
        <v>151</v>
      </c>
      <c r="F4277" t="s">
        <v>23</v>
      </c>
      <c r="G4277" t="s">
        <v>25</v>
      </c>
      <c r="H4277" s="3">
        <v>10</v>
      </c>
      <c r="I4277" s="3">
        <v>4320</v>
      </c>
      <c r="J4277" s="3">
        <v>43200</v>
      </c>
      <c r="K4277" s="3">
        <v>3200</v>
      </c>
      <c r="L4277" s="3">
        <v>32000</v>
      </c>
      <c r="M4277" s="3">
        <v>11200</v>
      </c>
      <c r="N4277" s="4">
        <v>0.25925925925925924</v>
      </c>
    </row>
    <row r="4278" spans="1:14" x14ac:dyDescent="0.3">
      <c r="A4278" s="6">
        <v>45963</v>
      </c>
      <c r="B4278" s="1" t="s">
        <v>4462</v>
      </c>
      <c r="C4278" s="1" t="s">
        <v>27</v>
      </c>
      <c r="D4278" t="s">
        <v>32</v>
      </c>
      <c r="E4278" t="s">
        <v>126</v>
      </c>
      <c r="F4278" t="s">
        <v>14</v>
      </c>
      <c r="G4278" t="s">
        <v>15</v>
      </c>
      <c r="H4278" s="3">
        <v>1</v>
      </c>
      <c r="I4278" s="3">
        <v>56700</v>
      </c>
      <c r="J4278" s="3">
        <v>56700</v>
      </c>
      <c r="K4278" s="3">
        <v>45000</v>
      </c>
      <c r="L4278" s="3">
        <v>45000</v>
      </c>
      <c r="M4278" s="3">
        <v>11700</v>
      </c>
      <c r="N4278" s="4">
        <v>0.20634920634920634</v>
      </c>
    </row>
    <row r="4279" spans="1:14" x14ac:dyDescent="0.3">
      <c r="A4279" s="6">
        <v>45963</v>
      </c>
      <c r="B4279" s="1" t="s">
        <v>4463</v>
      </c>
      <c r="C4279" s="1" t="s">
        <v>28</v>
      </c>
      <c r="D4279" t="s">
        <v>30</v>
      </c>
      <c r="E4279" t="s">
        <v>243</v>
      </c>
      <c r="F4279" t="s">
        <v>19</v>
      </c>
      <c r="G4279" t="s">
        <v>20</v>
      </c>
      <c r="H4279" s="3">
        <v>1</v>
      </c>
      <c r="I4279" s="3">
        <v>1287</v>
      </c>
      <c r="J4279" s="3">
        <v>1287</v>
      </c>
      <c r="K4279" s="3">
        <v>900</v>
      </c>
      <c r="L4279" s="3">
        <v>900</v>
      </c>
      <c r="M4279" s="3">
        <v>387</v>
      </c>
      <c r="N4279" s="4">
        <v>0.30069930069930068</v>
      </c>
    </row>
    <row r="4280" spans="1:14" x14ac:dyDescent="0.3">
      <c r="A4280" s="6">
        <v>45963</v>
      </c>
      <c r="B4280" s="1" t="s">
        <v>4464</v>
      </c>
      <c r="C4280" s="1" t="s">
        <v>26</v>
      </c>
      <c r="D4280" t="s">
        <v>31</v>
      </c>
      <c r="E4280" t="s">
        <v>220</v>
      </c>
      <c r="F4280" t="s">
        <v>14</v>
      </c>
      <c r="G4280" t="s">
        <v>15</v>
      </c>
      <c r="H4280" s="3">
        <v>4</v>
      </c>
      <c r="I4280" s="3">
        <v>64800</v>
      </c>
      <c r="J4280" s="3">
        <v>259200</v>
      </c>
      <c r="K4280" s="3">
        <v>45000</v>
      </c>
      <c r="L4280" s="3">
        <v>180000</v>
      </c>
      <c r="M4280" s="3">
        <v>79200</v>
      </c>
      <c r="N4280" s="4">
        <v>0.30555555555555558</v>
      </c>
    </row>
    <row r="4281" spans="1:14" x14ac:dyDescent="0.3">
      <c r="A4281" s="6">
        <v>45963</v>
      </c>
      <c r="B4281" s="1" t="s">
        <v>4465</v>
      </c>
      <c r="C4281" s="1" t="s">
        <v>28</v>
      </c>
      <c r="D4281" t="s">
        <v>30</v>
      </c>
      <c r="E4281" t="s">
        <v>319</v>
      </c>
      <c r="F4281" t="s">
        <v>17</v>
      </c>
      <c r="G4281" t="s">
        <v>18</v>
      </c>
      <c r="H4281" s="3">
        <v>9</v>
      </c>
      <c r="I4281" s="3">
        <v>10540</v>
      </c>
      <c r="J4281" s="3">
        <v>94860</v>
      </c>
      <c r="K4281" s="3">
        <v>8500</v>
      </c>
      <c r="L4281" s="3">
        <v>76500</v>
      </c>
      <c r="M4281" s="3">
        <v>18360</v>
      </c>
      <c r="N4281" s="4">
        <v>0.19354838709677419</v>
      </c>
    </row>
    <row r="4282" spans="1:14" x14ac:dyDescent="0.3">
      <c r="A4282" s="6">
        <v>45963</v>
      </c>
      <c r="B4282" s="1" t="s">
        <v>4466</v>
      </c>
      <c r="C4282" s="1" t="s">
        <v>26</v>
      </c>
      <c r="D4282" t="s">
        <v>35</v>
      </c>
      <c r="E4282" t="s">
        <v>145</v>
      </c>
      <c r="F4282" t="s">
        <v>16</v>
      </c>
      <c r="G4282" t="s">
        <v>15</v>
      </c>
      <c r="H4282" s="3">
        <v>10</v>
      </c>
      <c r="I4282" s="3">
        <v>45600</v>
      </c>
      <c r="J4282" s="3">
        <v>456000</v>
      </c>
      <c r="K4282" s="3">
        <v>38000</v>
      </c>
      <c r="L4282" s="3">
        <v>380000</v>
      </c>
      <c r="M4282" s="3">
        <v>76000</v>
      </c>
      <c r="N4282" s="4">
        <v>0.16666666666666666</v>
      </c>
    </row>
    <row r="4283" spans="1:14" x14ac:dyDescent="0.3">
      <c r="A4283" s="6">
        <v>45963</v>
      </c>
      <c r="B4283" s="1" t="s">
        <v>4467</v>
      </c>
      <c r="C4283" s="1" t="s">
        <v>26</v>
      </c>
      <c r="D4283" t="s">
        <v>32</v>
      </c>
      <c r="E4283" t="s">
        <v>163</v>
      </c>
      <c r="F4283" t="s">
        <v>16</v>
      </c>
      <c r="G4283" t="s">
        <v>15</v>
      </c>
      <c r="H4283" s="3">
        <v>3</v>
      </c>
      <c r="I4283" s="3">
        <v>45980</v>
      </c>
      <c r="J4283" s="3">
        <v>137940</v>
      </c>
      <c r="K4283" s="3">
        <v>38000</v>
      </c>
      <c r="L4283" s="3">
        <v>114000</v>
      </c>
      <c r="M4283" s="3">
        <v>23940</v>
      </c>
      <c r="N4283" s="4">
        <v>0.17355371900826447</v>
      </c>
    </row>
    <row r="4284" spans="1:14" x14ac:dyDescent="0.3">
      <c r="A4284" s="6">
        <v>45964</v>
      </c>
      <c r="B4284" s="1" t="s">
        <v>4468</v>
      </c>
      <c r="C4284" s="1" t="s">
        <v>28</v>
      </c>
      <c r="D4284" t="s">
        <v>33</v>
      </c>
      <c r="E4284" t="s">
        <v>96</v>
      </c>
      <c r="F4284" t="s">
        <v>17</v>
      </c>
      <c r="G4284" t="s">
        <v>18</v>
      </c>
      <c r="H4284" s="3">
        <v>4</v>
      </c>
      <c r="I4284" s="3">
        <v>11220</v>
      </c>
      <c r="J4284" s="3">
        <v>44880</v>
      </c>
      <c r="K4284" s="3">
        <v>8500</v>
      </c>
      <c r="L4284" s="3">
        <v>34000</v>
      </c>
      <c r="M4284" s="3">
        <v>10880</v>
      </c>
      <c r="N4284" s="4">
        <v>0.24242424242424243</v>
      </c>
    </row>
    <row r="4285" spans="1:14" x14ac:dyDescent="0.3">
      <c r="A4285" s="6">
        <v>45964</v>
      </c>
      <c r="B4285" s="1" t="s">
        <v>4469</v>
      </c>
      <c r="C4285" s="1" t="s">
        <v>29</v>
      </c>
      <c r="D4285" t="s">
        <v>32</v>
      </c>
      <c r="E4285" t="s">
        <v>371</v>
      </c>
      <c r="F4285" t="s">
        <v>22</v>
      </c>
      <c r="G4285" t="s">
        <v>18</v>
      </c>
      <c r="H4285" s="3">
        <v>2</v>
      </c>
      <c r="I4285" s="3">
        <v>8680</v>
      </c>
      <c r="J4285" s="3">
        <v>17360</v>
      </c>
      <c r="K4285" s="3">
        <v>7000</v>
      </c>
      <c r="L4285" s="3">
        <v>14000</v>
      </c>
      <c r="M4285" s="3">
        <v>3360</v>
      </c>
      <c r="N4285" s="4">
        <v>0.19354838709677419</v>
      </c>
    </row>
    <row r="4286" spans="1:14" x14ac:dyDescent="0.3">
      <c r="A4286" s="6">
        <v>45964</v>
      </c>
      <c r="B4286" s="1" t="s">
        <v>4470</v>
      </c>
      <c r="C4286" s="1" t="s">
        <v>28</v>
      </c>
      <c r="D4286" t="s">
        <v>31</v>
      </c>
      <c r="E4286" t="s">
        <v>53</v>
      </c>
      <c r="F4286" t="s">
        <v>14</v>
      </c>
      <c r="G4286" t="s">
        <v>15</v>
      </c>
      <c r="H4286" s="3">
        <v>5</v>
      </c>
      <c r="I4286" s="3">
        <v>57600</v>
      </c>
      <c r="J4286" s="3">
        <v>288000</v>
      </c>
      <c r="K4286" s="3">
        <v>45000</v>
      </c>
      <c r="L4286" s="3">
        <v>225000</v>
      </c>
      <c r="M4286" s="3">
        <v>63000</v>
      </c>
      <c r="N4286" s="4">
        <v>0.21875</v>
      </c>
    </row>
    <row r="4287" spans="1:14" x14ac:dyDescent="0.3">
      <c r="A4287" s="6">
        <v>45964</v>
      </c>
      <c r="B4287" s="1" t="s">
        <v>4471</v>
      </c>
      <c r="C4287" s="1" t="s">
        <v>28</v>
      </c>
      <c r="D4287" t="s">
        <v>34</v>
      </c>
      <c r="E4287" t="s">
        <v>147</v>
      </c>
      <c r="F4287" t="s">
        <v>14</v>
      </c>
      <c r="G4287" t="s">
        <v>15</v>
      </c>
      <c r="H4287" s="3">
        <v>5</v>
      </c>
      <c r="I4287" s="3">
        <v>59850</v>
      </c>
      <c r="J4287" s="3">
        <v>299250</v>
      </c>
      <c r="K4287" s="3">
        <v>45000</v>
      </c>
      <c r="L4287" s="3">
        <v>225000</v>
      </c>
      <c r="M4287" s="3">
        <v>74250</v>
      </c>
      <c r="N4287" s="4">
        <v>0.24812030075187969</v>
      </c>
    </row>
    <row r="4288" spans="1:14" x14ac:dyDescent="0.3">
      <c r="A4288" s="6">
        <v>45964</v>
      </c>
      <c r="B4288" s="1" t="s">
        <v>4472</v>
      </c>
      <c r="C4288" s="1" t="s">
        <v>28</v>
      </c>
      <c r="D4288" t="s">
        <v>30</v>
      </c>
      <c r="E4288" t="s">
        <v>233</v>
      </c>
      <c r="F4288" t="s">
        <v>21</v>
      </c>
      <c r="G4288" t="s">
        <v>20</v>
      </c>
      <c r="H4288" s="3">
        <v>5</v>
      </c>
      <c r="I4288" s="3">
        <v>768</v>
      </c>
      <c r="J4288" s="3">
        <v>3840</v>
      </c>
      <c r="K4288" s="3">
        <v>600</v>
      </c>
      <c r="L4288" s="3">
        <v>3000</v>
      </c>
      <c r="M4288" s="3">
        <v>840</v>
      </c>
      <c r="N4288" s="4">
        <v>0.21875</v>
      </c>
    </row>
    <row r="4289" spans="1:14" x14ac:dyDescent="0.3">
      <c r="A4289" s="6">
        <v>45964</v>
      </c>
      <c r="B4289" s="1" t="s">
        <v>4473</v>
      </c>
      <c r="C4289" s="1" t="s">
        <v>27</v>
      </c>
      <c r="D4289" t="s">
        <v>30</v>
      </c>
      <c r="E4289" t="s">
        <v>76</v>
      </c>
      <c r="F4289" t="s">
        <v>22</v>
      </c>
      <c r="G4289" t="s">
        <v>18</v>
      </c>
      <c r="H4289" s="3">
        <v>2</v>
      </c>
      <c r="I4289" s="3">
        <v>9450</v>
      </c>
      <c r="J4289" s="3">
        <v>18900</v>
      </c>
      <c r="K4289" s="3">
        <v>7000</v>
      </c>
      <c r="L4289" s="3">
        <v>14000</v>
      </c>
      <c r="M4289" s="3">
        <v>4900</v>
      </c>
      <c r="N4289" s="4">
        <v>0.25925925925925924</v>
      </c>
    </row>
    <row r="4290" spans="1:14" x14ac:dyDescent="0.3">
      <c r="A4290" s="6">
        <v>45964</v>
      </c>
      <c r="B4290" s="1" t="s">
        <v>4474</v>
      </c>
      <c r="C4290" s="1" t="s">
        <v>26</v>
      </c>
      <c r="D4290" t="s">
        <v>31</v>
      </c>
      <c r="E4290" t="s">
        <v>411</v>
      </c>
      <c r="F4290" t="s">
        <v>22</v>
      </c>
      <c r="G4290" t="s">
        <v>18</v>
      </c>
      <c r="H4290" s="3">
        <v>10</v>
      </c>
      <c r="I4290" s="3">
        <v>8470</v>
      </c>
      <c r="J4290" s="3">
        <v>84700</v>
      </c>
      <c r="K4290" s="3">
        <v>7000</v>
      </c>
      <c r="L4290" s="3">
        <v>70000</v>
      </c>
      <c r="M4290" s="3">
        <v>14700</v>
      </c>
      <c r="N4290" s="4">
        <v>0.17355371900826447</v>
      </c>
    </row>
    <row r="4291" spans="1:14" x14ac:dyDescent="0.3">
      <c r="A4291" s="6">
        <v>45964</v>
      </c>
      <c r="B4291" s="1" t="s">
        <v>4475</v>
      </c>
      <c r="C4291" s="1" t="s">
        <v>29</v>
      </c>
      <c r="D4291" t="s">
        <v>35</v>
      </c>
      <c r="E4291" t="s">
        <v>351</v>
      </c>
      <c r="F4291" t="s">
        <v>16</v>
      </c>
      <c r="G4291" t="s">
        <v>15</v>
      </c>
      <c r="H4291" s="3">
        <v>7</v>
      </c>
      <c r="I4291" s="3">
        <v>49400</v>
      </c>
      <c r="J4291" s="3">
        <v>345800</v>
      </c>
      <c r="K4291" s="3">
        <v>38000</v>
      </c>
      <c r="L4291" s="3">
        <v>266000</v>
      </c>
      <c r="M4291" s="3">
        <v>79800</v>
      </c>
      <c r="N4291" s="4">
        <v>0.23076923076923078</v>
      </c>
    </row>
    <row r="4292" spans="1:14" x14ac:dyDescent="0.3">
      <c r="A4292" s="6">
        <v>45964</v>
      </c>
      <c r="B4292" s="1" t="s">
        <v>4476</v>
      </c>
      <c r="C4292" s="1" t="s">
        <v>28</v>
      </c>
      <c r="D4292" t="s">
        <v>31</v>
      </c>
      <c r="E4292" t="s">
        <v>427</v>
      </c>
      <c r="F4292" t="s">
        <v>19</v>
      </c>
      <c r="G4292" t="s">
        <v>20</v>
      </c>
      <c r="H4292" s="3">
        <v>8</v>
      </c>
      <c r="I4292" s="3">
        <v>1305</v>
      </c>
      <c r="J4292" s="3">
        <v>10440</v>
      </c>
      <c r="K4292" s="3">
        <v>900</v>
      </c>
      <c r="L4292" s="3">
        <v>7200</v>
      </c>
      <c r="M4292" s="3">
        <v>3240</v>
      </c>
      <c r="N4292" s="4">
        <v>0.31034482758620691</v>
      </c>
    </row>
    <row r="4293" spans="1:14" x14ac:dyDescent="0.3">
      <c r="A4293" s="6">
        <v>45964</v>
      </c>
      <c r="B4293" s="1" t="s">
        <v>4477</v>
      </c>
      <c r="C4293" s="1" t="s">
        <v>27</v>
      </c>
      <c r="D4293" t="s">
        <v>30</v>
      </c>
      <c r="E4293" t="s">
        <v>204</v>
      </c>
      <c r="F4293" t="s">
        <v>22</v>
      </c>
      <c r="G4293" t="s">
        <v>18</v>
      </c>
      <c r="H4293" s="3">
        <v>7</v>
      </c>
      <c r="I4293" s="3">
        <v>8960</v>
      </c>
      <c r="J4293" s="3">
        <v>62720</v>
      </c>
      <c r="K4293" s="3">
        <v>7000</v>
      </c>
      <c r="L4293" s="3">
        <v>49000</v>
      </c>
      <c r="M4293" s="3">
        <v>13720</v>
      </c>
      <c r="N4293" s="4">
        <v>0.21875</v>
      </c>
    </row>
    <row r="4294" spans="1:14" x14ac:dyDescent="0.3">
      <c r="A4294" s="6">
        <v>45964</v>
      </c>
      <c r="B4294" s="1" t="s">
        <v>4478</v>
      </c>
      <c r="C4294" s="1" t="s">
        <v>28</v>
      </c>
      <c r="D4294" t="s">
        <v>31</v>
      </c>
      <c r="E4294" t="s">
        <v>124</v>
      </c>
      <c r="F4294" t="s">
        <v>17</v>
      </c>
      <c r="G4294" t="s">
        <v>18</v>
      </c>
      <c r="H4294" s="3">
        <v>10</v>
      </c>
      <c r="I4294" s="3">
        <v>11985</v>
      </c>
      <c r="J4294" s="3">
        <v>119850</v>
      </c>
      <c r="K4294" s="3">
        <v>8500</v>
      </c>
      <c r="L4294" s="3">
        <v>85000</v>
      </c>
      <c r="M4294" s="3">
        <v>34850</v>
      </c>
      <c r="N4294" s="4">
        <v>0.29078014184397161</v>
      </c>
    </row>
    <row r="4295" spans="1:14" x14ac:dyDescent="0.3">
      <c r="A4295" s="6">
        <v>45964</v>
      </c>
      <c r="B4295" s="1" t="s">
        <v>4479</v>
      </c>
      <c r="C4295" s="1" t="s">
        <v>28</v>
      </c>
      <c r="D4295" t="s">
        <v>31</v>
      </c>
      <c r="E4295" t="s">
        <v>222</v>
      </c>
      <c r="F4295" t="s">
        <v>24</v>
      </c>
      <c r="G4295" t="s">
        <v>25</v>
      </c>
      <c r="H4295" s="3">
        <v>9</v>
      </c>
      <c r="I4295" s="3">
        <v>3475.0000000000005</v>
      </c>
      <c r="J4295" s="3">
        <v>31275.000000000004</v>
      </c>
      <c r="K4295" s="3">
        <v>2500</v>
      </c>
      <c r="L4295" s="3">
        <v>22500</v>
      </c>
      <c r="M4295" s="3">
        <v>8775.0000000000036</v>
      </c>
      <c r="N4295" s="4">
        <v>0.28057553956834541</v>
      </c>
    </row>
    <row r="4296" spans="1:14" x14ac:dyDescent="0.3">
      <c r="A4296" s="6">
        <v>45964</v>
      </c>
      <c r="B4296" s="1" t="s">
        <v>4480</v>
      </c>
      <c r="C4296" s="1" t="s">
        <v>28</v>
      </c>
      <c r="D4296" t="s">
        <v>31</v>
      </c>
      <c r="E4296" t="s">
        <v>357</v>
      </c>
      <c r="F4296" t="s">
        <v>24</v>
      </c>
      <c r="G4296" t="s">
        <v>25</v>
      </c>
      <c r="H4296" s="3">
        <v>8</v>
      </c>
      <c r="I4296" s="3">
        <v>3225</v>
      </c>
      <c r="J4296" s="3">
        <v>25800</v>
      </c>
      <c r="K4296" s="3">
        <v>2500</v>
      </c>
      <c r="L4296" s="3">
        <v>20000</v>
      </c>
      <c r="M4296" s="3">
        <v>5800</v>
      </c>
      <c r="N4296" s="4">
        <v>0.22480620155038761</v>
      </c>
    </row>
    <row r="4297" spans="1:14" x14ac:dyDescent="0.3">
      <c r="A4297" s="6">
        <v>45964</v>
      </c>
      <c r="B4297" s="1" t="s">
        <v>4481</v>
      </c>
      <c r="C4297" s="1" t="s">
        <v>28</v>
      </c>
      <c r="D4297" t="s">
        <v>35</v>
      </c>
      <c r="E4297" t="s">
        <v>447</v>
      </c>
      <c r="F4297" t="s">
        <v>22</v>
      </c>
      <c r="G4297" t="s">
        <v>18</v>
      </c>
      <c r="H4297" s="3">
        <v>9</v>
      </c>
      <c r="I4297" s="3">
        <v>10150</v>
      </c>
      <c r="J4297" s="3">
        <v>91350</v>
      </c>
      <c r="K4297" s="3">
        <v>7000</v>
      </c>
      <c r="L4297" s="3">
        <v>63000</v>
      </c>
      <c r="M4297" s="3">
        <v>28350</v>
      </c>
      <c r="N4297" s="4">
        <v>0.31034482758620691</v>
      </c>
    </row>
    <row r="4298" spans="1:14" x14ac:dyDescent="0.3">
      <c r="A4298" s="6">
        <v>45965</v>
      </c>
      <c r="B4298" s="1" t="s">
        <v>4482</v>
      </c>
      <c r="C4298" s="1" t="s">
        <v>26</v>
      </c>
      <c r="D4298" t="s">
        <v>32</v>
      </c>
      <c r="E4298" t="s">
        <v>61</v>
      </c>
      <c r="F4298" t="s">
        <v>23</v>
      </c>
      <c r="G4298" t="s">
        <v>25</v>
      </c>
      <c r="H4298" s="3">
        <v>3</v>
      </c>
      <c r="I4298" s="3">
        <v>4288</v>
      </c>
      <c r="J4298" s="3">
        <v>12864</v>
      </c>
      <c r="K4298" s="3">
        <v>3200</v>
      </c>
      <c r="L4298" s="3">
        <v>9600</v>
      </c>
      <c r="M4298" s="3">
        <v>3264</v>
      </c>
      <c r="N4298" s="4">
        <v>0.2537313432835821</v>
      </c>
    </row>
    <row r="4299" spans="1:14" x14ac:dyDescent="0.3">
      <c r="A4299" s="6">
        <v>45965</v>
      </c>
      <c r="B4299" s="1" t="s">
        <v>4483</v>
      </c>
      <c r="C4299" s="1" t="s">
        <v>28</v>
      </c>
      <c r="D4299" t="s">
        <v>33</v>
      </c>
      <c r="E4299" t="s">
        <v>216</v>
      </c>
      <c r="F4299" t="s">
        <v>14</v>
      </c>
      <c r="G4299" t="s">
        <v>15</v>
      </c>
      <c r="H4299" s="3">
        <v>7</v>
      </c>
      <c r="I4299" s="3">
        <v>55800</v>
      </c>
      <c r="J4299" s="3">
        <v>390600</v>
      </c>
      <c r="K4299" s="3">
        <v>45000</v>
      </c>
      <c r="L4299" s="3">
        <v>315000</v>
      </c>
      <c r="M4299" s="3">
        <v>75600</v>
      </c>
      <c r="N4299" s="4">
        <v>0.19354838709677419</v>
      </c>
    </row>
    <row r="4300" spans="1:14" x14ac:dyDescent="0.3">
      <c r="A4300" s="6">
        <v>45965</v>
      </c>
      <c r="B4300" s="1" t="s">
        <v>4484</v>
      </c>
      <c r="C4300" s="1" t="s">
        <v>29</v>
      </c>
      <c r="D4300" t="s">
        <v>31</v>
      </c>
      <c r="E4300" t="s">
        <v>226</v>
      </c>
      <c r="F4300" t="s">
        <v>24</v>
      </c>
      <c r="G4300" t="s">
        <v>25</v>
      </c>
      <c r="H4300" s="3">
        <v>1</v>
      </c>
      <c r="I4300" s="3">
        <v>3200</v>
      </c>
      <c r="J4300" s="3">
        <v>3200</v>
      </c>
      <c r="K4300" s="3">
        <v>2500</v>
      </c>
      <c r="L4300" s="3">
        <v>2500</v>
      </c>
      <c r="M4300" s="3">
        <v>700</v>
      </c>
      <c r="N4300" s="4">
        <v>0.21875</v>
      </c>
    </row>
    <row r="4301" spans="1:14" x14ac:dyDescent="0.3">
      <c r="A4301" s="6">
        <v>45965</v>
      </c>
      <c r="B4301" s="1" t="s">
        <v>4485</v>
      </c>
      <c r="C4301" s="1" t="s">
        <v>28</v>
      </c>
      <c r="D4301" t="s">
        <v>33</v>
      </c>
      <c r="E4301" t="s">
        <v>302</v>
      </c>
      <c r="F4301" t="s">
        <v>17</v>
      </c>
      <c r="G4301" t="s">
        <v>18</v>
      </c>
      <c r="H4301" s="3">
        <v>8</v>
      </c>
      <c r="I4301" s="3">
        <v>10795</v>
      </c>
      <c r="J4301" s="3">
        <v>86360</v>
      </c>
      <c r="K4301" s="3">
        <v>8500</v>
      </c>
      <c r="L4301" s="3">
        <v>68000</v>
      </c>
      <c r="M4301" s="3">
        <v>18360</v>
      </c>
      <c r="N4301" s="4">
        <v>0.2125984251968504</v>
      </c>
    </row>
    <row r="4302" spans="1:14" x14ac:dyDescent="0.3">
      <c r="A4302" s="6">
        <v>45965</v>
      </c>
      <c r="B4302" s="1" t="s">
        <v>4486</v>
      </c>
      <c r="C4302" s="1" t="s">
        <v>27</v>
      </c>
      <c r="D4302" t="s">
        <v>31</v>
      </c>
      <c r="E4302" t="s">
        <v>61</v>
      </c>
      <c r="F4302" t="s">
        <v>23</v>
      </c>
      <c r="G4302" t="s">
        <v>25</v>
      </c>
      <c r="H4302" s="3">
        <v>4</v>
      </c>
      <c r="I4302" s="3">
        <v>4544</v>
      </c>
      <c r="J4302" s="3">
        <v>18176</v>
      </c>
      <c r="K4302" s="3">
        <v>3200</v>
      </c>
      <c r="L4302" s="3">
        <v>12800</v>
      </c>
      <c r="M4302" s="3">
        <v>5376</v>
      </c>
      <c r="N4302" s="4">
        <v>0.29577464788732394</v>
      </c>
    </row>
    <row r="4303" spans="1:14" x14ac:dyDescent="0.3">
      <c r="A4303" s="6">
        <v>45965</v>
      </c>
      <c r="B4303" s="1" t="s">
        <v>4487</v>
      </c>
      <c r="C4303" s="1" t="s">
        <v>26</v>
      </c>
      <c r="D4303" t="s">
        <v>35</v>
      </c>
      <c r="E4303" t="s">
        <v>124</v>
      </c>
      <c r="F4303" t="s">
        <v>21</v>
      </c>
      <c r="G4303" t="s">
        <v>20</v>
      </c>
      <c r="H4303" s="3">
        <v>7</v>
      </c>
      <c r="I4303" s="3">
        <v>732</v>
      </c>
      <c r="J4303" s="3">
        <v>5124</v>
      </c>
      <c r="K4303" s="3">
        <v>600</v>
      </c>
      <c r="L4303" s="3">
        <v>4200</v>
      </c>
      <c r="M4303" s="3">
        <v>924</v>
      </c>
      <c r="N4303" s="4">
        <v>0.18032786885245902</v>
      </c>
    </row>
    <row r="4304" spans="1:14" x14ac:dyDescent="0.3">
      <c r="A4304" s="6">
        <v>45965</v>
      </c>
      <c r="B4304" s="1" t="s">
        <v>4488</v>
      </c>
      <c r="C4304" s="1" t="s">
        <v>29</v>
      </c>
      <c r="D4304" t="s">
        <v>35</v>
      </c>
      <c r="E4304" t="s">
        <v>369</v>
      </c>
      <c r="F4304" t="s">
        <v>19</v>
      </c>
      <c r="G4304" t="s">
        <v>20</v>
      </c>
      <c r="H4304" s="3">
        <v>4</v>
      </c>
      <c r="I4304" s="3">
        <v>1125</v>
      </c>
      <c r="J4304" s="3">
        <v>4500</v>
      </c>
      <c r="K4304" s="3">
        <v>900</v>
      </c>
      <c r="L4304" s="3">
        <v>3600</v>
      </c>
      <c r="M4304" s="3">
        <v>900</v>
      </c>
      <c r="N4304" s="4">
        <v>0.2</v>
      </c>
    </row>
    <row r="4305" spans="1:14" x14ac:dyDescent="0.3">
      <c r="A4305" s="6">
        <v>45965</v>
      </c>
      <c r="B4305" s="1" t="s">
        <v>4489</v>
      </c>
      <c r="C4305" s="1" t="s">
        <v>29</v>
      </c>
      <c r="D4305" t="s">
        <v>34</v>
      </c>
      <c r="E4305" t="s">
        <v>342</v>
      </c>
      <c r="F4305" t="s">
        <v>17</v>
      </c>
      <c r="G4305" t="s">
        <v>18</v>
      </c>
      <c r="H4305" s="3">
        <v>8</v>
      </c>
      <c r="I4305" s="3">
        <v>11135</v>
      </c>
      <c r="J4305" s="3">
        <v>89080</v>
      </c>
      <c r="K4305" s="3">
        <v>8500</v>
      </c>
      <c r="L4305" s="3">
        <v>68000</v>
      </c>
      <c r="M4305" s="3">
        <v>21080</v>
      </c>
      <c r="N4305" s="4">
        <v>0.23664122137404581</v>
      </c>
    </row>
    <row r="4306" spans="1:14" x14ac:dyDescent="0.3">
      <c r="A4306" s="6">
        <v>45965</v>
      </c>
      <c r="B4306" s="1" t="s">
        <v>4490</v>
      </c>
      <c r="C4306" s="1" t="s">
        <v>29</v>
      </c>
      <c r="D4306" t="s">
        <v>32</v>
      </c>
      <c r="E4306" t="s">
        <v>292</v>
      </c>
      <c r="F4306" t="s">
        <v>16</v>
      </c>
      <c r="G4306" t="s">
        <v>15</v>
      </c>
      <c r="H4306" s="3">
        <v>8</v>
      </c>
      <c r="I4306" s="3">
        <v>46360</v>
      </c>
      <c r="J4306" s="3">
        <v>370880</v>
      </c>
      <c r="K4306" s="3">
        <v>38000</v>
      </c>
      <c r="L4306" s="3">
        <v>304000</v>
      </c>
      <c r="M4306" s="3">
        <v>66880</v>
      </c>
      <c r="N4306" s="4">
        <v>0.18032786885245902</v>
      </c>
    </row>
    <row r="4307" spans="1:14" x14ac:dyDescent="0.3">
      <c r="A4307" s="6">
        <v>45965</v>
      </c>
      <c r="B4307" s="1" t="s">
        <v>4491</v>
      </c>
      <c r="C4307" s="1" t="s">
        <v>27</v>
      </c>
      <c r="D4307" t="s">
        <v>35</v>
      </c>
      <c r="E4307" t="s">
        <v>310</v>
      </c>
      <c r="F4307" t="s">
        <v>21</v>
      </c>
      <c r="G4307" t="s">
        <v>20</v>
      </c>
      <c r="H4307" s="3">
        <v>1</v>
      </c>
      <c r="I4307" s="3">
        <v>750</v>
      </c>
      <c r="J4307" s="3">
        <v>750</v>
      </c>
      <c r="K4307" s="3">
        <v>600</v>
      </c>
      <c r="L4307" s="3">
        <v>600</v>
      </c>
      <c r="M4307" s="3">
        <v>150</v>
      </c>
      <c r="N4307" s="4">
        <v>0.2</v>
      </c>
    </row>
    <row r="4308" spans="1:14" x14ac:dyDescent="0.3">
      <c r="A4308" s="6">
        <v>45965</v>
      </c>
      <c r="B4308" s="1" t="s">
        <v>4492</v>
      </c>
      <c r="C4308" s="1" t="s">
        <v>27</v>
      </c>
      <c r="D4308" t="s">
        <v>35</v>
      </c>
      <c r="E4308" t="s">
        <v>218</v>
      </c>
      <c r="F4308" t="s">
        <v>22</v>
      </c>
      <c r="G4308" t="s">
        <v>18</v>
      </c>
      <c r="H4308" s="3">
        <v>1</v>
      </c>
      <c r="I4308" s="3">
        <v>9520</v>
      </c>
      <c r="J4308" s="3">
        <v>9520</v>
      </c>
      <c r="K4308" s="3">
        <v>7000</v>
      </c>
      <c r="L4308" s="3">
        <v>7000</v>
      </c>
      <c r="M4308" s="3">
        <v>2520</v>
      </c>
      <c r="N4308" s="4">
        <v>0.26470588235294118</v>
      </c>
    </row>
    <row r="4309" spans="1:14" x14ac:dyDescent="0.3">
      <c r="A4309" s="6">
        <v>45965</v>
      </c>
      <c r="B4309" s="1" t="s">
        <v>4493</v>
      </c>
      <c r="C4309" s="1" t="s">
        <v>27</v>
      </c>
      <c r="D4309" t="s">
        <v>35</v>
      </c>
      <c r="E4309" t="s">
        <v>349</v>
      </c>
      <c r="F4309" t="s">
        <v>24</v>
      </c>
      <c r="G4309" t="s">
        <v>25</v>
      </c>
      <c r="H4309" s="3">
        <v>7</v>
      </c>
      <c r="I4309" s="3">
        <v>3000</v>
      </c>
      <c r="J4309" s="3">
        <v>21000</v>
      </c>
      <c r="K4309" s="3">
        <v>2500</v>
      </c>
      <c r="L4309" s="3">
        <v>17500</v>
      </c>
      <c r="M4309" s="3">
        <v>3500</v>
      </c>
      <c r="N4309" s="4">
        <v>0.16666666666666666</v>
      </c>
    </row>
    <row r="4310" spans="1:14" x14ac:dyDescent="0.3">
      <c r="A4310" s="6">
        <v>45965</v>
      </c>
      <c r="B4310" s="1" t="s">
        <v>4494</v>
      </c>
      <c r="C4310" s="1" t="s">
        <v>28</v>
      </c>
      <c r="D4310" t="s">
        <v>32</v>
      </c>
      <c r="E4310" t="s">
        <v>163</v>
      </c>
      <c r="F4310" t="s">
        <v>19</v>
      </c>
      <c r="G4310" t="s">
        <v>20</v>
      </c>
      <c r="H4310" s="3">
        <v>10</v>
      </c>
      <c r="I4310" s="3">
        <v>1215</v>
      </c>
      <c r="J4310" s="3">
        <v>12150</v>
      </c>
      <c r="K4310" s="3">
        <v>900</v>
      </c>
      <c r="L4310" s="3">
        <v>9000</v>
      </c>
      <c r="M4310" s="3">
        <v>3150</v>
      </c>
      <c r="N4310" s="4">
        <v>0.25925925925925924</v>
      </c>
    </row>
    <row r="4311" spans="1:14" x14ac:dyDescent="0.3">
      <c r="A4311" s="6">
        <v>45965</v>
      </c>
      <c r="B4311" s="1" t="s">
        <v>4495</v>
      </c>
      <c r="C4311" s="1" t="s">
        <v>28</v>
      </c>
      <c r="D4311" t="s">
        <v>34</v>
      </c>
      <c r="E4311" t="s">
        <v>371</v>
      </c>
      <c r="F4311" t="s">
        <v>22</v>
      </c>
      <c r="G4311" t="s">
        <v>18</v>
      </c>
      <c r="H4311" s="3">
        <v>6</v>
      </c>
      <c r="I4311" s="3">
        <v>9870</v>
      </c>
      <c r="J4311" s="3">
        <v>59220</v>
      </c>
      <c r="K4311" s="3">
        <v>7000</v>
      </c>
      <c r="L4311" s="3">
        <v>42000</v>
      </c>
      <c r="M4311" s="3">
        <v>17220</v>
      </c>
      <c r="N4311" s="4">
        <v>0.29078014184397161</v>
      </c>
    </row>
    <row r="4312" spans="1:14" x14ac:dyDescent="0.3">
      <c r="A4312" s="6">
        <v>45966</v>
      </c>
      <c r="B4312" s="1" t="s">
        <v>4496</v>
      </c>
      <c r="C4312" s="1" t="s">
        <v>28</v>
      </c>
      <c r="D4312" t="s">
        <v>34</v>
      </c>
      <c r="E4312" t="s">
        <v>157</v>
      </c>
      <c r="F4312" t="s">
        <v>14</v>
      </c>
      <c r="G4312" t="s">
        <v>15</v>
      </c>
      <c r="H4312" s="3">
        <v>3</v>
      </c>
      <c r="I4312" s="3">
        <v>61650.000000000007</v>
      </c>
      <c r="J4312" s="3">
        <v>184950.00000000003</v>
      </c>
      <c r="K4312" s="3">
        <v>45000</v>
      </c>
      <c r="L4312" s="3">
        <v>135000</v>
      </c>
      <c r="M4312" s="3">
        <v>49950.000000000029</v>
      </c>
      <c r="N4312" s="4">
        <v>0.27007299270073004</v>
      </c>
    </row>
    <row r="4313" spans="1:14" x14ac:dyDescent="0.3">
      <c r="A4313" s="6">
        <v>45966</v>
      </c>
      <c r="B4313" s="1" t="s">
        <v>4497</v>
      </c>
      <c r="C4313" s="1" t="s">
        <v>26</v>
      </c>
      <c r="D4313" t="s">
        <v>32</v>
      </c>
      <c r="E4313" t="s">
        <v>142</v>
      </c>
      <c r="F4313" t="s">
        <v>16</v>
      </c>
      <c r="G4313" t="s">
        <v>15</v>
      </c>
      <c r="H4313" s="3">
        <v>7</v>
      </c>
      <c r="I4313" s="3">
        <v>45980</v>
      </c>
      <c r="J4313" s="3">
        <v>321860</v>
      </c>
      <c r="K4313" s="3">
        <v>38000</v>
      </c>
      <c r="L4313" s="3">
        <v>266000</v>
      </c>
      <c r="M4313" s="3">
        <v>55860</v>
      </c>
      <c r="N4313" s="4">
        <v>0.17355371900826447</v>
      </c>
    </row>
    <row r="4314" spans="1:14" x14ac:dyDescent="0.3">
      <c r="A4314" s="6">
        <v>45966</v>
      </c>
      <c r="B4314" s="1" t="s">
        <v>4498</v>
      </c>
      <c r="C4314" s="1" t="s">
        <v>29</v>
      </c>
      <c r="D4314" t="s">
        <v>34</v>
      </c>
      <c r="E4314" t="s">
        <v>935</v>
      </c>
      <c r="F4314" t="s">
        <v>21</v>
      </c>
      <c r="G4314" t="s">
        <v>20</v>
      </c>
      <c r="H4314" s="3">
        <v>7</v>
      </c>
      <c r="I4314" s="3">
        <v>864</v>
      </c>
      <c r="J4314" s="3">
        <v>6048</v>
      </c>
      <c r="K4314" s="3">
        <v>600</v>
      </c>
      <c r="L4314" s="3">
        <v>4200</v>
      </c>
      <c r="M4314" s="3">
        <v>1848</v>
      </c>
      <c r="N4314" s="4">
        <v>0.30555555555555558</v>
      </c>
    </row>
    <row r="4315" spans="1:14" x14ac:dyDescent="0.3">
      <c r="A4315" s="6">
        <v>45966</v>
      </c>
      <c r="B4315" s="1" t="s">
        <v>4499</v>
      </c>
      <c r="C4315" s="1" t="s">
        <v>26</v>
      </c>
      <c r="D4315" t="s">
        <v>30</v>
      </c>
      <c r="E4315" t="s">
        <v>216</v>
      </c>
      <c r="F4315" t="s">
        <v>21</v>
      </c>
      <c r="G4315" t="s">
        <v>20</v>
      </c>
      <c r="H4315" s="3">
        <v>3</v>
      </c>
      <c r="I4315" s="3">
        <v>822.00000000000011</v>
      </c>
      <c r="J4315" s="3">
        <v>2466.0000000000005</v>
      </c>
      <c r="K4315" s="3">
        <v>600</v>
      </c>
      <c r="L4315" s="3">
        <v>1800</v>
      </c>
      <c r="M4315" s="3">
        <v>666.00000000000045</v>
      </c>
      <c r="N4315" s="4">
        <v>0.27007299270073004</v>
      </c>
    </row>
    <row r="4316" spans="1:14" x14ac:dyDescent="0.3">
      <c r="A4316" s="6">
        <v>45966</v>
      </c>
      <c r="B4316" s="1" t="s">
        <v>4500</v>
      </c>
      <c r="C4316" s="1" t="s">
        <v>26</v>
      </c>
      <c r="D4316" t="s">
        <v>32</v>
      </c>
      <c r="E4316" t="s">
        <v>206</v>
      </c>
      <c r="F4316" t="s">
        <v>16</v>
      </c>
      <c r="G4316" t="s">
        <v>15</v>
      </c>
      <c r="H4316" s="3">
        <v>6</v>
      </c>
      <c r="I4316" s="3">
        <v>53960</v>
      </c>
      <c r="J4316" s="3">
        <v>323760</v>
      </c>
      <c r="K4316" s="3">
        <v>38000</v>
      </c>
      <c r="L4316" s="3">
        <v>228000</v>
      </c>
      <c r="M4316" s="3">
        <v>95760</v>
      </c>
      <c r="N4316" s="4">
        <v>0.29577464788732394</v>
      </c>
    </row>
    <row r="4317" spans="1:14" x14ac:dyDescent="0.3">
      <c r="A4317" s="6">
        <v>45966</v>
      </c>
      <c r="B4317" s="1" t="s">
        <v>4501</v>
      </c>
      <c r="C4317" s="1" t="s">
        <v>29</v>
      </c>
      <c r="D4317" t="s">
        <v>33</v>
      </c>
      <c r="E4317" t="s">
        <v>218</v>
      </c>
      <c r="F4317" t="s">
        <v>21</v>
      </c>
      <c r="G4317" t="s">
        <v>20</v>
      </c>
      <c r="H4317" s="3">
        <v>6</v>
      </c>
      <c r="I4317" s="3">
        <v>726</v>
      </c>
      <c r="J4317" s="3">
        <v>4356</v>
      </c>
      <c r="K4317" s="3">
        <v>600</v>
      </c>
      <c r="L4317" s="3">
        <v>3600</v>
      </c>
      <c r="M4317" s="3">
        <v>756</v>
      </c>
      <c r="N4317" s="4">
        <v>0.17355371900826447</v>
      </c>
    </row>
    <row r="4318" spans="1:14" x14ac:dyDescent="0.3">
      <c r="A4318" s="6">
        <v>45966</v>
      </c>
      <c r="B4318" s="1" t="s">
        <v>4502</v>
      </c>
      <c r="C4318" s="1" t="s">
        <v>29</v>
      </c>
      <c r="D4318" t="s">
        <v>32</v>
      </c>
      <c r="E4318" t="s">
        <v>59</v>
      </c>
      <c r="F4318" t="s">
        <v>23</v>
      </c>
      <c r="G4318" t="s">
        <v>25</v>
      </c>
      <c r="H4318" s="3">
        <v>3</v>
      </c>
      <c r="I4318" s="3">
        <v>4416</v>
      </c>
      <c r="J4318" s="3">
        <v>13248</v>
      </c>
      <c r="K4318" s="3">
        <v>3200</v>
      </c>
      <c r="L4318" s="3">
        <v>9600</v>
      </c>
      <c r="M4318" s="3">
        <v>3648</v>
      </c>
      <c r="N4318" s="4">
        <v>0.27536231884057971</v>
      </c>
    </row>
    <row r="4319" spans="1:14" x14ac:dyDescent="0.3">
      <c r="A4319" s="6">
        <v>45966</v>
      </c>
      <c r="B4319" s="1" t="s">
        <v>4503</v>
      </c>
      <c r="C4319" s="1" t="s">
        <v>29</v>
      </c>
      <c r="D4319" t="s">
        <v>31</v>
      </c>
      <c r="E4319" t="s">
        <v>233</v>
      </c>
      <c r="F4319" t="s">
        <v>14</v>
      </c>
      <c r="G4319" t="s">
        <v>15</v>
      </c>
      <c r="H4319" s="3">
        <v>8</v>
      </c>
      <c r="I4319" s="3">
        <v>62550.000000000007</v>
      </c>
      <c r="J4319" s="3">
        <v>500400.00000000006</v>
      </c>
      <c r="K4319" s="3">
        <v>45000</v>
      </c>
      <c r="L4319" s="3">
        <v>360000</v>
      </c>
      <c r="M4319" s="3">
        <v>140400.00000000006</v>
      </c>
      <c r="N4319" s="4">
        <v>0.28057553956834541</v>
      </c>
    </row>
    <row r="4320" spans="1:14" x14ac:dyDescent="0.3">
      <c r="A4320" s="6">
        <v>45966</v>
      </c>
      <c r="B4320" s="1" t="s">
        <v>4504</v>
      </c>
      <c r="C4320" s="1" t="s">
        <v>28</v>
      </c>
      <c r="D4320" t="s">
        <v>34</v>
      </c>
      <c r="E4320" t="s">
        <v>124</v>
      </c>
      <c r="F4320" t="s">
        <v>17</v>
      </c>
      <c r="G4320" t="s">
        <v>18</v>
      </c>
      <c r="H4320" s="3">
        <v>9</v>
      </c>
      <c r="I4320" s="3">
        <v>11220</v>
      </c>
      <c r="J4320" s="3">
        <v>100980</v>
      </c>
      <c r="K4320" s="3">
        <v>8500</v>
      </c>
      <c r="L4320" s="3">
        <v>76500</v>
      </c>
      <c r="M4320" s="3">
        <v>24480</v>
      </c>
      <c r="N4320" s="4">
        <v>0.24242424242424243</v>
      </c>
    </row>
    <row r="4321" spans="1:14" x14ac:dyDescent="0.3">
      <c r="A4321" s="6">
        <v>45966</v>
      </c>
      <c r="B4321" s="1" t="s">
        <v>4505</v>
      </c>
      <c r="C4321" s="1" t="s">
        <v>28</v>
      </c>
      <c r="D4321" t="s">
        <v>30</v>
      </c>
      <c r="E4321" t="s">
        <v>388</v>
      </c>
      <c r="F4321" t="s">
        <v>16</v>
      </c>
      <c r="G4321" t="s">
        <v>15</v>
      </c>
      <c r="H4321" s="3">
        <v>10</v>
      </c>
      <c r="I4321" s="3">
        <v>52060.000000000007</v>
      </c>
      <c r="J4321" s="3">
        <v>520600.00000000006</v>
      </c>
      <c r="K4321" s="3">
        <v>38000</v>
      </c>
      <c r="L4321" s="3">
        <v>380000</v>
      </c>
      <c r="M4321" s="3">
        <v>140600.00000000006</v>
      </c>
      <c r="N4321" s="4">
        <v>0.27007299270072999</v>
      </c>
    </row>
    <row r="4322" spans="1:14" x14ac:dyDescent="0.3">
      <c r="A4322" s="6">
        <v>45966</v>
      </c>
      <c r="B4322" s="1" t="s">
        <v>4506</v>
      </c>
      <c r="C4322" s="1" t="s">
        <v>29</v>
      </c>
      <c r="D4322" t="s">
        <v>31</v>
      </c>
      <c r="E4322" t="s">
        <v>218</v>
      </c>
      <c r="F4322" t="s">
        <v>23</v>
      </c>
      <c r="G4322" t="s">
        <v>25</v>
      </c>
      <c r="H4322" s="3">
        <v>6</v>
      </c>
      <c r="I4322" s="3">
        <v>3936</v>
      </c>
      <c r="J4322" s="3">
        <v>23616</v>
      </c>
      <c r="K4322" s="3">
        <v>3200</v>
      </c>
      <c r="L4322" s="3">
        <v>19200</v>
      </c>
      <c r="M4322" s="3">
        <v>4416</v>
      </c>
      <c r="N4322" s="4">
        <v>0.18699186991869918</v>
      </c>
    </row>
    <row r="4323" spans="1:14" x14ac:dyDescent="0.3">
      <c r="A4323" s="6">
        <v>45966</v>
      </c>
      <c r="B4323" s="1" t="s">
        <v>4507</v>
      </c>
      <c r="C4323" s="1" t="s">
        <v>28</v>
      </c>
      <c r="D4323" t="s">
        <v>33</v>
      </c>
      <c r="E4323" t="s">
        <v>427</v>
      </c>
      <c r="F4323" t="s">
        <v>23</v>
      </c>
      <c r="G4323" t="s">
        <v>25</v>
      </c>
      <c r="H4323" s="3">
        <v>8</v>
      </c>
      <c r="I4323" s="3">
        <v>4096</v>
      </c>
      <c r="J4323" s="3">
        <v>32768</v>
      </c>
      <c r="K4323" s="3">
        <v>3200</v>
      </c>
      <c r="L4323" s="3">
        <v>25600</v>
      </c>
      <c r="M4323" s="3">
        <v>7168</v>
      </c>
      <c r="N4323" s="4">
        <v>0.21875</v>
      </c>
    </row>
    <row r="4324" spans="1:14" x14ac:dyDescent="0.3">
      <c r="A4324" s="6">
        <v>45966</v>
      </c>
      <c r="B4324" s="1" t="s">
        <v>4508</v>
      </c>
      <c r="C4324" s="1" t="s">
        <v>29</v>
      </c>
      <c r="D4324" t="s">
        <v>30</v>
      </c>
      <c r="E4324" t="s">
        <v>69</v>
      </c>
      <c r="F4324" t="s">
        <v>22</v>
      </c>
      <c r="G4324" t="s">
        <v>18</v>
      </c>
      <c r="H4324" s="3">
        <v>2</v>
      </c>
      <c r="I4324" s="3">
        <v>9100</v>
      </c>
      <c r="J4324" s="3">
        <v>18200</v>
      </c>
      <c r="K4324" s="3">
        <v>7000</v>
      </c>
      <c r="L4324" s="3">
        <v>14000</v>
      </c>
      <c r="M4324" s="3">
        <v>4200</v>
      </c>
      <c r="N4324" s="4">
        <v>0.23076923076923078</v>
      </c>
    </row>
    <row r="4325" spans="1:14" x14ac:dyDescent="0.3">
      <c r="A4325" s="6">
        <v>45966</v>
      </c>
      <c r="B4325" s="1" t="s">
        <v>4509</v>
      </c>
      <c r="C4325" s="1" t="s">
        <v>27</v>
      </c>
      <c r="D4325" t="s">
        <v>35</v>
      </c>
      <c r="E4325" t="s">
        <v>310</v>
      </c>
      <c r="F4325" t="s">
        <v>16</v>
      </c>
      <c r="G4325" t="s">
        <v>15</v>
      </c>
      <c r="H4325" s="3">
        <v>10</v>
      </c>
      <c r="I4325" s="3">
        <v>52820.000000000007</v>
      </c>
      <c r="J4325" s="3">
        <v>528200.00000000012</v>
      </c>
      <c r="K4325" s="3">
        <v>38000</v>
      </c>
      <c r="L4325" s="3">
        <v>380000</v>
      </c>
      <c r="M4325" s="3">
        <v>148200.00000000012</v>
      </c>
      <c r="N4325" s="4">
        <v>0.28057553956834547</v>
      </c>
    </row>
    <row r="4326" spans="1:14" x14ac:dyDescent="0.3">
      <c r="A4326" s="6">
        <v>45967</v>
      </c>
      <c r="B4326" s="1" t="s">
        <v>4510</v>
      </c>
      <c r="C4326" s="1" t="s">
        <v>28</v>
      </c>
      <c r="D4326" t="s">
        <v>33</v>
      </c>
      <c r="E4326" t="s">
        <v>55</v>
      </c>
      <c r="F4326" t="s">
        <v>17</v>
      </c>
      <c r="G4326" t="s">
        <v>18</v>
      </c>
      <c r="H4326" s="3">
        <v>4</v>
      </c>
      <c r="I4326" s="3">
        <v>12155</v>
      </c>
      <c r="J4326" s="3">
        <v>48620</v>
      </c>
      <c r="K4326" s="3">
        <v>8500</v>
      </c>
      <c r="L4326" s="3">
        <v>34000</v>
      </c>
      <c r="M4326" s="3">
        <v>14620</v>
      </c>
      <c r="N4326" s="4">
        <v>0.30069930069930068</v>
      </c>
    </row>
    <row r="4327" spans="1:14" x14ac:dyDescent="0.3">
      <c r="A4327" s="6">
        <v>45967</v>
      </c>
      <c r="B4327" s="1" t="s">
        <v>4511</v>
      </c>
      <c r="C4327" s="1" t="s">
        <v>29</v>
      </c>
      <c r="D4327" t="s">
        <v>35</v>
      </c>
      <c r="E4327" t="s">
        <v>935</v>
      </c>
      <c r="F4327" t="s">
        <v>17</v>
      </c>
      <c r="G4327" t="s">
        <v>18</v>
      </c>
      <c r="H4327" s="3">
        <v>3</v>
      </c>
      <c r="I4327" s="3">
        <v>10540</v>
      </c>
      <c r="J4327" s="3">
        <v>31620</v>
      </c>
      <c r="K4327" s="3">
        <v>8500</v>
      </c>
      <c r="L4327" s="3">
        <v>25500</v>
      </c>
      <c r="M4327" s="3">
        <v>6120</v>
      </c>
      <c r="N4327" s="4">
        <v>0.19354838709677419</v>
      </c>
    </row>
    <row r="4328" spans="1:14" x14ac:dyDescent="0.3">
      <c r="A4328" s="6">
        <v>45967</v>
      </c>
      <c r="B4328" s="1" t="s">
        <v>4512</v>
      </c>
      <c r="C4328" s="1" t="s">
        <v>26</v>
      </c>
      <c r="D4328" t="s">
        <v>34</v>
      </c>
      <c r="E4328" t="s">
        <v>90</v>
      </c>
      <c r="F4328" t="s">
        <v>16</v>
      </c>
      <c r="G4328" t="s">
        <v>15</v>
      </c>
      <c r="H4328" s="3">
        <v>4</v>
      </c>
      <c r="I4328" s="3">
        <v>46360</v>
      </c>
      <c r="J4328" s="3">
        <v>185440</v>
      </c>
      <c r="K4328" s="3">
        <v>38000</v>
      </c>
      <c r="L4328" s="3">
        <v>152000</v>
      </c>
      <c r="M4328" s="3">
        <v>33440</v>
      </c>
      <c r="N4328" s="4">
        <v>0.18032786885245902</v>
      </c>
    </row>
    <row r="4329" spans="1:14" x14ac:dyDescent="0.3">
      <c r="A4329" s="6">
        <v>45967</v>
      </c>
      <c r="B4329" s="1" t="s">
        <v>4513</v>
      </c>
      <c r="C4329" s="1" t="s">
        <v>29</v>
      </c>
      <c r="D4329" t="s">
        <v>31</v>
      </c>
      <c r="E4329" t="s">
        <v>255</v>
      </c>
      <c r="F4329" t="s">
        <v>19</v>
      </c>
      <c r="G4329" t="s">
        <v>20</v>
      </c>
      <c r="H4329" s="3">
        <v>10</v>
      </c>
      <c r="I4329" s="3">
        <v>1305</v>
      </c>
      <c r="J4329" s="3">
        <v>13050</v>
      </c>
      <c r="K4329" s="3">
        <v>900</v>
      </c>
      <c r="L4329" s="3">
        <v>9000</v>
      </c>
      <c r="M4329" s="3">
        <v>4050</v>
      </c>
      <c r="N4329" s="4">
        <v>0.31034482758620691</v>
      </c>
    </row>
    <row r="4330" spans="1:14" x14ac:dyDescent="0.3">
      <c r="A4330" s="6">
        <v>45967</v>
      </c>
      <c r="B4330" s="1" t="s">
        <v>4514</v>
      </c>
      <c r="C4330" s="1" t="s">
        <v>28</v>
      </c>
      <c r="D4330" t="s">
        <v>31</v>
      </c>
      <c r="E4330" t="s">
        <v>153</v>
      </c>
      <c r="F4330" t="s">
        <v>14</v>
      </c>
      <c r="G4330" t="s">
        <v>15</v>
      </c>
      <c r="H4330" s="3">
        <v>8</v>
      </c>
      <c r="I4330" s="3">
        <v>54000</v>
      </c>
      <c r="J4330" s="3">
        <v>432000</v>
      </c>
      <c r="K4330" s="3">
        <v>45000</v>
      </c>
      <c r="L4330" s="3">
        <v>360000</v>
      </c>
      <c r="M4330" s="3">
        <v>72000</v>
      </c>
      <c r="N4330" s="4">
        <v>0.16666666666666666</v>
      </c>
    </row>
    <row r="4331" spans="1:14" x14ac:dyDescent="0.3">
      <c r="A4331" s="6">
        <v>45967</v>
      </c>
      <c r="B4331" s="1" t="s">
        <v>4515</v>
      </c>
      <c r="C4331" s="1" t="s">
        <v>26</v>
      </c>
      <c r="D4331" t="s">
        <v>34</v>
      </c>
      <c r="E4331" t="s">
        <v>236</v>
      </c>
      <c r="F4331" t="s">
        <v>23</v>
      </c>
      <c r="G4331" t="s">
        <v>25</v>
      </c>
      <c r="H4331" s="3">
        <v>2</v>
      </c>
      <c r="I4331" s="3">
        <v>4096</v>
      </c>
      <c r="J4331" s="3">
        <v>8192</v>
      </c>
      <c r="K4331" s="3">
        <v>3200</v>
      </c>
      <c r="L4331" s="3">
        <v>6400</v>
      </c>
      <c r="M4331" s="3">
        <v>1792</v>
      </c>
      <c r="N4331" s="4">
        <v>0.21875</v>
      </c>
    </row>
    <row r="4332" spans="1:14" x14ac:dyDescent="0.3">
      <c r="A4332" s="6">
        <v>45967</v>
      </c>
      <c r="B4332" s="1" t="s">
        <v>4516</v>
      </c>
      <c r="C4332" s="1" t="s">
        <v>26</v>
      </c>
      <c r="D4332" t="s">
        <v>33</v>
      </c>
      <c r="E4332" t="s">
        <v>114</v>
      </c>
      <c r="F4332" t="s">
        <v>14</v>
      </c>
      <c r="G4332" t="s">
        <v>15</v>
      </c>
      <c r="H4332" s="3">
        <v>8</v>
      </c>
      <c r="I4332" s="3">
        <v>55800</v>
      </c>
      <c r="J4332" s="3">
        <v>446400</v>
      </c>
      <c r="K4332" s="3">
        <v>45000</v>
      </c>
      <c r="L4332" s="3">
        <v>360000</v>
      </c>
      <c r="M4332" s="3">
        <v>86400</v>
      </c>
      <c r="N4332" s="4">
        <v>0.19354838709677419</v>
      </c>
    </row>
    <row r="4333" spans="1:14" x14ac:dyDescent="0.3">
      <c r="A4333" s="6">
        <v>45967</v>
      </c>
      <c r="B4333" s="1" t="s">
        <v>4517</v>
      </c>
      <c r="C4333" s="1" t="s">
        <v>26</v>
      </c>
      <c r="D4333" t="s">
        <v>35</v>
      </c>
      <c r="E4333" t="s">
        <v>208</v>
      </c>
      <c r="F4333" t="s">
        <v>17</v>
      </c>
      <c r="G4333" t="s">
        <v>18</v>
      </c>
      <c r="H4333" s="3">
        <v>8</v>
      </c>
      <c r="I4333" s="3">
        <v>11475</v>
      </c>
      <c r="J4333" s="3">
        <v>91800</v>
      </c>
      <c r="K4333" s="3">
        <v>8500</v>
      </c>
      <c r="L4333" s="3">
        <v>68000</v>
      </c>
      <c r="M4333" s="3">
        <v>23800</v>
      </c>
      <c r="N4333" s="4">
        <v>0.25925925925925924</v>
      </c>
    </row>
    <row r="4334" spans="1:14" x14ac:dyDescent="0.3">
      <c r="A4334" s="6">
        <v>45967</v>
      </c>
      <c r="B4334" s="1" t="s">
        <v>4518</v>
      </c>
      <c r="C4334" s="1" t="s">
        <v>26</v>
      </c>
      <c r="D4334" t="s">
        <v>31</v>
      </c>
      <c r="E4334" t="s">
        <v>112</v>
      </c>
      <c r="F4334" t="s">
        <v>14</v>
      </c>
      <c r="G4334" t="s">
        <v>15</v>
      </c>
      <c r="H4334" s="3">
        <v>3</v>
      </c>
      <c r="I4334" s="3">
        <v>61650.000000000007</v>
      </c>
      <c r="J4334" s="3">
        <v>184950.00000000003</v>
      </c>
      <c r="K4334" s="3">
        <v>45000</v>
      </c>
      <c r="L4334" s="3">
        <v>135000</v>
      </c>
      <c r="M4334" s="3">
        <v>49950.000000000029</v>
      </c>
      <c r="N4334" s="4">
        <v>0.27007299270073004</v>
      </c>
    </row>
    <row r="4335" spans="1:14" x14ac:dyDescent="0.3">
      <c r="A4335" s="6">
        <v>45967</v>
      </c>
      <c r="B4335" s="1" t="s">
        <v>4519</v>
      </c>
      <c r="C4335" s="1" t="s">
        <v>27</v>
      </c>
      <c r="D4335" t="s">
        <v>32</v>
      </c>
      <c r="E4335" t="s">
        <v>233</v>
      </c>
      <c r="F4335" t="s">
        <v>21</v>
      </c>
      <c r="G4335" t="s">
        <v>20</v>
      </c>
      <c r="H4335" s="3">
        <v>7</v>
      </c>
      <c r="I4335" s="3">
        <v>834.00000000000011</v>
      </c>
      <c r="J4335" s="3">
        <v>5838.0000000000009</v>
      </c>
      <c r="K4335" s="3">
        <v>600</v>
      </c>
      <c r="L4335" s="3">
        <v>4200</v>
      </c>
      <c r="M4335" s="3">
        <v>1638.0000000000009</v>
      </c>
      <c r="N4335" s="4">
        <v>0.28057553956834541</v>
      </c>
    </row>
    <row r="4336" spans="1:14" x14ac:dyDescent="0.3">
      <c r="A4336" s="6">
        <v>45967</v>
      </c>
      <c r="B4336" s="1" t="s">
        <v>4520</v>
      </c>
      <c r="C4336" s="1" t="s">
        <v>29</v>
      </c>
      <c r="D4336" t="s">
        <v>30</v>
      </c>
      <c r="E4336" t="s">
        <v>508</v>
      </c>
      <c r="F4336" t="s">
        <v>19</v>
      </c>
      <c r="G4336" t="s">
        <v>20</v>
      </c>
      <c r="H4336" s="3">
        <v>1</v>
      </c>
      <c r="I4336" s="3">
        <v>1134</v>
      </c>
      <c r="J4336" s="3">
        <v>1134</v>
      </c>
      <c r="K4336" s="3">
        <v>900</v>
      </c>
      <c r="L4336" s="3">
        <v>900</v>
      </c>
      <c r="M4336" s="3">
        <v>234</v>
      </c>
      <c r="N4336" s="4">
        <v>0.20634920634920634</v>
      </c>
    </row>
    <row r="4337" spans="1:14" x14ac:dyDescent="0.3">
      <c r="A4337" s="6">
        <v>45967</v>
      </c>
      <c r="B4337" s="1" t="s">
        <v>4521</v>
      </c>
      <c r="C4337" s="1" t="s">
        <v>26</v>
      </c>
      <c r="D4337" t="s">
        <v>33</v>
      </c>
      <c r="E4337" t="s">
        <v>153</v>
      </c>
      <c r="F4337" t="s">
        <v>17</v>
      </c>
      <c r="G4337" t="s">
        <v>18</v>
      </c>
      <c r="H4337" s="3">
        <v>6</v>
      </c>
      <c r="I4337" s="3">
        <v>10370</v>
      </c>
      <c r="J4337" s="3">
        <v>62220</v>
      </c>
      <c r="K4337" s="3">
        <v>8500</v>
      </c>
      <c r="L4337" s="3">
        <v>51000</v>
      </c>
      <c r="M4337" s="3">
        <v>11220</v>
      </c>
      <c r="N4337" s="4">
        <v>0.18032786885245902</v>
      </c>
    </row>
    <row r="4338" spans="1:14" x14ac:dyDescent="0.3">
      <c r="A4338" s="6">
        <v>45967</v>
      </c>
      <c r="B4338" s="1" t="s">
        <v>4522</v>
      </c>
      <c r="C4338" s="1" t="s">
        <v>28</v>
      </c>
      <c r="D4338" t="s">
        <v>31</v>
      </c>
      <c r="E4338" t="s">
        <v>321</v>
      </c>
      <c r="F4338" t="s">
        <v>21</v>
      </c>
      <c r="G4338" t="s">
        <v>20</v>
      </c>
      <c r="H4338" s="3">
        <v>8</v>
      </c>
      <c r="I4338" s="3">
        <v>792</v>
      </c>
      <c r="J4338" s="3">
        <v>6336</v>
      </c>
      <c r="K4338" s="3">
        <v>600</v>
      </c>
      <c r="L4338" s="3">
        <v>4800</v>
      </c>
      <c r="M4338" s="3">
        <v>1536</v>
      </c>
      <c r="N4338" s="4">
        <v>0.24242424242424243</v>
      </c>
    </row>
    <row r="4339" spans="1:14" x14ac:dyDescent="0.3">
      <c r="A4339" s="6">
        <v>45967</v>
      </c>
      <c r="B4339" s="1" t="s">
        <v>4523</v>
      </c>
      <c r="C4339" s="1" t="s">
        <v>29</v>
      </c>
      <c r="D4339" t="s">
        <v>31</v>
      </c>
      <c r="E4339" t="s">
        <v>359</v>
      </c>
      <c r="F4339" t="s">
        <v>23</v>
      </c>
      <c r="G4339" t="s">
        <v>25</v>
      </c>
      <c r="H4339" s="3">
        <v>8</v>
      </c>
      <c r="I4339" s="3">
        <v>4256</v>
      </c>
      <c r="J4339" s="3">
        <v>34048</v>
      </c>
      <c r="K4339" s="3">
        <v>3200</v>
      </c>
      <c r="L4339" s="3">
        <v>25600</v>
      </c>
      <c r="M4339" s="3">
        <v>8448</v>
      </c>
      <c r="N4339" s="4">
        <v>0.24812030075187969</v>
      </c>
    </row>
    <row r="4340" spans="1:14" x14ac:dyDescent="0.3">
      <c r="A4340" s="6">
        <v>45968</v>
      </c>
      <c r="B4340" s="1" t="s">
        <v>4524</v>
      </c>
      <c r="C4340" s="1" t="s">
        <v>29</v>
      </c>
      <c r="D4340" t="s">
        <v>31</v>
      </c>
      <c r="E4340" t="s">
        <v>329</v>
      </c>
      <c r="F4340" t="s">
        <v>23</v>
      </c>
      <c r="G4340" t="s">
        <v>25</v>
      </c>
      <c r="H4340" s="3">
        <v>4</v>
      </c>
      <c r="I4340" s="3">
        <v>4064</v>
      </c>
      <c r="J4340" s="3">
        <v>16256</v>
      </c>
      <c r="K4340" s="3">
        <v>3200</v>
      </c>
      <c r="L4340" s="3">
        <v>12800</v>
      </c>
      <c r="M4340" s="3">
        <v>3456</v>
      </c>
      <c r="N4340" s="4">
        <v>0.2125984251968504</v>
      </c>
    </row>
    <row r="4341" spans="1:14" x14ac:dyDescent="0.3">
      <c r="A4341" s="6">
        <v>45968</v>
      </c>
      <c r="B4341" s="1" t="s">
        <v>4525</v>
      </c>
      <c r="C4341" s="1" t="s">
        <v>27</v>
      </c>
      <c r="D4341" t="s">
        <v>32</v>
      </c>
      <c r="E4341" t="s">
        <v>411</v>
      </c>
      <c r="F4341" t="s">
        <v>14</v>
      </c>
      <c r="G4341" t="s">
        <v>15</v>
      </c>
      <c r="H4341" s="3">
        <v>1</v>
      </c>
      <c r="I4341" s="3">
        <v>64800</v>
      </c>
      <c r="J4341" s="3">
        <v>64800</v>
      </c>
      <c r="K4341" s="3">
        <v>45000</v>
      </c>
      <c r="L4341" s="3">
        <v>45000</v>
      </c>
      <c r="M4341" s="3">
        <v>19800</v>
      </c>
      <c r="N4341" s="4">
        <v>0.30555555555555558</v>
      </c>
    </row>
    <row r="4342" spans="1:14" x14ac:dyDescent="0.3">
      <c r="A4342" s="6">
        <v>45968</v>
      </c>
      <c r="B4342" s="1" t="s">
        <v>4526</v>
      </c>
      <c r="C4342" s="1" t="s">
        <v>27</v>
      </c>
      <c r="D4342" t="s">
        <v>30</v>
      </c>
      <c r="E4342" t="s">
        <v>147</v>
      </c>
      <c r="F4342" t="s">
        <v>17</v>
      </c>
      <c r="G4342" t="s">
        <v>18</v>
      </c>
      <c r="H4342" s="3">
        <v>9</v>
      </c>
      <c r="I4342" s="3">
        <v>10370</v>
      </c>
      <c r="J4342" s="3">
        <v>93330</v>
      </c>
      <c r="K4342" s="3">
        <v>8500</v>
      </c>
      <c r="L4342" s="3">
        <v>76500</v>
      </c>
      <c r="M4342" s="3">
        <v>16830</v>
      </c>
      <c r="N4342" s="4">
        <v>0.18032786885245902</v>
      </c>
    </row>
    <row r="4343" spans="1:14" x14ac:dyDescent="0.3">
      <c r="A4343" s="6">
        <v>45968</v>
      </c>
      <c r="B4343" s="1" t="s">
        <v>4527</v>
      </c>
      <c r="C4343" s="1" t="s">
        <v>28</v>
      </c>
      <c r="D4343" t="s">
        <v>35</v>
      </c>
      <c r="E4343" t="s">
        <v>283</v>
      </c>
      <c r="F4343" t="s">
        <v>16</v>
      </c>
      <c r="G4343" t="s">
        <v>15</v>
      </c>
      <c r="H4343" s="3">
        <v>9</v>
      </c>
      <c r="I4343" s="3">
        <v>49780</v>
      </c>
      <c r="J4343" s="3">
        <v>448020</v>
      </c>
      <c r="K4343" s="3">
        <v>38000</v>
      </c>
      <c r="L4343" s="3">
        <v>342000</v>
      </c>
      <c r="M4343" s="3">
        <v>106020</v>
      </c>
      <c r="N4343" s="4">
        <v>0.23664122137404581</v>
      </c>
    </row>
    <row r="4344" spans="1:14" x14ac:dyDescent="0.3">
      <c r="A4344" s="6">
        <v>45968</v>
      </c>
      <c r="B4344" s="1" t="s">
        <v>4528</v>
      </c>
      <c r="C4344" s="1" t="s">
        <v>27</v>
      </c>
      <c r="D4344" t="s">
        <v>35</v>
      </c>
      <c r="E4344" t="s">
        <v>255</v>
      </c>
      <c r="F4344" t="s">
        <v>19</v>
      </c>
      <c r="G4344" t="s">
        <v>20</v>
      </c>
      <c r="H4344" s="3">
        <v>7</v>
      </c>
      <c r="I4344" s="3">
        <v>1197</v>
      </c>
      <c r="J4344" s="3">
        <v>8379</v>
      </c>
      <c r="K4344" s="3">
        <v>900</v>
      </c>
      <c r="L4344" s="3">
        <v>6300</v>
      </c>
      <c r="M4344" s="3">
        <v>2079</v>
      </c>
      <c r="N4344" s="4">
        <v>0.24812030075187969</v>
      </c>
    </row>
    <row r="4345" spans="1:14" x14ac:dyDescent="0.3">
      <c r="A4345" s="6">
        <v>45968</v>
      </c>
      <c r="B4345" s="1" t="s">
        <v>4529</v>
      </c>
      <c r="C4345" s="1" t="s">
        <v>29</v>
      </c>
      <c r="D4345" t="s">
        <v>32</v>
      </c>
      <c r="E4345" t="s">
        <v>214</v>
      </c>
      <c r="F4345" t="s">
        <v>21</v>
      </c>
      <c r="G4345" t="s">
        <v>20</v>
      </c>
      <c r="H4345" s="3">
        <v>6</v>
      </c>
      <c r="I4345" s="3">
        <v>798</v>
      </c>
      <c r="J4345" s="3">
        <v>4788</v>
      </c>
      <c r="K4345" s="3">
        <v>600</v>
      </c>
      <c r="L4345" s="3">
        <v>3600</v>
      </c>
      <c r="M4345" s="3">
        <v>1188</v>
      </c>
      <c r="N4345" s="4">
        <v>0.24812030075187969</v>
      </c>
    </row>
    <row r="4346" spans="1:14" x14ac:dyDescent="0.3">
      <c r="A4346" s="6">
        <v>45968</v>
      </c>
      <c r="B4346" s="1" t="s">
        <v>4530</v>
      </c>
      <c r="C4346" s="1" t="s">
        <v>26</v>
      </c>
      <c r="D4346" t="s">
        <v>34</v>
      </c>
      <c r="E4346" t="s">
        <v>369</v>
      </c>
      <c r="F4346" t="s">
        <v>24</v>
      </c>
      <c r="G4346" t="s">
        <v>25</v>
      </c>
      <c r="H4346" s="3">
        <v>3</v>
      </c>
      <c r="I4346" s="3">
        <v>3100</v>
      </c>
      <c r="J4346" s="3">
        <v>9300</v>
      </c>
      <c r="K4346" s="3">
        <v>2500</v>
      </c>
      <c r="L4346" s="3">
        <v>7500</v>
      </c>
      <c r="M4346" s="3">
        <v>1800</v>
      </c>
      <c r="N4346" s="4">
        <v>0.19354838709677419</v>
      </c>
    </row>
    <row r="4347" spans="1:14" x14ac:dyDescent="0.3">
      <c r="A4347" s="6">
        <v>45968</v>
      </c>
      <c r="B4347" s="1" t="s">
        <v>4531</v>
      </c>
      <c r="C4347" s="1" t="s">
        <v>28</v>
      </c>
      <c r="D4347" t="s">
        <v>33</v>
      </c>
      <c r="E4347" t="s">
        <v>137</v>
      </c>
      <c r="F4347" t="s">
        <v>17</v>
      </c>
      <c r="G4347" t="s">
        <v>18</v>
      </c>
      <c r="H4347" s="3">
        <v>2</v>
      </c>
      <c r="I4347" s="3">
        <v>10710</v>
      </c>
      <c r="J4347" s="3">
        <v>21420</v>
      </c>
      <c r="K4347" s="3">
        <v>8500</v>
      </c>
      <c r="L4347" s="3">
        <v>17000</v>
      </c>
      <c r="M4347" s="3">
        <v>4420</v>
      </c>
      <c r="N4347" s="4">
        <v>0.20634920634920634</v>
      </c>
    </row>
    <row r="4348" spans="1:14" x14ac:dyDescent="0.3">
      <c r="A4348" s="6">
        <v>45968</v>
      </c>
      <c r="B4348" s="1" t="s">
        <v>4532</v>
      </c>
      <c r="C4348" s="1" t="s">
        <v>29</v>
      </c>
      <c r="D4348" t="s">
        <v>33</v>
      </c>
      <c r="E4348" t="s">
        <v>363</v>
      </c>
      <c r="F4348" t="s">
        <v>16</v>
      </c>
      <c r="G4348" t="s">
        <v>15</v>
      </c>
      <c r="H4348" s="3">
        <v>2</v>
      </c>
      <c r="I4348" s="3">
        <v>49400</v>
      </c>
      <c r="J4348" s="3">
        <v>98800</v>
      </c>
      <c r="K4348" s="3">
        <v>38000</v>
      </c>
      <c r="L4348" s="3">
        <v>76000</v>
      </c>
      <c r="M4348" s="3">
        <v>22800</v>
      </c>
      <c r="N4348" s="4">
        <v>0.23076923076923078</v>
      </c>
    </row>
    <row r="4349" spans="1:14" x14ac:dyDescent="0.3">
      <c r="A4349" s="6">
        <v>45968</v>
      </c>
      <c r="B4349" s="1" t="s">
        <v>4533</v>
      </c>
      <c r="C4349" s="1" t="s">
        <v>29</v>
      </c>
      <c r="D4349" t="s">
        <v>32</v>
      </c>
      <c r="E4349" t="s">
        <v>355</v>
      </c>
      <c r="F4349" t="s">
        <v>23</v>
      </c>
      <c r="G4349" t="s">
        <v>25</v>
      </c>
      <c r="H4349" s="3">
        <v>6</v>
      </c>
      <c r="I4349" s="3">
        <v>3936</v>
      </c>
      <c r="J4349" s="3">
        <v>23616</v>
      </c>
      <c r="K4349" s="3">
        <v>3200</v>
      </c>
      <c r="L4349" s="3">
        <v>19200</v>
      </c>
      <c r="M4349" s="3">
        <v>4416</v>
      </c>
      <c r="N4349" s="4">
        <v>0.18699186991869918</v>
      </c>
    </row>
    <row r="4350" spans="1:14" x14ac:dyDescent="0.3">
      <c r="A4350" s="6">
        <v>45968</v>
      </c>
      <c r="B4350" s="1" t="s">
        <v>4534</v>
      </c>
      <c r="C4350" s="1" t="s">
        <v>27</v>
      </c>
      <c r="D4350" t="s">
        <v>32</v>
      </c>
      <c r="E4350" t="s">
        <v>37</v>
      </c>
      <c r="F4350" t="s">
        <v>14</v>
      </c>
      <c r="G4350" t="s">
        <v>15</v>
      </c>
      <c r="H4350" s="3">
        <v>9</v>
      </c>
      <c r="I4350" s="3">
        <v>64350</v>
      </c>
      <c r="J4350" s="3">
        <v>579150</v>
      </c>
      <c r="K4350" s="3">
        <v>45000</v>
      </c>
      <c r="L4350" s="3">
        <v>405000</v>
      </c>
      <c r="M4350" s="3">
        <v>174150</v>
      </c>
      <c r="N4350" s="4">
        <v>0.30069930069930068</v>
      </c>
    </row>
    <row r="4351" spans="1:14" x14ac:dyDescent="0.3">
      <c r="A4351" s="6">
        <v>45968</v>
      </c>
      <c r="B4351" s="1" t="s">
        <v>4535</v>
      </c>
      <c r="C4351" s="1" t="s">
        <v>27</v>
      </c>
      <c r="D4351" t="s">
        <v>33</v>
      </c>
      <c r="E4351" t="s">
        <v>98</v>
      </c>
      <c r="F4351" t="s">
        <v>16</v>
      </c>
      <c r="G4351" t="s">
        <v>15</v>
      </c>
      <c r="H4351" s="3">
        <v>5</v>
      </c>
      <c r="I4351" s="3">
        <v>48260</v>
      </c>
      <c r="J4351" s="3">
        <v>241300</v>
      </c>
      <c r="K4351" s="3">
        <v>38000</v>
      </c>
      <c r="L4351" s="3">
        <v>190000</v>
      </c>
      <c r="M4351" s="3">
        <v>51300</v>
      </c>
      <c r="N4351" s="4">
        <v>0.2125984251968504</v>
      </c>
    </row>
    <row r="4352" spans="1:14" x14ac:dyDescent="0.3">
      <c r="A4352" s="6">
        <v>45968</v>
      </c>
      <c r="B4352" s="1" t="s">
        <v>4536</v>
      </c>
      <c r="C4352" s="1" t="s">
        <v>27</v>
      </c>
      <c r="D4352" t="s">
        <v>31</v>
      </c>
      <c r="E4352" t="s">
        <v>90</v>
      </c>
      <c r="F4352" t="s">
        <v>19</v>
      </c>
      <c r="G4352" t="s">
        <v>20</v>
      </c>
      <c r="H4352" s="3">
        <v>8</v>
      </c>
      <c r="I4352" s="3">
        <v>1260</v>
      </c>
      <c r="J4352" s="3">
        <v>10080</v>
      </c>
      <c r="K4352" s="3">
        <v>900</v>
      </c>
      <c r="L4352" s="3">
        <v>7200</v>
      </c>
      <c r="M4352" s="3">
        <v>2880</v>
      </c>
      <c r="N4352" s="4">
        <v>0.2857142857142857</v>
      </c>
    </row>
    <row r="4353" spans="1:14" x14ac:dyDescent="0.3">
      <c r="A4353" s="6">
        <v>45968</v>
      </c>
      <c r="B4353" s="1" t="s">
        <v>4537</v>
      </c>
      <c r="C4353" s="1" t="s">
        <v>26</v>
      </c>
      <c r="D4353" t="s">
        <v>33</v>
      </c>
      <c r="E4353" t="s">
        <v>236</v>
      </c>
      <c r="F4353" t="s">
        <v>21</v>
      </c>
      <c r="G4353" t="s">
        <v>20</v>
      </c>
      <c r="H4353" s="3">
        <v>2</v>
      </c>
      <c r="I4353" s="3">
        <v>840</v>
      </c>
      <c r="J4353" s="3">
        <v>1680</v>
      </c>
      <c r="K4353" s="3">
        <v>600</v>
      </c>
      <c r="L4353" s="3">
        <v>1200</v>
      </c>
      <c r="M4353" s="3">
        <v>480</v>
      </c>
      <c r="N4353" s="4">
        <v>0.2857142857142857</v>
      </c>
    </row>
    <row r="4354" spans="1:14" x14ac:dyDescent="0.3">
      <c r="A4354" s="6">
        <v>45969</v>
      </c>
      <c r="B4354" s="1" t="s">
        <v>4538</v>
      </c>
      <c r="C4354" s="1" t="s">
        <v>29</v>
      </c>
      <c r="D4354" t="s">
        <v>34</v>
      </c>
      <c r="E4354" t="s">
        <v>521</v>
      </c>
      <c r="F4354" t="s">
        <v>22</v>
      </c>
      <c r="G4354" t="s">
        <v>18</v>
      </c>
      <c r="H4354" s="3">
        <v>8</v>
      </c>
      <c r="I4354" s="3">
        <v>8400</v>
      </c>
      <c r="J4354" s="3">
        <v>67200</v>
      </c>
      <c r="K4354" s="3">
        <v>7000</v>
      </c>
      <c r="L4354" s="3">
        <v>56000</v>
      </c>
      <c r="M4354" s="3">
        <v>11200</v>
      </c>
      <c r="N4354" s="4">
        <v>0.16666666666666666</v>
      </c>
    </row>
    <row r="4355" spans="1:14" x14ac:dyDescent="0.3">
      <c r="A4355" s="6">
        <v>45969</v>
      </c>
      <c r="B4355" s="1" t="s">
        <v>4539</v>
      </c>
      <c r="C4355" s="1" t="s">
        <v>26</v>
      </c>
      <c r="D4355" t="s">
        <v>31</v>
      </c>
      <c r="E4355" t="s">
        <v>379</v>
      </c>
      <c r="F4355" t="s">
        <v>19</v>
      </c>
      <c r="G4355" t="s">
        <v>20</v>
      </c>
      <c r="H4355" s="3">
        <v>9</v>
      </c>
      <c r="I4355" s="3">
        <v>1161</v>
      </c>
      <c r="J4355" s="3">
        <v>10449</v>
      </c>
      <c r="K4355" s="3">
        <v>900</v>
      </c>
      <c r="L4355" s="3">
        <v>8100</v>
      </c>
      <c r="M4355" s="3">
        <v>2349</v>
      </c>
      <c r="N4355" s="4">
        <v>0.22480620155038761</v>
      </c>
    </row>
    <row r="4356" spans="1:14" x14ac:dyDescent="0.3">
      <c r="A4356" s="6">
        <v>45969</v>
      </c>
      <c r="B4356" s="1" t="s">
        <v>4540</v>
      </c>
      <c r="C4356" s="1" t="s">
        <v>29</v>
      </c>
      <c r="D4356" t="s">
        <v>31</v>
      </c>
      <c r="E4356" t="s">
        <v>81</v>
      </c>
      <c r="F4356" t="s">
        <v>16</v>
      </c>
      <c r="G4356" t="s">
        <v>15</v>
      </c>
      <c r="H4356" s="3">
        <v>3</v>
      </c>
      <c r="I4356" s="3">
        <v>47880</v>
      </c>
      <c r="J4356" s="3">
        <v>143640</v>
      </c>
      <c r="K4356" s="3">
        <v>38000</v>
      </c>
      <c r="L4356" s="3">
        <v>114000</v>
      </c>
      <c r="M4356" s="3">
        <v>29640</v>
      </c>
      <c r="N4356" s="4">
        <v>0.20634920634920634</v>
      </c>
    </row>
    <row r="4357" spans="1:14" x14ac:dyDescent="0.3">
      <c r="A4357" s="6">
        <v>45969</v>
      </c>
      <c r="B4357" s="1" t="s">
        <v>4541</v>
      </c>
      <c r="C4357" s="1" t="s">
        <v>26</v>
      </c>
      <c r="D4357" t="s">
        <v>31</v>
      </c>
      <c r="E4357" t="s">
        <v>118</v>
      </c>
      <c r="F4357" t="s">
        <v>22</v>
      </c>
      <c r="G4357" t="s">
        <v>18</v>
      </c>
      <c r="H4357" s="3">
        <v>4</v>
      </c>
      <c r="I4357" s="3">
        <v>8890</v>
      </c>
      <c r="J4357" s="3">
        <v>35560</v>
      </c>
      <c r="K4357" s="3">
        <v>7000</v>
      </c>
      <c r="L4357" s="3">
        <v>28000</v>
      </c>
      <c r="M4357" s="3">
        <v>7560</v>
      </c>
      <c r="N4357" s="4">
        <v>0.2125984251968504</v>
      </c>
    </row>
    <row r="4358" spans="1:14" x14ac:dyDescent="0.3">
      <c r="A4358" s="6">
        <v>45969</v>
      </c>
      <c r="B4358" s="1" t="s">
        <v>4542</v>
      </c>
      <c r="C4358" s="1" t="s">
        <v>27</v>
      </c>
      <c r="D4358" t="s">
        <v>31</v>
      </c>
      <c r="E4358" t="s">
        <v>400</v>
      </c>
      <c r="F4358" t="s">
        <v>24</v>
      </c>
      <c r="G4358" t="s">
        <v>25</v>
      </c>
      <c r="H4358" s="3">
        <v>1</v>
      </c>
      <c r="I4358" s="3">
        <v>3500</v>
      </c>
      <c r="J4358" s="3">
        <v>3500</v>
      </c>
      <c r="K4358" s="3">
        <v>2500</v>
      </c>
      <c r="L4358" s="3">
        <v>2500</v>
      </c>
      <c r="M4358" s="3">
        <v>1000</v>
      </c>
      <c r="N4358" s="4">
        <v>0.2857142857142857</v>
      </c>
    </row>
    <row r="4359" spans="1:14" x14ac:dyDescent="0.3">
      <c r="A4359" s="6">
        <v>45969</v>
      </c>
      <c r="B4359" s="1" t="s">
        <v>4543</v>
      </c>
      <c r="C4359" s="1" t="s">
        <v>28</v>
      </c>
      <c r="D4359" t="s">
        <v>31</v>
      </c>
      <c r="E4359" t="s">
        <v>273</v>
      </c>
      <c r="F4359" t="s">
        <v>16</v>
      </c>
      <c r="G4359" t="s">
        <v>15</v>
      </c>
      <c r="H4359" s="3">
        <v>10</v>
      </c>
      <c r="I4359" s="3">
        <v>50160</v>
      </c>
      <c r="J4359" s="3">
        <v>501600</v>
      </c>
      <c r="K4359" s="3">
        <v>38000</v>
      </c>
      <c r="L4359" s="3">
        <v>380000</v>
      </c>
      <c r="M4359" s="3">
        <v>121600</v>
      </c>
      <c r="N4359" s="4">
        <v>0.24242424242424243</v>
      </c>
    </row>
    <row r="4360" spans="1:14" x14ac:dyDescent="0.3">
      <c r="A4360" s="6">
        <v>45969</v>
      </c>
      <c r="B4360" s="1" t="s">
        <v>4544</v>
      </c>
      <c r="C4360" s="1" t="s">
        <v>26</v>
      </c>
      <c r="D4360" t="s">
        <v>33</v>
      </c>
      <c r="E4360" t="s">
        <v>508</v>
      </c>
      <c r="F4360" t="s">
        <v>22</v>
      </c>
      <c r="G4360" t="s">
        <v>18</v>
      </c>
      <c r="H4360" s="3">
        <v>2</v>
      </c>
      <c r="I4360" s="3">
        <v>8820</v>
      </c>
      <c r="J4360" s="3">
        <v>17640</v>
      </c>
      <c r="K4360" s="3">
        <v>7000</v>
      </c>
      <c r="L4360" s="3">
        <v>14000</v>
      </c>
      <c r="M4360" s="3">
        <v>3640</v>
      </c>
      <c r="N4360" s="4">
        <v>0.20634920634920634</v>
      </c>
    </row>
    <row r="4361" spans="1:14" x14ac:dyDescent="0.3">
      <c r="A4361" s="6">
        <v>45969</v>
      </c>
      <c r="B4361" s="1" t="s">
        <v>4545</v>
      </c>
      <c r="C4361" s="1" t="s">
        <v>26</v>
      </c>
      <c r="D4361" t="s">
        <v>31</v>
      </c>
      <c r="E4361" t="s">
        <v>317</v>
      </c>
      <c r="F4361" t="s">
        <v>23</v>
      </c>
      <c r="G4361" t="s">
        <v>25</v>
      </c>
      <c r="H4361" s="3">
        <v>8</v>
      </c>
      <c r="I4361" s="3">
        <v>4448</v>
      </c>
      <c r="J4361" s="3">
        <v>35584</v>
      </c>
      <c r="K4361" s="3">
        <v>3200</v>
      </c>
      <c r="L4361" s="3">
        <v>25600</v>
      </c>
      <c r="M4361" s="3">
        <v>9984</v>
      </c>
      <c r="N4361" s="4">
        <v>0.2805755395683453</v>
      </c>
    </row>
    <row r="4362" spans="1:14" x14ac:dyDescent="0.3">
      <c r="A4362" s="6">
        <v>45969</v>
      </c>
      <c r="B4362" s="1" t="s">
        <v>4546</v>
      </c>
      <c r="C4362" s="1" t="s">
        <v>29</v>
      </c>
      <c r="D4362" t="s">
        <v>31</v>
      </c>
      <c r="E4362" t="s">
        <v>357</v>
      </c>
      <c r="F4362" t="s">
        <v>21</v>
      </c>
      <c r="G4362" t="s">
        <v>20</v>
      </c>
      <c r="H4362" s="3">
        <v>7</v>
      </c>
      <c r="I4362" s="3">
        <v>774</v>
      </c>
      <c r="J4362" s="3">
        <v>5418</v>
      </c>
      <c r="K4362" s="3">
        <v>600</v>
      </c>
      <c r="L4362" s="3">
        <v>4200</v>
      </c>
      <c r="M4362" s="3">
        <v>1218</v>
      </c>
      <c r="N4362" s="4">
        <v>0.22480620155038761</v>
      </c>
    </row>
    <row r="4363" spans="1:14" x14ac:dyDescent="0.3">
      <c r="A4363" s="6">
        <v>45969</v>
      </c>
      <c r="B4363" s="1" t="s">
        <v>4547</v>
      </c>
      <c r="C4363" s="1" t="s">
        <v>26</v>
      </c>
      <c r="D4363" t="s">
        <v>30</v>
      </c>
      <c r="E4363" t="s">
        <v>51</v>
      </c>
      <c r="F4363" t="s">
        <v>24</v>
      </c>
      <c r="G4363" t="s">
        <v>25</v>
      </c>
      <c r="H4363" s="3">
        <v>10</v>
      </c>
      <c r="I4363" s="3">
        <v>3325</v>
      </c>
      <c r="J4363" s="3">
        <v>33250</v>
      </c>
      <c r="K4363" s="3">
        <v>2500</v>
      </c>
      <c r="L4363" s="3">
        <v>25000</v>
      </c>
      <c r="M4363" s="3">
        <v>8250</v>
      </c>
      <c r="N4363" s="4">
        <v>0.24812030075187969</v>
      </c>
    </row>
    <row r="4364" spans="1:14" x14ac:dyDescent="0.3">
      <c r="A4364" s="6">
        <v>45969</v>
      </c>
      <c r="B4364" s="1" t="s">
        <v>4548</v>
      </c>
      <c r="C4364" s="1" t="s">
        <v>29</v>
      </c>
      <c r="D4364" t="s">
        <v>31</v>
      </c>
      <c r="E4364" t="s">
        <v>214</v>
      </c>
      <c r="F4364" t="s">
        <v>14</v>
      </c>
      <c r="G4364" t="s">
        <v>15</v>
      </c>
      <c r="H4364" s="3">
        <v>1</v>
      </c>
      <c r="I4364" s="3">
        <v>62550.000000000007</v>
      </c>
      <c r="J4364" s="3">
        <v>62550.000000000007</v>
      </c>
      <c r="K4364" s="3">
        <v>45000</v>
      </c>
      <c r="L4364" s="3">
        <v>45000</v>
      </c>
      <c r="M4364" s="3">
        <v>17550.000000000007</v>
      </c>
      <c r="N4364" s="4">
        <v>0.28057553956834541</v>
      </c>
    </row>
    <row r="4365" spans="1:14" x14ac:dyDescent="0.3">
      <c r="A4365" s="6">
        <v>45969</v>
      </c>
      <c r="B4365" s="1" t="s">
        <v>4549</v>
      </c>
      <c r="C4365" s="1" t="s">
        <v>26</v>
      </c>
      <c r="D4365" t="s">
        <v>34</v>
      </c>
      <c r="E4365" t="s">
        <v>319</v>
      </c>
      <c r="F4365" t="s">
        <v>14</v>
      </c>
      <c r="G4365" t="s">
        <v>15</v>
      </c>
      <c r="H4365" s="3">
        <v>2</v>
      </c>
      <c r="I4365" s="3">
        <v>54900</v>
      </c>
      <c r="J4365" s="3">
        <v>109800</v>
      </c>
      <c r="K4365" s="3">
        <v>45000</v>
      </c>
      <c r="L4365" s="3">
        <v>90000</v>
      </c>
      <c r="M4365" s="3">
        <v>19800</v>
      </c>
      <c r="N4365" s="4">
        <v>0.18032786885245902</v>
      </c>
    </row>
    <row r="4366" spans="1:14" x14ac:dyDescent="0.3">
      <c r="A4366" s="6">
        <v>45969</v>
      </c>
      <c r="B4366" s="1" t="s">
        <v>4550</v>
      </c>
      <c r="C4366" s="1" t="s">
        <v>28</v>
      </c>
      <c r="D4366" t="s">
        <v>34</v>
      </c>
      <c r="E4366" t="s">
        <v>110</v>
      </c>
      <c r="F4366" t="s">
        <v>22</v>
      </c>
      <c r="G4366" t="s">
        <v>18</v>
      </c>
      <c r="H4366" s="3">
        <v>7</v>
      </c>
      <c r="I4366" s="3">
        <v>8960</v>
      </c>
      <c r="J4366" s="3">
        <v>62720</v>
      </c>
      <c r="K4366" s="3">
        <v>7000</v>
      </c>
      <c r="L4366" s="3">
        <v>49000</v>
      </c>
      <c r="M4366" s="3">
        <v>13720</v>
      </c>
      <c r="N4366" s="4">
        <v>0.21875</v>
      </c>
    </row>
    <row r="4367" spans="1:14" x14ac:dyDescent="0.3">
      <c r="A4367" s="6">
        <v>45969</v>
      </c>
      <c r="B4367" s="1" t="s">
        <v>4551</v>
      </c>
      <c r="C4367" s="1" t="s">
        <v>27</v>
      </c>
      <c r="D4367" t="s">
        <v>35</v>
      </c>
      <c r="E4367" t="s">
        <v>273</v>
      </c>
      <c r="F4367" t="s">
        <v>22</v>
      </c>
      <c r="G4367" t="s">
        <v>18</v>
      </c>
      <c r="H4367" s="3">
        <v>7</v>
      </c>
      <c r="I4367" s="3">
        <v>9870</v>
      </c>
      <c r="J4367" s="3">
        <v>69090</v>
      </c>
      <c r="K4367" s="3">
        <v>7000</v>
      </c>
      <c r="L4367" s="3">
        <v>49000</v>
      </c>
      <c r="M4367" s="3">
        <v>20090</v>
      </c>
      <c r="N4367" s="4">
        <v>0.29078014184397161</v>
      </c>
    </row>
    <row r="4368" spans="1:14" x14ac:dyDescent="0.3">
      <c r="A4368" s="6">
        <v>45970</v>
      </c>
      <c r="B4368" s="1" t="s">
        <v>4552</v>
      </c>
      <c r="C4368" s="1" t="s">
        <v>26</v>
      </c>
      <c r="D4368" t="s">
        <v>31</v>
      </c>
      <c r="E4368" t="s">
        <v>175</v>
      </c>
      <c r="F4368" t="s">
        <v>17</v>
      </c>
      <c r="G4368" t="s">
        <v>18</v>
      </c>
      <c r="H4368" s="3">
        <v>6</v>
      </c>
      <c r="I4368" s="3">
        <v>11305</v>
      </c>
      <c r="J4368" s="3">
        <v>67830</v>
      </c>
      <c r="K4368" s="3">
        <v>8500</v>
      </c>
      <c r="L4368" s="3">
        <v>51000</v>
      </c>
      <c r="M4368" s="3">
        <v>16830</v>
      </c>
      <c r="N4368" s="4">
        <v>0.24812030075187969</v>
      </c>
    </row>
    <row r="4369" spans="1:14" x14ac:dyDescent="0.3">
      <c r="A4369" s="6">
        <v>45970</v>
      </c>
      <c r="B4369" s="1" t="s">
        <v>4553</v>
      </c>
      <c r="C4369" s="1" t="s">
        <v>27</v>
      </c>
      <c r="D4369" t="s">
        <v>31</v>
      </c>
      <c r="E4369" t="s">
        <v>431</v>
      </c>
      <c r="F4369" t="s">
        <v>14</v>
      </c>
      <c r="G4369" t="s">
        <v>15</v>
      </c>
      <c r="H4369" s="3">
        <v>5</v>
      </c>
      <c r="I4369" s="3">
        <v>57150</v>
      </c>
      <c r="J4369" s="3">
        <v>285750</v>
      </c>
      <c r="K4369" s="3">
        <v>45000</v>
      </c>
      <c r="L4369" s="3">
        <v>225000</v>
      </c>
      <c r="M4369" s="3">
        <v>60750</v>
      </c>
      <c r="N4369" s="4">
        <v>0.2125984251968504</v>
      </c>
    </row>
    <row r="4370" spans="1:14" x14ac:dyDescent="0.3">
      <c r="A4370" s="6">
        <v>45970</v>
      </c>
      <c r="B4370" s="1" t="s">
        <v>4554</v>
      </c>
      <c r="C4370" s="1" t="s">
        <v>26</v>
      </c>
      <c r="D4370" t="s">
        <v>33</v>
      </c>
      <c r="E4370" t="s">
        <v>935</v>
      </c>
      <c r="F4370" t="s">
        <v>17</v>
      </c>
      <c r="G4370" t="s">
        <v>18</v>
      </c>
      <c r="H4370" s="3">
        <v>9</v>
      </c>
      <c r="I4370" s="3">
        <v>11645</v>
      </c>
      <c r="J4370" s="3">
        <v>104805</v>
      </c>
      <c r="K4370" s="3">
        <v>8500</v>
      </c>
      <c r="L4370" s="3">
        <v>76500</v>
      </c>
      <c r="M4370" s="3">
        <v>28305</v>
      </c>
      <c r="N4370" s="4">
        <v>0.27007299270072993</v>
      </c>
    </row>
    <row r="4371" spans="1:14" x14ac:dyDescent="0.3">
      <c r="A4371" s="6">
        <v>45970</v>
      </c>
      <c r="B4371" s="1" t="s">
        <v>4555</v>
      </c>
      <c r="C4371" s="1" t="s">
        <v>27</v>
      </c>
      <c r="D4371" t="s">
        <v>31</v>
      </c>
      <c r="E4371" t="s">
        <v>67</v>
      </c>
      <c r="F4371" t="s">
        <v>17</v>
      </c>
      <c r="G4371" t="s">
        <v>18</v>
      </c>
      <c r="H4371" s="3">
        <v>8</v>
      </c>
      <c r="I4371" s="3">
        <v>10200</v>
      </c>
      <c r="J4371" s="3">
        <v>81600</v>
      </c>
      <c r="K4371" s="3">
        <v>8500</v>
      </c>
      <c r="L4371" s="3">
        <v>68000</v>
      </c>
      <c r="M4371" s="3">
        <v>13600</v>
      </c>
      <c r="N4371" s="4">
        <v>0.16666666666666666</v>
      </c>
    </row>
    <row r="4372" spans="1:14" x14ac:dyDescent="0.3">
      <c r="A4372" s="6">
        <v>45970</v>
      </c>
      <c r="B4372" s="1" t="s">
        <v>4556</v>
      </c>
      <c r="C4372" s="1" t="s">
        <v>28</v>
      </c>
      <c r="D4372" t="s">
        <v>31</v>
      </c>
      <c r="E4372" t="s">
        <v>49</v>
      </c>
      <c r="F4372" t="s">
        <v>19</v>
      </c>
      <c r="G4372" t="s">
        <v>20</v>
      </c>
      <c r="H4372" s="3">
        <v>9</v>
      </c>
      <c r="I4372" s="3">
        <v>1215</v>
      </c>
      <c r="J4372" s="3">
        <v>10935</v>
      </c>
      <c r="K4372" s="3">
        <v>900</v>
      </c>
      <c r="L4372" s="3">
        <v>8100</v>
      </c>
      <c r="M4372" s="3">
        <v>2835</v>
      </c>
      <c r="N4372" s="4">
        <v>0.25925925925925924</v>
      </c>
    </row>
    <row r="4373" spans="1:14" x14ac:dyDescent="0.3">
      <c r="A4373" s="6">
        <v>45970</v>
      </c>
      <c r="B4373" s="1" t="s">
        <v>4557</v>
      </c>
      <c r="C4373" s="1" t="s">
        <v>28</v>
      </c>
      <c r="D4373" t="s">
        <v>32</v>
      </c>
      <c r="E4373" t="s">
        <v>104</v>
      </c>
      <c r="F4373" t="s">
        <v>19</v>
      </c>
      <c r="G4373" t="s">
        <v>20</v>
      </c>
      <c r="H4373" s="3">
        <v>4</v>
      </c>
      <c r="I4373" s="3">
        <v>1305</v>
      </c>
      <c r="J4373" s="3">
        <v>5220</v>
      </c>
      <c r="K4373" s="3">
        <v>900</v>
      </c>
      <c r="L4373" s="3">
        <v>3600</v>
      </c>
      <c r="M4373" s="3">
        <v>1620</v>
      </c>
      <c r="N4373" s="4">
        <v>0.31034482758620691</v>
      </c>
    </row>
    <row r="4374" spans="1:14" x14ac:dyDescent="0.3">
      <c r="A4374" s="6">
        <v>45970</v>
      </c>
      <c r="B4374" s="1" t="s">
        <v>4558</v>
      </c>
      <c r="C4374" s="1" t="s">
        <v>26</v>
      </c>
      <c r="D4374" t="s">
        <v>34</v>
      </c>
      <c r="E4374" t="s">
        <v>129</v>
      </c>
      <c r="F4374" t="s">
        <v>14</v>
      </c>
      <c r="G4374" t="s">
        <v>15</v>
      </c>
      <c r="H4374" s="3">
        <v>3</v>
      </c>
      <c r="I4374" s="3">
        <v>60300</v>
      </c>
      <c r="J4374" s="3">
        <v>180900</v>
      </c>
      <c r="K4374" s="3">
        <v>45000</v>
      </c>
      <c r="L4374" s="3">
        <v>135000</v>
      </c>
      <c r="M4374" s="3">
        <v>45900</v>
      </c>
      <c r="N4374" s="4">
        <v>0.2537313432835821</v>
      </c>
    </row>
    <row r="4375" spans="1:14" x14ac:dyDescent="0.3">
      <c r="A4375" s="6">
        <v>45970</v>
      </c>
      <c r="B4375" s="1" t="s">
        <v>4559</v>
      </c>
      <c r="C4375" s="1" t="s">
        <v>26</v>
      </c>
      <c r="D4375" t="s">
        <v>34</v>
      </c>
      <c r="E4375" t="s">
        <v>159</v>
      </c>
      <c r="F4375" t="s">
        <v>21</v>
      </c>
      <c r="G4375" t="s">
        <v>20</v>
      </c>
      <c r="H4375" s="3">
        <v>5</v>
      </c>
      <c r="I4375" s="3">
        <v>726</v>
      </c>
      <c r="J4375" s="3">
        <v>3630</v>
      </c>
      <c r="K4375" s="3">
        <v>600</v>
      </c>
      <c r="L4375" s="3">
        <v>3000</v>
      </c>
      <c r="M4375" s="3">
        <v>630</v>
      </c>
      <c r="N4375" s="4">
        <v>0.17355371900826447</v>
      </c>
    </row>
    <row r="4376" spans="1:14" x14ac:dyDescent="0.3">
      <c r="A4376" s="6">
        <v>45970</v>
      </c>
      <c r="B4376" s="1" t="s">
        <v>4560</v>
      </c>
      <c r="C4376" s="1" t="s">
        <v>28</v>
      </c>
      <c r="D4376" t="s">
        <v>35</v>
      </c>
      <c r="E4376" t="s">
        <v>424</v>
      </c>
      <c r="F4376" t="s">
        <v>16</v>
      </c>
      <c r="G4376" t="s">
        <v>15</v>
      </c>
      <c r="H4376" s="3">
        <v>5</v>
      </c>
      <c r="I4376" s="3">
        <v>49780</v>
      </c>
      <c r="J4376" s="3">
        <v>248900</v>
      </c>
      <c r="K4376" s="3">
        <v>38000</v>
      </c>
      <c r="L4376" s="3">
        <v>190000</v>
      </c>
      <c r="M4376" s="3">
        <v>58900</v>
      </c>
      <c r="N4376" s="4">
        <v>0.23664122137404581</v>
      </c>
    </row>
    <row r="4377" spans="1:14" x14ac:dyDescent="0.3">
      <c r="A4377" s="6">
        <v>45970</v>
      </c>
      <c r="B4377" s="1" t="s">
        <v>4561</v>
      </c>
      <c r="C4377" s="1" t="s">
        <v>27</v>
      </c>
      <c r="D4377" t="s">
        <v>31</v>
      </c>
      <c r="E4377" t="s">
        <v>363</v>
      </c>
      <c r="F4377" t="s">
        <v>14</v>
      </c>
      <c r="G4377" t="s">
        <v>15</v>
      </c>
      <c r="H4377" s="3">
        <v>9</v>
      </c>
      <c r="I4377" s="3">
        <v>54900</v>
      </c>
      <c r="J4377" s="3">
        <v>494100</v>
      </c>
      <c r="K4377" s="3">
        <v>45000</v>
      </c>
      <c r="L4377" s="3">
        <v>405000</v>
      </c>
      <c r="M4377" s="3">
        <v>89100</v>
      </c>
      <c r="N4377" s="4">
        <v>0.18032786885245902</v>
      </c>
    </row>
    <row r="4378" spans="1:14" x14ac:dyDescent="0.3">
      <c r="A4378" s="6">
        <v>45970</v>
      </c>
      <c r="B4378" s="1" t="s">
        <v>4562</v>
      </c>
      <c r="C4378" s="1" t="s">
        <v>27</v>
      </c>
      <c r="D4378" t="s">
        <v>35</v>
      </c>
      <c r="E4378" t="s">
        <v>400</v>
      </c>
      <c r="F4378" t="s">
        <v>16</v>
      </c>
      <c r="G4378" t="s">
        <v>15</v>
      </c>
      <c r="H4378" s="3">
        <v>2</v>
      </c>
      <c r="I4378" s="3">
        <v>45980</v>
      </c>
      <c r="J4378" s="3">
        <v>91960</v>
      </c>
      <c r="K4378" s="3">
        <v>38000</v>
      </c>
      <c r="L4378" s="3">
        <v>76000</v>
      </c>
      <c r="M4378" s="3">
        <v>15960</v>
      </c>
      <c r="N4378" s="4">
        <v>0.17355371900826447</v>
      </c>
    </row>
    <row r="4379" spans="1:14" x14ac:dyDescent="0.3">
      <c r="A4379" s="6">
        <v>45970</v>
      </c>
      <c r="B4379" s="1" t="s">
        <v>4563</v>
      </c>
      <c r="C4379" s="1" t="s">
        <v>28</v>
      </c>
      <c r="D4379" t="s">
        <v>33</v>
      </c>
      <c r="E4379" t="s">
        <v>37</v>
      </c>
      <c r="F4379" t="s">
        <v>19</v>
      </c>
      <c r="G4379" t="s">
        <v>20</v>
      </c>
      <c r="H4379" s="3">
        <v>2</v>
      </c>
      <c r="I4379" s="3">
        <v>1170</v>
      </c>
      <c r="J4379" s="3">
        <v>2340</v>
      </c>
      <c r="K4379" s="3">
        <v>900</v>
      </c>
      <c r="L4379" s="3">
        <v>1800</v>
      </c>
      <c r="M4379" s="3">
        <v>540</v>
      </c>
      <c r="N4379" s="4">
        <v>0.23076923076923078</v>
      </c>
    </row>
    <row r="4380" spans="1:14" x14ac:dyDescent="0.3">
      <c r="A4380" s="6">
        <v>45970</v>
      </c>
      <c r="B4380" s="1" t="s">
        <v>4564</v>
      </c>
      <c r="C4380" s="1" t="s">
        <v>28</v>
      </c>
      <c r="D4380" t="s">
        <v>31</v>
      </c>
      <c r="E4380" t="s">
        <v>427</v>
      </c>
      <c r="F4380" t="s">
        <v>16</v>
      </c>
      <c r="G4380" t="s">
        <v>15</v>
      </c>
      <c r="H4380" s="3">
        <v>10</v>
      </c>
      <c r="I4380" s="3">
        <v>50920</v>
      </c>
      <c r="J4380" s="3">
        <v>509200</v>
      </c>
      <c r="K4380" s="3">
        <v>38000</v>
      </c>
      <c r="L4380" s="3">
        <v>380000</v>
      </c>
      <c r="M4380" s="3">
        <v>129200</v>
      </c>
      <c r="N4380" s="4">
        <v>0.2537313432835821</v>
      </c>
    </row>
    <row r="4381" spans="1:14" x14ac:dyDescent="0.3">
      <c r="A4381" s="6">
        <v>45970</v>
      </c>
      <c r="B4381" s="1" t="s">
        <v>4565</v>
      </c>
      <c r="C4381" s="1" t="s">
        <v>29</v>
      </c>
      <c r="D4381" t="s">
        <v>30</v>
      </c>
      <c r="E4381" t="s">
        <v>447</v>
      </c>
      <c r="F4381" t="s">
        <v>21</v>
      </c>
      <c r="G4381" t="s">
        <v>20</v>
      </c>
      <c r="H4381" s="3">
        <v>5</v>
      </c>
      <c r="I4381" s="3">
        <v>840</v>
      </c>
      <c r="J4381" s="3">
        <v>4200</v>
      </c>
      <c r="K4381" s="3">
        <v>600</v>
      </c>
      <c r="L4381" s="3">
        <v>3000</v>
      </c>
      <c r="M4381" s="3">
        <v>1200</v>
      </c>
      <c r="N4381" s="4">
        <v>0.2857142857142857</v>
      </c>
    </row>
    <row r="4382" spans="1:14" x14ac:dyDescent="0.3">
      <c r="A4382" s="6">
        <v>45971</v>
      </c>
      <c r="B4382" s="1" t="s">
        <v>4566</v>
      </c>
      <c r="C4382" s="1" t="s">
        <v>26</v>
      </c>
      <c r="D4382" t="s">
        <v>35</v>
      </c>
      <c r="E4382" t="s">
        <v>196</v>
      </c>
      <c r="F4382" t="s">
        <v>16</v>
      </c>
      <c r="G4382" t="s">
        <v>15</v>
      </c>
      <c r="H4382" s="3">
        <v>1</v>
      </c>
      <c r="I4382" s="3">
        <v>55100</v>
      </c>
      <c r="J4382" s="3">
        <v>55100</v>
      </c>
      <c r="K4382" s="3">
        <v>38000</v>
      </c>
      <c r="L4382" s="3">
        <v>38000</v>
      </c>
      <c r="M4382" s="3">
        <v>17100</v>
      </c>
      <c r="N4382" s="4">
        <v>0.31034482758620691</v>
      </c>
    </row>
    <row r="4383" spans="1:14" x14ac:dyDescent="0.3">
      <c r="A4383" s="6">
        <v>45971</v>
      </c>
      <c r="B4383" s="1" t="s">
        <v>4567</v>
      </c>
      <c r="C4383" s="1" t="s">
        <v>27</v>
      </c>
      <c r="D4383" t="s">
        <v>35</v>
      </c>
      <c r="E4383" t="s">
        <v>400</v>
      </c>
      <c r="F4383" t="s">
        <v>24</v>
      </c>
      <c r="G4383" t="s">
        <v>25</v>
      </c>
      <c r="H4383" s="3">
        <v>8</v>
      </c>
      <c r="I4383" s="3">
        <v>3300</v>
      </c>
      <c r="J4383" s="3">
        <v>26400</v>
      </c>
      <c r="K4383" s="3">
        <v>2500</v>
      </c>
      <c r="L4383" s="3">
        <v>20000</v>
      </c>
      <c r="M4383" s="3">
        <v>6400</v>
      </c>
      <c r="N4383" s="4">
        <v>0.24242424242424243</v>
      </c>
    </row>
    <row r="4384" spans="1:14" x14ac:dyDescent="0.3">
      <c r="A4384" s="6">
        <v>45971</v>
      </c>
      <c r="B4384" s="1" t="s">
        <v>4568</v>
      </c>
      <c r="C4384" s="1" t="s">
        <v>28</v>
      </c>
      <c r="D4384" t="s">
        <v>32</v>
      </c>
      <c r="E4384" t="s">
        <v>424</v>
      </c>
      <c r="F4384" t="s">
        <v>21</v>
      </c>
      <c r="G4384" t="s">
        <v>20</v>
      </c>
      <c r="H4384" s="3">
        <v>5</v>
      </c>
      <c r="I4384" s="3">
        <v>738</v>
      </c>
      <c r="J4384" s="3">
        <v>3690</v>
      </c>
      <c r="K4384" s="3">
        <v>600</v>
      </c>
      <c r="L4384" s="3">
        <v>3000</v>
      </c>
      <c r="M4384" s="3">
        <v>690</v>
      </c>
      <c r="N4384" s="4">
        <v>0.18699186991869918</v>
      </c>
    </row>
    <row r="4385" spans="1:14" x14ac:dyDescent="0.3">
      <c r="A4385" s="6">
        <v>45971</v>
      </c>
      <c r="B4385" s="1" t="s">
        <v>4569</v>
      </c>
      <c r="C4385" s="1" t="s">
        <v>29</v>
      </c>
      <c r="D4385" t="s">
        <v>33</v>
      </c>
      <c r="E4385" t="s">
        <v>186</v>
      </c>
      <c r="F4385" t="s">
        <v>21</v>
      </c>
      <c r="G4385" t="s">
        <v>20</v>
      </c>
      <c r="H4385" s="3">
        <v>4</v>
      </c>
      <c r="I4385" s="3">
        <v>804</v>
      </c>
      <c r="J4385" s="3">
        <v>3216</v>
      </c>
      <c r="K4385" s="3">
        <v>600</v>
      </c>
      <c r="L4385" s="3">
        <v>2400</v>
      </c>
      <c r="M4385" s="3">
        <v>816</v>
      </c>
      <c r="N4385" s="4">
        <v>0.2537313432835821</v>
      </c>
    </row>
    <row r="4386" spans="1:14" x14ac:dyDescent="0.3">
      <c r="A4386" s="6">
        <v>45971</v>
      </c>
      <c r="B4386" s="1" t="s">
        <v>4570</v>
      </c>
      <c r="C4386" s="1" t="s">
        <v>27</v>
      </c>
      <c r="D4386" t="s">
        <v>34</v>
      </c>
      <c r="E4386" t="s">
        <v>388</v>
      </c>
      <c r="F4386" t="s">
        <v>24</v>
      </c>
      <c r="G4386" t="s">
        <v>25</v>
      </c>
      <c r="H4386" s="3">
        <v>9</v>
      </c>
      <c r="I4386" s="3">
        <v>3525</v>
      </c>
      <c r="J4386" s="3">
        <v>31725</v>
      </c>
      <c r="K4386" s="3">
        <v>2500</v>
      </c>
      <c r="L4386" s="3">
        <v>22500</v>
      </c>
      <c r="M4386" s="3">
        <v>9225</v>
      </c>
      <c r="N4386" s="4">
        <v>0.29078014184397161</v>
      </c>
    </row>
    <row r="4387" spans="1:14" x14ac:dyDescent="0.3">
      <c r="A4387" s="6">
        <v>45971</v>
      </c>
      <c r="B4387" s="1" t="s">
        <v>4571</v>
      </c>
      <c r="C4387" s="1" t="s">
        <v>29</v>
      </c>
      <c r="D4387" t="s">
        <v>35</v>
      </c>
      <c r="E4387" t="s">
        <v>180</v>
      </c>
      <c r="F4387" t="s">
        <v>17</v>
      </c>
      <c r="G4387" t="s">
        <v>18</v>
      </c>
      <c r="H4387" s="3">
        <v>3</v>
      </c>
      <c r="I4387" s="3">
        <v>11730</v>
      </c>
      <c r="J4387" s="3">
        <v>35190</v>
      </c>
      <c r="K4387" s="3">
        <v>8500</v>
      </c>
      <c r="L4387" s="3">
        <v>25500</v>
      </c>
      <c r="M4387" s="3">
        <v>9690</v>
      </c>
      <c r="N4387" s="4">
        <v>0.27536231884057971</v>
      </c>
    </row>
    <row r="4388" spans="1:14" x14ac:dyDescent="0.3">
      <c r="A4388" s="6">
        <v>45971</v>
      </c>
      <c r="B4388" s="1" t="s">
        <v>4572</v>
      </c>
      <c r="C4388" s="1" t="s">
        <v>26</v>
      </c>
      <c r="D4388" t="s">
        <v>32</v>
      </c>
      <c r="E4388" t="s">
        <v>359</v>
      </c>
      <c r="F4388" t="s">
        <v>19</v>
      </c>
      <c r="G4388" t="s">
        <v>20</v>
      </c>
      <c r="H4388" s="3">
        <v>10</v>
      </c>
      <c r="I4388" s="3">
        <v>1233</v>
      </c>
      <c r="J4388" s="3">
        <v>12330</v>
      </c>
      <c r="K4388" s="3">
        <v>900</v>
      </c>
      <c r="L4388" s="3">
        <v>9000</v>
      </c>
      <c r="M4388" s="3">
        <v>3330</v>
      </c>
      <c r="N4388" s="4">
        <v>0.27007299270072993</v>
      </c>
    </row>
    <row r="4389" spans="1:14" x14ac:dyDescent="0.3">
      <c r="A4389" s="6">
        <v>45971</v>
      </c>
      <c r="B4389" s="1" t="s">
        <v>4573</v>
      </c>
      <c r="C4389" s="1" t="s">
        <v>28</v>
      </c>
      <c r="D4389" t="s">
        <v>33</v>
      </c>
      <c r="E4389" t="s">
        <v>214</v>
      </c>
      <c r="F4389" t="s">
        <v>14</v>
      </c>
      <c r="G4389" t="s">
        <v>15</v>
      </c>
      <c r="H4389" s="3">
        <v>7</v>
      </c>
      <c r="I4389" s="3">
        <v>61199.999999999993</v>
      </c>
      <c r="J4389" s="3">
        <v>428399.99999999994</v>
      </c>
      <c r="K4389" s="3">
        <v>45000</v>
      </c>
      <c r="L4389" s="3">
        <v>315000</v>
      </c>
      <c r="M4389" s="3">
        <v>113399.99999999994</v>
      </c>
      <c r="N4389" s="4">
        <v>0.26470588235294107</v>
      </c>
    </row>
    <row r="4390" spans="1:14" x14ac:dyDescent="0.3">
      <c r="A4390" s="6">
        <v>45971</v>
      </c>
      <c r="B4390" s="1" t="s">
        <v>4574</v>
      </c>
      <c r="C4390" s="1" t="s">
        <v>27</v>
      </c>
      <c r="D4390" t="s">
        <v>34</v>
      </c>
      <c r="E4390" t="s">
        <v>329</v>
      </c>
      <c r="F4390" t="s">
        <v>24</v>
      </c>
      <c r="G4390" t="s">
        <v>25</v>
      </c>
      <c r="H4390" s="3">
        <v>10</v>
      </c>
      <c r="I4390" s="3">
        <v>3600</v>
      </c>
      <c r="J4390" s="3">
        <v>36000</v>
      </c>
      <c r="K4390" s="3">
        <v>2500</v>
      </c>
      <c r="L4390" s="3">
        <v>25000</v>
      </c>
      <c r="M4390" s="3">
        <v>11000</v>
      </c>
      <c r="N4390" s="4">
        <v>0.30555555555555558</v>
      </c>
    </row>
    <row r="4391" spans="1:14" x14ac:dyDescent="0.3">
      <c r="A4391" s="6">
        <v>45971</v>
      </c>
      <c r="B4391" s="1" t="s">
        <v>4575</v>
      </c>
      <c r="C4391" s="1" t="s">
        <v>29</v>
      </c>
      <c r="D4391" t="s">
        <v>34</v>
      </c>
      <c r="E4391" t="s">
        <v>255</v>
      </c>
      <c r="F4391" t="s">
        <v>22</v>
      </c>
      <c r="G4391" t="s">
        <v>18</v>
      </c>
      <c r="H4391" s="3">
        <v>4</v>
      </c>
      <c r="I4391" s="3">
        <v>9660</v>
      </c>
      <c r="J4391" s="3">
        <v>38640</v>
      </c>
      <c r="K4391" s="3">
        <v>7000</v>
      </c>
      <c r="L4391" s="3">
        <v>28000</v>
      </c>
      <c r="M4391" s="3">
        <v>10640</v>
      </c>
      <c r="N4391" s="4">
        <v>0.27536231884057971</v>
      </c>
    </row>
    <row r="4392" spans="1:14" x14ac:dyDescent="0.3">
      <c r="A4392" s="6">
        <v>45971</v>
      </c>
      <c r="B4392" s="1" t="s">
        <v>4576</v>
      </c>
      <c r="C4392" s="1" t="s">
        <v>28</v>
      </c>
      <c r="D4392" t="s">
        <v>33</v>
      </c>
      <c r="E4392" t="s">
        <v>155</v>
      </c>
      <c r="F4392" t="s">
        <v>22</v>
      </c>
      <c r="G4392" t="s">
        <v>18</v>
      </c>
      <c r="H4392" s="3">
        <v>8</v>
      </c>
      <c r="I4392" s="3">
        <v>8610</v>
      </c>
      <c r="J4392" s="3">
        <v>68880</v>
      </c>
      <c r="K4392" s="3">
        <v>7000</v>
      </c>
      <c r="L4392" s="3">
        <v>56000</v>
      </c>
      <c r="M4392" s="3">
        <v>12880</v>
      </c>
      <c r="N4392" s="4">
        <v>0.18699186991869918</v>
      </c>
    </row>
    <row r="4393" spans="1:14" x14ac:dyDescent="0.3">
      <c r="A4393" s="6">
        <v>45971</v>
      </c>
      <c r="B4393" s="1" t="s">
        <v>4577</v>
      </c>
      <c r="C4393" s="1" t="s">
        <v>27</v>
      </c>
      <c r="D4393" t="s">
        <v>32</v>
      </c>
      <c r="E4393" t="s">
        <v>166</v>
      </c>
      <c r="F4393" t="s">
        <v>14</v>
      </c>
      <c r="G4393" t="s">
        <v>15</v>
      </c>
      <c r="H4393" s="3">
        <v>7</v>
      </c>
      <c r="I4393" s="3">
        <v>57600</v>
      </c>
      <c r="J4393" s="3">
        <v>403200</v>
      </c>
      <c r="K4393" s="3">
        <v>45000</v>
      </c>
      <c r="L4393" s="3">
        <v>315000</v>
      </c>
      <c r="M4393" s="3">
        <v>88200</v>
      </c>
      <c r="N4393" s="4">
        <v>0.21875</v>
      </c>
    </row>
    <row r="4394" spans="1:14" x14ac:dyDescent="0.3">
      <c r="A4394" s="6">
        <v>45971</v>
      </c>
      <c r="B4394" s="1" t="s">
        <v>4578</v>
      </c>
      <c r="C4394" s="1" t="s">
        <v>27</v>
      </c>
      <c r="D4394" t="s">
        <v>33</v>
      </c>
      <c r="E4394" t="s">
        <v>218</v>
      </c>
      <c r="F4394" t="s">
        <v>17</v>
      </c>
      <c r="G4394" t="s">
        <v>18</v>
      </c>
      <c r="H4394" s="3">
        <v>7</v>
      </c>
      <c r="I4394" s="3">
        <v>10880</v>
      </c>
      <c r="J4394" s="3">
        <v>76160</v>
      </c>
      <c r="K4394" s="3">
        <v>8500</v>
      </c>
      <c r="L4394" s="3">
        <v>59500</v>
      </c>
      <c r="M4394" s="3">
        <v>16660</v>
      </c>
      <c r="N4394" s="4">
        <v>0.21875</v>
      </c>
    </row>
    <row r="4395" spans="1:14" x14ac:dyDescent="0.3">
      <c r="A4395" s="6">
        <v>45971</v>
      </c>
      <c r="B4395" s="1" t="s">
        <v>4579</v>
      </c>
      <c r="C4395" s="1" t="s">
        <v>26</v>
      </c>
      <c r="D4395" t="s">
        <v>34</v>
      </c>
      <c r="E4395" t="s">
        <v>142</v>
      </c>
      <c r="F4395" t="s">
        <v>14</v>
      </c>
      <c r="G4395" t="s">
        <v>15</v>
      </c>
      <c r="H4395" s="3">
        <v>5</v>
      </c>
      <c r="I4395" s="3">
        <v>56250</v>
      </c>
      <c r="J4395" s="3">
        <v>281250</v>
      </c>
      <c r="K4395" s="3">
        <v>45000</v>
      </c>
      <c r="L4395" s="3">
        <v>225000</v>
      </c>
      <c r="M4395" s="3">
        <v>56250</v>
      </c>
      <c r="N4395" s="4">
        <v>0.2</v>
      </c>
    </row>
    <row r="4396" spans="1:14" x14ac:dyDescent="0.3">
      <c r="A4396" s="6">
        <v>45972</v>
      </c>
      <c r="B4396" s="1" t="s">
        <v>4580</v>
      </c>
      <c r="C4396" s="1" t="s">
        <v>28</v>
      </c>
      <c r="D4396" t="s">
        <v>35</v>
      </c>
      <c r="E4396" t="s">
        <v>508</v>
      </c>
      <c r="F4396" t="s">
        <v>24</v>
      </c>
      <c r="G4396" t="s">
        <v>25</v>
      </c>
      <c r="H4396" s="3">
        <v>8</v>
      </c>
      <c r="I4396" s="3">
        <v>3100</v>
      </c>
      <c r="J4396" s="3">
        <v>24800</v>
      </c>
      <c r="K4396" s="3">
        <v>2500</v>
      </c>
      <c r="L4396" s="3">
        <v>20000</v>
      </c>
      <c r="M4396" s="3">
        <v>4800</v>
      </c>
      <c r="N4396" s="4">
        <v>0.19354838709677419</v>
      </c>
    </row>
    <row r="4397" spans="1:14" x14ac:dyDescent="0.3">
      <c r="A4397" s="6">
        <v>45972</v>
      </c>
      <c r="B4397" s="1" t="s">
        <v>4581</v>
      </c>
      <c r="C4397" s="1" t="s">
        <v>29</v>
      </c>
      <c r="D4397" t="s">
        <v>31</v>
      </c>
      <c r="E4397" t="s">
        <v>184</v>
      </c>
      <c r="F4397" t="s">
        <v>19</v>
      </c>
      <c r="G4397" t="s">
        <v>20</v>
      </c>
      <c r="H4397" s="3">
        <v>7</v>
      </c>
      <c r="I4397" s="3">
        <v>1152</v>
      </c>
      <c r="J4397" s="3">
        <v>8064</v>
      </c>
      <c r="K4397" s="3">
        <v>900</v>
      </c>
      <c r="L4397" s="3">
        <v>6300</v>
      </c>
      <c r="M4397" s="3">
        <v>1764</v>
      </c>
      <c r="N4397" s="4">
        <v>0.21875</v>
      </c>
    </row>
    <row r="4398" spans="1:14" x14ac:dyDescent="0.3">
      <c r="A4398" s="6">
        <v>45972</v>
      </c>
      <c r="B4398" s="1" t="s">
        <v>4582</v>
      </c>
      <c r="C4398" s="1" t="s">
        <v>28</v>
      </c>
      <c r="D4398" t="s">
        <v>31</v>
      </c>
      <c r="E4398" t="s">
        <v>263</v>
      </c>
      <c r="F4398" t="s">
        <v>23</v>
      </c>
      <c r="G4398" t="s">
        <v>25</v>
      </c>
      <c r="H4398" s="3">
        <v>8</v>
      </c>
      <c r="I4398" s="3">
        <v>4320</v>
      </c>
      <c r="J4398" s="3">
        <v>34560</v>
      </c>
      <c r="K4398" s="3">
        <v>3200</v>
      </c>
      <c r="L4398" s="3">
        <v>25600</v>
      </c>
      <c r="M4398" s="3">
        <v>8960</v>
      </c>
      <c r="N4398" s="4">
        <v>0.25925925925925924</v>
      </c>
    </row>
    <row r="4399" spans="1:14" x14ac:dyDescent="0.3">
      <c r="A4399" s="6">
        <v>45972</v>
      </c>
      <c r="B4399" s="1" t="s">
        <v>4583</v>
      </c>
      <c r="C4399" s="1" t="s">
        <v>27</v>
      </c>
      <c r="D4399" t="s">
        <v>35</v>
      </c>
      <c r="E4399" t="s">
        <v>381</v>
      </c>
      <c r="F4399" t="s">
        <v>14</v>
      </c>
      <c r="G4399" t="s">
        <v>15</v>
      </c>
      <c r="H4399" s="3">
        <v>2</v>
      </c>
      <c r="I4399" s="3">
        <v>58050</v>
      </c>
      <c r="J4399" s="3">
        <v>116100</v>
      </c>
      <c r="K4399" s="3">
        <v>45000</v>
      </c>
      <c r="L4399" s="3">
        <v>90000</v>
      </c>
      <c r="M4399" s="3">
        <v>26100</v>
      </c>
      <c r="N4399" s="4">
        <v>0.22480620155038761</v>
      </c>
    </row>
    <row r="4400" spans="1:14" x14ac:dyDescent="0.3">
      <c r="A4400" s="6">
        <v>45972</v>
      </c>
      <c r="B4400" s="1" t="s">
        <v>4584</v>
      </c>
      <c r="C4400" s="1" t="s">
        <v>29</v>
      </c>
      <c r="D4400" t="s">
        <v>32</v>
      </c>
      <c r="E4400" t="s">
        <v>45</v>
      </c>
      <c r="F4400" t="s">
        <v>14</v>
      </c>
      <c r="G4400" t="s">
        <v>15</v>
      </c>
      <c r="H4400" s="3">
        <v>1</v>
      </c>
      <c r="I4400" s="3">
        <v>62550.000000000007</v>
      </c>
      <c r="J4400" s="3">
        <v>62550.000000000007</v>
      </c>
      <c r="K4400" s="3">
        <v>45000</v>
      </c>
      <c r="L4400" s="3">
        <v>45000</v>
      </c>
      <c r="M4400" s="3">
        <v>17550.000000000007</v>
      </c>
      <c r="N4400" s="4">
        <v>0.28057553956834541</v>
      </c>
    </row>
    <row r="4401" spans="1:14" x14ac:dyDescent="0.3">
      <c r="A4401" s="6">
        <v>45972</v>
      </c>
      <c r="B4401" s="1" t="s">
        <v>4585</v>
      </c>
      <c r="C4401" s="1" t="s">
        <v>27</v>
      </c>
      <c r="D4401" t="s">
        <v>30</v>
      </c>
      <c r="E4401" t="s">
        <v>698</v>
      </c>
      <c r="F4401" t="s">
        <v>24</v>
      </c>
      <c r="G4401" t="s">
        <v>25</v>
      </c>
      <c r="H4401" s="3">
        <v>2</v>
      </c>
      <c r="I4401" s="3">
        <v>3100</v>
      </c>
      <c r="J4401" s="3">
        <v>6200</v>
      </c>
      <c r="K4401" s="3">
        <v>2500</v>
      </c>
      <c r="L4401" s="3">
        <v>5000</v>
      </c>
      <c r="M4401" s="3">
        <v>1200</v>
      </c>
      <c r="N4401" s="4">
        <v>0.19354838709677419</v>
      </c>
    </row>
    <row r="4402" spans="1:14" x14ac:dyDescent="0.3">
      <c r="A4402" s="6">
        <v>45972</v>
      </c>
      <c r="B4402" s="1" t="s">
        <v>4586</v>
      </c>
      <c r="C4402" s="1" t="s">
        <v>28</v>
      </c>
      <c r="D4402" t="s">
        <v>32</v>
      </c>
      <c r="E4402" t="s">
        <v>308</v>
      </c>
      <c r="F4402" t="s">
        <v>24</v>
      </c>
      <c r="G4402" t="s">
        <v>25</v>
      </c>
      <c r="H4402" s="3">
        <v>7</v>
      </c>
      <c r="I4402" s="3">
        <v>3150</v>
      </c>
      <c r="J4402" s="3">
        <v>22050</v>
      </c>
      <c r="K4402" s="3">
        <v>2500</v>
      </c>
      <c r="L4402" s="3">
        <v>17500</v>
      </c>
      <c r="M4402" s="3">
        <v>4550</v>
      </c>
      <c r="N4402" s="4">
        <v>0.20634920634920634</v>
      </c>
    </row>
    <row r="4403" spans="1:14" x14ac:dyDescent="0.3">
      <c r="A4403" s="6">
        <v>45972</v>
      </c>
      <c r="B4403" s="1" t="s">
        <v>4587</v>
      </c>
      <c r="C4403" s="1" t="s">
        <v>26</v>
      </c>
      <c r="D4403" t="s">
        <v>33</v>
      </c>
      <c r="E4403" t="s">
        <v>206</v>
      </c>
      <c r="F4403" t="s">
        <v>17</v>
      </c>
      <c r="G4403" t="s">
        <v>18</v>
      </c>
      <c r="H4403" s="3">
        <v>8</v>
      </c>
      <c r="I4403" s="3">
        <v>12155</v>
      </c>
      <c r="J4403" s="3">
        <v>97240</v>
      </c>
      <c r="K4403" s="3">
        <v>8500</v>
      </c>
      <c r="L4403" s="3">
        <v>68000</v>
      </c>
      <c r="M4403" s="3">
        <v>29240</v>
      </c>
      <c r="N4403" s="4">
        <v>0.30069930069930068</v>
      </c>
    </row>
    <row r="4404" spans="1:14" x14ac:dyDescent="0.3">
      <c r="A4404" s="6">
        <v>45972</v>
      </c>
      <c r="B4404" s="1" t="s">
        <v>4588</v>
      </c>
      <c r="C4404" s="1" t="s">
        <v>29</v>
      </c>
      <c r="D4404" t="s">
        <v>30</v>
      </c>
      <c r="E4404" t="s">
        <v>139</v>
      </c>
      <c r="F4404" t="s">
        <v>23</v>
      </c>
      <c r="G4404" t="s">
        <v>25</v>
      </c>
      <c r="H4404" s="3">
        <v>7</v>
      </c>
      <c r="I4404" s="3">
        <v>4032</v>
      </c>
      <c r="J4404" s="3">
        <v>28224</v>
      </c>
      <c r="K4404" s="3">
        <v>3200</v>
      </c>
      <c r="L4404" s="3">
        <v>22400</v>
      </c>
      <c r="M4404" s="3">
        <v>5824</v>
      </c>
      <c r="N4404" s="4">
        <v>0.20634920634920634</v>
      </c>
    </row>
    <row r="4405" spans="1:14" x14ac:dyDescent="0.3">
      <c r="A4405" s="6">
        <v>45972</v>
      </c>
      <c r="B4405" s="1" t="s">
        <v>4589</v>
      </c>
      <c r="C4405" s="1" t="s">
        <v>26</v>
      </c>
      <c r="D4405" t="s">
        <v>30</v>
      </c>
      <c r="E4405" t="s">
        <v>239</v>
      </c>
      <c r="F4405" t="s">
        <v>24</v>
      </c>
      <c r="G4405" t="s">
        <v>25</v>
      </c>
      <c r="H4405" s="3">
        <v>2</v>
      </c>
      <c r="I4405" s="3">
        <v>3075</v>
      </c>
      <c r="J4405" s="3">
        <v>6150</v>
      </c>
      <c r="K4405" s="3">
        <v>2500</v>
      </c>
      <c r="L4405" s="3">
        <v>5000</v>
      </c>
      <c r="M4405" s="3">
        <v>1150</v>
      </c>
      <c r="N4405" s="4">
        <v>0.18699186991869918</v>
      </c>
    </row>
    <row r="4406" spans="1:14" x14ac:dyDescent="0.3">
      <c r="A4406" s="6">
        <v>45972</v>
      </c>
      <c r="B4406" s="1" t="s">
        <v>4590</v>
      </c>
      <c r="C4406" s="1" t="s">
        <v>26</v>
      </c>
      <c r="D4406" t="s">
        <v>34</v>
      </c>
      <c r="E4406" t="s">
        <v>78</v>
      </c>
      <c r="F4406" t="s">
        <v>14</v>
      </c>
      <c r="G4406" t="s">
        <v>15</v>
      </c>
      <c r="H4406" s="3">
        <v>8</v>
      </c>
      <c r="I4406" s="3">
        <v>62550.000000000007</v>
      </c>
      <c r="J4406" s="3">
        <v>500400.00000000006</v>
      </c>
      <c r="K4406" s="3">
        <v>45000</v>
      </c>
      <c r="L4406" s="3">
        <v>360000</v>
      </c>
      <c r="M4406" s="3">
        <v>140400.00000000006</v>
      </c>
      <c r="N4406" s="4">
        <v>0.28057553956834541</v>
      </c>
    </row>
    <row r="4407" spans="1:14" x14ac:dyDescent="0.3">
      <c r="A4407" s="6">
        <v>45972</v>
      </c>
      <c r="B4407" s="1" t="s">
        <v>4591</v>
      </c>
      <c r="C4407" s="1" t="s">
        <v>27</v>
      </c>
      <c r="D4407" t="s">
        <v>30</v>
      </c>
      <c r="E4407" t="s">
        <v>184</v>
      </c>
      <c r="F4407" t="s">
        <v>24</v>
      </c>
      <c r="G4407" t="s">
        <v>25</v>
      </c>
      <c r="H4407" s="3">
        <v>3</v>
      </c>
      <c r="I4407" s="3">
        <v>3325</v>
      </c>
      <c r="J4407" s="3">
        <v>9975</v>
      </c>
      <c r="K4407" s="3">
        <v>2500</v>
      </c>
      <c r="L4407" s="3">
        <v>7500</v>
      </c>
      <c r="M4407" s="3">
        <v>2475</v>
      </c>
      <c r="N4407" s="4">
        <v>0.24812030075187969</v>
      </c>
    </row>
    <row r="4408" spans="1:14" x14ac:dyDescent="0.3">
      <c r="A4408" s="6">
        <v>45972</v>
      </c>
      <c r="B4408" s="1" t="s">
        <v>4592</v>
      </c>
      <c r="C4408" s="1" t="s">
        <v>28</v>
      </c>
      <c r="D4408" t="s">
        <v>32</v>
      </c>
      <c r="E4408" t="s">
        <v>116</v>
      </c>
      <c r="F4408" t="s">
        <v>17</v>
      </c>
      <c r="G4408" t="s">
        <v>18</v>
      </c>
      <c r="H4408" s="3">
        <v>8</v>
      </c>
      <c r="I4408" s="3">
        <v>10880</v>
      </c>
      <c r="J4408" s="3">
        <v>87040</v>
      </c>
      <c r="K4408" s="3">
        <v>8500</v>
      </c>
      <c r="L4408" s="3">
        <v>68000</v>
      </c>
      <c r="M4408" s="3">
        <v>19040</v>
      </c>
      <c r="N4408" s="4">
        <v>0.21875</v>
      </c>
    </row>
    <row r="4409" spans="1:14" x14ac:dyDescent="0.3">
      <c r="A4409" s="6">
        <v>45972</v>
      </c>
      <c r="B4409" s="1" t="s">
        <v>4593</v>
      </c>
      <c r="C4409" s="1" t="s">
        <v>26</v>
      </c>
      <c r="D4409" t="s">
        <v>33</v>
      </c>
      <c r="E4409" t="s">
        <v>180</v>
      </c>
      <c r="F4409" t="s">
        <v>17</v>
      </c>
      <c r="G4409" t="s">
        <v>18</v>
      </c>
      <c r="H4409" s="3">
        <v>10</v>
      </c>
      <c r="I4409" s="3">
        <v>10795</v>
      </c>
      <c r="J4409" s="3">
        <v>107950</v>
      </c>
      <c r="K4409" s="3">
        <v>8500</v>
      </c>
      <c r="L4409" s="3">
        <v>85000</v>
      </c>
      <c r="M4409" s="3">
        <v>22950</v>
      </c>
      <c r="N4409" s="4">
        <v>0.2125984251968504</v>
      </c>
    </row>
    <row r="4410" spans="1:14" x14ac:dyDescent="0.3">
      <c r="A4410" s="6">
        <v>45973</v>
      </c>
      <c r="B4410" s="1" t="s">
        <v>4594</v>
      </c>
      <c r="C4410" s="1" t="s">
        <v>27</v>
      </c>
      <c r="D4410" t="s">
        <v>35</v>
      </c>
      <c r="E4410" t="s">
        <v>453</v>
      </c>
      <c r="F4410" t="s">
        <v>17</v>
      </c>
      <c r="G4410" t="s">
        <v>18</v>
      </c>
      <c r="H4410" s="3">
        <v>9</v>
      </c>
      <c r="I4410" s="3">
        <v>11390</v>
      </c>
      <c r="J4410" s="3">
        <v>102510</v>
      </c>
      <c r="K4410" s="3">
        <v>8500</v>
      </c>
      <c r="L4410" s="3">
        <v>76500</v>
      </c>
      <c r="M4410" s="3">
        <v>26010</v>
      </c>
      <c r="N4410" s="4">
        <v>0.2537313432835821</v>
      </c>
    </row>
    <row r="4411" spans="1:14" x14ac:dyDescent="0.3">
      <c r="A4411" s="6">
        <v>45973</v>
      </c>
      <c r="B4411" s="1" t="s">
        <v>4595</v>
      </c>
      <c r="C4411" s="1" t="s">
        <v>26</v>
      </c>
      <c r="D4411" t="s">
        <v>33</v>
      </c>
      <c r="E4411" t="s">
        <v>39</v>
      </c>
      <c r="F4411" t="s">
        <v>17</v>
      </c>
      <c r="G4411" t="s">
        <v>18</v>
      </c>
      <c r="H4411" s="3">
        <v>4</v>
      </c>
      <c r="I4411" s="3">
        <v>11135</v>
      </c>
      <c r="J4411" s="3">
        <v>44540</v>
      </c>
      <c r="K4411" s="3">
        <v>8500</v>
      </c>
      <c r="L4411" s="3">
        <v>34000</v>
      </c>
      <c r="M4411" s="3">
        <v>10540</v>
      </c>
      <c r="N4411" s="4">
        <v>0.23664122137404581</v>
      </c>
    </row>
    <row r="4412" spans="1:14" x14ac:dyDescent="0.3">
      <c r="A4412" s="6">
        <v>45973</v>
      </c>
      <c r="B4412" s="1" t="s">
        <v>4596</v>
      </c>
      <c r="C4412" s="1" t="s">
        <v>29</v>
      </c>
      <c r="D4412" t="s">
        <v>34</v>
      </c>
      <c r="E4412" t="s">
        <v>106</v>
      </c>
      <c r="F4412" t="s">
        <v>21</v>
      </c>
      <c r="G4412" t="s">
        <v>20</v>
      </c>
      <c r="H4412" s="3">
        <v>8</v>
      </c>
      <c r="I4412" s="3">
        <v>744</v>
      </c>
      <c r="J4412" s="3">
        <v>5952</v>
      </c>
      <c r="K4412" s="3">
        <v>600</v>
      </c>
      <c r="L4412" s="3">
        <v>4800</v>
      </c>
      <c r="M4412" s="3">
        <v>1152</v>
      </c>
      <c r="N4412" s="4">
        <v>0.19354838709677419</v>
      </c>
    </row>
    <row r="4413" spans="1:14" x14ac:dyDescent="0.3">
      <c r="A4413" s="6">
        <v>45973</v>
      </c>
      <c r="B4413" s="1" t="s">
        <v>4597</v>
      </c>
      <c r="C4413" s="1" t="s">
        <v>28</v>
      </c>
      <c r="D4413" t="s">
        <v>32</v>
      </c>
      <c r="E4413" t="s">
        <v>39</v>
      </c>
      <c r="F4413" t="s">
        <v>19</v>
      </c>
      <c r="G4413" t="s">
        <v>20</v>
      </c>
      <c r="H4413" s="3">
        <v>9</v>
      </c>
      <c r="I4413" s="3">
        <v>1287</v>
      </c>
      <c r="J4413" s="3">
        <v>11583</v>
      </c>
      <c r="K4413" s="3">
        <v>900</v>
      </c>
      <c r="L4413" s="3">
        <v>8100</v>
      </c>
      <c r="M4413" s="3">
        <v>3483</v>
      </c>
      <c r="N4413" s="4">
        <v>0.30069930069930068</v>
      </c>
    </row>
    <row r="4414" spans="1:14" x14ac:dyDescent="0.3">
      <c r="A4414" s="6">
        <v>45973</v>
      </c>
      <c r="B4414" s="1" t="s">
        <v>4598</v>
      </c>
      <c r="C4414" s="1" t="s">
        <v>29</v>
      </c>
      <c r="D4414" t="s">
        <v>32</v>
      </c>
      <c r="E4414" t="s">
        <v>145</v>
      </c>
      <c r="F4414" t="s">
        <v>22</v>
      </c>
      <c r="G4414" t="s">
        <v>18</v>
      </c>
      <c r="H4414" s="3">
        <v>3</v>
      </c>
      <c r="I4414" s="3">
        <v>9240</v>
      </c>
      <c r="J4414" s="3">
        <v>27720</v>
      </c>
      <c r="K4414" s="3">
        <v>7000</v>
      </c>
      <c r="L4414" s="3">
        <v>21000</v>
      </c>
      <c r="M4414" s="3">
        <v>6720</v>
      </c>
      <c r="N4414" s="4">
        <v>0.24242424242424243</v>
      </c>
    </row>
    <row r="4415" spans="1:14" x14ac:dyDescent="0.3">
      <c r="A4415" s="6">
        <v>45973</v>
      </c>
      <c r="B4415" s="1" t="s">
        <v>4599</v>
      </c>
      <c r="C4415" s="1" t="s">
        <v>28</v>
      </c>
      <c r="D4415" t="s">
        <v>35</v>
      </c>
      <c r="E4415" t="s">
        <v>88</v>
      </c>
      <c r="F4415" t="s">
        <v>22</v>
      </c>
      <c r="G4415" t="s">
        <v>18</v>
      </c>
      <c r="H4415" s="3">
        <v>8</v>
      </c>
      <c r="I4415" s="3">
        <v>9170</v>
      </c>
      <c r="J4415" s="3">
        <v>73360</v>
      </c>
      <c r="K4415" s="3">
        <v>7000</v>
      </c>
      <c r="L4415" s="3">
        <v>56000</v>
      </c>
      <c r="M4415" s="3">
        <v>17360</v>
      </c>
      <c r="N4415" s="4">
        <v>0.23664122137404581</v>
      </c>
    </row>
    <row r="4416" spans="1:14" x14ac:dyDescent="0.3">
      <c r="A4416" s="6">
        <v>45973</v>
      </c>
      <c r="B4416" s="1" t="s">
        <v>4600</v>
      </c>
      <c r="C4416" s="1" t="s">
        <v>26</v>
      </c>
      <c r="D4416" t="s">
        <v>34</v>
      </c>
      <c r="E4416" t="s">
        <v>935</v>
      </c>
      <c r="F4416" t="s">
        <v>14</v>
      </c>
      <c r="G4416" t="s">
        <v>15</v>
      </c>
      <c r="H4416" s="3">
        <v>4</v>
      </c>
      <c r="I4416" s="3">
        <v>58500</v>
      </c>
      <c r="J4416" s="3">
        <v>234000</v>
      </c>
      <c r="K4416" s="3">
        <v>45000</v>
      </c>
      <c r="L4416" s="3">
        <v>180000</v>
      </c>
      <c r="M4416" s="3">
        <v>54000</v>
      </c>
      <c r="N4416" s="4">
        <v>0.23076923076923078</v>
      </c>
    </row>
    <row r="4417" spans="1:14" x14ac:dyDescent="0.3">
      <c r="A4417" s="6">
        <v>45973</v>
      </c>
      <c r="B4417" s="1" t="s">
        <v>4601</v>
      </c>
      <c r="C4417" s="1" t="s">
        <v>27</v>
      </c>
      <c r="D4417" t="s">
        <v>33</v>
      </c>
      <c r="E4417" t="s">
        <v>698</v>
      </c>
      <c r="F4417" t="s">
        <v>16</v>
      </c>
      <c r="G4417" t="s">
        <v>15</v>
      </c>
      <c r="H4417" s="3">
        <v>2</v>
      </c>
      <c r="I4417" s="3">
        <v>47500</v>
      </c>
      <c r="J4417" s="3">
        <v>95000</v>
      </c>
      <c r="K4417" s="3">
        <v>38000</v>
      </c>
      <c r="L4417" s="3">
        <v>76000</v>
      </c>
      <c r="M4417" s="3">
        <v>19000</v>
      </c>
      <c r="N4417" s="4">
        <v>0.2</v>
      </c>
    </row>
    <row r="4418" spans="1:14" x14ac:dyDescent="0.3">
      <c r="A4418" s="6">
        <v>45973</v>
      </c>
      <c r="B4418" s="1" t="s">
        <v>4602</v>
      </c>
      <c r="C4418" s="1" t="s">
        <v>26</v>
      </c>
      <c r="D4418" t="s">
        <v>32</v>
      </c>
      <c r="E4418" t="s">
        <v>424</v>
      </c>
      <c r="F4418" t="s">
        <v>16</v>
      </c>
      <c r="G4418" t="s">
        <v>15</v>
      </c>
      <c r="H4418" s="3">
        <v>4</v>
      </c>
      <c r="I4418" s="3">
        <v>50540</v>
      </c>
      <c r="J4418" s="3">
        <v>202160</v>
      </c>
      <c r="K4418" s="3">
        <v>38000</v>
      </c>
      <c r="L4418" s="3">
        <v>152000</v>
      </c>
      <c r="M4418" s="3">
        <v>50160</v>
      </c>
      <c r="N4418" s="4">
        <v>0.24812030075187969</v>
      </c>
    </row>
    <row r="4419" spans="1:14" x14ac:dyDescent="0.3">
      <c r="A4419" s="6">
        <v>45973</v>
      </c>
      <c r="B4419" s="1" t="s">
        <v>4603</v>
      </c>
      <c r="C4419" s="1" t="s">
        <v>26</v>
      </c>
      <c r="D4419" t="s">
        <v>34</v>
      </c>
      <c r="E4419" t="s">
        <v>218</v>
      </c>
      <c r="F4419" t="s">
        <v>17</v>
      </c>
      <c r="G4419" t="s">
        <v>18</v>
      </c>
      <c r="H4419" s="3">
        <v>3</v>
      </c>
      <c r="I4419" s="3">
        <v>11475</v>
      </c>
      <c r="J4419" s="3">
        <v>34425</v>
      </c>
      <c r="K4419" s="3">
        <v>8500</v>
      </c>
      <c r="L4419" s="3">
        <v>25500</v>
      </c>
      <c r="M4419" s="3">
        <v>8925</v>
      </c>
      <c r="N4419" s="4">
        <v>0.25925925925925924</v>
      </c>
    </row>
    <row r="4420" spans="1:14" x14ac:dyDescent="0.3">
      <c r="A4420" s="6">
        <v>45973</v>
      </c>
      <c r="B4420" s="1" t="s">
        <v>4604</v>
      </c>
      <c r="C4420" s="1" t="s">
        <v>28</v>
      </c>
      <c r="D4420" t="s">
        <v>30</v>
      </c>
      <c r="E4420" t="s">
        <v>283</v>
      </c>
      <c r="F4420" t="s">
        <v>23</v>
      </c>
      <c r="G4420" t="s">
        <v>25</v>
      </c>
      <c r="H4420" s="3">
        <v>8</v>
      </c>
      <c r="I4420" s="3">
        <v>4160</v>
      </c>
      <c r="J4420" s="3">
        <v>33280</v>
      </c>
      <c r="K4420" s="3">
        <v>3200</v>
      </c>
      <c r="L4420" s="3">
        <v>25600</v>
      </c>
      <c r="M4420" s="3">
        <v>7680</v>
      </c>
      <c r="N4420" s="4">
        <v>0.23076923076923078</v>
      </c>
    </row>
    <row r="4421" spans="1:14" x14ac:dyDescent="0.3">
      <c r="A4421" s="6">
        <v>45973</v>
      </c>
      <c r="B4421" s="1" t="s">
        <v>4605</v>
      </c>
      <c r="C4421" s="1" t="s">
        <v>27</v>
      </c>
      <c r="D4421" t="s">
        <v>30</v>
      </c>
      <c r="E4421" t="s">
        <v>310</v>
      </c>
      <c r="F4421" t="s">
        <v>21</v>
      </c>
      <c r="G4421" t="s">
        <v>20</v>
      </c>
      <c r="H4421" s="3">
        <v>2</v>
      </c>
      <c r="I4421" s="3">
        <v>864</v>
      </c>
      <c r="J4421" s="3">
        <v>1728</v>
      </c>
      <c r="K4421" s="3">
        <v>600</v>
      </c>
      <c r="L4421" s="3">
        <v>1200</v>
      </c>
      <c r="M4421" s="3">
        <v>528</v>
      </c>
      <c r="N4421" s="4">
        <v>0.30555555555555558</v>
      </c>
    </row>
    <row r="4422" spans="1:14" x14ac:dyDescent="0.3">
      <c r="A4422" s="6">
        <v>45973</v>
      </c>
      <c r="B4422" s="1" t="s">
        <v>4606</v>
      </c>
      <c r="C4422" s="1" t="s">
        <v>29</v>
      </c>
      <c r="D4422" t="s">
        <v>35</v>
      </c>
      <c r="E4422" t="s">
        <v>308</v>
      </c>
      <c r="F4422" t="s">
        <v>23</v>
      </c>
      <c r="G4422" t="s">
        <v>25</v>
      </c>
      <c r="H4422" s="3">
        <v>8</v>
      </c>
      <c r="I4422" s="3">
        <v>4288</v>
      </c>
      <c r="J4422" s="3">
        <v>34304</v>
      </c>
      <c r="K4422" s="3">
        <v>3200</v>
      </c>
      <c r="L4422" s="3">
        <v>25600</v>
      </c>
      <c r="M4422" s="3">
        <v>8704</v>
      </c>
      <c r="N4422" s="4">
        <v>0.2537313432835821</v>
      </c>
    </row>
    <row r="4423" spans="1:14" x14ac:dyDescent="0.3">
      <c r="A4423" s="6">
        <v>45973</v>
      </c>
      <c r="B4423" s="1" t="s">
        <v>4607</v>
      </c>
      <c r="C4423" s="1" t="s">
        <v>27</v>
      </c>
      <c r="D4423" t="s">
        <v>35</v>
      </c>
      <c r="E4423" t="s">
        <v>186</v>
      </c>
      <c r="F4423" t="s">
        <v>21</v>
      </c>
      <c r="G4423" t="s">
        <v>20</v>
      </c>
      <c r="H4423" s="3">
        <v>5</v>
      </c>
      <c r="I4423" s="3">
        <v>810</v>
      </c>
      <c r="J4423" s="3">
        <v>4050</v>
      </c>
      <c r="K4423" s="3">
        <v>600</v>
      </c>
      <c r="L4423" s="3">
        <v>3000</v>
      </c>
      <c r="M4423" s="3">
        <v>1050</v>
      </c>
      <c r="N4423" s="4">
        <v>0.25925925925925924</v>
      </c>
    </row>
    <row r="4424" spans="1:14" x14ac:dyDescent="0.3">
      <c r="A4424" s="6">
        <v>45974</v>
      </c>
      <c r="B4424" s="1" t="s">
        <v>4608</v>
      </c>
      <c r="C4424" s="1" t="s">
        <v>26</v>
      </c>
      <c r="D4424" t="s">
        <v>35</v>
      </c>
      <c r="E4424" t="s">
        <v>45</v>
      </c>
      <c r="F4424" t="s">
        <v>17</v>
      </c>
      <c r="G4424" t="s">
        <v>18</v>
      </c>
      <c r="H4424" s="3">
        <v>8</v>
      </c>
      <c r="I4424" s="3">
        <v>10200</v>
      </c>
      <c r="J4424" s="3">
        <v>81600</v>
      </c>
      <c r="K4424" s="3">
        <v>8500</v>
      </c>
      <c r="L4424" s="3">
        <v>68000</v>
      </c>
      <c r="M4424" s="3">
        <v>13600</v>
      </c>
      <c r="N4424" s="4">
        <v>0.16666666666666666</v>
      </c>
    </row>
    <row r="4425" spans="1:14" x14ac:dyDescent="0.3">
      <c r="A4425" s="6">
        <v>45974</v>
      </c>
      <c r="B4425" s="1" t="s">
        <v>4609</v>
      </c>
      <c r="C4425" s="1" t="s">
        <v>28</v>
      </c>
      <c r="D4425" t="s">
        <v>33</v>
      </c>
      <c r="E4425" t="s">
        <v>39</v>
      </c>
      <c r="F4425" t="s">
        <v>22</v>
      </c>
      <c r="G4425" t="s">
        <v>18</v>
      </c>
      <c r="H4425" s="3">
        <v>9</v>
      </c>
      <c r="I4425" s="3">
        <v>8540</v>
      </c>
      <c r="J4425" s="3">
        <v>76860</v>
      </c>
      <c r="K4425" s="3">
        <v>7000</v>
      </c>
      <c r="L4425" s="3">
        <v>63000</v>
      </c>
      <c r="M4425" s="3">
        <v>13860</v>
      </c>
      <c r="N4425" s="4">
        <v>0.18032786885245902</v>
      </c>
    </row>
    <row r="4426" spans="1:14" x14ac:dyDescent="0.3">
      <c r="A4426" s="6">
        <v>45974</v>
      </c>
      <c r="B4426" s="1" t="s">
        <v>4610</v>
      </c>
      <c r="C4426" s="1" t="s">
        <v>28</v>
      </c>
      <c r="D4426" t="s">
        <v>34</v>
      </c>
      <c r="E4426" t="s">
        <v>45</v>
      </c>
      <c r="F4426" t="s">
        <v>14</v>
      </c>
      <c r="G4426" t="s">
        <v>15</v>
      </c>
      <c r="H4426" s="3">
        <v>6</v>
      </c>
      <c r="I4426" s="3">
        <v>61199.999999999993</v>
      </c>
      <c r="J4426" s="3">
        <v>367199.99999999994</v>
      </c>
      <c r="K4426" s="3">
        <v>45000</v>
      </c>
      <c r="L4426" s="3">
        <v>270000</v>
      </c>
      <c r="M4426" s="3">
        <v>97199.999999999942</v>
      </c>
      <c r="N4426" s="4">
        <v>0.26470588235294107</v>
      </c>
    </row>
    <row r="4427" spans="1:14" x14ac:dyDescent="0.3">
      <c r="A4427" s="6">
        <v>45974</v>
      </c>
      <c r="B4427" s="1" t="s">
        <v>4611</v>
      </c>
      <c r="C4427" s="1" t="s">
        <v>27</v>
      </c>
      <c r="D4427" t="s">
        <v>32</v>
      </c>
      <c r="E4427" t="s">
        <v>431</v>
      </c>
      <c r="F4427" t="s">
        <v>14</v>
      </c>
      <c r="G4427" t="s">
        <v>15</v>
      </c>
      <c r="H4427" s="3">
        <v>5</v>
      </c>
      <c r="I4427" s="3">
        <v>55350</v>
      </c>
      <c r="J4427" s="3">
        <v>276750</v>
      </c>
      <c r="K4427" s="3">
        <v>45000</v>
      </c>
      <c r="L4427" s="3">
        <v>225000</v>
      </c>
      <c r="M4427" s="3">
        <v>51750</v>
      </c>
      <c r="N4427" s="4">
        <v>0.18699186991869918</v>
      </c>
    </row>
    <row r="4428" spans="1:14" x14ac:dyDescent="0.3">
      <c r="A4428" s="6">
        <v>45974</v>
      </c>
      <c r="B4428" s="1" t="s">
        <v>4612</v>
      </c>
      <c r="C4428" s="1" t="s">
        <v>29</v>
      </c>
      <c r="D4428" t="s">
        <v>33</v>
      </c>
      <c r="E4428" t="s">
        <v>153</v>
      </c>
      <c r="F4428" t="s">
        <v>19</v>
      </c>
      <c r="G4428" t="s">
        <v>20</v>
      </c>
      <c r="H4428" s="3">
        <v>9</v>
      </c>
      <c r="I4428" s="3">
        <v>1305</v>
      </c>
      <c r="J4428" s="3">
        <v>11745</v>
      </c>
      <c r="K4428" s="3">
        <v>900</v>
      </c>
      <c r="L4428" s="3">
        <v>8100</v>
      </c>
      <c r="M4428" s="3">
        <v>3645</v>
      </c>
      <c r="N4428" s="4">
        <v>0.31034482758620691</v>
      </c>
    </row>
    <row r="4429" spans="1:14" x14ac:dyDescent="0.3">
      <c r="A4429" s="6">
        <v>45974</v>
      </c>
      <c r="B4429" s="1" t="s">
        <v>4613</v>
      </c>
      <c r="C4429" s="1" t="s">
        <v>26</v>
      </c>
      <c r="D4429" t="s">
        <v>30</v>
      </c>
      <c r="E4429" t="s">
        <v>371</v>
      </c>
      <c r="F4429" t="s">
        <v>23</v>
      </c>
      <c r="G4429" t="s">
        <v>25</v>
      </c>
      <c r="H4429" s="3">
        <v>3</v>
      </c>
      <c r="I4429" s="3">
        <v>4000</v>
      </c>
      <c r="J4429" s="3">
        <v>12000</v>
      </c>
      <c r="K4429" s="3">
        <v>3200</v>
      </c>
      <c r="L4429" s="3">
        <v>9600</v>
      </c>
      <c r="M4429" s="3">
        <v>2400</v>
      </c>
      <c r="N4429" s="4">
        <v>0.2</v>
      </c>
    </row>
    <row r="4430" spans="1:14" x14ac:dyDescent="0.3">
      <c r="A4430" s="6">
        <v>45974</v>
      </c>
      <c r="B4430" s="1" t="s">
        <v>4614</v>
      </c>
      <c r="C4430" s="1" t="s">
        <v>29</v>
      </c>
      <c r="D4430" t="s">
        <v>33</v>
      </c>
      <c r="E4430" t="s">
        <v>317</v>
      </c>
      <c r="F4430" t="s">
        <v>17</v>
      </c>
      <c r="G4430" t="s">
        <v>18</v>
      </c>
      <c r="H4430" s="3">
        <v>1</v>
      </c>
      <c r="I4430" s="3">
        <v>12070</v>
      </c>
      <c r="J4430" s="3">
        <v>12070</v>
      </c>
      <c r="K4430" s="3">
        <v>8500</v>
      </c>
      <c r="L4430" s="3">
        <v>8500</v>
      </c>
      <c r="M4430" s="3">
        <v>3570</v>
      </c>
      <c r="N4430" s="4">
        <v>0.29577464788732394</v>
      </c>
    </row>
    <row r="4431" spans="1:14" x14ac:dyDescent="0.3">
      <c r="A4431" s="6">
        <v>45974</v>
      </c>
      <c r="B4431" s="1" t="s">
        <v>4615</v>
      </c>
      <c r="C4431" s="1" t="s">
        <v>28</v>
      </c>
      <c r="D4431" t="s">
        <v>34</v>
      </c>
      <c r="E4431" t="s">
        <v>184</v>
      </c>
      <c r="F4431" t="s">
        <v>16</v>
      </c>
      <c r="G4431" t="s">
        <v>15</v>
      </c>
      <c r="H4431" s="3">
        <v>10</v>
      </c>
      <c r="I4431" s="3">
        <v>50160</v>
      </c>
      <c r="J4431" s="3">
        <v>501600</v>
      </c>
      <c r="K4431" s="3">
        <v>38000</v>
      </c>
      <c r="L4431" s="3">
        <v>380000</v>
      </c>
      <c r="M4431" s="3">
        <v>121600</v>
      </c>
      <c r="N4431" s="4">
        <v>0.24242424242424243</v>
      </c>
    </row>
    <row r="4432" spans="1:14" x14ac:dyDescent="0.3">
      <c r="A4432" s="6">
        <v>45974</v>
      </c>
      <c r="B4432" s="1" t="s">
        <v>4616</v>
      </c>
      <c r="C4432" s="1" t="s">
        <v>29</v>
      </c>
      <c r="D4432" t="s">
        <v>31</v>
      </c>
      <c r="E4432" t="s">
        <v>53</v>
      </c>
      <c r="F4432" t="s">
        <v>21</v>
      </c>
      <c r="G4432" t="s">
        <v>20</v>
      </c>
      <c r="H4432" s="3">
        <v>5</v>
      </c>
      <c r="I4432" s="3">
        <v>870</v>
      </c>
      <c r="J4432" s="3">
        <v>4350</v>
      </c>
      <c r="K4432" s="3">
        <v>600</v>
      </c>
      <c r="L4432" s="3">
        <v>3000</v>
      </c>
      <c r="M4432" s="3">
        <v>1350</v>
      </c>
      <c r="N4432" s="4">
        <v>0.31034482758620691</v>
      </c>
    </row>
    <row r="4433" spans="1:14" x14ac:dyDescent="0.3">
      <c r="A4433" s="6">
        <v>45974</v>
      </c>
      <c r="B4433" s="1" t="s">
        <v>4617</v>
      </c>
      <c r="C4433" s="1" t="s">
        <v>28</v>
      </c>
      <c r="D4433" t="s">
        <v>31</v>
      </c>
      <c r="E4433" t="s">
        <v>124</v>
      </c>
      <c r="F4433" t="s">
        <v>22</v>
      </c>
      <c r="G4433" t="s">
        <v>18</v>
      </c>
      <c r="H4433" s="3">
        <v>5</v>
      </c>
      <c r="I4433" s="3">
        <v>9450</v>
      </c>
      <c r="J4433" s="3">
        <v>47250</v>
      </c>
      <c r="K4433" s="3">
        <v>7000</v>
      </c>
      <c r="L4433" s="3">
        <v>35000</v>
      </c>
      <c r="M4433" s="3">
        <v>12250</v>
      </c>
      <c r="N4433" s="4">
        <v>0.25925925925925924</v>
      </c>
    </row>
    <row r="4434" spans="1:14" x14ac:dyDescent="0.3">
      <c r="A4434" s="6">
        <v>45974</v>
      </c>
      <c r="B4434" s="1" t="s">
        <v>4618</v>
      </c>
      <c r="C4434" s="1" t="s">
        <v>28</v>
      </c>
      <c r="D4434" t="s">
        <v>30</v>
      </c>
      <c r="E4434" t="s">
        <v>222</v>
      </c>
      <c r="F4434" t="s">
        <v>24</v>
      </c>
      <c r="G4434" t="s">
        <v>25</v>
      </c>
      <c r="H4434" s="3">
        <v>8</v>
      </c>
      <c r="I4434" s="3">
        <v>3425.0000000000005</v>
      </c>
      <c r="J4434" s="3">
        <v>27400.000000000004</v>
      </c>
      <c r="K4434" s="3">
        <v>2500</v>
      </c>
      <c r="L4434" s="3">
        <v>20000</v>
      </c>
      <c r="M4434" s="3">
        <v>7400.0000000000036</v>
      </c>
      <c r="N4434" s="4">
        <v>0.27007299270073004</v>
      </c>
    </row>
    <row r="4435" spans="1:14" x14ac:dyDescent="0.3">
      <c r="A4435" s="6">
        <v>45974</v>
      </c>
      <c r="B4435" s="1" t="s">
        <v>4619</v>
      </c>
      <c r="C4435" s="1" t="s">
        <v>29</v>
      </c>
      <c r="D4435" t="s">
        <v>35</v>
      </c>
      <c r="E4435" t="s">
        <v>184</v>
      </c>
      <c r="F4435" t="s">
        <v>24</v>
      </c>
      <c r="G4435" t="s">
        <v>25</v>
      </c>
      <c r="H4435" s="3">
        <v>6</v>
      </c>
      <c r="I4435" s="3">
        <v>3000</v>
      </c>
      <c r="J4435" s="3">
        <v>18000</v>
      </c>
      <c r="K4435" s="3">
        <v>2500</v>
      </c>
      <c r="L4435" s="3">
        <v>15000</v>
      </c>
      <c r="M4435" s="3">
        <v>3000</v>
      </c>
      <c r="N4435" s="4">
        <v>0.16666666666666666</v>
      </c>
    </row>
    <row r="4436" spans="1:14" x14ac:dyDescent="0.3">
      <c r="A4436" s="6">
        <v>45974</v>
      </c>
      <c r="B4436" s="1" t="s">
        <v>4620</v>
      </c>
      <c r="C4436" s="1" t="s">
        <v>27</v>
      </c>
      <c r="D4436" t="s">
        <v>30</v>
      </c>
      <c r="E4436" t="s">
        <v>255</v>
      </c>
      <c r="F4436" t="s">
        <v>22</v>
      </c>
      <c r="G4436" t="s">
        <v>18</v>
      </c>
      <c r="H4436" s="3">
        <v>10</v>
      </c>
      <c r="I4436" s="3">
        <v>9730</v>
      </c>
      <c r="J4436" s="3">
        <v>97300</v>
      </c>
      <c r="K4436" s="3">
        <v>7000</v>
      </c>
      <c r="L4436" s="3">
        <v>70000</v>
      </c>
      <c r="M4436" s="3">
        <v>27300</v>
      </c>
      <c r="N4436" s="4">
        <v>0.2805755395683453</v>
      </c>
    </row>
    <row r="4437" spans="1:14" x14ac:dyDescent="0.3">
      <c r="A4437" s="6">
        <v>45974</v>
      </c>
      <c r="B4437" s="1" t="s">
        <v>4621</v>
      </c>
      <c r="C4437" s="1" t="s">
        <v>27</v>
      </c>
      <c r="D4437" t="s">
        <v>31</v>
      </c>
      <c r="E4437" t="s">
        <v>201</v>
      </c>
      <c r="F4437" t="s">
        <v>19</v>
      </c>
      <c r="G4437" t="s">
        <v>20</v>
      </c>
      <c r="H4437" s="3">
        <v>6</v>
      </c>
      <c r="I4437" s="3">
        <v>1188</v>
      </c>
      <c r="J4437" s="3">
        <v>7128</v>
      </c>
      <c r="K4437" s="3">
        <v>900</v>
      </c>
      <c r="L4437" s="3">
        <v>5400</v>
      </c>
      <c r="M4437" s="3">
        <v>1728</v>
      </c>
      <c r="N4437" s="4">
        <v>0.24242424242424243</v>
      </c>
    </row>
    <row r="4438" spans="1:14" x14ac:dyDescent="0.3">
      <c r="A4438" s="6">
        <v>45975</v>
      </c>
      <c r="B4438" s="1" t="s">
        <v>4622</v>
      </c>
      <c r="C4438" s="1" t="s">
        <v>27</v>
      </c>
      <c r="D4438" t="s">
        <v>32</v>
      </c>
      <c r="E4438" t="s">
        <v>280</v>
      </c>
      <c r="F4438" t="s">
        <v>16</v>
      </c>
      <c r="G4438" t="s">
        <v>15</v>
      </c>
      <c r="H4438" s="3">
        <v>4</v>
      </c>
      <c r="I4438" s="3">
        <v>54720</v>
      </c>
      <c r="J4438" s="3">
        <v>218880</v>
      </c>
      <c r="K4438" s="3">
        <v>38000</v>
      </c>
      <c r="L4438" s="3">
        <v>152000</v>
      </c>
      <c r="M4438" s="3">
        <v>66880</v>
      </c>
      <c r="N4438" s="4">
        <v>0.30555555555555558</v>
      </c>
    </row>
    <row r="4439" spans="1:14" x14ac:dyDescent="0.3">
      <c r="A4439" s="6">
        <v>45975</v>
      </c>
      <c r="B4439" s="1" t="s">
        <v>4623</v>
      </c>
      <c r="C4439" s="1" t="s">
        <v>26</v>
      </c>
      <c r="D4439" t="s">
        <v>35</v>
      </c>
      <c r="E4439" t="s">
        <v>142</v>
      </c>
      <c r="F4439" t="s">
        <v>17</v>
      </c>
      <c r="G4439" t="s">
        <v>18</v>
      </c>
      <c r="H4439" s="3">
        <v>9</v>
      </c>
      <c r="I4439" s="3">
        <v>11390</v>
      </c>
      <c r="J4439" s="3">
        <v>102510</v>
      </c>
      <c r="K4439" s="3">
        <v>8500</v>
      </c>
      <c r="L4439" s="3">
        <v>76500</v>
      </c>
      <c r="M4439" s="3">
        <v>26010</v>
      </c>
      <c r="N4439" s="4">
        <v>0.2537313432835821</v>
      </c>
    </row>
    <row r="4440" spans="1:14" x14ac:dyDescent="0.3">
      <c r="A4440" s="6">
        <v>45975</v>
      </c>
      <c r="B4440" s="1" t="s">
        <v>4624</v>
      </c>
      <c r="C4440" s="1" t="s">
        <v>29</v>
      </c>
      <c r="D4440" t="s">
        <v>30</v>
      </c>
      <c r="E4440" t="s">
        <v>436</v>
      </c>
      <c r="F4440" t="s">
        <v>17</v>
      </c>
      <c r="G4440" t="s">
        <v>18</v>
      </c>
      <c r="H4440" s="3">
        <v>6</v>
      </c>
      <c r="I4440" s="3">
        <v>11305</v>
      </c>
      <c r="J4440" s="3">
        <v>67830</v>
      </c>
      <c r="K4440" s="3">
        <v>8500</v>
      </c>
      <c r="L4440" s="3">
        <v>51000</v>
      </c>
      <c r="M4440" s="3">
        <v>16830</v>
      </c>
      <c r="N4440" s="4">
        <v>0.24812030075187969</v>
      </c>
    </row>
    <row r="4441" spans="1:14" x14ac:dyDescent="0.3">
      <c r="A4441" s="6">
        <v>45975</v>
      </c>
      <c r="B4441" s="1" t="s">
        <v>4625</v>
      </c>
      <c r="C4441" s="1" t="s">
        <v>27</v>
      </c>
      <c r="D4441" t="s">
        <v>34</v>
      </c>
      <c r="E4441" t="s">
        <v>371</v>
      </c>
      <c r="F4441" t="s">
        <v>24</v>
      </c>
      <c r="G4441" t="s">
        <v>25</v>
      </c>
      <c r="H4441" s="3">
        <v>7</v>
      </c>
      <c r="I4441" s="3">
        <v>3449.9999999999995</v>
      </c>
      <c r="J4441" s="3">
        <v>24149.999999999996</v>
      </c>
      <c r="K4441" s="3">
        <v>2500</v>
      </c>
      <c r="L4441" s="3">
        <v>17500</v>
      </c>
      <c r="M4441" s="3">
        <v>6649.9999999999964</v>
      </c>
      <c r="N4441" s="4">
        <v>0.2753623188405796</v>
      </c>
    </row>
    <row r="4442" spans="1:14" x14ac:dyDescent="0.3">
      <c r="A4442" s="6">
        <v>45975</v>
      </c>
      <c r="B4442" s="1" t="s">
        <v>4626</v>
      </c>
      <c r="C4442" s="1" t="s">
        <v>28</v>
      </c>
      <c r="D4442" t="s">
        <v>31</v>
      </c>
      <c r="E4442" t="s">
        <v>104</v>
      </c>
      <c r="F4442" t="s">
        <v>24</v>
      </c>
      <c r="G4442" t="s">
        <v>25</v>
      </c>
      <c r="H4442" s="3">
        <v>5</v>
      </c>
      <c r="I4442" s="3">
        <v>3625</v>
      </c>
      <c r="J4442" s="3">
        <v>18125</v>
      </c>
      <c r="K4442" s="3">
        <v>2500</v>
      </c>
      <c r="L4442" s="3">
        <v>12500</v>
      </c>
      <c r="M4442" s="3">
        <v>5625</v>
      </c>
      <c r="N4442" s="4">
        <v>0.31034482758620691</v>
      </c>
    </row>
    <row r="4443" spans="1:14" x14ac:dyDescent="0.3">
      <c r="A4443" s="6">
        <v>45975</v>
      </c>
      <c r="B4443" s="1" t="s">
        <v>4627</v>
      </c>
      <c r="C4443" s="1" t="s">
        <v>27</v>
      </c>
      <c r="D4443" t="s">
        <v>34</v>
      </c>
      <c r="E4443" t="s">
        <v>206</v>
      </c>
      <c r="F4443" t="s">
        <v>19</v>
      </c>
      <c r="G4443" t="s">
        <v>20</v>
      </c>
      <c r="H4443" s="3">
        <v>8</v>
      </c>
      <c r="I4443" s="3">
        <v>1287</v>
      </c>
      <c r="J4443" s="3">
        <v>10296</v>
      </c>
      <c r="K4443" s="3">
        <v>900</v>
      </c>
      <c r="L4443" s="3">
        <v>7200</v>
      </c>
      <c r="M4443" s="3">
        <v>3096</v>
      </c>
      <c r="N4443" s="4">
        <v>0.30069930069930068</v>
      </c>
    </row>
    <row r="4444" spans="1:14" x14ac:dyDescent="0.3">
      <c r="A4444" s="6">
        <v>45975</v>
      </c>
      <c r="B4444" s="1" t="s">
        <v>4628</v>
      </c>
      <c r="C4444" s="1" t="s">
        <v>29</v>
      </c>
      <c r="D4444" t="s">
        <v>35</v>
      </c>
      <c r="E4444" t="s">
        <v>388</v>
      </c>
      <c r="F4444" t="s">
        <v>22</v>
      </c>
      <c r="G4444" t="s">
        <v>18</v>
      </c>
      <c r="H4444" s="3">
        <v>10</v>
      </c>
      <c r="I4444" s="3">
        <v>9940</v>
      </c>
      <c r="J4444" s="3">
        <v>99400</v>
      </c>
      <c r="K4444" s="3">
        <v>7000</v>
      </c>
      <c r="L4444" s="3">
        <v>70000</v>
      </c>
      <c r="M4444" s="3">
        <v>29400</v>
      </c>
      <c r="N4444" s="4">
        <v>0.29577464788732394</v>
      </c>
    </row>
    <row r="4445" spans="1:14" x14ac:dyDescent="0.3">
      <c r="A4445" s="6">
        <v>45975</v>
      </c>
      <c r="B4445" s="1" t="s">
        <v>4629</v>
      </c>
      <c r="C4445" s="1" t="s">
        <v>28</v>
      </c>
      <c r="D4445" t="s">
        <v>33</v>
      </c>
      <c r="E4445" t="s">
        <v>78</v>
      </c>
      <c r="F4445" t="s">
        <v>23</v>
      </c>
      <c r="G4445" t="s">
        <v>25</v>
      </c>
      <c r="H4445" s="3">
        <v>4</v>
      </c>
      <c r="I4445" s="3">
        <v>4320</v>
      </c>
      <c r="J4445" s="3">
        <v>17280</v>
      </c>
      <c r="K4445" s="3">
        <v>3200</v>
      </c>
      <c r="L4445" s="3">
        <v>12800</v>
      </c>
      <c r="M4445" s="3">
        <v>4480</v>
      </c>
      <c r="N4445" s="4">
        <v>0.25925925925925924</v>
      </c>
    </row>
    <row r="4446" spans="1:14" x14ac:dyDescent="0.3">
      <c r="A4446" s="6">
        <v>45975</v>
      </c>
      <c r="B4446" s="1" t="s">
        <v>4630</v>
      </c>
      <c r="C4446" s="1" t="s">
        <v>26</v>
      </c>
      <c r="D4446" t="s">
        <v>31</v>
      </c>
      <c r="E4446" t="s">
        <v>379</v>
      </c>
      <c r="F4446" t="s">
        <v>19</v>
      </c>
      <c r="G4446" t="s">
        <v>20</v>
      </c>
      <c r="H4446" s="3">
        <v>2</v>
      </c>
      <c r="I4446" s="3">
        <v>1143</v>
      </c>
      <c r="J4446" s="3">
        <v>2286</v>
      </c>
      <c r="K4446" s="3">
        <v>900</v>
      </c>
      <c r="L4446" s="3">
        <v>1800</v>
      </c>
      <c r="M4446" s="3">
        <v>486</v>
      </c>
      <c r="N4446" s="4">
        <v>0.2125984251968504</v>
      </c>
    </row>
    <row r="4447" spans="1:14" x14ac:dyDescent="0.3">
      <c r="A4447" s="6">
        <v>45975</v>
      </c>
      <c r="B4447" s="1" t="s">
        <v>4631</v>
      </c>
      <c r="C4447" s="1" t="s">
        <v>28</v>
      </c>
      <c r="D4447" t="s">
        <v>34</v>
      </c>
      <c r="E4447" t="s">
        <v>371</v>
      </c>
      <c r="F4447" t="s">
        <v>16</v>
      </c>
      <c r="G4447" t="s">
        <v>15</v>
      </c>
      <c r="H4447" s="3">
        <v>9</v>
      </c>
      <c r="I4447" s="3">
        <v>47880</v>
      </c>
      <c r="J4447" s="3">
        <v>430920</v>
      </c>
      <c r="K4447" s="3">
        <v>38000</v>
      </c>
      <c r="L4447" s="3">
        <v>342000</v>
      </c>
      <c r="M4447" s="3">
        <v>88920</v>
      </c>
      <c r="N4447" s="4">
        <v>0.20634920634920634</v>
      </c>
    </row>
    <row r="4448" spans="1:14" x14ac:dyDescent="0.3">
      <c r="A4448" s="6">
        <v>45975</v>
      </c>
      <c r="B4448" s="1" t="s">
        <v>4632</v>
      </c>
      <c r="C4448" s="1" t="s">
        <v>26</v>
      </c>
      <c r="D4448" t="s">
        <v>33</v>
      </c>
      <c r="E4448" t="s">
        <v>131</v>
      </c>
      <c r="F4448" t="s">
        <v>21</v>
      </c>
      <c r="G4448" t="s">
        <v>20</v>
      </c>
      <c r="H4448" s="3">
        <v>7</v>
      </c>
      <c r="I4448" s="3">
        <v>738</v>
      </c>
      <c r="J4448" s="3">
        <v>5166</v>
      </c>
      <c r="K4448" s="3">
        <v>600</v>
      </c>
      <c r="L4448" s="3">
        <v>4200</v>
      </c>
      <c r="M4448" s="3">
        <v>966</v>
      </c>
      <c r="N4448" s="4">
        <v>0.18699186991869918</v>
      </c>
    </row>
    <row r="4449" spans="1:14" x14ac:dyDescent="0.3">
      <c r="A4449" s="6">
        <v>45975</v>
      </c>
      <c r="B4449" s="1" t="s">
        <v>4633</v>
      </c>
      <c r="C4449" s="1" t="s">
        <v>27</v>
      </c>
      <c r="D4449" t="s">
        <v>31</v>
      </c>
      <c r="E4449" t="s">
        <v>508</v>
      </c>
      <c r="F4449" t="s">
        <v>14</v>
      </c>
      <c r="G4449" t="s">
        <v>15</v>
      </c>
      <c r="H4449" s="3">
        <v>9</v>
      </c>
      <c r="I4449" s="3">
        <v>58950</v>
      </c>
      <c r="J4449" s="3">
        <v>530550</v>
      </c>
      <c r="K4449" s="3">
        <v>45000</v>
      </c>
      <c r="L4449" s="3">
        <v>405000</v>
      </c>
      <c r="M4449" s="3">
        <v>125550</v>
      </c>
      <c r="N4449" s="4">
        <v>0.23664122137404581</v>
      </c>
    </row>
    <row r="4450" spans="1:14" x14ac:dyDescent="0.3">
      <c r="A4450" s="6">
        <v>45975</v>
      </c>
      <c r="B4450" s="1" t="s">
        <v>4634</v>
      </c>
      <c r="C4450" s="1" t="s">
        <v>26</v>
      </c>
      <c r="D4450" t="s">
        <v>30</v>
      </c>
      <c r="E4450" t="s">
        <v>131</v>
      </c>
      <c r="F4450" t="s">
        <v>19</v>
      </c>
      <c r="G4450" t="s">
        <v>20</v>
      </c>
      <c r="H4450" s="3">
        <v>10</v>
      </c>
      <c r="I4450" s="3">
        <v>1152</v>
      </c>
      <c r="J4450" s="3">
        <v>11520</v>
      </c>
      <c r="K4450" s="3">
        <v>900</v>
      </c>
      <c r="L4450" s="3">
        <v>9000</v>
      </c>
      <c r="M4450" s="3">
        <v>2520</v>
      </c>
      <c r="N4450" s="4">
        <v>0.21875</v>
      </c>
    </row>
    <row r="4451" spans="1:14" x14ac:dyDescent="0.3">
      <c r="A4451" s="6">
        <v>45975</v>
      </c>
      <c r="B4451" s="1" t="s">
        <v>4635</v>
      </c>
      <c r="C4451" s="1" t="s">
        <v>29</v>
      </c>
      <c r="D4451" t="s">
        <v>34</v>
      </c>
      <c r="E4451" t="s">
        <v>400</v>
      </c>
      <c r="F4451" t="s">
        <v>23</v>
      </c>
      <c r="G4451" t="s">
        <v>25</v>
      </c>
      <c r="H4451" s="3">
        <v>3</v>
      </c>
      <c r="I4451" s="3">
        <v>4384</v>
      </c>
      <c r="J4451" s="3">
        <v>13152</v>
      </c>
      <c r="K4451" s="3">
        <v>3200</v>
      </c>
      <c r="L4451" s="3">
        <v>9600</v>
      </c>
      <c r="M4451" s="3">
        <v>3552</v>
      </c>
      <c r="N4451" s="4">
        <v>0.27007299270072993</v>
      </c>
    </row>
    <row r="4452" spans="1:14" x14ac:dyDescent="0.3">
      <c r="A4452" s="6">
        <v>45976</v>
      </c>
      <c r="B4452" s="1" t="s">
        <v>4636</v>
      </c>
      <c r="C4452" s="1" t="s">
        <v>27</v>
      </c>
      <c r="D4452" t="s">
        <v>34</v>
      </c>
      <c r="E4452" t="s">
        <v>37</v>
      </c>
      <c r="F4452" t="s">
        <v>14</v>
      </c>
      <c r="G4452" t="s">
        <v>15</v>
      </c>
      <c r="H4452" s="3">
        <v>7</v>
      </c>
      <c r="I4452" s="3">
        <v>63450</v>
      </c>
      <c r="J4452" s="3">
        <v>444150</v>
      </c>
      <c r="K4452" s="3">
        <v>45000</v>
      </c>
      <c r="L4452" s="3">
        <v>315000</v>
      </c>
      <c r="M4452" s="3">
        <v>129150</v>
      </c>
      <c r="N4452" s="4">
        <v>0.29078014184397161</v>
      </c>
    </row>
    <row r="4453" spans="1:14" x14ac:dyDescent="0.3">
      <c r="A4453" s="6">
        <v>45976</v>
      </c>
      <c r="B4453" s="1" t="s">
        <v>4637</v>
      </c>
      <c r="C4453" s="1" t="s">
        <v>29</v>
      </c>
      <c r="D4453" t="s">
        <v>35</v>
      </c>
      <c r="E4453" t="s">
        <v>53</v>
      </c>
      <c r="F4453" t="s">
        <v>22</v>
      </c>
      <c r="G4453" t="s">
        <v>18</v>
      </c>
      <c r="H4453" s="3">
        <v>9</v>
      </c>
      <c r="I4453" s="3">
        <v>10080</v>
      </c>
      <c r="J4453" s="3">
        <v>90720</v>
      </c>
      <c r="K4453" s="3">
        <v>7000</v>
      </c>
      <c r="L4453" s="3">
        <v>63000</v>
      </c>
      <c r="M4453" s="3">
        <v>27720</v>
      </c>
      <c r="N4453" s="4">
        <v>0.30555555555555558</v>
      </c>
    </row>
    <row r="4454" spans="1:14" x14ac:dyDescent="0.3">
      <c r="A4454" s="6">
        <v>45976</v>
      </c>
      <c r="B4454" s="1" t="s">
        <v>4638</v>
      </c>
      <c r="C4454" s="1" t="s">
        <v>29</v>
      </c>
      <c r="D4454" t="s">
        <v>31</v>
      </c>
      <c r="E4454" t="s">
        <v>166</v>
      </c>
      <c r="F4454" t="s">
        <v>22</v>
      </c>
      <c r="G4454" t="s">
        <v>18</v>
      </c>
      <c r="H4454" s="3">
        <v>7</v>
      </c>
      <c r="I4454" s="3">
        <v>8400</v>
      </c>
      <c r="J4454" s="3">
        <v>58800</v>
      </c>
      <c r="K4454" s="3">
        <v>7000</v>
      </c>
      <c r="L4454" s="3">
        <v>49000</v>
      </c>
      <c r="M4454" s="3">
        <v>9800</v>
      </c>
      <c r="N4454" s="4">
        <v>0.16666666666666666</v>
      </c>
    </row>
    <row r="4455" spans="1:14" x14ac:dyDescent="0.3">
      <c r="A4455" s="6">
        <v>45976</v>
      </c>
      <c r="B4455" s="1" t="s">
        <v>4639</v>
      </c>
      <c r="C4455" s="1" t="s">
        <v>28</v>
      </c>
      <c r="D4455" t="s">
        <v>33</v>
      </c>
      <c r="E4455" t="s">
        <v>81</v>
      </c>
      <c r="F4455" t="s">
        <v>16</v>
      </c>
      <c r="G4455" t="s">
        <v>15</v>
      </c>
      <c r="H4455" s="3">
        <v>9</v>
      </c>
      <c r="I4455" s="3">
        <v>47120</v>
      </c>
      <c r="J4455" s="3">
        <v>424080</v>
      </c>
      <c r="K4455" s="3">
        <v>38000</v>
      </c>
      <c r="L4455" s="3">
        <v>342000</v>
      </c>
      <c r="M4455" s="3">
        <v>82080</v>
      </c>
      <c r="N4455" s="4">
        <v>0.19354838709677419</v>
      </c>
    </row>
    <row r="4456" spans="1:14" x14ac:dyDescent="0.3">
      <c r="A4456" s="6">
        <v>45976</v>
      </c>
      <c r="B4456" s="1" t="s">
        <v>4640</v>
      </c>
      <c r="C4456" s="1" t="s">
        <v>27</v>
      </c>
      <c r="D4456" t="s">
        <v>31</v>
      </c>
      <c r="E4456" t="s">
        <v>342</v>
      </c>
      <c r="F4456" t="s">
        <v>24</v>
      </c>
      <c r="G4456" t="s">
        <v>25</v>
      </c>
      <c r="H4456" s="3">
        <v>7</v>
      </c>
      <c r="I4456" s="3">
        <v>3175</v>
      </c>
      <c r="J4456" s="3">
        <v>22225</v>
      </c>
      <c r="K4456" s="3">
        <v>2500</v>
      </c>
      <c r="L4456" s="3">
        <v>17500</v>
      </c>
      <c r="M4456" s="3">
        <v>4725</v>
      </c>
      <c r="N4456" s="4">
        <v>0.2125984251968504</v>
      </c>
    </row>
    <row r="4457" spans="1:14" x14ac:dyDescent="0.3">
      <c r="A4457" s="6">
        <v>45976</v>
      </c>
      <c r="B4457" s="1" t="s">
        <v>4641</v>
      </c>
      <c r="C4457" s="1" t="s">
        <v>28</v>
      </c>
      <c r="D4457" t="s">
        <v>33</v>
      </c>
      <c r="E4457" t="s">
        <v>72</v>
      </c>
      <c r="F4457" t="s">
        <v>14</v>
      </c>
      <c r="G4457" t="s">
        <v>15</v>
      </c>
      <c r="H4457" s="3">
        <v>1</v>
      </c>
      <c r="I4457" s="3">
        <v>64350</v>
      </c>
      <c r="J4457" s="3">
        <v>64350</v>
      </c>
      <c r="K4457" s="3">
        <v>45000</v>
      </c>
      <c r="L4457" s="3">
        <v>45000</v>
      </c>
      <c r="M4457" s="3">
        <v>19350</v>
      </c>
      <c r="N4457" s="4">
        <v>0.30069930069930068</v>
      </c>
    </row>
    <row r="4458" spans="1:14" x14ac:dyDescent="0.3">
      <c r="A4458" s="6">
        <v>45976</v>
      </c>
      <c r="B4458" s="1" t="s">
        <v>4642</v>
      </c>
      <c r="C4458" s="1" t="s">
        <v>28</v>
      </c>
      <c r="D4458" t="s">
        <v>32</v>
      </c>
      <c r="E4458" t="s">
        <v>268</v>
      </c>
      <c r="F4458" t="s">
        <v>16</v>
      </c>
      <c r="G4458" t="s">
        <v>15</v>
      </c>
      <c r="H4458" s="3">
        <v>4</v>
      </c>
      <c r="I4458" s="3">
        <v>50920</v>
      </c>
      <c r="J4458" s="3">
        <v>203680</v>
      </c>
      <c r="K4458" s="3">
        <v>38000</v>
      </c>
      <c r="L4458" s="3">
        <v>152000</v>
      </c>
      <c r="M4458" s="3">
        <v>51680</v>
      </c>
      <c r="N4458" s="4">
        <v>0.2537313432835821</v>
      </c>
    </row>
    <row r="4459" spans="1:14" x14ac:dyDescent="0.3">
      <c r="A4459" s="6">
        <v>45976</v>
      </c>
      <c r="B4459" s="1" t="s">
        <v>4643</v>
      </c>
      <c r="C4459" s="1" t="s">
        <v>29</v>
      </c>
      <c r="D4459" t="s">
        <v>32</v>
      </c>
      <c r="E4459" t="s">
        <v>69</v>
      </c>
      <c r="F4459" t="s">
        <v>16</v>
      </c>
      <c r="G4459" t="s">
        <v>15</v>
      </c>
      <c r="H4459" s="3">
        <v>10</v>
      </c>
      <c r="I4459" s="3">
        <v>48640</v>
      </c>
      <c r="J4459" s="3">
        <v>486400</v>
      </c>
      <c r="K4459" s="3">
        <v>38000</v>
      </c>
      <c r="L4459" s="3">
        <v>380000</v>
      </c>
      <c r="M4459" s="3">
        <v>106400</v>
      </c>
      <c r="N4459" s="4">
        <v>0.21875</v>
      </c>
    </row>
    <row r="4460" spans="1:14" x14ac:dyDescent="0.3">
      <c r="A4460" s="6">
        <v>45976</v>
      </c>
      <c r="B4460" s="1" t="s">
        <v>4644</v>
      </c>
      <c r="C4460" s="1" t="s">
        <v>26</v>
      </c>
      <c r="D4460" t="s">
        <v>34</v>
      </c>
      <c r="E4460" t="s">
        <v>447</v>
      </c>
      <c r="F4460" t="s">
        <v>23</v>
      </c>
      <c r="G4460" t="s">
        <v>25</v>
      </c>
      <c r="H4460" s="3">
        <v>7</v>
      </c>
      <c r="I4460" s="3">
        <v>4128</v>
      </c>
      <c r="J4460" s="3">
        <v>28896</v>
      </c>
      <c r="K4460" s="3">
        <v>3200</v>
      </c>
      <c r="L4460" s="3">
        <v>22400</v>
      </c>
      <c r="M4460" s="3">
        <v>6496</v>
      </c>
      <c r="N4460" s="4">
        <v>0.22480620155038761</v>
      </c>
    </row>
    <row r="4461" spans="1:14" x14ac:dyDescent="0.3">
      <c r="A4461" s="6">
        <v>45976</v>
      </c>
      <c r="B4461" s="1" t="s">
        <v>4645</v>
      </c>
      <c r="C4461" s="1" t="s">
        <v>27</v>
      </c>
      <c r="D4461" t="s">
        <v>32</v>
      </c>
      <c r="E4461" t="s">
        <v>329</v>
      </c>
      <c r="F4461" t="s">
        <v>23</v>
      </c>
      <c r="G4461" t="s">
        <v>25</v>
      </c>
      <c r="H4461" s="3">
        <v>10</v>
      </c>
      <c r="I4461" s="3">
        <v>4128</v>
      </c>
      <c r="J4461" s="3">
        <v>41280</v>
      </c>
      <c r="K4461" s="3">
        <v>3200</v>
      </c>
      <c r="L4461" s="3">
        <v>32000</v>
      </c>
      <c r="M4461" s="3">
        <v>9280</v>
      </c>
      <c r="N4461" s="4">
        <v>0.22480620155038761</v>
      </c>
    </row>
    <row r="4462" spans="1:14" x14ac:dyDescent="0.3">
      <c r="A4462" s="6">
        <v>45976</v>
      </c>
      <c r="B4462" s="1" t="s">
        <v>4646</v>
      </c>
      <c r="C4462" s="1" t="s">
        <v>27</v>
      </c>
      <c r="D4462" t="s">
        <v>30</v>
      </c>
      <c r="E4462" t="s">
        <v>524</v>
      </c>
      <c r="F4462" t="s">
        <v>21</v>
      </c>
      <c r="G4462" t="s">
        <v>20</v>
      </c>
      <c r="H4462" s="3">
        <v>5</v>
      </c>
      <c r="I4462" s="3">
        <v>852</v>
      </c>
      <c r="J4462" s="3">
        <v>4260</v>
      </c>
      <c r="K4462" s="3">
        <v>600</v>
      </c>
      <c r="L4462" s="3">
        <v>3000</v>
      </c>
      <c r="M4462" s="3">
        <v>1260</v>
      </c>
      <c r="N4462" s="4">
        <v>0.29577464788732394</v>
      </c>
    </row>
    <row r="4463" spans="1:14" x14ac:dyDescent="0.3">
      <c r="A4463" s="6">
        <v>45976</v>
      </c>
      <c r="B4463" s="1" t="s">
        <v>4647</v>
      </c>
      <c r="C4463" s="1" t="s">
        <v>26</v>
      </c>
      <c r="D4463" t="s">
        <v>34</v>
      </c>
      <c r="E4463" t="s">
        <v>751</v>
      </c>
      <c r="F4463" t="s">
        <v>22</v>
      </c>
      <c r="G4463" t="s">
        <v>18</v>
      </c>
      <c r="H4463" s="3">
        <v>10</v>
      </c>
      <c r="I4463" s="3">
        <v>10010</v>
      </c>
      <c r="J4463" s="3">
        <v>100100</v>
      </c>
      <c r="K4463" s="3">
        <v>7000</v>
      </c>
      <c r="L4463" s="3">
        <v>70000</v>
      </c>
      <c r="M4463" s="3">
        <v>30100</v>
      </c>
      <c r="N4463" s="4">
        <v>0.30069930069930068</v>
      </c>
    </row>
    <row r="4464" spans="1:14" x14ac:dyDescent="0.3">
      <c r="A4464" s="6">
        <v>45976</v>
      </c>
      <c r="B4464" s="1" t="s">
        <v>4648</v>
      </c>
      <c r="C4464" s="1" t="s">
        <v>27</v>
      </c>
      <c r="D4464" t="s">
        <v>32</v>
      </c>
      <c r="E4464" t="s">
        <v>321</v>
      </c>
      <c r="F4464" t="s">
        <v>19</v>
      </c>
      <c r="G4464" t="s">
        <v>20</v>
      </c>
      <c r="H4464" s="3">
        <v>8</v>
      </c>
      <c r="I4464" s="3">
        <v>1089</v>
      </c>
      <c r="J4464" s="3">
        <v>8712</v>
      </c>
      <c r="K4464" s="3">
        <v>900</v>
      </c>
      <c r="L4464" s="3">
        <v>7200</v>
      </c>
      <c r="M4464" s="3">
        <v>1512</v>
      </c>
      <c r="N4464" s="4">
        <v>0.17355371900826447</v>
      </c>
    </row>
    <row r="4465" spans="1:14" x14ac:dyDescent="0.3">
      <c r="A4465" s="6">
        <v>45976</v>
      </c>
      <c r="B4465" s="1" t="s">
        <v>4649</v>
      </c>
      <c r="C4465" s="1" t="s">
        <v>28</v>
      </c>
      <c r="D4465" t="s">
        <v>35</v>
      </c>
      <c r="E4465" t="s">
        <v>226</v>
      </c>
      <c r="F4465" t="s">
        <v>17</v>
      </c>
      <c r="G4465" t="s">
        <v>18</v>
      </c>
      <c r="H4465" s="3">
        <v>9</v>
      </c>
      <c r="I4465" s="3">
        <v>11390</v>
      </c>
      <c r="J4465" s="3">
        <v>102510</v>
      </c>
      <c r="K4465" s="3">
        <v>8500</v>
      </c>
      <c r="L4465" s="3">
        <v>76500</v>
      </c>
      <c r="M4465" s="3">
        <v>26010</v>
      </c>
      <c r="N4465" s="4">
        <v>0.2537313432835821</v>
      </c>
    </row>
    <row r="4466" spans="1:14" x14ac:dyDescent="0.3">
      <c r="A4466" s="6">
        <v>45977</v>
      </c>
      <c r="B4466" s="1" t="s">
        <v>4650</v>
      </c>
      <c r="C4466" s="1" t="s">
        <v>28</v>
      </c>
      <c r="D4466" t="s">
        <v>34</v>
      </c>
      <c r="E4466" t="s">
        <v>169</v>
      </c>
      <c r="F4466" t="s">
        <v>24</v>
      </c>
      <c r="G4466" t="s">
        <v>25</v>
      </c>
      <c r="H4466" s="3">
        <v>7</v>
      </c>
      <c r="I4466" s="3">
        <v>3175</v>
      </c>
      <c r="J4466" s="3">
        <v>22225</v>
      </c>
      <c r="K4466" s="3">
        <v>2500</v>
      </c>
      <c r="L4466" s="3">
        <v>17500</v>
      </c>
      <c r="M4466" s="3">
        <v>4725</v>
      </c>
      <c r="N4466" s="4">
        <v>0.2125984251968504</v>
      </c>
    </row>
    <row r="4467" spans="1:14" x14ac:dyDescent="0.3">
      <c r="A4467" s="6">
        <v>45977</v>
      </c>
      <c r="B4467" s="1" t="s">
        <v>4651</v>
      </c>
      <c r="C4467" s="1" t="s">
        <v>28</v>
      </c>
      <c r="D4467" t="s">
        <v>30</v>
      </c>
      <c r="E4467" t="s">
        <v>108</v>
      </c>
      <c r="F4467" t="s">
        <v>17</v>
      </c>
      <c r="G4467" t="s">
        <v>18</v>
      </c>
      <c r="H4467" s="3">
        <v>8</v>
      </c>
      <c r="I4467" s="3">
        <v>11730</v>
      </c>
      <c r="J4467" s="3">
        <v>93840</v>
      </c>
      <c r="K4467" s="3">
        <v>8500</v>
      </c>
      <c r="L4467" s="3">
        <v>68000</v>
      </c>
      <c r="M4467" s="3">
        <v>25840</v>
      </c>
      <c r="N4467" s="4">
        <v>0.27536231884057971</v>
      </c>
    </row>
    <row r="4468" spans="1:14" x14ac:dyDescent="0.3">
      <c r="A4468" s="6">
        <v>45977</v>
      </c>
      <c r="B4468" s="1" t="s">
        <v>4652</v>
      </c>
      <c r="C4468" s="1" t="s">
        <v>26</v>
      </c>
      <c r="D4468" t="s">
        <v>33</v>
      </c>
      <c r="E4468" t="s">
        <v>409</v>
      </c>
      <c r="F4468" t="s">
        <v>19</v>
      </c>
      <c r="G4468" t="s">
        <v>20</v>
      </c>
      <c r="H4468" s="3">
        <v>3</v>
      </c>
      <c r="I4468" s="3">
        <v>1107</v>
      </c>
      <c r="J4468" s="3">
        <v>3321</v>
      </c>
      <c r="K4468" s="3">
        <v>900</v>
      </c>
      <c r="L4468" s="3">
        <v>2700</v>
      </c>
      <c r="M4468" s="3">
        <v>621</v>
      </c>
      <c r="N4468" s="4">
        <v>0.18699186991869918</v>
      </c>
    </row>
    <row r="4469" spans="1:14" x14ac:dyDescent="0.3">
      <c r="A4469" s="6">
        <v>45977</v>
      </c>
      <c r="B4469" s="1" t="s">
        <v>4653</v>
      </c>
      <c r="C4469" s="1" t="s">
        <v>28</v>
      </c>
      <c r="D4469" t="s">
        <v>32</v>
      </c>
      <c r="E4469" t="s">
        <v>47</v>
      </c>
      <c r="F4469" t="s">
        <v>14</v>
      </c>
      <c r="G4469" t="s">
        <v>15</v>
      </c>
      <c r="H4469" s="3">
        <v>4</v>
      </c>
      <c r="I4469" s="3">
        <v>63900</v>
      </c>
      <c r="J4469" s="3">
        <v>255600</v>
      </c>
      <c r="K4469" s="3">
        <v>45000</v>
      </c>
      <c r="L4469" s="3">
        <v>180000</v>
      </c>
      <c r="M4469" s="3">
        <v>75600</v>
      </c>
      <c r="N4469" s="4">
        <v>0.29577464788732394</v>
      </c>
    </row>
    <row r="4470" spans="1:14" x14ac:dyDescent="0.3">
      <c r="A4470" s="6">
        <v>45977</v>
      </c>
      <c r="B4470" s="1" t="s">
        <v>4654</v>
      </c>
      <c r="C4470" s="1" t="s">
        <v>29</v>
      </c>
      <c r="D4470" t="s">
        <v>32</v>
      </c>
      <c r="E4470" t="s">
        <v>102</v>
      </c>
      <c r="F4470" t="s">
        <v>24</v>
      </c>
      <c r="G4470" t="s">
        <v>25</v>
      </c>
      <c r="H4470" s="3">
        <v>4</v>
      </c>
      <c r="I4470" s="3">
        <v>3225</v>
      </c>
      <c r="J4470" s="3">
        <v>12900</v>
      </c>
      <c r="K4470" s="3">
        <v>2500</v>
      </c>
      <c r="L4470" s="3">
        <v>10000</v>
      </c>
      <c r="M4470" s="3">
        <v>2900</v>
      </c>
      <c r="N4470" s="4">
        <v>0.22480620155038761</v>
      </c>
    </row>
    <row r="4471" spans="1:14" x14ac:dyDescent="0.3">
      <c r="A4471" s="6">
        <v>45977</v>
      </c>
      <c r="B4471" s="1" t="s">
        <v>4655</v>
      </c>
      <c r="C4471" s="1" t="s">
        <v>28</v>
      </c>
      <c r="D4471" t="s">
        <v>34</v>
      </c>
      <c r="E4471" t="s">
        <v>94</v>
      </c>
      <c r="F4471" t="s">
        <v>19</v>
      </c>
      <c r="G4471" t="s">
        <v>20</v>
      </c>
      <c r="H4471" s="3">
        <v>6</v>
      </c>
      <c r="I4471" s="3">
        <v>1296</v>
      </c>
      <c r="J4471" s="3">
        <v>7776</v>
      </c>
      <c r="K4471" s="3">
        <v>900</v>
      </c>
      <c r="L4471" s="3">
        <v>5400</v>
      </c>
      <c r="M4471" s="3">
        <v>2376</v>
      </c>
      <c r="N4471" s="4">
        <v>0.30555555555555558</v>
      </c>
    </row>
    <row r="4472" spans="1:14" x14ac:dyDescent="0.3">
      <c r="A4472" s="6">
        <v>45977</v>
      </c>
      <c r="B4472" s="1" t="s">
        <v>4656</v>
      </c>
      <c r="C4472" s="1" t="s">
        <v>28</v>
      </c>
      <c r="D4472" t="s">
        <v>31</v>
      </c>
      <c r="E4472" t="s">
        <v>807</v>
      </c>
      <c r="F4472" t="s">
        <v>24</v>
      </c>
      <c r="G4472" t="s">
        <v>25</v>
      </c>
      <c r="H4472" s="3">
        <v>10</v>
      </c>
      <c r="I4472" s="3">
        <v>3525</v>
      </c>
      <c r="J4472" s="3">
        <v>35250</v>
      </c>
      <c r="K4472" s="3">
        <v>2500</v>
      </c>
      <c r="L4472" s="3">
        <v>25000</v>
      </c>
      <c r="M4472" s="3">
        <v>10250</v>
      </c>
      <c r="N4472" s="4">
        <v>0.29078014184397161</v>
      </c>
    </row>
    <row r="4473" spans="1:14" x14ac:dyDescent="0.3">
      <c r="A4473" s="6">
        <v>45977</v>
      </c>
      <c r="B4473" s="1" t="s">
        <v>4657</v>
      </c>
      <c r="C4473" s="1" t="s">
        <v>28</v>
      </c>
      <c r="D4473" t="s">
        <v>32</v>
      </c>
      <c r="E4473" t="s">
        <v>371</v>
      </c>
      <c r="F4473" t="s">
        <v>23</v>
      </c>
      <c r="G4473" t="s">
        <v>25</v>
      </c>
      <c r="H4473" s="3">
        <v>3</v>
      </c>
      <c r="I4473" s="3">
        <v>4064</v>
      </c>
      <c r="J4473" s="3">
        <v>12192</v>
      </c>
      <c r="K4473" s="3">
        <v>3200</v>
      </c>
      <c r="L4473" s="3">
        <v>9600</v>
      </c>
      <c r="M4473" s="3">
        <v>2592</v>
      </c>
      <c r="N4473" s="4">
        <v>0.2125984251968504</v>
      </c>
    </row>
    <row r="4474" spans="1:14" x14ac:dyDescent="0.3">
      <c r="A4474" s="6">
        <v>45977</v>
      </c>
      <c r="B4474" s="1" t="s">
        <v>4658</v>
      </c>
      <c r="C4474" s="1" t="s">
        <v>27</v>
      </c>
      <c r="D4474" t="s">
        <v>30</v>
      </c>
      <c r="E4474" t="s">
        <v>321</v>
      </c>
      <c r="F4474" t="s">
        <v>23</v>
      </c>
      <c r="G4474" t="s">
        <v>25</v>
      </c>
      <c r="H4474" s="3">
        <v>2</v>
      </c>
      <c r="I4474" s="3">
        <v>3840</v>
      </c>
      <c r="J4474" s="3">
        <v>7680</v>
      </c>
      <c r="K4474" s="3">
        <v>3200</v>
      </c>
      <c r="L4474" s="3">
        <v>6400</v>
      </c>
      <c r="M4474" s="3">
        <v>1280</v>
      </c>
      <c r="N4474" s="4">
        <v>0.16666666666666666</v>
      </c>
    </row>
    <row r="4475" spans="1:14" x14ac:dyDescent="0.3">
      <c r="A4475" s="6">
        <v>45977</v>
      </c>
      <c r="B4475" s="1" t="s">
        <v>4659</v>
      </c>
      <c r="C4475" s="1" t="s">
        <v>27</v>
      </c>
      <c r="D4475" t="s">
        <v>31</v>
      </c>
      <c r="E4475" t="s">
        <v>308</v>
      </c>
      <c r="F4475" t="s">
        <v>19</v>
      </c>
      <c r="G4475" t="s">
        <v>20</v>
      </c>
      <c r="H4475" s="3">
        <v>7</v>
      </c>
      <c r="I4475" s="3">
        <v>1089</v>
      </c>
      <c r="J4475" s="3">
        <v>7623</v>
      </c>
      <c r="K4475" s="3">
        <v>900</v>
      </c>
      <c r="L4475" s="3">
        <v>6300</v>
      </c>
      <c r="M4475" s="3">
        <v>1323</v>
      </c>
      <c r="N4475" s="4">
        <v>0.17355371900826447</v>
      </c>
    </row>
    <row r="4476" spans="1:14" x14ac:dyDescent="0.3">
      <c r="A4476" s="6">
        <v>45977</v>
      </c>
      <c r="B4476" s="1" t="s">
        <v>4660</v>
      </c>
      <c r="C4476" s="1" t="s">
        <v>29</v>
      </c>
      <c r="D4476" t="s">
        <v>34</v>
      </c>
      <c r="E4476" t="s">
        <v>255</v>
      </c>
      <c r="F4476" t="s">
        <v>21</v>
      </c>
      <c r="G4476" t="s">
        <v>20</v>
      </c>
      <c r="H4476" s="3">
        <v>5</v>
      </c>
      <c r="I4476" s="3">
        <v>720</v>
      </c>
      <c r="J4476" s="3">
        <v>3600</v>
      </c>
      <c r="K4476" s="3">
        <v>600</v>
      </c>
      <c r="L4476" s="3">
        <v>3000</v>
      </c>
      <c r="M4476" s="3">
        <v>600</v>
      </c>
      <c r="N4476" s="4">
        <v>0.16666666666666666</v>
      </c>
    </row>
    <row r="4477" spans="1:14" x14ac:dyDescent="0.3">
      <c r="A4477" s="6">
        <v>45977</v>
      </c>
      <c r="B4477" s="1" t="s">
        <v>4661</v>
      </c>
      <c r="C4477" s="1" t="s">
        <v>26</v>
      </c>
      <c r="D4477" t="s">
        <v>32</v>
      </c>
      <c r="E4477" t="s">
        <v>45</v>
      </c>
      <c r="F4477" t="s">
        <v>23</v>
      </c>
      <c r="G4477" t="s">
        <v>25</v>
      </c>
      <c r="H4477" s="3">
        <v>6</v>
      </c>
      <c r="I4477" s="3">
        <v>4480</v>
      </c>
      <c r="J4477" s="3">
        <v>26880</v>
      </c>
      <c r="K4477" s="3">
        <v>3200</v>
      </c>
      <c r="L4477" s="3">
        <v>19200</v>
      </c>
      <c r="M4477" s="3">
        <v>7680</v>
      </c>
      <c r="N4477" s="4">
        <v>0.2857142857142857</v>
      </c>
    </row>
    <row r="4478" spans="1:14" x14ac:dyDescent="0.3">
      <c r="A4478" s="6">
        <v>45977</v>
      </c>
      <c r="B4478" s="1" t="s">
        <v>4662</v>
      </c>
      <c r="C4478" s="1" t="s">
        <v>29</v>
      </c>
      <c r="D4478" t="s">
        <v>35</v>
      </c>
      <c r="E4478" t="s">
        <v>47</v>
      </c>
      <c r="F4478" t="s">
        <v>24</v>
      </c>
      <c r="G4478" t="s">
        <v>25</v>
      </c>
      <c r="H4478" s="3">
        <v>7</v>
      </c>
      <c r="I4478" s="3">
        <v>3125</v>
      </c>
      <c r="J4478" s="3">
        <v>21875</v>
      </c>
      <c r="K4478" s="3">
        <v>2500</v>
      </c>
      <c r="L4478" s="3">
        <v>17500</v>
      </c>
      <c r="M4478" s="3">
        <v>4375</v>
      </c>
      <c r="N4478" s="4">
        <v>0.2</v>
      </c>
    </row>
    <row r="4479" spans="1:14" x14ac:dyDescent="0.3">
      <c r="A4479" s="6">
        <v>45977</v>
      </c>
      <c r="B4479" s="1" t="s">
        <v>4663</v>
      </c>
      <c r="C4479" s="1" t="s">
        <v>29</v>
      </c>
      <c r="D4479" t="s">
        <v>35</v>
      </c>
      <c r="E4479" t="s">
        <v>220</v>
      </c>
      <c r="F4479" t="s">
        <v>21</v>
      </c>
      <c r="G4479" t="s">
        <v>20</v>
      </c>
      <c r="H4479" s="3">
        <v>3</v>
      </c>
      <c r="I4479" s="3">
        <v>870</v>
      </c>
      <c r="J4479" s="3">
        <v>2610</v>
      </c>
      <c r="K4479" s="3">
        <v>600</v>
      </c>
      <c r="L4479" s="3">
        <v>1800</v>
      </c>
      <c r="M4479" s="3">
        <v>810</v>
      </c>
      <c r="N4479" s="4">
        <v>0.31034482758620691</v>
      </c>
    </row>
    <row r="4480" spans="1:14" x14ac:dyDescent="0.3">
      <c r="A4480" s="6">
        <v>45978</v>
      </c>
      <c r="B4480" s="1" t="s">
        <v>4664</v>
      </c>
      <c r="C4480" s="1" t="s">
        <v>27</v>
      </c>
      <c r="D4480" t="s">
        <v>31</v>
      </c>
      <c r="E4480" t="s">
        <v>169</v>
      </c>
      <c r="F4480" t="s">
        <v>14</v>
      </c>
      <c r="G4480" t="s">
        <v>15</v>
      </c>
      <c r="H4480" s="3">
        <v>5</v>
      </c>
      <c r="I4480" s="3">
        <v>55350</v>
      </c>
      <c r="J4480" s="3">
        <v>276750</v>
      </c>
      <c r="K4480" s="3">
        <v>45000</v>
      </c>
      <c r="L4480" s="3">
        <v>225000</v>
      </c>
      <c r="M4480" s="3">
        <v>51750</v>
      </c>
      <c r="N4480" s="4">
        <v>0.18699186991869918</v>
      </c>
    </row>
    <row r="4481" spans="1:14" x14ac:dyDescent="0.3">
      <c r="A4481" s="6">
        <v>45978</v>
      </c>
      <c r="B4481" s="1" t="s">
        <v>4665</v>
      </c>
      <c r="C4481" s="1" t="s">
        <v>26</v>
      </c>
      <c r="D4481" t="s">
        <v>32</v>
      </c>
      <c r="E4481" t="s">
        <v>388</v>
      </c>
      <c r="F4481" t="s">
        <v>21</v>
      </c>
      <c r="G4481" t="s">
        <v>20</v>
      </c>
      <c r="H4481" s="3">
        <v>1</v>
      </c>
      <c r="I4481" s="3">
        <v>827.99999999999989</v>
      </c>
      <c r="J4481" s="3">
        <v>827.99999999999989</v>
      </c>
      <c r="K4481" s="3">
        <v>600</v>
      </c>
      <c r="L4481" s="3">
        <v>600</v>
      </c>
      <c r="M4481" s="3">
        <v>227.99999999999989</v>
      </c>
      <c r="N4481" s="4">
        <v>0.2753623188405796</v>
      </c>
    </row>
    <row r="4482" spans="1:14" x14ac:dyDescent="0.3">
      <c r="A4482" s="6">
        <v>45978</v>
      </c>
      <c r="B4482" s="1" t="s">
        <v>4666</v>
      </c>
      <c r="C4482" s="1" t="s">
        <v>26</v>
      </c>
      <c r="D4482" t="s">
        <v>30</v>
      </c>
      <c r="E4482" t="s">
        <v>126</v>
      </c>
      <c r="F4482" t="s">
        <v>23</v>
      </c>
      <c r="G4482" t="s">
        <v>25</v>
      </c>
      <c r="H4482" s="3">
        <v>4</v>
      </c>
      <c r="I4482" s="3">
        <v>4448</v>
      </c>
      <c r="J4482" s="3">
        <v>17792</v>
      </c>
      <c r="K4482" s="3">
        <v>3200</v>
      </c>
      <c r="L4482" s="3">
        <v>12800</v>
      </c>
      <c r="M4482" s="3">
        <v>4992</v>
      </c>
      <c r="N4482" s="4">
        <v>0.2805755395683453</v>
      </c>
    </row>
    <row r="4483" spans="1:14" x14ac:dyDescent="0.3">
      <c r="A4483" s="6">
        <v>45978</v>
      </c>
      <c r="B4483" s="1" t="s">
        <v>4667</v>
      </c>
      <c r="C4483" s="1" t="s">
        <v>28</v>
      </c>
      <c r="D4483" t="s">
        <v>32</v>
      </c>
      <c r="E4483" t="s">
        <v>157</v>
      </c>
      <c r="F4483" t="s">
        <v>14</v>
      </c>
      <c r="G4483" t="s">
        <v>15</v>
      </c>
      <c r="H4483" s="3">
        <v>3</v>
      </c>
      <c r="I4483" s="3">
        <v>54000</v>
      </c>
      <c r="J4483" s="3">
        <v>162000</v>
      </c>
      <c r="K4483" s="3">
        <v>45000</v>
      </c>
      <c r="L4483" s="3">
        <v>135000</v>
      </c>
      <c r="M4483" s="3">
        <v>27000</v>
      </c>
      <c r="N4483" s="4">
        <v>0.16666666666666666</v>
      </c>
    </row>
    <row r="4484" spans="1:14" x14ac:dyDescent="0.3">
      <c r="A4484" s="6">
        <v>45978</v>
      </c>
      <c r="B4484" s="1" t="s">
        <v>4668</v>
      </c>
      <c r="C4484" s="1" t="s">
        <v>27</v>
      </c>
      <c r="D4484" t="s">
        <v>33</v>
      </c>
      <c r="E4484" t="s">
        <v>371</v>
      </c>
      <c r="F4484" t="s">
        <v>14</v>
      </c>
      <c r="G4484" t="s">
        <v>15</v>
      </c>
      <c r="H4484" s="3">
        <v>9</v>
      </c>
      <c r="I4484" s="3">
        <v>61199.999999999993</v>
      </c>
      <c r="J4484" s="3">
        <v>550799.99999999988</v>
      </c>
      <c r="K4484" s="3">
        <v>45000</v>
      </c>
      <c r="L4484" s="3">
        <v>405000</v>
      </c>
      <c r="M4484" s="3">
        <v>145799.99999999988</v>
      </c>
      <c r="N4484" s="4">
        <v>0.26470588235294101</v>
      </c>
    </row>
    <row r="4485" spans="1:14" x14ac:dyDescent="0.3">
      <c r="A4485" s="6">
        <v>45978</v>
      </c>
      <c r="B4485" s="1" t="s">
        <v>4669</v>
      </c>
      <c r="C4485" s="1" t="s">
        <v>29</v>
      </c>
      <c r="D4485" t="s">
        <v>35</v>
      </c>
      <c r="E4485" t="s">
        <v>548</v>
      </c>
      <c r="F4485" t="s">
        <v>14</v>
      </c>
      <c r="G4485" t="s">
        <v>15</v>
      </c>
      <c r="H4485" s="3">
        <v>3</v>
      </c>
      <c r="I4485" s="3">
        <v>57600</v>
      </c>
      <c r="J4485" s="3">
        <v>172800</v>
      </c>
      <c r="K4485" s="3">
        <v>45000</v>
      </c>
      <c r="L4485" s="3">
        <v>135000</v>
      </c>
      <c r="M4485" s="3">
        <v>37800</v>
      </c>
      <c r="N4485" s="4">
        <v>0.21875</v>
      </c>
    </row>
    <row r="4486" spans="1:14" x14ac:dyDescent="0.3">
      <c r="A4486" s="6">
        <v>45978</v>
      </c>
      <c r="B4486" s="1" t="s">
        <v>4670</v>
      </c>
      <c r="C4486" s="1" t="s">
        <v>28</v>
      </c>
      <c r="D4486" t="s">
        <v>30</v>
      </c>
      <c r="E4486" t="s">
        <v>231</v>
      </c>
      <c r="F4486" t="s">
        <v>16</v>
      </c>
      <c r="G4486" t="s">
        <v>15</v>
      </c>
      <c r="H4486" s="3">
        <v>7</v>
      </c>
      <c r="I4486" s="3">
        <v>55100</v>
      </c>
      <c r="J4486" s="3">
        <v>385700</v>
      </c>
      <c r="K4486" s="3">
        <v>38000</v>
      </c>
      <c r="L4486" s="3">
        <v>266000</v>
      </c>
      <c r="M4486" s="3">
        <v>119700</v>
      </c>
      <c r="N4486" s="4">
        <v>0.31034482758620691</v>
      </c>
    </row>
    <row r="4487" spans="1:14" x14ac:dyDescent="0.3">
      <c r="A4487" s="6">
        <v>45978</v>
      </c>
      <c r="B4487" s="1" t="s">
        <v>4671</v>
      </c>
      <c r="C4487" s="1" t="s">
        <v>27</v>
      </c>
      <c r="D4487" t="s">
        <v>31</v>
      </c>
      <c r="E4487" t="s">
        <v>118</v>
      </c>
      <c r="F4487" t="s">
        <v>24</v>
      </c>
      <c r="G4487" t="s">
        <v>25</v>
      </c>
      <c r="H4487" s="3">
        <v>8</v>
      </c>
      <c r="I4487" s="3">
        <v>3300</v>
      </c>
      <c r="J4487" s="3">
        <v>26400</v>
      </c>
      <c r="K4487" s="3">
        <v>2500</v>
      </c>
      <c r="L4487" s="3">
        <v>20000</v>
      </c>
      <c r="M4487" s="3">
        <v>6400</v>
      </c>
      <c r="N4487" s="4">
        <v>0.24242424242424243</v>
      </c>
    </row>
    <row r="4488" spans="1:14" x14ac:dyDescent="0.3">
      <c r="A4488" s="6">
        <v>45978</v>
      </c>
      <c r="B4488" s="1" t="s">
        <v>4672</v>
      </c>
      <c r="C4488" s="1" t="s">
        <v>29</v>
      </c>
      <c r="D4488" t="s">
        <v>35</v>
      </c>
      <c r="E4488" t="s">
        <v>239</v>
      </c>
      <c r="F4488" t="s">
        <v>24</v>
      </c>
      <c r="G4488" t="s">
        <v>25</v>
      </c>
      <c r="H4488" s="3">
        <v>1</v>
      </c>
      <c r="I4488" s="3">
        <v>3600</v>
      </c>
      <c r="J4488" s="3">
        <v>3600</v>
      </c>
      <c r="K4488" s="3">
        <v>2500</v>
      </c>
      <c r="L4488" s="3">
        <v>2500</v>
      </c>
      <c r="M4488" s="3">
        <v>1100</v>
      </c>
      <c r="N4488" s="4">
        <v>0.30555555555555558</v>
      </c>
    </row>
    <row r="4489" spans="1:14" x14ac:dyDescent="0.3">
      <c r="A4489" s="6">
        <v>45978</v>
      </c>
      <c r="B4489" s="1" t="s">
        <v>4673</v>
      </c>
      <c r="C4489" s="1" t="s">
        <v>27</v>
      </c>
      <c r="D4489" t="s">
        <v>32</v>
      </c>
      <c r="E4489" t="s">
        <v>336</v>
      </c>
      <c r="F4489" t="s">
        <v>16</v>
      </c>
      <c r="G4489" t="s">
        <v>15</v>
      </c>
      <c r="H4489" s="3">
        <v>7</v>
      </c>
      <c r="I4489" s="3">
        <v>55100</v>
      </c>
      <c r="J4489" s="3">
        <v>385700</v>
      </c>
      <c r="K4489" s="3">
        <v>38000</v>
      </c>
      <c r="L4489" s="3">
        <v>266000</v>
      </c>
      <c r="M4489" s="3">
        <v>119700</v>
      </c>
      <c r="N4489" s="4">
        <v>0.31034482758620691</v>
      </c>
    </row>
    <row r="4490" spans="1:14" x14ac:dyDescent="0.3">
      <c r="A4490" s="6">
        <v>45978</v>
      </c>
      <c r="B4490" s="1" t="s">
        <v>4674</v>
      </c>
      <c r="C4490" s="1" t="s">
        <v>29</v>
      </c>
      <c r="D4490" t="s">
        <v>35</v>
      </c>
      <c r="E4490" t="s">
        <v>196</v>
      </c>
      <c r="F4490" t="s">
        <v>17</v>
      </c>
      <c r="G4490" t="s">
        <v>18</v>
      </c>
      <c r="H4490" s="3">
        <v>8</v>
      </c>
      <c r="I4490" s="3">
        <v>10795</v>
      </c>
      <c r="J4490" s="3">
        <v>86360</v>
      </c>
      <c r="K4490" s="3">
        <v>8500</v>
      </c>
      <c r="L4490" s="3">
        <v>68000</v>
      </c>
      <c r="M4490" s="3">
        <v>18360</v>
      </c>
      <c r="N4490" s="4">
        <v>0.2125984251968504</v>
      </c>
    </row>
    <row r="4491" spans="1:14" x14ac:dyDescent="0.3">
      <c r="A4491" s="6">
        <v>45978</v>
      </c>
      <c r="B4491" s="1" t="s">
        <v>4675</v>
      </c>
      <c r="C4491" s="1" t="s">
        <v>27</v>
      </c>
      <c r="D4491" t="s">
        <v>31</v>
      </c>
      <c r="E4491" t="s">
        <v>400</v>
      </c>
      <c r="F4491" t="s">
        <v>19</v>
      </c>
      <c r="G4491" t="s">
        <v>20</v>
      </c>
      <c r="H4491" s="3">
        <v>10</v>
      </c>
      <c r="I4491" s="3">
        <v>1287</v>
      </c>
      <c r="J4491" s="3">
        <v>12870</v>
      </c>
      <c r="K4491" s="3">
        <v>900</v>
      </c>
      <c r="L4491" s="3">
        <v>9000</v>
      </c>
      <c r="M4491" s="3">
        <v>3870</v>
      </c>
      <c r="N4491" s="4">
        <v>0.30069930069930068</v>
      </c>
    </row>
    <row r="4492" spans="1:14" x14ac:dyDescent="0.3">
      <c r="A4492" s="6">
        <v>45978</v>
      </c>
      <c r="B4492" s="1" t="s">
        <v>4676</v>
      </c>
      <c r="C4492" s="1" t="s">
        <v>28</v>
      </c>
      <c r="D4492" t="s">
        <v>33</v>
      </c>
      <c r="E4492" t="s">
        <v>574</v>
      </c>
      <c r="F4492" t="s">
        <v>14</v>
      </c>
      <c r="G4492" t="s">
        <v>15</v>
      </c>
      <c r="H4492" s="3">
        <v>6</v>
      </c>
      <c r="I4492" s="3">
        <v>62099.999999999993</v>
      </c>
      <c r="J4492" s="3">
        <v>372599.99999999994</v>
      </c>
      <c r="K4492" s="3">
        <v>45000</v>
      </c>
      <c r="L4492" s="3">
        <v>270000</v>
      </c>
      <c r="M4492" s="3">
        <v>102599.99999999994</v>
      </c>
      <c r="N4492" s="4">
        <v>0.2753623188405796</v>
      </c>
    </row>
    <row r="4493" spans="1:14" x14ac:dyDescent="0.3">
      <c r="A4493" s="6">
        <v>45978</v>
      </c>
      <c r="B4493" s="1" t="s">
        <v>4677</v>
      </c>
      <c r="C4493" s="1" t="s">
        <v>29</v>
      </c>
      <c r="D4493" t="s">
        <v>32</v>
      </c>
      <c r="E4493" t="s">
        <v>47</v>
      </c>
      <c r="F4493" t="s">
        <v>24</v>
      </c>
      <c r="G4493" t="s">
        <v>25</v>
      </c>
      <c r="H4493" s="3">
        <v>10</v>
      </c>
      <c r="I4493" s="3">
        <v>3225</v>
      </c>
      <c r="J4493" s="3">
        <v>32250</v>
      </c>
      <c r="K4493" s="3">
        <v>2500</v>
      </c>
      <c r="L4493" s="3">
        <v>25000</v>
      </c>
      <c r="M4493" s="3">
        <v>7250</v>
      </c>
      <c r="N4493" s="4">
        <v>0.22480620155038761</v>
      </c>
    </row>
    <row r="4494" spans="1:14" x14ac:dyDescent="0.3">
      <c r="A4494" s="6">
        <v>45979</v>
      </c>
      <c r="B4494" s="1" t="s">
        <v>4678</v>
      </c>
      <c r="C4494" s="1" t="s">
        <v>26</v>
      </c>
      <c r="D4494" t="s">
        <v>32</v>
      </c>
      <c r="E4494" t="s">
        <v>65</v>
      </c>
      <c r="F4494" t="s">
        <v>16</v>
      </c>
      <c r="G4494" t="s">
        <v>15</v>
      </c>
      <c r="H4494" s="3">
        <v>2</v>
      </c>
      <c r="I4494" s="3">
        <v>55100</v>
      </c>
      <c r="J4494" s="3">
        <v>110200</v>
      </c>
      <c r="K4494" s="3">
        <v>38000</v>
      </c>
      <c r="L4494" s="3">
        <v>76000</v>
      </c>
      <c r="M4494" s="3">
        <v>34200</v>
      </c>
      <c r="N4494" s="4">
        <v>0.31034482758620691</v>
      </c>
    </row>
    <row r="4495" spans="1:14" x14ac:dyDescent="0.3">
      <c r="A4495" s="6">
        <v>45979</v>
      </c>
      <c r="B4495" s="1" t="s">
        <v>4679</v>
      </c>
      <c r="C4495" s="1" t="s">
        <v>26</v>
      </c>
      <c r="D4495" t="s">
        <v>30</v>
      </c>
      <c r="E4495" t="s">
        <v>74</v>
      </c>
      <c r="F4495" t="s">
        <v>14</v>
      </c>
      <c r="G4495" t="s">
        <v>15</v>
      </c>
      <c r="H4495" s="3">
        <v>7</v>
      </c>
      <c r="I4495" s="3">
        <v>62999.999999999993</v>
      </c>
      <c r="J4495" s="3">
        <v>440999.99999999994</v>
      </c>
      <c r="K4495" s="3">
        <v>45000</v>
      </c>
      <c r="L4495" s="3">
        <v>315000</v>
      </c>
      <c r="M4495" s="3">
        <v>125999.99999999994</v>
      </c>
      <c r="N4495" s="4">
        <v>0.28571428571428564</v>
      </c>
    </row>
    <row r="4496" spans="1:14" x14ac:dyDescent="0.3">
      <c r="A4496" s="6">
        <v>45979</v>
      </c>
      <c r="B4496" s="1" t="s">
        <v>4680</v>
      </c>
      <c r="C4496" s="1" t="s">
        <v>29</v>
      </c>
      <c r="D4496" t="s">
        <v>31</v>
      </c>
      <c r="E4496" t="s">
        <v>243</v>
      </c>
      <c r="F4496" t="s">
        <v>24</v>
      </c>
      <c r="G4496" t="s">
        <v>25</v>
      </c>
      <c r="H4496" s="3">
        <v>8</v>
      </c>
      <c r="I4496" s="3">
        <v>3050</v>
      </c>
      <c r="J4496" s="3">
        <v>24400</v>
      </c>
      <c r="K4496" s="3">
        <v>2500</v>
      </c>
      <c r="L4496" s="3">
        <v>20000</v>
      </c>
      <c r="M4496" s="3">
        <v>4400</v>
      </c>
      <c r="N4496" s="4">
        <v>0.18032786885245902</v>
      </c>
    </row>
    <row r="4497" spans="1:14" x14ac:dyDescent="0.3">
      <c r="A4497" s="6">
        <v>45979</v>
      </c>
      <c r="B4497" s="1" t="s">
        <v>4681</v>
      </c>
      <c r="C4497" s="1" t="s">
        <v>29</v>
      </c>
      <c r="D4497" t="s">
        <v>33</v>
      </c>
      <c r="E4497" t="s">
        <v>243</v>
      </c>
      <c r="F4497" t="s">
        <v>16</v>
      </c>
      <c r="G4497" t="s">
        <v>15</v>
      </c>
      <c r="H4497" s="3">
        <v>9</v>
      </c>
      <c r="I4497" s="3">
        <v>49020</v>
      </c>
      <c r="J4497" s="3">
        <v>441180</v>
      </c>
      <c r="K4497" s="3">
        <v>38000</v>
      </c>
      <c r="L4497" s="3">
        <v>342000</v>
      </c>
      <c r="M4497" s="3">
        <v>99180</v>
      </c>
      <c r="N4497" s="4">
        <v>0.22480620155038761</v>
      </c>
    </row>
    <row r="4498" spans="1:14" x14ac:dyDescent="0.3">
      <c r="A4498" s="6">
        <v>45979</v>
      </c>
      <c r="B4498" s="1" t="s">
        <v>4682</v>
      </c>
      <c r="C4498" s="1" t="s">
        <v>29</v>
      </c>
      <c r="D4498" t="s">
        <v>33</v>
      </c>
      <c r="E4498" t="s">
        <v>90</v>
      </c>
      <c r="F4498" t="s">
        <v>21</v>
      </c>
      <c r="G4498" t="s">
        <v>20</v>
      </c>
      <c r="H4498" s="3">
        <v>9</v>
      </c>
      <c r="I4498" s="3">
        <v>750</v>
      </c>
      <c r="J4498" s="3">
        <v>6750</v>
      </c>
      <c r="K4498" s="3">
        <v>600</v>
      </c>
      <c r="L4498" s="3">
        <v>5400</v>
      </c>
      <c r="M4498" s="3">
        <v>1350</v>
      </c>
      <c r="N4498" s="4">
        <v>0.2</v>
      </c>
    </row>
    <row r="4499" spans="1:14" x14ac:dyDescent="0.3">
      <c r="A4499" s="6">
        <v>45979</v>
      </c>
      <c r="B4499" s="1" t="s">
        <v>4683</v>
      </c>
      <c r="C4499" s="1" t="s">
        <v>27</v>
      </c>
      <c r="D4499" t="s">
        <v>33</v>
      </c>
      <c r="E4499" t="s">
        <v>308</v>
      </c>
      <c r="F4499" t="s">
        <v>14</v>
      </c>
      <c r="G4499" t="s">
        <v>15</v>
      </c>
      <c r="H4499" s="3">
        <v>5</v>
      </c>
      <c r="I4499" s="3">
        <v>54000</v>
      </c>
      <c r="J4499" s="3">
        <v>270000</v>
      </c>
      <c r="K4499" s="3">
        <v>45000</v>
      </c>
      <c r="L4499" s="3">
        <v>225000</v>
      </c>
      <c r="M4499" s="3">
        <v>45000</v>
      </c>
      <c r="N4499" s="4">
        <v>0.16666666666666666</v>
      </c>
    </row>
    <row r="4500" spans="1:14" x14ac:dyDescent="0.3">
      <c r="A4500" s="6">
        <v>45979</v>
      </c>
      <c r="B4500" s="1" t="s">
        <v>4684</v>
      </c>
      <c r="C4500" s="1" t="s">
        <v>27</v>
      </c>
      <c r="D4500" t="s">
        <v>32</v>
      </c>
      <c r="E4500" t="s">
        <v>233</v>
      </c>
      <c r="F4500" t="s">
        <v>21</v>
      </c>
      <c r="G4500" t="s">
        <v>20</v>
      </c>
      <c r="H4500" s="3">
        <v>3</v>
      </c>
      <c r="I4500" s="3">
        <v>762</v>
      </c>
      <c r="J4500" s="3">
        <v>2286</v>
      </c>
      <c r="K4500" s="3">
        <v>600</v>
      </c>
      <c r="L4500" s="3">
        <v>1800</v>
      </c>
      <c r="M4500" s="3">
        <v>486</v>
      </c>
      <c r="N4500" s="4">
        <v>0.2125984251968504</v>
      </c>
    </row>
    <row r="4501" spans="1:14" x14ac:dyDescent="0.3">
      <c r="A4501" s="6">
        <v>45979</v>
      </c>
      <c r="B4501" s="1" t="s">
        <v>4685</v>
      </c>
      <c r="C4501" s="1" t="s">
        <v>26</v>
      </c>
      <c r="D4501" t="s">
        <v>35</v>
      </c>
      <c r="E4501" t="s">
        <v>751</v>
      </c>
      <c r="F4501" t="s">
        <v>22</v>
      </c>
      <c r="G4501" t="s">
        <v>18</v>
      </c>
      <c r="H4501" s="3">
        <v>8</v>
      </c>
      <c r="I4501" s="3">
        <v>9800</v>
      </c>
      <c r="J4501" s="3">
        <v>78400</v>
      </c>
      <c r="K4501" s="3">
        <v>7000</v>
      </c>
      <c r="L4501" s="3">
        <v>56000</v>
      </c>
      <c r="M4501" s="3">
        <v>22400</v>
      </c>
      <c r="N4501" s="4">
        <v>0.2857142857142857</v>
      </c>
    </row>
    <row r="4502" spans="1:14" x14ac:dyDescent="0.3">
      <c r="A4502" s="6">
        <v>45979</v>
      </c>
      <c r="B4502" s="1" t="s">
        <v>4686</v>
      </c>
      <c r="C4502" s="1" t="s">
        <v>27</v>
      </c>
      <c r="D4502" t="s">
        <v>33</v>
      </c>
      <c r="E4502" t="s">
        <v>409</v>
      </c>
      <c r="F4502" t="s">
        <v>16</v>
      </c>
      <c r="G4502" t="s">
        <v>15</v>
      </c>
      <c r="H4502" s="3">
        <v>1</v>
      </c>
      <c r="I4502" s="3">
        <v>54340</v>
      </c>
      <c r="J4502" s="3">
        <v>54340</v>
      </c>
      <c r="K4502" s="3">
        <v>38000</v>
      </c>
      <c r="L4502" s="3">
        <v>38000</v>
      </c>
      <c r="M4502" s="3">
        <v>16340</v>
      </c>
      <c r="N4502" s="4">
        <v>0.30069930069930068</v>
      </c>
    </row>
    <row r="4503" spans="1:14" x14ac:dyDescent="0.3">
      <c r="A4503" s="6">
        <v>45979</v>
      </c>
      <c r="B4503" s="1" t="s">
        <v>4687</v>
      </c>
      <c r="C4503" s="1" t="s">
        <v>27</v>
      </c>
      <c r="D4503" t="s">
        <v>32</v>
      </c>
      <c r="E4503" t="s">
        <v>106</v>
      </c>
      <c r="F4503" t="s">
        <v>24</v>
      </c>
      <c r="G4503" t="s">
        <v>25</v>
      </c>
      <c r="H4503" s="3">
        <v>2</v>
      </c>
      <c r="I4503" s="3">
        <v>3025</v>
      </c>
      <c r="J4503" s="3">
        <v>6050</v>
      </c>
      <c r="K4503" s="3">
        <v>2500</v>
      </c>
      <c r="L4503" s="3">
        <v>5000</v>
      </c>
      <c r="M4503" s="3">
        <v>1050</v>
      </c>
      <c r="N4503" s="4">
        <v>0.17355371900826447</v>
      </c>
    </row>
    <row r="4504" spans="1:14" x14ac:dyDescent="0.3">
      <c r="A4504" s="6">
        <v>45979</v>
      </c>
      <c r="B4504" s="1" t="s">
        <v>4688</v>
      </c>
      <c r="C4504" s="1" t="s">
        <v>26</v>
      </c>
      <c r="D4504" t="s">
        <v>35</v>
      </c>
      <c r="E4504" t="s">
        <v>363</v>
      </c>
      <c r="F4504" t="s">
        <v>19</v>
      </c>
      <c r="G4504" t="s">
        <v>20</v>
      </c>
      <c r="H4504" s="3">
        <v>5</v>
      </c>
      <c r="I4504" s="3">
        <v>1107</v>
      </c>
      <c r="J4504" s="3">
        <v>5535</v>
      </c>
      <c r="K4504" s="3">
        <v>900</v>
      </c>
      <c r="L4504" s="3">
        <v>4500</v>
      </c>
      <c r="M4504" s="3">
        <v>1035</v>
      </c>
      <c r="N4504" s="4">
        <v>0.18699186991869918</v>
      </c>
    </row>
    <row r="4505" spans="1:14" x14ac:dyDescent="0.3">
      <c r="A4505" s="6">
        <v>45979</v>
      </c>
      <c r="B4505" s="1" t="s">
        <v>4689</v>
      </c>
      <c r="C4505" s="1" t="s">
        <v>28</v>
      </c>
      <c r="D4505" t="s">
        <v>33</v>
      </c>
      <c r="E4505" t="s">
        <v>53</v>
      </c>
      <c r="F4505" t="s">
        <v>23</v>
      </c>
      <c r="G4505" t="s">
        <v>25</v>
      </c>
      <c r="H4505" s="3">
        <v>1</v>
      </c>
      <c r="I4505" s="3">
        <v>4192</v>
      </c>
      <c r="J4505" s="3">
        <v>4192</v>
      </c>
      <c r="K4505" s="3">
        <v>3200</v>
      </c>
      <c r="L4505" s="3">
        <v>3200</v>
      </c>
      <c r="M4505" s="3">
        <v>992</v>
      </c>
      <c r="N4505" s="4">
        <v>0.23664122137404581</v>
      </c>
    </row>
    <row r="4506" spans="1:14" x14ac:dyDescent="0.3">
      <c r="A4506" s="6">
        <v>45979</v>
      </c>
      <c r="B4506" s="1" t="s">
        <v>4690</v>
      </c>
      <c r="C4506" s="1" t="s">
        <v>29</v>
      </c>
      <c r="D4506" t="s">
        <v>33</v>
      </c>
      <c r="E4506" t="s">
        <v>331</v>
      </c>
      <c r="F4506" t="s">
        <v>22</v>
      </c>
      <c r="G4506" t="s">
        <v>18</v>
      </c>
      <c r="H4506" s="3">
        <v>7</v>
      </c>
      <c r="I4506" s="3">
        <v>8890</v>
      </c>
      <c r="J4506" s="3">
        <v>62230</v>
      </c>
      <c r="K4506" s="3">
        <v>7000</v>
      </c>
      <c r="L4506" s="3">
        <v>49000</v>
      </c>
      <c r="M4506" s="3">
        <v>13230</v>
      </c>
      <c r="N4506" s="4">
        <v>0.2125984251968504</v>
      </c>
    </row>
    <row r="4507" spans="1:14" x14ac:dyDescent="0.3">
      <c r="A4507" s="6">
        <v>45979</v>
      </c>
      <c r="B4507" s="1" t="s">
        <v>4691</v>
      </c>
      <c r="C4507" s="1" t="s">
        <v>29</v>
      </c>
      <c r="D4507" t="s">
        <v>35</v>
      </c>
      <c r="E4507" t="s">
        <v>371</v>
      </c>
      <c r="F4507" t="s">
        <v>22</v>
      </c>
      <c r="G4507" t="s">
        <v>18</v>
      </c>
      <c r="H4507" s="3">
        <v>6</v>
      </c>
      <c r="I4507" s="3">
        <v>9170</v>
      </c>
      <c r="J4507" s="3">
        <v>55020</v>
      </c>
      <c r="K4507" s="3">
        <v>7000</v>
      </c>
      <c r="L4507" s="3">
        <v>42000</v>
      </c>
      <c r="M4507" s="3">
        <v>13020</v>
      </c>
      <c r="N4507" s="4">
        <v>0.23664122137404581</v>
      </c>
    </row>
    <row r="4508" spans="1:14" x14ac:dyDescent="0.3">
      <c r="A4508" s="6">
        <v>45980</v>
      </c>
      <c r="B4508" s="1" t="s">
        <v>4692</v>
      </c>
      <c r="C4508" s="1" t="s">
        <v>26</v>
      </c>
      <c r="D4508" t="s">
        <v>34</v>
      </c>
      <c r="E4508" t="s">
        <v>196</v>
      </c>
      <c r="F4508" t="s">
        <v>24</v>
      </c>
      <c r="G4508" t="s">
        <v>25</v>
      </c>
      <c r="H4508" s="3">
        <v>10</v>
      </c>
      <c r="I4508" s="3">
        <v>3200</v>
      </c>
      <c r="J4508" s="3">
        <v>32000</v>
      </c>
      <c r="K4508" s="3">
        <v>2500</v>
      </c>
      <c r="L4508" s="3">
        <v>25000</v>
      </c>
      <c r="M4508" s="3">
        <v>7000</v>
      </c>
      <c r="N4508" s="4">
        <v>0.21875</v>
      </c>
    </row>
    <row r="4509" spans="1:14" x14ac:dyDescent="0.3">
      <c r="A4509" s="6">
        <v>45980</v>
      </c>
      <c r="B4509" s="1" t="s">
        <v>4693</v>
      </c>
      <c r="C4509" s="1" t="s">
        <v>26</v>
      </c>
      <c r="D4509" t="s">
        <v>31</v>
      </c>
      <c r="E4509" t="s">
        <v>157</v>
      </c>
      <c r="F4509" t="s">
        <v>19</v>
      </c>
      <c r="G4509" t="s">
        <v>20</v>
      </c>
      <c r="H4509" s="3">
        <v>6</v>
      </c>
      <c r="I4509" s="3">
        <v>1125</v>
      </c>
      <c r="J4509" s="3">
        <v>6750</v>
      </c>
      <c r="K4509" s="3">
        <v>900</v>
      </c>
      <c r="L4509" s="3">
        <v>5400</v>
      </c>
      <c r="M4509" s="3">
        <v>1350</v>
      </c>
      <c r="N4509" s="4">
        <v>0.2</v>
      </c>
    </row>
    <row r="4510" spans="1:14" x14ac:dyDescent="0.3">
      <c r="A4510" s="6">
        <v>45980</v>
      </c>
      <c r="B4510" s="1" t="s">
        <v>4694</v>
      </c>
      <c r="C4510" s="1" t="s">
        <v>28</v>
      </c>
      <c r="D4510" t="s">
        <v>33</v>
      </c>
      <c r="E4510" t="s">
        <v>57</v>
      </c>
      <c r="F4510" t="s">
        <v>22</v>
      </c>
      <c r="G4510" t="s">
        <v>18</v>
      </c>
      <c r="H4510" s="3">
        <v>5</v>
      </c>
      <c r="I4510" s="3">
        <v>9170</v>
      </c>
      <c r="J4510" s="3">
        <v>45850</v>
      </c>
      <c r="K4510" s="3">
        <v>7000</v>
      </c>
      <c r="L4510" s="3">
        <v>35000</v>
      </c>
      <c r="M4510" s="3">
        <v>10850</v>
      </c>
      <c r="N4510" s="4">
        <v>0.23664122137404581</v>
      </c>
    </row>
    <row r="4511" spans="1:14" x14ac:dyDescent="0.3">
      <c r="A4511" s="6">
        <v>45980</v>
      </c>
      <c r="B4511" s="1" t="s">
        <v>4695</v>
      </c>
      <c r="C4511" s="1" t="s">
        <v>27</v>
      </c>
      <c r="D4511" t="s">
        <v>33</v>
      </c>
      <c r="E4511" t="s">
        <v>92</v>
      </c>
      <c r="F4511" t="s">
        <v>14</v>
      </c>
      <c r="G4511" t="s">
        <v>15</v>
      </c>
      <c r="H4511" s="3">
        <v>7</v>
      </c>
      <c r="I4511" s="3">
        <v>59850</v>
      </c>
      <c r="J4511" s="3">
        <v>418950</v>
      </c>
      <c r="K4511" s="3">
        <v>45000</v>
      </c>
      <c r="L4511" s="3">
        <v>315000</v>
      </c>
      <c r="M4511" s="3">
        <v>103950</v>
      </c>
      <c r="N4511" s="4">
        <v>0.24812030075187969</v>
      </c>
    </row>
    <row r="4512" spans="1:14" x14ac:dyDescent="0.3">
      <c r="A4512" s="6">
        <v>45980</v>
      </c>
      <c r="B4512" s="1" t="s">
        <v>4696</v>
      </c>
      <c r="C4512" s="1" t="s">
        <v>28</v>
      </c>
      <c r="D4512" t="s">
        <v>35</v>
      </c>
      <c r="E4512" t="s">
        <v>189</v>
      </c>
      <c r="F4512" t="s">
        <v>17</v>
      </c>
      <c r="G4512" t="s">
        <v>18</v>
      </c>
      <c r="H4512" s="3">
        <v>10</v>
      </c>
      <c r="I4512" s="3">
        <v>11475</v>
      </c>
      <c r="J4512" s="3">
        <v>114750</v>
      </c>
      <c r="K4512" s="3">
        <v>8500</v>
      </c>
      <c r="L4512" s="3">
        <v>85000</v>
      </c>
      <c r="M4512" s="3">
        <v>29750</v>
      </c>
      <c r="N4512" s="4">
        <v>0.25925925925925924</v>
      </c>
    </row>
    <row r="4513" spans="1:14" x14ac:dyDescent="0.3">
      <c r="A4513" s="6">
        <v>45980</v>
      </c>
      <c r="B4513" s="1" t="s">
        <v>4697</v>
      </c>
      <c r="C4513" s="1" t="s">
        <v>29</v>
      </c>
      <c r="D4513" t="s">
        <v>35</v>
      </c>
      <c r="E4513" t="s">
        <v>228</v>
      </c>
      <c r="F4513" t="s">
        <v>16</v>
      </c>
      <c r="G4513" t="s">
        <v>15</v>
      </c>
      <c r="H4513" s="3">
        <v>9</v>
      </c>
      <c r="I4513" s="3">
        <v>52060.000000000007</v>
      </c>
      <c r="J4513" s="3">
        <v>468540.00000000006</v>
      </c>
      <c r="K4513" s="3">
        <v>38000</v>
      </c>
      <c r="L4513" s="3">
        <v>342000</v>
      </c>
      <c r="M4513" s="3">
        <v>126540.00000000006</v>
      </c>
      <c r="N4513" s="4">
        <v>0.27007299270073004</v>
      </c>
    </row>
    <row r="4514" spans="1:14" x14ac:dyDescent="0.3">
      <c r="A4514" s="6">
        <v>45980</v>
      </c>
      <c r="B4514" s="1" t="s">
        <v>4698</v>
      </c>
      <c r="C4514" s="1" t="s">
        <v>27</v>
      </c>
      <c r="D4514" t="s">
        <v>35</v>
      </c>
      <c r="E4514" t="s">
        <v>149</v>
      </c>
      <c r="F4514" t="s">
        <v>22</v>
      </c>
      <c r="G4514" t="s">
        <v>18</v>
      </c>
      <c r="H4514" s="3">
        <v>8</v>
      </c>
      <c r="I4514" s="3">
        <v>8820</v>
      </c>
      <c r="J4514" s="3">
        <v>70560</v>
      </c>
      <c r="K4514" s="3">
        <v>7000</v>
      </c>
      <c r="L4514" s="3">
        <v>56000</v>
      </c>
      <c r="M4514" s="3">
        <v>14560</v>
      </c>
      <c r="N4514" s="4">
        <v>0.20634920634920634</v>
      </c>
    </row>
    <row r="4515" spans="1:14" x14ac:dyDescent="0.3">
      <c r="A4515" s="6">
        <v>45980</v>
      </c>
      <c r="B4515" s="1" t="s">
        <v>4699</v>
      </c>
      <c r="C4515" s="1" t="s">
        <v>29</v>
      </c>
      <c r="D4515" t="s">
        <v>33</v>
      </c>
      <c r="E4515" t="s">
        <v>102</v>
      </c>
      <c r="F4515" t="s">
        <v>21</v>
      </c>
      <c r="G4515" t="s">
        <v>20</v>
      </c>
      <c r="H4515" s="3">
        <v>10</v>
      </c>
      <c r="I4515" s="3">
        <v>780</v>
      </c>
      <c r="J4515" s="3">
        <v>7800</v>
      </c>
      <c r="K4515" s="3">
        <v>600</v>
      </c>
      <c r="L4515" s="3">
        <v>6000</v>
      </c>
      <c r="M4515" s="3">
        <v>1800</v>
      </c>
      <c r="N4515" s="4">
        <v>0.23076923076923078</v>
      </c>
    </row>
    <row r="4516" spans="1:14" x14ac:dyDescent="0.3">
      <c r="A4516" s="6">
        <v>45980</v>
      </c>
      <c r="B4516" s="1" t="s">
        <v>4700</v>
      </c>
      <c r="C4516" s="1" t="s">
        <v>28</v>
      </c>
      <c r="D4516" t="s">
        <v>31</v>
      </c>
      <c r="E4516" t="s">
        <v>206</v>
      </c>
      <c r="F4516" t="s">
        <v>22</v>
      </c>
      <c r="G4516" t="s">
        <v>18</v>
      </c>
      <c r="H4516" s="3">
        <v>8</v>
      </c>
      <c r="I4516" s="3">
        <v>8540</v>
      </c>
      <c r="J4516" s="3">
        <v>68320</v>
      </c>
      <c r="K4516" s="3">
        <v>7000</v>
      </c>
      <c r="L4516" s="3">
        <v>56000</v>
      </c>
      <c r="M4516" s="3">
        <v>12320</v>
      </c>
      <c r="N4516" s="4">
        <v>0.18032786885245902</v>
      </c>
    </row>
    <row r="4517" spans="1:14" x14ac:dyDescent="0.3">
      <c r="A4517" s="6">
        <v>45980</v>
      </c>
      <c r="B4517" s="1" t="s">
        <v>4701</v>
      </c>
      <c r="C4517" s="1" t="s">
        <v>28</v>
      </c>
      <c r="D4517" t="s">
        <v>32</v>
      </c>
      <c r="E4517" t="s">
        <v>308</v>
      </c>
      <c r="F4517" t="s">
        <v>19</v>
      </c>
      <c r="G4517" t="s">
        <v>20</v>
      </c>
      <c r="H4517" s="3">
        <v>4</v>
      </c>
      <c r="I4517" s="3">
        <v>1296</v>
      </c>
      <c r="J4517" s="3">
        <v>5184</v>
      </c>
      <c r="K4517" s="3">
        <v>900</v>
      </c>
      <c r="L4517" s="3">
        <v>3600</v>
      </c>
      <c r="M4517" s="3">
        <v>1584</v>
      </c>
      <c r="N4517" s="4">
        <v>0.30555555555555558</v>
      </c>
    </row>
    <row r="4518" spans="1:14" x14ac:dyDescent="0.3">
      <c r="A4518" s="6">
        <v>45980</v>
      </c>
      <c r="B4518" s="1" t="s">
        <v>4702</v>
      </c>
      <c r="C4518" s="1" t="s">
        <v>27</v>
      </c>
      <c r="D4518" t="s">
        <v>33</v>
      </c>
      <c r="E4518" t="s">
        <v>411</v>
      </c>
      <c r="F4518" t="s">
        <v>14</v>
      </c>
      <c r="G4518" t="s">
        <v>15</v>
      </c>
      <c r="H4518" s="3">
        <v>4</v>
      </c>
      <c r="I4518" s="3">
        <v>55800</v>
      </c>
      <c r="J4518" s="3">
        <v>223200</v>
      </c>
      <c r="K4518" s="3">
        <v>45000</v>
      </c>
      <c r="L4518" s="3">
        <v>180000</v>
      </c>
      <c r="M4518" s="3">
        <v>43200</v>
      </c>
      <c r="N4518" s="4">
        <v>0.19354838709677419</v>
      </c>
    </row>
    <row r="4519" spans="1:14" x14ac:dyDescent="0.3">
      <c r="A4519" s="6">
        <v>45980</v>
      </c>
      <c r="B4519" s="1" t="s">
        <v>4703</v>
      </c>
      <c r="C4519" s="1" t="s">
        <v>29</v>
      </c>
      <c r="D4519" t="s">
        <v>35</v>
      </c>
      <c r="E4519" t="s">
        <v>302</v>
      </c>
      <c r="F4519" t="s">
        <v>22</v>
      </c>
      <c r="G4519" t="s">
        <v>18</v>
      </c>
      <c r="H4519" s="3">
        <v>3</v>
      </c>
      <c r="I4519" s="3">
        <v>9730</v>
      </c>
      <c r="J4519" s="3">
        <v>29190</v>
      </c>
      <c r="K4519" s="3">
        <v>7000</v>
      </c>
      <c r="L4519" s="3">
        <v>21000</v>
      </c>
      <c r="M4519" s="3">
        <v>8190</v>
      </c>
      <c r="N4519" s="4">
        <v>0.2805755395683453</v>
      </c>
    </row>
    <row r="4520" spans="1:14" x14ac:dyDescent="0.3">
      <c r="A4520" s="6">
        <v>45980</v>
      </c>
      <c r="B4520" s="1" t="s">
        <v>4704</v>
      </c>
      <c r="C4520" s="1" t="s">
        <v>28</v>
      </c>
      <c r="D4520" t="s">
        <v>30</v>
      </c>
      <c r="E4520" t="s">
        <v>65</v>
      </c>
      <c r="F4520" t="s">
        <v>19</v>
      </c>
      <c r="G4520" t="s">
        <v>20</v>
      </c>
      <c r="H4520" s="3">
        <v>8</v>
      </c>
      <c r="I4520" s="3">
        <v>1134</v>
      </c>
      <c r="J4520" s="3">
        <v>9072</v>
      </c>
      <c r="K4520" s="3">
        <v>900</v>
      </c>
      <c r="L4520" s="3">
        <v>7200</v>
      </c>
      <c r="M4520" s="3">
        <v>1872</v>
      </c>
      <c r="N4520" s="4">
        <v>0.20634920634920634</v>
      </c>
    </row>
    <row r="4521" spans="1:14" x14ac:dyDescent="0.3">
      <c r="A4521" s="6">
        <v>45980</v>
      </c>
      <c r="B4521" s="1" t="s">
        <v>4705</v>
      </c>
      <c r="C4521" s="1" t="s">
        <v>29</v>
      </c>
      <c r="D4521" t="s">
        <v>35</v>
      </c>
      <c r="E4521" t="s">
        <v>37</v>
      </c>
      <c r="F4521" t="s">
        <v>17</v>
      </c>
      <c r="G4521" t="s">
        <v>18</v>
      </c>
      <c r="H4521" s="3">
        <v>9</v>
      </c>
      <c r="I4521" s="3">
        <v>12155</v>
      </c>
      <c r="J4521" s="3">
        <v>109395</v>
      </c>
      <c r="K4521" s="3">
        <v>8500</v>
      </c>
      <c r="L4521" s="3">
        <v>76500</v>
      </c>
      <c r="M4521" s="3">
        <v>32895</v>
      </c>
      <c r="N4521" s="4">
        <v>0.30069930069930068</v>
      </c>
    </row>
    <row r="4522" spans="1:14" x14ac:dyDescent="0.3">
      <c r="A4522" s="6">
        <v>45981</v>
      </c>
      <c r="B4522" s="1" t="s">
        <v>4706</v>
      </c>
      <c r="C4522" s="1" t="s">
        <v>29</v>
      </c>
      <c r="D4522" t="s">
        <v>32</v>
      </c>
      <c r="E4522" t="s">
        <v>43</v>
      </c>
      <c r="F4522" t="s">
        <v>21</v>
      </c>
      <c r="G4522" t="s">
        <v>20</v>
      </c>
      <c r="H4522" s="3">
        <v>6</v>
      </c>
      <c r="I4522" s="3">
        <v>864</v>
      </c>
      <c r="J4522" s="3">
        <v>5184</v>
      </c>
      <c r="K4522" s="3">
        <v>600</v>
      </c>
      <c r="L4522" s="3">
        <v>3600</v>
      </c>
      <c r="M4522" s="3">
        <v>1584</v>
      </c>
      <c r="N4522" s="4">
        <v>0.30555555555555558</v>
      </c>
    </row>
    <row r="4523" spans="1:14" x14ac:dyDescent="0.3">
      <c r="A4523" s="6">
        <v>45981</v>
      </c>
      <c r="B4523" s="1" t="s">
        <v>4707</v>
      </c>
      <c r="C4523" s="1" t="s">
        <v>26</v>
      </c>
      <c r="D4523" t="s">
        <v>31</v>
      </c>
      <c r="E4523" t="s">
        <v>124</v>
      </c>
      <c r="F4523" t="s">
        <v>23</v>
      </c>
      <c r="G4523" t="s">
        <v>25</v>
      </c>
      <c r="H4523" s="3">
        <v>4</v>
      </c>
      <c r="I4523" s="3">
        <v>3872</v>
      </c>
      <c r="J4523" s="3">
        <v>15488</v>
      </c>
      <c r="K4523" s="3">
        <v>3200</v>
      </c>
      <c r="L4523" s="3">
        <v>12800</v>
      </c>
      <c r="M4523" s="3">
        <v>2688</v>
      </c>
      <c r="N4523" s="4">
        <v>0.17355371900826447</v>
      </c>
    </row>
    <row r="4524" spans="1:14" x14ac:dyDescent="0.3">
      <c r="A4524" s="6">
        <v>45981</v>
      </c>
      <c r="B4524" s="1" t="s">
        <v>4708</v>
      </c>
      <c r="C4524" s="1" t="s">
        <v>29</v>
      </c>
      <c r="D4524" t="s">
        <v>35</v>
      </c>
      <c r="E4524" t="s">
        <v>453</v>
      </c>
      <c r="F4524" t="s">
        <v>17</v>
      </c>
      <c r="G4524" t="s">
        <v>18</v>
      </c>
      <c r="H4524" s="3">
        <v>6</v>
      </c>
      <c r="I4524" s="3">
        <v>10200</v>
      </c>
      <c r="J4524" s="3">
        <v>61200</v>
      </c>
      <c r="K4524" s="3">
        <v>8500</v>
      </c>
      <c r="L4524" s="3">
        <v>51000</v>
      </c>
      <c r="M4524" s="3">
        <v>10200</v>
      </c>
      <c r="N4524" s="4">
        <v>0.16666666666666666</v>
      </c>
    </row>
    <row r="4525" spans="1:14" x14ac:dyDescent="0.3">
      <c r="A4525" s="6">
        <v>45981</v>
      </c>
      <c r="B4525" s="1" t="s">
        <v>4709</v>
      </c>
      <c r="C4525" s="1" t="s">
        <v>28</v>
      </c>
      <c r="D4525" t="s">
        <v>31</v>
      </c>
      <c r="E4525" t="s">
        <v>116</v>
      </c>
      <c r="F4525" t="s">
        <v>24</v>
      </c>
      <c r="G4525" t="s">
        <v>25</v>
      </c>
      <c r="H4525" s="3">
        <v>8</v>
      </c>
      <c r="I4525" s="3">
        <v>3625</v>
      </c>
      <c r="J4525" s="3">
        <v>29000</v>
      </c>
      <c r="K4525" s="3">
        <v>2500</v>
      </c>
      <c r="L4525" s="3">
        <v>20000</v>
      </c>
      <c r="M4525" s="3">
        <v>9000</v>
      </c>
      <c r="N4525" s="4">
        <v>0.31034482758620691</v>
      </c>
    </row>
    <row r="4526" spans="1:14" x14ac:dyDescent="0.3">
      <c r="A4526" s="6">
        <v>45981</v>
      </c>
      <c r="B4526" s="1" t="s">
        <v>4710</v>
      </c>
      <c r="C4526" s="1" t="s">
        <v>27</v>
      </c>
      <c r="D4526" t="s">
        <v>34</v>
      </c>
      <c r="E4526" t="s">
        <v>186</v>
      </c>
      <c r="F4526" t="s">
        <v>16</v>
      </c>
      <c r="G4526" t="s">
        <v>15</v>
      </c>
      <c r="H4526" s="3">
        <v>5</v>
      </c>
      <c r="I4526" s="3">
        <v>52439.999999999993</v>
      </c>
      <c r="J4526" s="3">
        <v>262199.99999999994</v>
      </c>
      <c r="K4526" s="3">
        <v>38000</v>
      </c>
      <c r="L4526" s="3">
        <v>190000</v>
      </c>
      <c r="M4526" s="3">
        <v>72199.999999999942</v>
      </c>
      <c r="N4526" s="4">
        <v>0.27536231884057955</v>
      </c>
    </row>
    <row r="4527" spans="1:14" x14ac:dyDescent="0.3">
      <c r="A4527" s="6">
        <v>45981</v>
      </c>
      <c r="B4527" s="1" t="s">
        <v>4711</v>
      </c>
      <c r="C4527" s="1" t="s">
        <v>26</v>
      </c>
      <c r="D4527" t="s">
        <v>30</v>
      </c>
      <c r="E4527" t="s">
        <v>76</v>
      </c>
      <c r="F4527" t="s">
        <v>19</v>
      </c>
      <c r="G4527" t="s">
        <v>20</v>
      </c>
      <c r="H4527" s="3">
        <v>6</v>
      </c>
      <c r="I4527" s="3">
        <v>1179</v>
      </c>
      <c r="J4527" s="3">
        <v>7074</v>
      </c>
      <c r="K4527" s="3">
        <v>900</v>
      </c>
      <c r="L4527" s="3">
        <v>5400</v>
      </c>
      <c r="M4527" s="3">
        <v>1674</v>
      </c>
      <c r="N4527" s="4">
        <v>0.23664122137404581</v>
      </c>
    </row>
    <row r="4528" spans="1:14" x14ac:dyDescent="0.3">
      <c r="A4528" s="6">
        <v>45981</v>
      </c>
      <c r="B4528" s="1" t="s">
        <v>4712</v>
      </c>
      <c r="C4528" s="1" t="s">
        <v>27</v>
      </c>
      <c r="D4528" t="s">
        <v>31</v>
      </c>
      <c r="E4528" t="s">
        <v>126</v>
      </c>
      <c r="F4528" t="s">
        <v>22</v>
      </c>
      <c r="G4528" t="s">
        <v>18</v>
      </c>
      <c r="H4528" s="3">
        <v>3</v>
      </c>
      <c r="I4528" s="3">
        <v>9660</v>
      </c>
      <c r="J4528" s="3">
        <v>28980</v>
      </c>
      <c r="K4528" s="3">
        <v>7000</v>
      </c>
      <c r="L4528" s="3">
        <v>21000</v>
      </c>
      <c r="M4528" s="3">
        <v>7980</v>
      </c>
      <c r="N4528" s="4">
        <v>0.27536231884057971</v>
      </c>
    </row>
    <row r="4529" spans="1:14" x14ac:dyDescent="0.3">
      <c r="A4529" s="6">
        <v>45981</v>
      </c>
      <c r="B4529" s="1" t="s">
        <v>4713</v>
      </c>
      <c r="C4529" s="1" t="s">
        <v>26</v>
      </c>
      <c r="D4529" t="s">
        <v>31</v>
      </c>
      <c r="E4529" t="s">
        <v>163</v>
      </c>
      <c r="F4529" t="s">
        <v>19</v>
      </c>
      <c r="G4529" t="s">
        <v>20</v>
      </c>
      <c r="H4529" s="3">
        <v>6</v>
      </c>
      <c r="I4529" s="3">
        <v>1125</v>
      </c>
      <c r="J4529" s="3">
        <v>6750</v>
      </c>
      <c r="K4529" s="3">
        <v>900</v>
      </c>
      <c r="L4529" s="3">
        <v>5400</v>
      </c>
      <c r="M4529" s="3">
        <v>1350</v>
      </c>
      <c r="N4529" s="4">
        <v>0.2</v>
      </c>
    </row>
    <row r="4530" spans="1:14" x14ac:dyDescent="0.3">
      <c r="A4530" s="6">
        <v>45981</v>
      </c>
      <c r="B4530" s="1" t="s">
        <v>4714</v>
      </c>
      <c r="C4530" s="1" t="s">
        <v>29</v>
      </c>
      <c r="D4530" t="s">
        <v>35</v>
      </c>
      <c r="E4530" t="s">
        <v>57</v>
      </c>
      <c r="F4530" t="s">
        <v>21</v>
      </c>
      <c r="G4530" t="s">
        <v>20</v>
      </c>
      <c r="H4530" s="3">
        <v>10</v>
      </c>
      <c r="I4530" s="3">
        <v>810</v>
      </c>
      <c r="J4530" s="3">
        <v>8100</v>
      </c>
      <c r="K4530" s="3">
        <v>600</v>
      </c>
      <c r="L4530" s="3">
        <v>6000</v>
      </c>
      <c r="M4530" s="3">
        <v>2100</v>
      </c>
      <c r="N4530" s="4">
        <v>0.25925925925925924</v>
      </c>
    </row>
    <row r="4531" spans="1:14" x14ac:dyDescent="0.3">
      <c r="A4531" s="6">
        <v>45981</v>
      </c>
      <c r="B4531" s="1" t="s">
        <v>4715</v>
      </c>
      <c r="C4531" s="1" t="s">
        <v>29</v>
      </c>
      <c r="D4531" t="s">
        <v>34</v>
      </c>
      <c r="E4531" t="s">
        <v>400</v>
      </c>
      <c r="F4531" t="s">
        <v>16</v>
      </c>
      <c r="G4531" t="s">
        <v>15</v>
      </c>
      <c r="H4531" s="3">
        <v>10</v>
      </c>
      <c r="I4531" s="3">
        <v>54720</v>
      </c>
      <c r="J4531" s="3">
        <v>547200</v>
      </c>
      <c r="K4531" s="3">
        <v>38000</v>
      </c>
      <c r="L4531" s="3">
        <v>380000</v>
      </c>
      <c r="M4531" s="3">
        <v>167200</v>
      </c>
      <c r="N4531" s="4">
        <v>0.30555555555555558</v>
      </c>
    </row>
    <row r="4532" spans="1:14" x14ac:dyDescent="0.3">
      <c r="A4532" s="6">
        <v>45981</v>
      </c>
      <c r="B4532" s="1" t="s">
        <v>4716</v>
      </c>
      <c r="C4532" s="1" t="s">
        <v>27</v>
      </c>
      <c r="D4532" t="s">
        <v>31</v>
      </c>
      <c r="E4532" t="s">
        <v>508</v>
      </c>
      <c r="F4532" t="s">
        <v>23</v>
      </c>
      <c r="G4532" t="s">
        <v>25</v>
      </c>
      <c r="H4532" s="3">
        <v>7</v>
      </c>
      <c r="I4532" s="3">
        <v>3936</v>
      </c>
      <c r="J4532" s="3">
        <v>27552</v>
      </c>
      <c r="K4532" s="3">
        <v>3200</v>
      </c>
      <c r="L4532" s="3">
        <v>22400</v>
      </c>
      <c r="M4532" s="3">
        <v>5152</v>
      </c>
      <c r="N4532" s="4">
        <v>0.18699186991869918</v>
      </c>
    </row>
    <row r="4533" spans="1:14" x14ac:dyDescent="0.3">
      <c r="A4533" s="6">
        <v>45981</v>
      </c>
      <c r="B4533" s="1" t="s">
        <v>4717</v>
      </c>
      <c r="C4533" s="1" t="s">
        <v>27</v>
      </c>
      <c r="D4533" t="s">
        <v>33</v>
      </c>
      <c r="E4533" t="s">
        <v>275</v>
      </c>
      <c r="F4533" t="s">
        <v>19</v>
      </c>
      <c r="G4533" t="s">
        <v>20</v>
      </c>
      <c r="H4533" s="3">
        <v>1</v>
      </c>
      <c r="I4533" s="3">
        <v>1134</v>
      </c>
      <c r="J4533" s="3">
        <v>1134</v>
      </c>
      <c r="K4533" s="3">
        <v>900</v>
      </c>
      <c r="L4533" s="3">
        <v>900</v>
      </c>
      <c r="M4533" s="3">
        <v>234</v>
      </c>
      <c r="N4533" s="4">
        <v>0.20634920634920634</v>
      </c>
    </row>
    <row r="4534" spans="1:14" x14ac:dyDescent="0.3">
      <c r="A4534" s="6">
        <v>45981</v>
      </c>
      <c r="B4534" s="1" t="s">
        <v>4718</v>
      </c>
      <c r="C4534" s="1" t="s">
        <v>29</v>
      </c>
      <c r="D4534" t="s">
        <v>33</v>
      </c>
      <c r="E4534" t="s">
        <v>114</v>
      </c>
      <c r="F4534" t="s">
        <v>19</v>
      </c>
      <c r="G4534" t="s">
        <v>20</v>
      </c>
      <c r="H4534" s="3">
        <v>2</v>
      </c>
      <c r="I4534" s="3">
        <v>1251</v>
      </c>
      <c r="J4534" s="3">
        <v>2502</v>
      </c>
      <c r="K4534" s="3">
        <v>900</v>
      </c>
      <c r="L4534" s="3">
        <v>1800</v>
      </c>
      <c r="M4534" s="3">
        <v>702</v>
      </c>
      <c r="N4534" s="4">
        <v>0.2805755395683453</v>
      </c>
    </row>
    <row r="4535" spans="1:14" x14ac:dyDescent="0.3">
      <c r="A4535" s="6">
        <v>45981</v>
      </c>
      <c r="B4535" s="1" t="s">
        <v>4719</v>
      </c>
      <c r="C4535" s="1" t="s">
        <v>26</v>
      </c>
      <c r="D4535" t="s">
        <v>34</v>
      </c>
      <c r="E4535" t="s">
        <v>565</v>
      </c>
      <c r="F4535" t="s">
        <v>17</v>
      </c>
      <c r="G4535" t="s">
        <v>18</v>
      </c>
      <c r="H4535" s="3">
        <v>2</v>
      </c>
      <c r="I4535" s="3">
        <v>11815.000000000002</v>
      </c>
      <c r="J4535" s="3">
        <v>23630.000000000004</v>
      </c>
      <c r="K4535" s="3">
        <v>8500</v>
      </c>
      <c r="L4535" s="3">
        <v>17000</v>
      </c>
      <c r="M4535" s="3">
        <v>6630.0000000000036</v>
      </c>
      <c r="N4535" s="4">
        <v>0.28057553956834541</v>
      </c>
    </row>
    <row r="4536" spans="1:14" x14ac:dyDescent="0.3">
      <c r="A4536" s="6">
        <v>45982</v>
      </c>
      <c r="B4536" s="1" t="s">
        <v>4720</v>
      </c>
      <c r="C4536" s="1" t="s">
        <v>28</v>
      </c>
      <c r="D4536" t="s">
        <v>30</v>
      </c>
      <c r="E4536" t="s">
        <v>166</v>
      </c>
      <c r="F4536" t="s">
        <v>21</v>
      </c>
      <c r="G4536" t="s">
        <v>20</v>
      </c>
      <c r="H4536" s="3">
        <v>10</v>
      </c>
      <c r="I4536" s="3">
        <v>792</v>
      </c>
      <c r="J4536" s="3">
        <v>7920</v>
      </c>
      <c r="K4536" s="3">
        <v>600</v>
      </c>
      <c r="L4536" s="3">
        <v>6000</v>
      </c>
      <c r="M4536" s="3">
        <v>1920</v>
      </c>
      <c r="N4536" s="4">
        <v>0.24242424242424243</v>
      </c>
    </row>
    <row r="4537" spans="1:14" x14ac:dyDescent="0.3">
      <c r="A4537" s="6">
        <v>45982</v>
      </c>
      <c r="B4537" s="1" t="s">
        <v>4721</v>
      </c>
      <c r="C4537" s="1" t="s">
        <v>29</v>
      </c>
      <c r="D4537" t="s">
        <v>31</v>
      </c>
      <c r="E4537" t="s">
        <v>275</v>
      </c>
      <c r="F4537" t="s">
        <v>17</v>
      </c>
      <c r="G4537" t="s">
        <v>18</v>
      </c>
      <c r="H4537" s="3">
        <v>4</v>
      </c>
      <c r="I4537" s="3">
        <v>10455</v>
      </c>
      <c r="J4537" s="3">
        <v>41820</v>
      </c>
      <c r="K4537" s="3">
        <v>8500</v>
      </c>
      <c r="L4537" s="3">
        <v>34000</v>
      </c>
      <c r="M4537" s="3">
        <v>7820</v>
      </c>
      <c r="N4537" s="4">
        <v>0.18699186991869918</v>
      </c>
    </row>
    <row r="4538" spans="1:14" x14ac:dyDescent="0.3">
      <c r="A4538" s="6">
        <v>45982</v>
      </c>
      <c r="B4538" s="1" t="s">
        <v>4722</v>
      </c>
      <c r="C4538" s="1" t="s">
        <v>26</v>
      </c>
      <c r="D4538" t="s">
        <v>31</v>
      </c>
      <c r="E4538" t="s">
        <v>114</v>
      </c>
      <c r="F4538" t="s">
        <v>16</v>
      </c>
      <c r="G4538" t="s">
        <v>15</v>
      </c>
      <c r="H4538" s="3">
        <v>7</v>
      </c>
      <c r="I4538" s="3">
        <v>49400</v>
      </c>
      <c r="J4538" s="3">
        <v>345800</v>
      </c>
      <c r="K4538" s="3">
        <v>38000</v>
      </c>
      <c r="L4538" s="3">
        <v>266000</v>
      </c>
      <c r="M4538" s="3">
        <v>79800</v>
      </c>
      <c r="N4538" s="4">
        <v>0.23076923076923078</v>
      </c>
    </row>
    <row r="4539" spans="1:14" x14ac:dyDescent="0.3">
      <c r="A4539" s="6">
        <v>45982</v>
      </c>
      <c r="B4539" s="1" t="s">
        <v>4723</v>
      </c>
      <c r="C4539" s="1" t="s">
        <v>27</v>
      </c>
      <c r="D4539" t="s">
        <v>34</v>
      </c>
      <c r="E4539" t="s">
        <v>81</v>
      </c>
      <c r="F4539" t="s">
        <v>17</v>
      </c>
      <c r="G4539" t="s">
        <v>18</v>
      </c>
      <c r="H4539" s="3">
        <v>9</v>
      </c>
      <c r="I4539" s="3">
        <v>10370</v>
      </c>
      <c r="J4539" s="3">
        <v>93330</v>
      </c>
      <c r="K4539" s="3">
        <v>8500</v>
      </c>
      <c r="L4539" s="3">
        <v>76500</v>
      </c>
      <c r="M4539" s="3">
        <v>16830</v>
      </c>
      <c r="N4539" s="4">
        <v>0.18032786885245902</v>
      </c>
    </row>
    <row r="4540" spans="1:14" x14ac:dyDescent="0.3">
      <c r="A4540" s="6">
        <v>45982</v>
      </c>
      <c r="B4540" s="1" t="s">
        <v>4724</v>
      </c>
      <c r="C4540" s="1" t="s">
        <v>27</v>
      </c>
      <c r="D4540" t="s">
        <v>32</v>
      </c>
      <c r="E4540" t="s">
        <v>104</v>
      </c>
      <c r="F4540" t="s">
        <v>24</v>
      </c>
      <c r="G4540" t="s">
        <v>25</v>
      </c>
      <c r="H4540" s="3">
        <v>5</v>
      </c>
      <c r="I4540" s="3">
        <v>3075</v>
      </c>
      <c r="J4540" s="3">
        <v>15375</v>
      </c>
      <c r="K4540" s="3">
        <v>2500</v>
      </c>
      <c r="L4540" s="3">
        <v>12500</v>
      </c>
      <c r="M4540" s="3">
        <v>2875</v>
      </c>
      <c r="N4540" s="4">
        <v>0.18699186991869918</v>
      </c>
    </row>
    <row r="4541" spans="1:14" x14ac:dyDescent="0.3">
      <c r="A4541" s="6">
        <v>45982</v>
      </c>
      <c r="B4541" s="1" t="s">
        <v>4725</v>
      </c>
      <c r="C4541" s="1" t="s">
        <v>28</v>
      </c>
      <c r="D4541" t="s">
        <v>30</v>
      </c>
      <c r="E4541" t="s">
        <v>157</v>
      </c>
      <c r="F4541" t="s">
        <v>16</v>
      </c>
      <c r="G4541" t="s">
        <v>15</v>
      </c>
      <c r="H4541" s="3">
        <v>4</v>
      </c>
      <c r="I4541" s="3">
        <v>47120</v>
      </c>
      <c r="J4541" s="3">
        <v>188480</v>
      </c>
      <c r="K4541" s="3">
        <v>38000</v>
      </c>
      <c r="L4541" s="3">
        <v>152000</v>
      </c>
      <c r="M4541" s="3">
        <v>36480</v>
      </c>
      <c r="N4541" s="4">
        <v>0.19354838709677419</v>
      </c>
    </row>
    <row r="4542" spans="1:14" x14ac:dyDescent="0.3">
      <c r="A4542" s="6">
        <v>45982</v>
      </c>
      <c r="B4542" s="1" t="s">
        <v>4726</v>
      </c>
      <c r="C4542" s="1" t="s">
        <v>26</v>
      </c>
      <c r="D4542" t="s">
        <v>30</v>
      </c>
      <c r="E4542" t="s">
        <v>255</v>
      </c>
      <c r="F4542" t="s">
        <v>17</v>
      </c>
      <c r="G4542" t="s">
        <v>18</v>
      </c>
      <c r="H4542" s="3">
        <v>5</v>
      </c>
      <c r="I4542" s="3">
        <v>10455</v>
      </c>
      <c r="J4542" s="3">
        <v>52275</v>
      </c>
      <c r="K4542" s="3">
        <v>8500</v>
      </c>
      <c r="L4542" s="3">
        <v>42500</v>
      </c>
      <c r="M4542" s="3">
        <v>9775</v>
      </c>
      <c r="N4542" s="4">
        <v>0.18699186991869918</v>
      </c>
    </row>
    <row r="4543" spans="1:14" x14ac:dyDescent="0.3">
      <c r="A4543" s="6">
        <v>45982</v>
      </c>
      <c r="B4543" s="1" t="s">
        <v>4727</v>
      </c>
      <c r="C4543" s="1" t="s">
        <v>27</v>
      </c>
      <c r="D4543" t="s">
        <v>34</v>
      </c>
      <c r="E4543" t="s">
        <v>275</v>
      </c>
      <c r="F4543" t="s">
        <v>16</v>
      </c>
      <c r="G4543" t="s">
        <v>15</v>
      </c>
      <c r="H4543" s="3">
        <v>7</v>
      </c>
      <c r="I4543" s="3">
        <v>52060.000000000007</v>
      </c>
      <c r="J4543" s="3">
        <v>364420.00000000006</v>
      </c>
      <c r="K4543" s="3">
        <v>38000</v>
      </c>
      <c r="L4543" s="3">
        <v>266000</v>
      </c>
      <c r="M4543" s="3">
        <v>98420.000000000058</v>
      </c>
      <c r="N4543" s="4">
        <v>0.27007299270073004</v>
      </c>
    </row>
    <row r="4544" spans="1:14" x14ac:dyDescent="0.3">
      <c r="A4544" s="6">
        <v>45982</v>
      </c>
      <c r="B4544" s="1" t="s">
        <v>4728</v>
      </c>
      <c r="C4544" s="1" t="s">
        <v>28</v>
      </c>
      <c r="D4544" t="s">
        <v>30</v>
      </c>
      <c r="E4544" t="s">
        <v>283</v>
      </c>
      <c r="F4544" t="s">
        <v>23</v>
      </c>
      <c r="G4544" t="s">
        <v>25</v>
      </c>
      <c r="H4544" s="3">
        <v>8</v>
      </c>
      <c r="I4544" s="3">
        <v>3936</v>
      </c>
      <c r="J4544" s="3">
        <v>31488</v>
      </c>
      <c r="K4544" s="3">
        <v>3200</v>
      </c>
      <c r="L4544" s="3">
        <v>25600</v>
      </c>
      <c r="M4544" s="3">
        <v>5888</v>
      </c>
      <c r="N4544" s="4">
        <v>0.18699186991869918</v>
      </c>
    </row>
    <row r="4545" spans="1:14" x14ac:dyDescent="0.3">
      <c r="A4545" s="6">
        <v>45982</v>
      </c>
      <c r="B4545" s="1" t="s">
        <v>4729</v>
      </c>
      <c r="C4545" s="1" t="s">
        <v>27</v>
      </c>
      <c r="D4545" t="s">
        <v>31</v>
      </c>
      <c r="E4545" t="s">
        <v>137</v>
      </c>
      <c r="F4545" t="s">
        <v>22</v>
      </c>
      <c r="G4545" t="s">
        <v>18</v>
      </c>
      <c r="H4545" s="3">
        <v>5</v>
      </c>
      <c r="I4545" s="3">
        <v>8820</v>
      </c>
      <c r="J4545" s="3">
        <v>44100</v>
      </c>
      <c r="K4545" s="3">
        <v>7000</v>
      </c>
      <c r="L4545" s="3">
        <v>35000</v>
      </c>
      <c r="M4545" s="3">
        <v>9100</v>
      </c>
      <c r="N4545" s="4">
        <v>0.20634920634920634</v>
      </c>
    </row>
    <row r="4546" spans="1:14" x14ac:dyDescent="0.3">
      <c r="A4546" s="6">
        <v>45982</v>
      </c>
      <c r="B4546" s="1" t="s">
        <v>4730</v>
      </c>
      <c r="C4546" s="1" t="s">
        <v>27</v>
      </c>
      <c r="D4546" t="s">
        <v>32</v>
      </c>
      <c r="E4546" t="s">
        <v>233</v>
      </c>
      <c r="F4546" t="s">
        <v>21</v>
      </c>
      <c r="G4546" t="s">
        <v>20</v>
      </c>
      <c r="H4546" s="3">
        <v>8</v>
      </c>
      <c r="I4546" s="3">
        <v>810</v>
      </c>
      <c r="J4546" s="3">
        <v>6480</v>
      </c>
      <c r="K4546" s="3">
        <v>600</v>
      </c>
      <c r="L4546" s="3">
        <v>4800</v>
      </c>
      <c r="M4546" s="3">
        <v>1680</v>
      </c>
      <c r="N4546" s="4">
        <v>0.25925925925925924</v>
      </c>
    </row>
    <row r="4547" spans="1:14" x14ac:dyDescent="0.3">
      <c r="A4547" s="6">
        <v>45982</v>
      </c>
      <c r="B4547" s="1" t="s">
        <v>4731</v>
      </c>
      <c r="C4547" s="1" t="s">
        <v>27</v>
      </c>
      <c r="D4547" t="s">
        <v>31</v>
      </c>
      <c r="E4547" t="s">
        <v>292</v>
      </c>
      <c r="F4547" t="s">
        <v>17</v>
      </c>
      <c r="G4547" t="s">
        <v>18</v>
      </c>
      <c r="H4547" s="3">
        <v>6</v>
      </c>
      <c r="I4547" s="3">
        <v>11135</v>
      </c>
      <c r="J4547" s="3">
        <v>66810</v>
      </c>
      <c r="K4547" s="3">
        <v>8500</v>
      </c>
      <c r="L4547" s="3">
        <v>51000</v>
      </c>
      <c r="M4547" s="3">
        <v>15810</v>
      </c>
      <c r="N4547" s="4">
        <v>0.23664122137404581</v>
      </c>
    </row>
    <row r="4548" spans="1:14" x14ac:dyDescent="0.3">
      <c r="A4548" s="6">
        <v>45982</v>
      </c>
      <c r="B4548" s="1" t="s">
        <v>4732</v>
      </c>
      <c r="C4548" s="1" t="s">
        <v>27</v>
      </c>
      <c r="D4548" t="s">
        <v>32</v>
      </c>
      <c r="E4548" t="s">
        <v>175</v>
      </c>
      <c r="F4548" t="s">
        <v>21</v>
      </c>
      <c r="G4548" t="s">
        <v>20</v>
      </c>
      <c r="H4548" s="3">
        <v>9</v>
      </c>
      <c r="I4548" s="3">
        <v>744</v>
      </c>
      <c r="J4548" s="3">
        <v>6696</v>
      </c>
      <c r="K4548" s="3">
        <v>600</v>
      </c>
      <c r="L4548" s="3">
        <v>5400</v>
      </c>
      <c r="M4548" s="3">
        <v>1296</v>
      </c>
      <c r="N4548" s="4">
        <v>0.19354838709677419</v>
      </c>
    </row>
    <row r="4549" spans="1:14" x14ac:dyDescent="0.3">
      <c r="A4549" s="6">
        <v>45982</v>
      </c>
      <c r="B4549" s="1" t="s">
        <v>4733</v>
      </c>
      <c r="C4549" s="1" t="s">
        <v>28</v>
      </c>
      <c r="D4549" t="s">
        <v>33</v>
      </c>
      <c r="E4549" t="s">
        <v>222</v>
      </c>
      <c r="F4549" t="s">
        <v>22</v>
      </c>
      <c r="G4549" t="s">
        <v>18</v>
      </c>
      <c r="H4549" s="3">
        <v>3</v>
      </c>
      <c r="I4549" s="3">
        <v>9240</v>
      </c>
      <c r="J4549" s="3">
        <v>27720</v>
      </c>
      <c r="K4549" s="3">
        <v>7000</v>
      </c>
      <c r="L4549" s="3">
        <v>21000</v>
      </c>
      <c r="M4549" s="3">
        <v>6720</v>
      </c>
      <c r="N4549" s="4">
        <v>0.24242424242424243</v>
      </c>
    </row>
    <row r="4550" spans="1:14" x14ac:dyDescent="0.3">
      <c r="A4550" s="6">
        <v>45983</v>
      </c>
      <c r="B4550" s="1" t="s">
        <v>4734</v>
      </c>
      <c r="C4550" s="1" t="s">
        <v>27</v>
      </c>
      <c r="D4550" t="s">
        <v>33</v>
      </c>
      <c r="E4550" t="s">
        <v>407</v>
      </c>
      <c r="F4550" t="s">
        <v>17</v>
      </c>
      <c r="G4550" t="s">
        <v>18</v>
      </c>
      <c r="H4550" s="3">
        <v>4</v>
      </c>
      <c r="I4550" s="3">
        <v>10795</v>
      </c>
      <c r="J4550" s="3">
        <v>43180</v>
      </c>
      <c r="K4550" s="3">
        <v>8500</v>
      </c>
      <c r="L4550" s="3">
        <v>34000</v>
      </c>
      <c r="M4550" s="3">
        <v>9180</v>
      </c>
      <c r="N4550" s="4">
        <v>0.2125984251968504</v>
      </c>
    </row>
    <row r="4551" spans="1:14" x14ac:dyDescent="0.3">
      <c r="A4551" s="6">
        <v>45983</v>
      </c>
      <c r="B4551" s="1" t="s">
        <v>4735</v>
      </c>
      <c r="C4551" s="1" t="s">
        <v>26</v>
      </c>
      <c r="D4551" t="s">
        <v>32</v>
      </c>
      <c r="E4551" t="s">
        <v>249</v>
      </c>
      <c r="F4551" t="s">
        <v>14</v>
      </c>
      <c r="G4551" t="s">
        <v>15</v>
      </c>
      <c r="H4551" s="3">
        <v>5</v>
      </c>
      <c r="I4551" s="3">
        <v>63450</v>
      </c>
      <c r="J4551" s="3">
        <v>317250</v>
      </c>
      <c r="K4551" s="3">
        <v>45000</v>
      </c>
      <c r="L4551" s="3">
        <v>225000</v>
      </c>
      <c r="M4551" s="3">
        <v>92250</v>
      </c>
      <c r="N4551" s="4">
        <v>0.29078014184397161</v>
      </c>
    </row>
    <row r="4552" spans="1:14" x14ac:dyDescent="0.3">
      <c r="A4552" s="6">
        <v>45983</v>
      </c>
      <c r="B4552" s="1" t="s">
        <v>4736</v>
      </c>
      <c r="C4552" s="1" t="s">
        <v>26</v>
      </c>
      <c r="D4552" t="s">
        <v>31</v>
      </c>
      <c r="E4552" t="s">
        <v>106</v>
      </c>
      <c r="F4552" t="s">
        <v>16</v>
      </c>
      <c r="G4552" t="s">
        <v>15</v>
      </c>
      <c r="H4552" s="3">
        <v>8</v>
      </c>
      <c r="I4552" s="3">
        <v>52820.000000000007</v>
      </c>
      <c r="J4552" s="3">
        <v>422560.00000000006</v>
      </c>
      <c r="K4552" s="3">
        <v>38000</v>
      </c>
      <c r="L4552" s="3">
        <v>304000</v>
      </c>
      <c r="M4552" s="3">
        <v>118560.00000000006</v>
      </c>
      <c r="N4552" s="4">
        <v>0.28057553956834541</v>
      </c>
    </row>
    <row r="4553" spans="1:14" x14ac:dyDescent="0.3">
      <c r="A4553" s="6">
        <v>45983</v>
      </c>
      <c r="B4553" s="1" t="s">
        <v>4737</v>
      </c>
      <c r="C4553" s="1" t="s">
        <v>29</v>
      </c>
      <c r="D4553" t="s">
        <v>35</v>
      </c>
      <c r="E4553" t="s">
        <v>379</v>
      </c>
      <c r="F4553" t="s">
        <v>22</v>
      </c>
      <c r="G4553" t="s">
        <v>18</v>
      </c>
      <c r="H4553" s="3">
        <v>8</v>
      </c>
      <c r="I4553" s="3">
        <v>8750</v>
      </c>
      <c r="J4553" s="3">
        <v>70000</v>
      </c>
      <c r="K4553" s="3">
        <v>7000</v>
      </c>
      <c r="L4553" s="3">
        <v>56000</v>
      </c>
      <c r="M4553" s="3">
        <v>14000</v>
      </c>
      <c r="N4553" s="4">
        <v>0.2</v>
      </c>
    </row>
    <row r="4554" spans="1:14" x14ac:dyDescent="0.3">
      <c r="A4554" s="6">
        <v>45983</v>
      </c>
      <c r="B4554" s="1" t="s">
        <v>4738</v>
      </c>
      <c r="C4554" s="1" t="s">
        <v>27</v>
      </c>
      <c r="D4554" t="s">
        <v>30</v>
      </c>
      <c r="E4554" t="s">
        <v>538</v>
      </c>
      <c r="F4554" t="s">
        <v>14</v>
      </c>
      <c r="G4554" t="s">
        <v>15</v>
      </c>
      <c r="H4554" s="3">
        <v>2</v>
      </c>
      <c r="I4554" s="3">
        <v>62999.999999999993</v>
      </c>
      <c r="J4554" s="3">
        <v>125999.99999999999</v>
      </c>
      <c r="K4554" s="3">
        <v>45000</v>
      </c>
      <c r="L4554" s="3">
        <v>90000</v>
      </c>
      <c r="M4554" s="3">
        <v>35999.999999999985</v>
      </c>
      <c r="N4554" s="4">
        <v>0.28571428571428564</v>
      </c>
    </row>
    <row r="4555" spans="1:14" x14ac:dyDescent="0.3">
      <c r="A4555" s="6">
        <v>45983</v>
      </c>
      <c r="B4555" s="1" t="s">
        <v>4739</v>
      </c>
      <c r="C4555" s="1" t="s">
        <v>26</v>
      </c>
      <c r="D4555" t="s">
        <v>33</v>
      </c>
      <c r="E4555" t="s">
        <v>226</v>
      </c>
      <c r="F4555" t="s">
        <v>19</v>
      </c>
      <c r="G4555" t="s">
        <v>20</v>
      </c>
      <c r="H4555" s="3">
        <v>3</v>
      </c>
      <c r="I4555" s="3">
        <v>1179</v>
      </c>
      <c r="J4555" s="3">
        <v>3537</v>
      </c>
      <c r="K4555" s="3">
        <v>900</v>
      </c>
      <c r="L4555" s="3">
        <v>2700</v>
      </c>
      <c r="M4555" s="3">
        <v>837</v>
      </c>
      <c r="N4555" s="4">
        <v>0.23664122137404581</v>
      </c>
    </row>
    <row r="4556" spans="1:14" x14ac:dyDescent="0.3">
      <c r="A4556" s="6">
        <v>45983</v>
      </c>
      <c r="B4556" s="1" t="s">
        <v>4740</v>
      </c>
      <c r="C4556" s="1" t="s">
        <v>27</v>
      </c>
      <c r="D4556" t="s">
        <v>35</v>
      </c>
      <c r="E4556" t="s">
        <v>145</v>
      </c>
      <c r="F4556" t="s">
        <v>19</v>
      </c>
      <c r="G4556" t="s">
        <v>20</v>
      </c>
      <c r="H4556" s="3">
        <v>9</v>
      </c>
      <c r="I4556" s="3">
        <v>1134</v>
      </c>
      <c r="J4556" s="3">
        <v>10206</v>
      </c>
      <c r="K4556" s="3">
        <v>900</v>
      </c>
      <c r="L4556" s="3">
        <v>8100</v>
      </c>
      <c r="M4556" s="3">
        <v>2106</v>
      </c>
      <c r="N4556" s="4">
        <v>0.20634920634920634</v>
      </c>
    </row>
    <row r="4557" spans="1:14" x14ac:dyDescent="0.3">
      <c r="A4557" s="6">
        <v>45983</v>
      </c>
      <c r="B4557" s="1" t="s">
        <v>4741</v>
      </c>
      <c r="C4557" s="1" t="s">
        <v>29</v>
      </c>
      <c r="D4557" t="s">
        <v>30</v>
      </c>
      <c r="E4557" t="s">
        <v>400</v>
      </c>
      <c r="F4557" t="s">
        <v>16</v>
      </c>
      <c r="G4557" t="s">
        <v>15</v>
      </c>
      <c r="H4557" s="3">
        <v>1</v>
      </c>
      <c r="I4557" s="3">
        <v>50540</v>
      </c>
      <c r="J4557" s="3">
        <v>50540</v>
      </c>
      <c r="K4557" s="3">
        <v>38000</v>
      </c>
      <c r="L4557" s="3">
        <v>38000</v>
      </c>
      <c r="M4557" s="3">
        <v>12540</v>
      </c>
      <c r="N4557" s="4">
        <v>0.24812030075187969</v>
      </c>
    </row>
    <row r="4558" spans="1:14" x14ac:dyDescent="0.3">
      <c r="A4558" s="6">
        <v>45983</v>
      </c>
      <c r="B4558" s="1" t="s">
        <v>4742</v>
      </c>
      <c r="C4558" s="1" t="s">
        <v>28</v>
      </c>
      <c r="D4558" t="s">
        <v>31</v>
      </c>
      <c r="E4558" t="s">
        <v>331</v>
      </c>
      <c r="F4558" t="s">
        <v>23</v>
      </c>
      <c r="G4558" t="s">
        <v>25</v>
      </c>
      <c r="H4558" s="3">
        <v>6</v>
      </c>
      <c r="I4558" s="3">
        <v>3904</v>
      </c>
      <c r="J4558" s="3">
        <v>23424</v>
      </c>
      <c r="K4558" s="3">
        <v>3200</v>
      </c>
      <c r="L4558" s="3">
        <v>19200</v>
      </c>
      <c r="M4558" s="3">
        <v>4224</v>
      </c>
      <c r="N4558" s="4">
        <v>0.18032786885245902</v>
      </c>
    </row>
    <row r="4559" spans="1:14" x14ac:dyDescent="0.3">
      <c r="A4559" s="6">
        <v>45983</v>
      </c>
      <c r="B4559" s="1" t="s">
        <v>4743</v>
      </c>
      <c r="C4559" s="1" t="s">
        <v>26</v>
      </c>
      <c r="D4559" t="s">
        <v>31</v>
      </c>
      <c r="E4559" t="s">
        <v>126</v>
      </c>
      <c r="F4559" t="s">
        <v>16</v>
      </c>
      <c r="G4559" t="s">
        <v>15</v>
      </c>
      <c r="H4559" s="3">
        <v>6</v>
      </c>
      <c r="I4559" s="3">
        <v>47880</v>
      </c>
      <c r="J4559" s="3">
        <v>287280</v>
      </c>
      <c r="K4559" s="3">
        <v>38000</v>
      </c>
      <c r="L4559" s="3">
        <v>228000</v>
      </c>
      <c r="M4559" s="3">
        <v>59280</v>
      </c>
      <c r="N4559" s="4">
        <v>0.20634920634920634</v>
      </c>
    </row>
    <row r="4560" spans="1:14" x14ac:dyDescent="0.3">
      <c r="A4560" s="6">
        <v>45983</v>
      </c>
      <c r="B4560" s="1" t="s">
        <v>4744</v>
      </c>
      <c r="C4560" s="1" t="s">
        <v>27</v>
      </c>
      <c r="D4560" t="s">
        <v>31</v>
      </c>
      <c r="E4560" t="s">
        <v>231</v>
      </c>
      <c r="F4560" t="s">
        <v>14</v>
      </c>
      <c r="G4560" t="s">
        <v>15</v>
      </c>
      <c r="H4560" s="3">
        <v>2</v>
      </c>
      <c r="I4560" s="3">
        <v>55350</v>
      </c>
      <c r="J4560" s="3">
        <v>110700</v>
      </c>
      <c r="K4560" s="3">
        <v>45000</v>
      </c>
      <c r="L4560" s="3">
        <v>90000</v>
      </c>
      <c r="M4560" s="3">
        <v>20700</v>
      </c>
      <c r="N4560" s="4">
        <v>0.18699186991869918</v>
      </c>
    </row>
    <row r="4561" spans="1:14" x14ac:dyDescent="0.3">
      <c r="A4561" s="6">
        <v>45983</v>
      </c>
      <c r="B4561" s="1" t="s">
        <v>4745</v>
      </c>
      <c r="C4561" s="1" t="s">
        <v>27</v>
      </c>
      <c r="D4561" t="s">
        <v>34</v>
      </c>
      <c r="E4561" t="s">
        <v>108</v>
      </c>
      <c r="F4561" t="s">
        <v>21</v>
      </c>
      <c r="G4561" t="s">
        <v>20</v>
      </c>
      <c r="H4561" s="3">
        <v>7</v>
      </c>
      <c r="I4561" s="3">
        <v>738</v>
      </c>
      <c r="J4561" s="3">
        <v>5166</v>
      </c>
      <c r="K4561" s="3">
        <v>600</v>
      </c>
      <c r="L4561" s="3">
        <v>4200</v>
      </c>
      <c r="M4561" s="3">
        <v>966</v>
      </c>
      <c r="N4561" s="4">
        <v>0.18699186991869918</v>
      </c>
    </row>
    <row r="4562" spans="1:14" x14ac:dyDescent="0.3">
      <c r="A4562" s="6">
        <v>45983</v>
      </c>
      <c r="B4562" s="1" t="s">
        <v>4746</v>
      </c>
      <c r="C4562" s="1" t="s">
        <v>26</v>
      </c>
      <c r="D4562" t="s">
        <v>32</v>
      </c>
      <c r="E4562" t="s">
        <v>226</v>
      </c>
      <c r="F4562" t="s">
        <v>24</v>
      </c>
      <c r="G4562" t="s">
        <v>25</v>
      </c>
      <c r="H4562" s="3">
        <v>9</v>
      </c>
      <c r="I4562" s="3">
        <v>3500</v>
      </c>
      <c r="J4562" s="3">
        <v>31500</v>
      </c>
      <c r="K4562" s="3">
        <v>2500</v>
      </c>
      <c r="L4562" s="3">
        <v>22500</v>
      </c>
      <c r="M4562" s="3">
        <v>9000</v>
      </c>
      <c r="N4562" s="4">
        <v>0.2857142857142857</v>
      </c>
    </row>
    <row r="4563" spans="1:14" x14ac:dyDescent="0.3">
      <c r="A4563" s="6">
        <v>45983</v>
      </c>
      <c r="B4563" s="1" t="s">
        <v>4747</v>
      </c>
      <c r="C4563" s="1" t="s">
        <v>29</v>
      </c>
      <c r="D4563" t="s">
        <v>31</v>
      </c>
      <c r="E4563" t="s">
        <v>268</v>
      </c>
      <c r="F4563" t="s">
        <v>14</v>
      </c>
      <c r="G4563" t="s">
        <v>15</v>
      </c>
      <c r="H4563" s="3">
        <v>4</v>
      </c>
      <c r="I4563" s="3">
        <v>59850</v>
      </c>
      <c r="J4563" s="3">
        <v>239400</v>
      </c>
      <c r="K4563" s="3">
        <v>45000</v>
      </c>
      <c r="L4563" s="3">
        <v>180000</v>
      </c>
      <c r="M4563" s="3">
        <v>59400</v>
      </c>
      <c r="N4563" s="4">
        <v>0.24812030075187969</v>
      </c>
    </row>
    <row r="4564" spans="1:14" x14ac:dyDescent="0.3">
      <c r="A4564" s="6">
        <v>45984</v>
      </c>
      <c r="B4564" s="1" t="s">
        <v>4748</v>
      </c>
      <c r="C4564" s="1" t="s">
        <v>26</v>
      </c>
      <c r="D4564" t="s">
        <v>30</v>
      </c>
      <c r="E4564" t="s">
        <v>317</v>
      </c>
      <c r="F4564" t="s">
        <v>21</v>
      </c>
      <c r="G4564" t="s">
        <v>20</v>
      </c>
      <c r="H4564" s="3">
        <v>1</v>
      </c>
      <c r="I4564" s="3">
        <v>810</v>
      </c>
      <c r="J4564" s="3">
        <v>810</v>
      </c>
      <c r="K4564" s="3">
        <v>600</v>
      </c>
      <c r="L4564" s="3">
        <v>600</v>
      </c>
      <c r="M4564" s="3">
        <v>210</v>
      </c>
      <c r="N4564" s="4">
        <v>0.25925925925925924</v>
      </c>
    </row>
    <row r="4565" spans="1:14" x14ac:dyDescent="0.3">
      <c r="A4565" s="6">
        <v>45984</v>
      </c>
      <c r="B4565" s="1" t="s">
        <v>4749</v>
      </c>
      <c r="C4565" s="1" t="s">
        <v>26</v>
      </c>
      <c r="D4565" t="s">
        <v>33</v>
      </c>
      <c r="E4565" t="s">
        <v>131</v>
      </c>
      <c r="F4565" t="s">
        <v>19</v>
      </c>
      <c r="G4565" t="s">
        <v>20</v>
      </c>
      <c r="H4565" s="3">
        <v>1</v>
      </c>
      <c r="I4565" s="3">
        <v>1224</v>
      </c>
      <c r="J4565" s="3">
        <v>1224</v>
      </c>
      <c r="K4565" s="3">
        <v>900</v>
      </c>
      <c r="L4565" s="3">
        <v>900</v>
      </c>
      <c r="M4565" s="3">
        <v>324</v>
      </c>
      <c r="N4565" s="4">
        <v>0.26470588235294118</v>
      </c>
    </row>
    <row r="4566" spans="1:14" x14ac:dyDescent="0.3">
      <c r="A4566" s="6">
        <v>45984</v>
      </c>
      <c r="B4566" s="1" t="s">
        <v>4750</v>
      </c>
      <c r="C4566" s="1" t="s">
        <v>29</v>
      </c>
      <c r="D4566" t="s">
        <v>31</v>
      </c>
      <c r="E4566" t="s">
        <v>424</v>
      </c>
      <c r="F4566" t="s">
        <v>22</v>
      </c>
      <c r="G4566" t="s">
        <v>18</v>
      </c>
      <c r="H4566" s="3">
        <v>7</v>
      </c>
      <c r="I4566" s="3">
        <v>8400</v>
      </c>
      <c r="J4566" s="3">
        <v>58800</v>
      </c>
      <c r="K4566" s="3">
        <v>7000</v>
      </c>
      <c r="L4566" s="3">
        <v>49000</v>
      </c>
      <c r="M4566" s="3">
        <v>9800</v>
      </c>
      <c r="N4566" s="4">
        <v>0.16666666666666666</v>
      </c>
    </row>
    <row r="4567" spans="1:14" x14ac:dyDescent="0.3">
      <c r="A4567" s="6">
        <v>45984</v>
      </c>
      <c r="B4567" s="1" t="s">
        <v>4751</v>
      </c>
      <c r="C4567" s="1" t="s">
        <v>28</v>
      </c>
      <c r="D4567" t="s">
        <v>31</v>
      </c>
      <c r="E4567" t="s">
        <v>442</v>
      </c>
      <c r="F4567" t="s">
        <v>19</v>
      </c>
      <c r="G4567" t="s">
        <v>20</v>
      </c>
      <c r="H4567" s="3">
        <v>2</v>
      </c>
      <c r="I4567" s="3">
        <v>1260</v>
      </c>
      <c r="J4567" s="3">
        <v>2520</v>
      </c>
      <c r="K4567" s="3">
        <v>900</v>
      </c>
      <c r="L4567" s="3">
        <v>1800</v>
      </c>
      <c r="M4567" s="3">
        <v>720</v>
      </c>
      <c r="N4567" s="4">
        <v>0.2857142857142857</v>
      </c>
    </row>
    <row r="4568" spans="1:14" x14ac:dyDescent="0.3">
      <c r="A4568" s="6">
        <v>45984</v>
      </c>
      <c r="B4568" s="1" t="s">
        <v>4752</v>
      </c>
      <c r="C4568" s="1" t="s">
        <v>29</v>
      </c>
      <c r="D4568" t="s">
        <v>33</v>
      </c>
      <c r="E4568" t="s">
        <v>273</v>
      </c>
      <c r="F4568" t="s">
        <v>14</v>
      </c>
      <c r="G4568" t="s">
        <v>15</v>
      </c>
      <c r="H4568" s="3">
        <v>1</v>
      </c>
      <c r="I4568" s="3">
        <v>63450</v>
      </c>
      <c r="J4568" s="3">
        <v>63450</v>
      </c>
      <c r="K4568" s="3">
        <v>45000</v>
      </c>
      <c r="L4568" s="3">
        <v>45000</v>
      </c>
      <c r="M4568" s="3">
        <v>18450</v>
      </c>
      <c r="N4568" s="4">
        <v>0.29078014184397161</v>
      </c>
    </row>
    <row r="4569" spans="1:14" x14ac:dyDescent="0.3">
      <c r="A4569" s="6">
        <v>45984</v>
      </c>
      <c r="B4569" s="1" t="s">
        <v>4753</v>
      </c>
      <c r="C4569" s="1" t="s">
        <v>29</v>
      </c>
      <c r="D4569" t="s">
        <v>35</v>
      </c>
      <c r="E4569" t="s">
        <v>201</v>
      </c>
      <c r="F4569" t="s">
        <v>16</v>
      </c>
      <c r="G4569" t="s">
        <v>15</v>
      </c>
      <c r="H4569" s="3">
        <v>5</v>
      </c>
      <c r="I4569" s="3">
        <v>49400</v>
      </c>
      <c r="J4569" s="3">
        <v>247000</v>
      </c>
      <c r="K4569" s="3">
        <v>38000</v>
      </c>
      <c r="L4569" s="3">
        <v>190000</v>
      </c>
      <c r="M4569" s="3">
        <v>57000</v>
      </c>
      <c r="N4569" s="4">
        <v>0.23076923076923078</v>
      </c>
    </row>
    <row r="4570" spans="1:14" x14ac:dyDescent="0.3">
      <c r="A4570" s="6">
        <v>45984</v>
      </c>
      <c r="B4570" s="1" t="s">
        <v>4754</v>
      </c>
      <c r="C4570" s="1" t="s">
        <v>26</v>
      </c>
      <c r="D4570" t="s">
        <v>30</v>
      </c>
      <c r="E4570" t="s">
        <v>331</v>
      </c>
      <c r="F4570" t="s">
        <v>23</v>
      </c>
      <c r="G4570" t="s">
        <v>25</v>
      </c>
      <c r="H4570" s="3">
        <v>10</v>
      </c>
      <c r="I4570" s="3">
        <v>3840</v>
      </c>
      <c r="J4570" s="3">
        <v>38400</v>
      </c>
      <c r="K4570" s="3">
        <v>3200</v>
      </c>
      <c r="L4570" s="3">
        <v>32000</v>
      </c>
      <c r="M4570" s="3">
        <v>6400</v>
      </c>
      <c r="N4570" s="4">
        <v>0.16666666666666666</v>
      </c>
    </row>
    <row r="4571" spans="1:14" x14ac:dyDescent="0.3">
      <c r="A4571" s="6">
        <v>45984</v>
      </c>
      <c r="B4571" s="1" t="s">
        <v>4755</v>
      </c>
      <c r="C4571" s="1" t="s">
        <v>29</v>
      </c>
      <c r="D4571" t="s">
        <v>34</v>
      </c>
      <c r="E4571" t="s">
        <v>153</v>
      </c>
      <c r="F4571" t="s">
        <v>22</v>
      </c>
      <c r="G4571" t="s">
        <v>18</v>
      </c>
      <c r="H4571" s="3">
        <v>2</v>
      </c>
      <c r="I4571" s="3">
        <v>10080</v>
      </c>
      <c r="J4571" s="3">
        <v>20160</v>
      </c>
      <c r="K4571" s="3">
        <v>7000</v>
      </c>
      <c r="L4571" s="3">
        <v>14000</v>
      </c>
      <c r="M4571" s="3">
        <v>6160</v>
      </c>
      <c r="N4571" s="4">
        <v>0.30555555555555558</v>
      </c>
    </row>
    <row r="4572" spans="1:14" x14ac:dyDescent="0.3">
      <c r="A4572" s="6">
        <v>45984</v>
      </c>
      <c r="B4572" s="1" t="s">
        <v>4756</v>
      </c>
      <c r="C4572" s="1" t="s">
        <v>29</v>
      </c>
      <c r="D4572" t="s">
        <v>31</v>
      </c>
      <c r="E4572" t="s">
        <v>411</v>
      </c>
      <c r="F4572" t="s">
        <v>21</v>
      </c>
      <c r="G4572" t="s">
        <v>20</v>
      </c>
      <c r="H4572" s="3">
        <v>8</v>
      </c>
      <c r="I4572" s="3">
        <v>738</v>
      </c>
      <c r="J4572" s="3">
        <v>5904</v>
      </c>
      <c r="K4572" s="3">
        <v>600</v>
      </c>
      <c r="L4572" s="3">
        <v>4800</v>
      </c>
      <c r="M4572" s="3">
        <v>1104</v>
      </c>
      <c r="N4572" s="4">
        <v>0.18699186991869918</v>
      </c>
    </row>
    <row r="4573" spans="1:14" x14ac:dyDescent="0.3">
      <c r="A4573" s="6">
        <v>45984</v>
      </c>
      <c r="B4573" s="1" t="s">
        <v>4757</v>
      </c>
      <c r="C4573" s="1" t="s">
        <v>28</v>
      </c>
      <c r="D4573" t="s">
        <v>33</v>
      </c>
      <c r="E4573" t="s">
        <v>698</v>
      </c>
      <c r="F4573" t="s">
        <v>23</v>
      </c>
      <c r="G4573" t="s">
        <v>25</v>
      </c>
      <c r="H4573" s="3">
        <v>6</v>
      </c>
      <c r="I4573" s="3">
        <v>4384</v>
      </c>
      <c r="J4573" s="3">
        <v>26304</v>
      </c>
      <c r="K4573" s="3">
        <v>3200</v>
      </c>
      <c r="L4573" s="3">
        <v>19200</v>
      </c>
      <c r="M4573" s="3">
        <v>7104</v>
      </c>
      <c r="N4573" s="4">
        <v>0.27007299270072993</v>
      </c>
    </row>
    <row r="4574" spans="1:14" x14ac:dyDescent="0.3">
      <c r="A4574" s="6">
        <v>45984</v>
      </c>
      <c r="B4574" s="1" t="s">
        <v>4758</v>
      </c>
      <c r="C4574" s="1" t="s">
        <v>26</v>
      </c>
      <c r="D4574" t="s">
        <v>30</v>
      </c>
      <c r="E4574" t="s">
        <v>57</v>
      </c>
      <c r="F4574" t="s">
        <v>22</v>
      </c>
      <c r="G4574" t="s">
        <v>18</v>
      </c>
      <c r="H4574" s="3">
        <v>7</v>
      </c>
      <c r="I4574" s="3">
        <v>8960</v>
      </c>
      <c r="J4574" s="3">
        <v>62720</v>
      </c>
      <c r="K4574" s="3">
        <v>7000</v>
      </c>
      <c r="L4574" s="3">
        <v>49000</v>
      </c>
      <c r="M4574" s="3">
        <v>13720</v>
      </c>
      <c r="N4574" s="4">
        <v>0.21875</v>
      </c>
    </row>
    <row r="4575" spans="1:14" x14ac:dyDescent="0.3">
      <c r="A4575" s="6">
        <v>45984</v>
      </c>
      <c r="B4575" s="1" t="s">
        <v>4759</v>
      </c>
      <c r="C4575" s="1" t="s">
        <v>29</v>
      </c>
      <c r="D4575" t="s">
        <v>32</v>
      </c>
      <c r="E4575" t="s">
        <v>74</v>
      </c>
      <c r="F4575" t="s">
        <v>21</v>
      </c>
      <c r="G4575" t="s">
        <v>20</v>
      </c>
      <c r="H4575" s="3">
        <v>9</v>
      </c>
      <c r="I4575" s="3">
        <v>762</v>
      </c>
      <c r="J4575" s="3">
        <v>6858</v>
      </c>
      <c r="K4575" s="3">
        <v>600</v>
      </c>
      <c r="L4575" s="3">
        <v>5400</v>
      </c>
      <c r="M4575" s="3">
        <v>1458</v>
      </c>
      <c r="N4575" s="4">
        <v>0.2125984251968504</v>
      </c>
    </row>
    <row r="4576" spans="1:14" x14ac:dyDescent="0.3">
      <c r="A4576" s="6">
        <v>45984</v>
      </c>
      <c r="B4576" s="1" t="s">
        <v>4760</v>
      </c>
      <c r="C4576" s="1" t="s">
        <v>27</v>
      </c>
      <c r="D4576" t="s">
        <v>31</v>
      </c>
      <c r="E4576" t="s">
        <v>116</v>
      </c>
      <c r="F4576" t="s">
        <v>17</v>
      </c>
      <c r="G4576" t="s">
        <v>18</v>
      </c>
      <c r="H4576" s="3">
        <v>8</v>
      </c>
      <c r="I4576" s="3">
        <v>10710</v>
      </c>
      <c r="J4576" s="3">
        <v>85680</v>
      </c>
      <c r="K4576" s="3">
        <v>8500</v>
      </c>
      <c r="L4576" s="3">
        <v>68000</v>
      </c>
      <c r="M4576" s="3">
        <v>17680</v>
      </c>
      <c r="N4576" s="4">
        <v>0.20634920634920634</v>
      </c>
    </row>
    <row r="4577" spans="1:14" x14ac:dyDescent="0.3">
      <c r="A4577" s="6">
        <v>45984</v>
      </c>
      <c r="B4577" s="1" t="s">
        <v>4761</v>
      </c>
      <c r="C4577" s="1" t="s">
        <v>27</v>
      </c>
      <c r="D4577" t="s">
        <v>30</v>
      </c>
      <c r="E4577" t="s">
        <v>349</v>
      </c>
      <c r="F4577" t="s">
        <v>14</v>
      </c>
      <c r="G4577" t="s">
        <v>15</v>
      </c>
      <c r="H4577" s="3">
        <v>4</v>
      </c>
      <c r="I4577" s="3">
        <v>56700</v>
      </c>
      <c r="J4577" s="3">
        <v>226800</v>
      </c>
      <c r="K4577" s="3">
        <v>45000</v>
      </c>
      <c r="L4577" s="3">
        <v>180000</v>
      </c>
      <c r="M4577" s="3">
        <v>46800</v>
      </c>
      <c r="N4577" s="4">
        <v>0.20634920634920634</v>
      </c>
    </row>
    <row r="4578" spans="1:14" x14ac:dyDescent="0.3">
      <c r="A4578" s="6">
        <v>45985</v>
      </c>
      <c r="B4578" s="1" t="s">
        <v>4762</v>
      </c>
      <c r="C4578" s="1" t="s">
        <v>29</v>
      </c>
      <c r="D4578" t="s">
        <v>35</v>
      </c>
      <c r="E4578" t="s">
        <v>98</v>
      </c>
      <c r="F4578" t="s">
        <v>22</v>
      </c>
      <c r="G4578" t="s">
        <v>18</v>
      </c>
      <c r="H4578" s="3">
        <v>4</v>
      </c>
      <c r="I4578" s="3">
        <v>9660</v>
      </c>
      <c r="J4578" s="3">
        <v>38640</v>
      </c>
      <c r="K4578" s="3">
        <v>7000</v>
      </c>
      <c r="L4578" s="3">
        <v>28000</v>
      </c>
      <c r="M4578" s="3">
        <v>10640</v>
      </c>
      <c r="N4578" s="4">
        <v>0.27536231884057971</v>
      </c>
    </row>
    <row r="4579" spans="1:14" x14ac:dyDescent="0.3">
      <c r="A4579" s="6">
        <v>45985</v>
      </c>
      <c r="B4579" s="1" t="s">
        <v>4763</v>
      </c>
      <c r="C4579" s="1" t="s">
        <v>26</v>
      </c>
      <c r="D4579" t="s">
        <v>34</v>
      </c>
      <c r="E4579" t="s">
        <v>576</v>
      </c>
      <c r="F4579" t="s">
        <v>14</v>
      </c>
      <c r="G4579" t="s">
        <v>15</v>
      </c>
      <c r="H4579" s="3">
        <v>7</v>
      </c>
      <c r="I4579" s="3">
        <v>60300</v>
      </c>
      <c r="J4579" s="3">
        <v>422100</v>
      </c>
      <c r="K4579" s="3">
        <v>45000</v>
      </c>
      <c r="L4579" s="3">
        <v>315000</v>
      </c>
      <c r="M4579" s="3">
        <v>107100</v>
      </c>
      <c r="N4579" s="4">
        <v>0.2537313432835821</v>
      </c>
    </row>
    <row r="4580" spans="1:14" x14ac:dyDescent="0.3">
      <c r="A4580" s="6">
        <v>45985</v>
      </c>
      <c r="B4580" s="1" t="s">
        <v>4764</v>
      </c>
      <c r="C4580" s="1" t="s">
        <v>27</v>
      </c>
      <c r="D4580" t="s">
        <v>31</v>
      </c>
      <c r="E4580" t="s">
        <v>131</v>
      </c>
      <c r="F4580" t="s">
        <v>21</v>
      </c>
      <c r="G4580" t="s">
        <v>20</v>
      </c>
      <c r="H4580" s="3">
        <v>9</v>
      </c>
      <c r="I4580" s="3">
        <v>846</v>
      </c>
      <c r="J4580" s="3">
        <v>7614</v>
      </c>
      <c r="K4580" s="3">
        <v>600</v>
      </c>
      <c r="L4580" s="3">
        <v>5400</v>
      </c>
      <c r="M4580" s="3">
        <v>2214</v>
      </c>
      <c r="N4580" s="4">
        <v>0.29078014184397161</v>
      </c>
    </row>
    <row r="4581" spans="1:14" x14ac:dyDescent="0.3">
      <c r="A4581" s="6">
        <v>45985</v>
      </c>
      <c r="B4581" s="1" t="s">
        <v>4765</v>
      </c>
      <c r="C4581" s="1" t="s">
        <v>29</v>
      </c>
      <c r="D4581" t="s">
        <v>34</v>
      </c>
      <c r="E4581" t="s">
        <v>249</v>
      </c>
      <c r="F4581" t="s">
        <v>19</v>
      </c>
      <c r="G4581" t="s">
        <v>20</v>
      </c>
      <c r="H4581" s="3">
        <v>8</v>
      </c>
      <c r="I4581" s="3">
        <v>1197</v>
      </c>
      <c r="J4581" s="3">
        <v>9576</v>
      </c>
      <c r="K4581" s="3">
        <v>900</v>
      </c>
      <c r="L4581" s="3">
        <v>7200</v>
      </c>
      <c r="M4581" s="3">
        <v>2376</v>
      </c>
      <c r="N4581" s="4">
        <v>0.24812030075187969</v>
      </c>
    </row>
    <row r="4582" spans="1:14" x14ac:dyDescent="0.3">
      <c r="A4582" s="6">
        <v>45985</v>
      </c>
      <c r="B4582" s="1" t="s">
        <v>4766</v>
      </c>
      <c r="C4582" s="1" t="s">
        <v>26</v>
      </c>
      <c r="D4582" t="s">
        <v>33</v>
      </c>
      <c r="E4582" t="s">
        <v>342</v>
      </c>
      <c r="F4582" t="s">
        <v>16</v>
      </c>
      <c r="G4582" t="s">
        <v>15</v>
      </c>
      <c r="H4582" s="3">
        <v>3</v>
      </c>
      <c r="I4582" s="3">
        <v>50540</v>
      </c>
      <c r="J4582" s="3">
        <v>151620</v>
      </c>
      <c r="K4582" s="3">
        <v>38000</v>
      </c>
      <c r="L4582" s="3">
        <v>114000</v>
      </c>
      <c r="M4582" s="3">
        <v>37620</v>
      </c>
      <c r="N4582" s="4">
        <v>0.24812030075187969</v>
      </c>
    </row>
    <row r="4583" spans="1:14" x14ac:dyDescent="0.3">
      <c r="A4583" s="6">
        <v>45985</v>
      </c>
      <c r="B4583" s="1" t="s">
        <v>4767</v>
      </c>
      <c r="C4583" s="1" t="s">
        <v>29</v>
      </c>
      <c r="D4583" t="s">
        <v>35</v>
      </c>
      <c r="E4583" t="s">
        <v>355</v>
      </c>
      <c r="F4583" t="s">
        <v>19</v>
      </c>
      <c r="G4583" t="s">
        <v>20</v>
      </c>
      <c r="H4583" s="3">
        <v>8</v>
      </c>
      <c r="I4583" s="3">
        <v>1080</v>
      </c>
      <c r="J4583" s="3">
        <v>8640</v>
      </c>
      <c r="K4583" s="3">
        <v>900</v>
      </c>
      <c r="L4583" s="3">
        <v>7200</v>
      </c>
      <c r="M4583" s="3">
        <v>1440</v>
      </c>
      <c r="N4583" s="4">
        <v>0.16666666666666666</v>
      </c>
    </row>
    <row r="4584" spans="1:14" x14ac:dyDescent="0.3">
      <c r="A4584" s="6">
        <v>45985</v>
      </c>
      <c r="B4584" s="1" t="s">
        <v>4768</v>
      </c>
      <c r="C4584" s="1" t="s">
        <v>29</v>
      </c>
      <c r="D4584" t="s">
        <v>31</v>
      </c>
      <c r="E4584" t="s">
        <v>51</v>
      </c>
      <c r="F4584" t="s">
        <v>24</v>
      </c>
      <c r="G4584" t="s">
        <v>25</v>
      </c>
      <c r="H4584" s="3">
        <v>8</v>
      </c>
      <c r="I4584" s="3">
        <v>3425.0000000000005</v>
      </c>
      <c r="J4584" s="3">
        <v>27400.000000000004</v>
      </c>
      <c r="K4584" s="3">
        <v>2500</v>
      </c>
      <c r="L4584" s="3">
        <v>20000</v>
      </c>
      <c r="M4584" s="3">
        <v>7400.0000000000036</v>
      </c>
      <c r="N4584" s="4">
        <v>0.27007299270073004</v>
      </c>
    </row>
    <row r="4585" spans="1:14" x14ac:dyDescent="0.3">
      <c r="A4585" s="6">
        <v>45985</v>
      </c>
      <c r="B4585" s="1" t="s">
        <v>4769</v>
      </c>
      <c r="C4585" s="1" t="s">
        <v>27</v>
      </c>
      <c r="D4585" t="s">
        <v>34</v>
      </c>
      <c r="E4585" t="s">
        <v>214</v>
      </c>
      <c r="F4585" t="s">
        <v>17</v>
      </c>
      <c r="G4585" t="s">
        <v>18</v>
      </c>
      <c r="H4585" s="3">
        <v>2</v>
      </c>
      <c r="I4585" s="3">
        <v>11730</v>
      </c>
      <c r="J4585" s="3">
        <v>23460</v>
      </c>
      <c r="K4585" s="3">
        <v>8500</v>
      </c>
      <c r="L4585" s="3">
        <v>17000</v>
      </c>
      <c r="M4585" s="3">
        <v>6460</v>
      </c>
      <c r="N4585" s="4">
        <v>0.27536231884057971</v>
      </c>
    </row>
    <row r="4586" spans="1:14" x14ac:dyDescent="0.3">
      <c r="A4586" s="6">
        <v>45985</v>
      </c>
      <c r="B4586" s="1" t="s">
        <v>4770</v>
      </c>
      <c r="C4586" s="1" t="s">
        <v>27</v>
      </c>
      <c r="D4586" t="s">
        <v>31</v>
      </c>
      <c r="E4586" t="s">
        <v>51</v>
      </c>
      <c r="F4586" t="s">
        <v>21</v>
      </c>
      <c r="G4586" t="s">
        <v>20</v>
      </c>
      <c r="H4586" s="3">
        <v>8</v>
      </c>
      <c r="I4586" s="3">
        <v>827.99999999999989</v>
      </c>
      <c r="J4586" s="3">
        <v>6623.9999999999991</v>
      </c>
      <c r="K4586" s="3">
        <v>600</v>
      </c>
      <c r="L4586" s="3">
        <v>4800</v>
      </c>
      <c r="M4586" s="3">
        <v>1823.9999999999991</v>
      </c>
      <c r="N4586" s="4">
        <v>0.2753623188405796</v>
      </c>
    </row>
    <row r="4587" spans="1:14" x14ac:dyDescent="0.3">
      <c r="A4587" s="6">
        <v>45985</v>
      </c>
      <c r="B4587" s="1" t="s">
        <v>4771</v>
      </c>
      <c r="C4587" s="1" t="s">
        <v>28</v>
      </c>
      <c r="D4587" t="s">
        <v>30</v>
      </c>
      <c r="E4587" t="s">
        <v>131</v>
      </c>
      <c r="F4587" t="s">
        <v>22</v>
      </c>
      <c r="G4587" t="s">
        <v>18</v>
      </c>
      <c r="H4587" s="3">
        <v>3</v>
      </c>
      <c r="I4587" s="3">
        <v>9520</v>
      </c>
      <c r="J4587" s="3">
        <v>28560</v>
      </c>
      <c r="K4587" s="3">
        <v>7000</v>
      </c>
      <c r="L4587" s="3">
        <v>21000</v>
      </c>
      <c r="M4587" s="3">
        <v>7560</v>
      </c>
      <c r="N4587" s="4">
        <v>0.26470588235294118</v>
      </c>
    </row>
    <row r="4588" spans="1:14" x14ac:dyDescent="0.3">
      <c r="A4588" s="6">
        <v>45985</v>
      </c>
      <c r="B4588" s="1" t="s">
        <v>4772</v>
      </c>
      <c r="C4588" s="1" t="s">
        <v>29</v>
      </c>
      <c r="D4588" t="s">
        <v>35</v>
      </c>
      <c r="E4588" t="s">
        <v>453</v>
      </c>
      <c r="F4588" t="s">
        <v>14</v>
      </c>
      <c r="G4588" t="s">
        <v>15</v>
      </c>
      <c r="H4588" s="3">
        <v>9</v>
      </c>
      <c r="I4588" s="3">
        <v>57150</v>
      </c>
      <c r="J4588" s="3">
        <v>514350</v>
      </c>
      <c r="K4588" s="3">
        <v>45000</v>
      </c>
      <c r="L4588" s="3">
        <v>405000</v>
      </c>
      <c r="M4588" s="3">
        <v>109350</v>
      </c>
      <c r="N4588" s="4">
        <v>0.2125984251968504</v>
      </c>
    </row>
    <row r="4589" spans="1:14" x14ac:dyDescent="0.3">
      <c r="A4589" s="6">
        <v>45985</v>
      </c>
      <c r="B4589" s="1" t="s">
        <v>4773</v>
      </c>
      <c r="C4589" s="1" t="s">
        <v>28</v>
      </c>
      <c r="D4589" t="s">
        <v>30</v>
      </c>
      <c r="E4589" t="s">
        <v>69</v>
      </c>
      <c r="F4589" t="s">
        <v>23</v>
      </c>
      <c r="G4589" t="s">
        <v>25</v>
      </c>
      <c r="H4589" s="3">
        <v>8</v>
      </c>
      <c r="I4589" s="3">
        <v>4576</v>
      </c>
      <c r="J4589" s="3">
        <v>36608</v>
      </c>
      <c r="K4589" s="3">
        <v>3200</v>
      </c>
      <c r="L4589" s="3">
        <v>25600</v>
      </c>
      <c r="M4589" s="3">
        <v>11008</v>
      </c>
      <c r="N4589" s="4">
        <v>0.30069930069930068</v>
      </c>
    </row>
    <row r="4590" spans="1:14" x14ac:dyDescent="0.3">
      <c r="A4590" s="6">
        <v>45985</v>
      </c>
      <c r="B4590" s="1" t="s">
        <v>4774</v>
      </c>
      <c r="C4590" s="1" t="s">
        <v>26</v>
      </c>
      <c r="D4590" t="s">
        <v>32</v>
      </c>
      <c r="E4590" t="s">
        <v>506</v>
      </c>
      <c r="F4590" t="s">
        <v>21</v>
      </c>
      <c r="G4590" t="s">
        <v>20</v>
      </c>
      <c r="H4590" s="3">
        <v>5</v>
      </c>
      <c r="I4590" s="3">
        <v>768</v>
      </c>
      <c r="J4590" s="3">
        <v>3840</v>
      </c>
      <c r="K4590" s="3">
        <v>600</v>
      </c>
      <c r="L4590" s="3">
        <v>3000</v>
      </c>
      <c r="M4590" s="3">
        <v>840</v>
      </c>
      <c r="N4590" s="4">
        <v>0.21875</v>
      </c>
    </row>
    <row r="4591" spans="1:14" x14ac:dyDescent="0.3">
      <c r="A4591" s="6">
        <v>45985</v>
      </c>
      <c r="B4591" s="1" t="s">
        <v>4775</v>
      </c>
      <c r="C4591" s="1" t="s">
        <v>26</v>
      </c>
      <c r="D4591" t="s">
        <v>30</v>
      </c>
      <c r="E4591" t="s">
        <v>359</v>
      </c>
      <c r="F4591" t="s">
        <v>22</v>
      </c>
      <c r="G4591" t="s">
        <v>18</v>
      </c>
      <c r="H4591" s="3">
        <v>2</v>
      </c>
      <c r="I4591" s="3">
        <v>8960</v>
      </c>
      <c r="J4591" s="3">
        <v>17920</v>
      </c>
      <c r="K4591" s="3">
        <v>7000</v>
      </c>
      <c r="L4591" s="3">
        <v>14000</v>
      </c>
      <c r="M4591" s="3">
        <v>3920</v>
      </c>
      <c r="N4591" s="4">
        <v>0.21875</v>
      </c>
    </row>
    <row r="4592" spans="1:14" x14ac:dyDescent="0.3">
      <c r="A4592" s="6">
        <v>45986</v>
      </c>
      <c r="B4592" s="1" t="s">
        <v>4776</v>
      </c>
      <c r="C4592" s="1" t="s">
        <v>27</v>
      </c>
      <c r="D4592" t="s">
        <v>34</v>
      </c>
      <c r="E4592" t="s">
        <v>239</v>
      </c>
      <c r="F4592" t="s">
        <v>17</v>
      </c>
      <c r="G4592" t="s">
        <v>18</v>
      </c>
      <c r="H4592" s="3">
        <v>5</v>
      </c>
      <c r="I4592" s="3">
        <v>11645</v>
      </c>
      <c r="J4592" s="3">
        <v>58225</v>
      </c>
      <c r="K4592" s="3">
        <v>8500</v>
      </c>
      <c r="L4592" s="3">
        <v>42500</v>
      </c>
      <c r="M4592" s="3">
        <v>15725</v>
      </c>
      <c r="N4592" s="4">
        <v>0.27007299270072993</v>
      </c>
    </row>
    <row r="4593" spans="1:14" x14ac:dyDescent="0.3">
      <c r="A4593" s="6">
        <v>45986</v>
      </c>
      <c r="B4593" s="1" t="s">
        <v>4777</v>
      </c>
      <c r="C4593" s="1" t="s">
        <v>29</v>
      </c>
      <c r="D4593" t="s">
        <v>31</v>
      </c>
      <c r="E4593" t="s">
        <v>331</v>
      </c>
      <c r="F4593" t="s">
        <v>16</v>
      </c>
      <c r="G4593" t="s">
        <v>15</v>
      </c>
      <c r="H4593" s="3">
        <v>1</v>
      </c>
      <c r="I4593" s="3">
        <v>49020</v>
      </c>
      <c r="J4593" s="3">
        <v>49020</v>
      </c>
      <c r="K4593" s="3">
        <v>38000</v>
      </c>
      <c r="L4593" s="3">
        <v>38000</v>
      </c>
      <c r="M4593" s="3">
        <v>11020</v>
      </c>
      <c r="N4593" s="4">
        <v>0.22480620155038761</v>
      </c>
    </row>
    <row r="4594" spans="1:14" x14ac:dyDescent="0.3">
      <c r="A4594" s="6">
        <v>45986</v>
      </c>
      <c r="B4594" s="1" t="s">
        <v>4778</v>
      </c>
      <c r="C4594" s="1" t="s">
        <v>28</v>
      </c>
      <c r="D4594" t="s">
        <v>34</v>
      </c>
      <c r="E4594" t="s">
        <v>166</v>
      </c>
      <c r="F4594" t="s">
        <v>17</v>
      </c>
      <c r="G4594" t="s">
        <v>18</v>
      </c>
      <c r="H4594" s="3">
        <v>8</v>
      </c>
      <c r="I4594" s="3">
        <v>12240</v>
      </c>
      <c r="J4594" s="3">
        <v>97920</v>
      </c>
      <c r="K4594" s="3">
        <v>8500</v>
      </c>
      <c r="L4594" s="3">
        <v>68000</v>
      </c>
      <c r="M4594" s="3">
        <v>29920</v>
      </c>
      <c r="N4594" s="4">
        <v>0.30555555555555558</v>
      </c>
    </row>
    <row r="4595" spans="1:14" x14ac:dyDescent="0.3">
      <c r="A4595" s="6">
        <v>45986</v>
      </c>
      <c r="B4595" s="1" t="s">
        <v>4779</v>
      </c>
      <c r="C4595" s="1" t="s">
        <v>29</v>
      </c>
      <c r="D4595" t="s">
        <v>33</v>
      </c>
      <c r="E4595" t="s">
        <v>321</v>
      </c>
      <c r="F4595" t="s">
        <v>19</v>
      </c>
      <c r="G4595" t="s">
        <v>20</v>
      </c>
      <c r="H4595" s="3">
        <v>4</v>
      </c>
      <c r="I4595" s="3">
        <v>1296</v>
      </c>
      <c r="J4595" s="3">
        <v>5184</v>
      </c>
      <c r="K4595" s="3">
        <v>900</v>
      </c>
      <c r="L4595" s="3">
        <v>3600</v>
      </c>
      <c r="M4595" s="3">
        <v>1584</v>
      </c>
      <c r="N4595" s="4">
        <v>0.30555555555555558</v>
      </c>
    </row>
    <row r="4596" spans="1:14" x14ac:dyDescent="0.3">
      <c r="A4596" s="6">
        <v>45986</v>
      </c>
      <c r="B4596" s="1" t="s">
        <v>4780</v>
      </c>
      <c r="C4596" s="1" t="s">
        <v>26</v>
      </c>
      <c r="D4596" t="s">
        <v>35</v>
      </c>
      <c r="E4596" t="s">
        <v>214</v>
      </c>
      <c r="F4596" t="s">
        <v>21</v>
      </c>
      <c r="G4596" t="s">
        <v>20</v>
      </c>
      <c r="H4596" s="3">
        <v>3</v>
      </c>
      <c r="I4596" s="3">
        <v>726</v>
      </c>
      <c r="J4596" s="3">
        <v>2178</v>
      </c>
      <c r="K4596" s="3">
        <v>600</v>
      </c>
      <c r="L4596" s="3">
        <v>1800</v>
      </c>
      <c r="M4596" s="3">
        <v>378</v>
      </c>
      <c r="N4596" s="4">
        <v>0.17355371900826447</v>
      </c>
    </row>
    <row r="4597" spans="1:14" x14ac:dyDescent="0.3">
      <c r="A4597" s="6">
        <v>45986</v>
      </c>
      <c r="B4597" s="1" t="s">
        <v>4781</v>
      </c>
      <c r="C4597" s="1" t="s">
        <v>28</v>
      </c>
      <c r="D4597" t="s">
        <v>30</v>
      </c>
      <c r="E4597" t="s">
        <v>110</v>
      </c>
      <c r="F4597" t="s">
        <v>16</v>
      </c>
      <c r="G4597" t="s">
        <v>15</v>
      </c>
      <c r="H4597" s="3">
        <v>1</v>
      </c>
      <c r="I4597" s="3">
        <v>46360</v>
      </c>
      <c r="J4597" s="3">
        <v>46360</v>
      </c>
      <c r="K4597" s="3">
        <v>38000</v>
      </c>
      <c r="L4597" s="3">
        <v>38000</v>
      </c>
      <c r="M4597" s="3">
        <v>8360</v>
      </c>
      <c r="N4597" s="4">
        <v>0.18032786885245902</v>
      </c>
    </row>
    <row r="4598" spans="1:14" x14ac:dyDescent="0.3">
      <c r="A4598" s="6">
        <v>45986</v>
      </c>
      <c r="B4598" s="1" t="s">
        <v>4782</v>
      </c>
      <c r="C4598" s="1" t="s">
        <v>26</v>
      </c>
      <c r="D4598" t="s">
        <v>30</v>
      </c>
      <c r="E4598" t="s">
        <v>935</v>
      </c>
      <c r="F4598" t="s">
        <v>14</v>
      </c>
      <c r="G4598" t="s">
        <v>15</v>
      </c>
      <c r="H4598" s="3">
        <v>9</v>
      </c>
      <c r="I4598" s="3">
        <v>63900</v>
      </c>
      <c r="J4598" s="3">
        <v>575100</v>
      </c>
      <c r="K4598" s="3">
        <v>45000</v>
      </c>
      <c r="L4598" s="3">
        <v>405000</v>
      </c>
      <c r="M4598" s="3">
        <v>170100</v>
      </c>
      <c r="N4598" s="4">
        <v>0.29577464788732394</v>
      </c>
    </row>
    <row r="4599" spans="1:14" x14ac:dyDescent="0.3">
      <c r="A4599" s="6">
        <v>45986</v>
      </c>
      <c r="B4599" s="1" t="s">
        <v>4783</v>
      </c>
      <c r="C4599" s="1" t="s">
        <v>28</v>
      </c>
      <c r="D4599" t="s">
        <v>32</v>
      </c>
      <c r="E4599" t="s">
        <v>233</v>
      </c>
      <c r="F4599" t="s">
        <v>19</v>
      </c>
      <c r="G4599" t="s">
        <v>20</v>
      </c>
      <c r="H4599" s="3">
        <v>3</v>
      </c>
      <c r="I4599" s="3">
        <v>1305</v>
      </c>
      <c r="J4599" s="3">
        <v>3915</v>
      </c>
      <c r="K4599" s="3">
        <v>900</v>
      </c>
      <c r="L4599" s="3">
        <v>2700</v>
      </c>
      <c r="M4599" s="3">
        <v>1215</v>
      </c>
      <c r="N4599" s="4">
        <v>0.31034482758620691</v>
      </c>
    </row>
    <row r="4600" spans="1:14" x14ac:dyDescent="0.3">
      <c r="A4600" s="6">
        <v>45986</v>
      </c>
      <c r="B4600" s="1" t="s">
        <v>4784</v>
      </c>
      <c r="C4600" s="1" t="s">
        <v>27</v>
      </c>
      <c r="D4600" t="s">
        <v>30</v>
      </c>
      <c r="E4600" t="s">
        <v>447</v>
      </c>
      <c r="F4600" t="s">
        <v>17</v>
      </c>
      <c r="G4600" t="s">
        <v>18</v>
      </c>
      <c r="H4600" s="3">
        <v>6</v>
      </c>
      <c r="I4600" s="3">
        <v>12325</v>
      </c>
      <c r="J4600" s="3">
        <v>73950</v>
      </c>
      <c r="K4600" s="3">
        <v>8500</v>
      </c>
      <c r="L4600" s="3">
        <v>51000</v>
      </c>
      <c r="M4600" s="3">
        <v>22950</v>
      </c>
      <c r="N4600" s="4">
        <v>0.31034482758620691</v>
      </c>
    </row>
    <row r="4601" spans="1:14" x14ac:dyDescent="0.3">
      <c r="A4601" s="6">
        <v>45986</v>
      </c>
      <c r="B4601" s="1" t="s">
        <v>4785</v>
      </c>
      <c r="C4601" s="1" t="s">
        <v>27</v>
      </c>
      <c r="D4601" t="s">
        <v>34</v>
      </c>
      <c r="E4601" t="s">
        <v>255</v>
      </c>
      <c r="F4601" t="s">
        <v>19</v>
      </c>
      <c r="G4601" t="s">
        <v>20</v>
      </c>
      <c r="H4601" s="3">
        <v>8</v>
      </c>
      <c r="I4601" s="3">
        <v>1161</v>
      </c>
      <c r="J4601" s="3">
        <v>9288</v>
      </c>
      <c r="K4601" s="3">
        <v>900</v>
      </c>
      <c r="L4601" s="3">
        <v>7200</v>
      </c>
      <c r="M4601" s="3">
        <v>2088</v>
      </c>
      <c r="N4601" s="4">
        <v>0.22480620155038761</v>
      </c>
    </row>
    <row r="4602" spans="1:14" x14ac:dyDescent="0.3">
      <c r="A4602" s="6">
        <v>45986</v>
      </c>
      <c r="B4602" s="1" t="s">
        <v>4786</v>
      </c>
      <c r="C4602" s="1" t="s">
        <v>26</v>
      </c>
      <c r="D4602" t="s">
        <v>34</v>
      </c>
      <c r="E4602" t="s">
        <v>43</v>
      </c>
      <c r="F4602" t="s">
        <v>17</v>
      </c>
      <c r="G4602" t="s">
        <v>18</v>
      </c>
      <c r="H4602" s="3">
        <v>9</v>
      </c>
      <c r="I4602" s="3">
        <v>10370</v>
      </c>
      <c r="J4602" s="3">
        <v>93330</v>
      </c>
      <c r="K4602" s="3">
        <v>8500</v>
      </c>
      <c r="L4602" s="3">
        <v>76500</v>
      </c>
      <c r="M4602" s="3">
        <v>16830</v>
      </c>
      <c r="N4602" s="4">
        <v>0.18032786885245902</v>
      </c>
    </row>
    <row r="4603" spans="1:14" x14ac:dyDescent="0.3">
      <c r="A4603" s="6">
        <v>45986</v>
      </c>
      <c r="B4603" s="1" t="s">
        <v>4787</v>
      </c>
      <c r="C4603" s="1" t="s">
        <v>28</v>
      </c>
      <c r="D4603" t="s">
        <v>31</v>
      </c>
      <c r="E4603" t="s">
        <v>166</v>
      </c>
      <c r="F4603" t="s">
        <v>17</v>
      </c>
      <c r="G4603" t="s">
        <v>18</v>
      </c>
      <c r="H4603" s="3">
        <v>8</v>
      </c>
      <c r="I4603" s="3">
        <v>12240</v>
      </c>
      <c r="J4603" s="3">
        <v>97920</v>
      </c>
      <c r="K4603" s="3">
        <v>8500</v>
      </c>
      <c r="L4603" s="3">
        <v>68000</v>
      </c>
      <c r="M4603" s="3">
        <v>29920</v>
      </c>
      <c r="N4603" s="4">
        <v>0.30555555555555558</v>
      </c>
    </row>
    <row r="4604" spans="1:14" x14ac:dyDescent="0.3">
      <c r="A4604" s="6">
        <v>45986</v>
      </c>
      <c r="B4604" s="1" t="s">
        <v>4788</v>
      </c>
      <c r="C4604" s="1" t="s">
        <v>29</v>
      </c>
      <c r="D4604" t="s">
        <v>30</v>
      </c>
      <c r="E4604" t="s">
        <v>319</v>
      </c>
      <c r="F4604" t="s">
        <v>21</v>
      </c>
      <c r="G4604" t="s">
        <v>20</v>
      </c>
      <c r="H4604" s="3">
        <v>6</v>
      </c>
      <c r="I4604" s="3">
        <v>840</v>
      </c>
      <c r="J4604" s="3">
        <v>5040</v>
      </c>
      <c r="K4604" s="3">
        <v>600</v>
      </c>
      <c r="L4604" s="3">
        <v>3600</v>
      </c>
      <c r="M4604" s="3">
        <v>1440</v>
      </c>
      <c r="N4604" s="4">
        <v>0.2857142857142857</v>
      </c>
    </row>
    <row r="4605" spans="1:14" x14ac:dyDescent="0.3">
      <c r="A4605" s="6">
        <v>45986</v>
      </c>
      <c r="B4605" s="1" t="s">
        <v>4789</v>
      </c>
      <c r="C4605" s="1" t="s">
        <v>28</v>
      </c>
      <c r="D4605" t="s">
        <v>33</v>
      </c>
      <c r="E4605" t="s">
        <v>122</v>
      </c>
      <c r="F4605" t="s">
        <v>22</v>
      </c>
      <c r="G4605" t="s">
        <v>18</v>
      </c>
      <c r="H4605" s="3">
        <v>7</v>
      </c>
      <c r="I4605" s="3">
        <v>8750</v>
      </c>
      <c r="J4605" s="3">
        <v>61250</v>
      </c>
      <c r="K4605" s="3">
        <v>7000</v>
      </c>
      <c r="L4605" s="3">
        <v>49000</v>
      </c>
      <c r="M4605" s="3">
        <v>12250</v>
      </c>
      <c r="N4605" s="4">
        <v>0.2</v>
      </c>
    </row>
    <row r="4606" spans="1:14" x14ac:dyDescent="0.3">
      <c r="A4606" s="6">
        <v>45987</v>
      </c>
      <c r="B4606" s="1" t="s">
        <v>4790</v>
      </c>
      <c r="C4606" s="1" t="s">
        <v>27</v>
      </c>
      <c r="D4606" t="s">
        <v>30</v>
      </c>
      <c r="E4606" t="s">
        <v>112</v>
      </c>
      <c r="F4606" t="s">
        <v>24</v>
      </c>
      <c r="G4606" t="s">
        <v>25</v>
      </c>
      <c r="H4606" s="3">
        <v>7</v>
      </c>
      <c r="I4606" s="3">
        <v>3625</v>
      </c>
      <c r="J4606" s="3">
        <v>25375</v>
      </c>
      <c r="K4606" s="3">
        <v>2500</v>
      </c>
      <c r="L4606" s="3">
        <v>17500</v>
      </c>
      <c r="M4606" s="3">
        <v>7875</v>
      </c>
      <c r="N4606" s="4">
        <v>0.31034482758620691</v>
      </c>
    </row>
    <row r="4607" spans="1:14" x14ac:dyDescent="0.3">
      <c r="A4607" s="6">
        <v>45987</v>
      </c>
      <c r="B4607" s="1" t="s">
        <v>4791</v>
      </c>
      <c r="C4607" s="1" t="s">
        <v>29</v>
      </c>
      <c r="D4607" t="s">
        <v>31</v>
      </c>
      <c r="E4607" t="s">
        <v>371</v>
      </c>
      <c r="F4607" t="s">
        <v>23</v>
      </c>
      <c r="G4607" t="s">
        <v>25</v>
      </c>
      <c r="H4607" s="3">
        <v>1</v>
      </c>
      <c r="I4607" s="3">
        <v>3840</v>
      </c>
      <c r="J4607" s="3">
        <v>3840</v>
      </c>
      <c r="K4607" s="3">
        <v>3200</v>
      </c>
      <c r="L4607" s="3">
        <v>3200</v>
      </c>
      <c r="M4607" s="3">
        <v>640</v>
      </c>
      <c r="N4607" s="4">
        <v>0.16666666666666666</v>
      </c>
    </row>
    <row r="4608" spans="1:14" x14ac:dyDescent="0.3">
      <c r="A4608" s="6">
        <v>45987</v>
      </c>
      <c r="B4608" s="1" t="s">
        <v>4792</v>
      </c>
      <c r="C4608" s="1" t="s">
        <v>28</v>
      </c>
      <c r="D4608" t="s">
        <v>31</v>
      </c>
      <c r="E4608" t="s">
        <v>47</v>
      </c>
      <c r="F4608" t="s">
        <v>16</v>
      </c>
      <c r="G4608" t="s">
        <v>15</v>
      </c>
      <c r="H4608" s="3">
        <v>2</v>
      </c>
      <c r="I4608" s="3">
        <v>47120</v>
      </c>
      <c r="J4608" s="3">
        <v>94240</v>
      </c>
      <c r="K4608" s="3">
        <v>38000</v>
      </c>
      <c r="L4608" s="3">
        <v>76000</v>
      </c>
      <c r="M4608" s="3">
        <v>18240</v>
      </c>
      <c r="N4608" s="4">
        <v>0.19354838709677419</v>
      </c>
    </row>
    <row r="4609" spans="1:14" x14ac:dyDescent="0.3">
      <c r="A4609" s="6">
        <v>45987</v>
      </c>
      <c r="B4609" s="1" t="s">
        <v>4793</v>
      </c>
      <c r="C4609" s="1" t="s">
        <v>28</v>
      </c>
      <c r="D4609" t="s">
        <v>35</v>
      </c>
      <c r="E4609" t="s">
        <v>88</v>
      </c>
      <c r="F4609" t="s">
        <v>23</v>
      </c>
      <c r="G4609" t="s">
        <v>25</v>
      </c>
      <c r="H4609" s="3">
        <v>9</v>
      </c>
      <c r="I4609" s="3">
        <v>4096</v>
      </c>
      <c r="J4609" s="3">
        <v>36864</v>
      </c>
      <c r="K4609" s="3">
        <v>3200</v>
      </c>
      <c r="L4609" s="3">
        <v>28800</v>
      </c>
      <c r="M4609" s="3">
        <v>8064</v>
      </c>
      <c r="N4609" s="4">
        <v>0.21875</v>
      </c>
    </row>
    <row r="4610" spans="1:14" x14ac:dyDescent="0.3">
      <c r="A4610" s="6">
        <v>45987</v>
      </c>
      <c r="B4610" s="1" t="s">
        <v>4794</v>
      </c>
      <c r="C4610" s="1" t="s">
        <v>28</v>
      </c>
      <c r="D4610" t="s">
        <v>34</v>
      </c>
      <c r="E4610" t="s">
        <v>94</v>
      </c>
      <c r="F4610" t="s">
        <v>23</v>
      </c>
      <c r="G4610" t="s">
        <v>25</v>
      </c>
      <c r="H4610" s="3">
        <v>5</v>
      </c>
      <c r="I4610" s="3">
        <v>4192</v>
      </c>
      <c r="J4610" s="3">
        <v>20960</v>
      </c>
      <c r="K4610" s="3">
        <v>3200</v>
      </c>
      <c r="L4610" s="3">
        <v>16000</v>
      </c>
      <c r="M4610" s="3">
        <v>4960</v>
      </c>
      <c r="N4610" s="4">
        <v>0.23664122137404581</v>
      </c>
    </row>
    <row r="4611" spans="1:14" x14ac:dyDescent="0.3">
      <c r="A4611" s="6">
        <v>45987</v>
      </c>
      <c r="B4611" s="1" t="s">
        <v>4795</v>
      </c>
      <c r="C4611" s="1" t="s">
        <v>28</v>
      </c>
      <c r="D4611" t="s">
        <v>35</v>
      </c>
      <c r="E4611" t="s">
        <v>521</v>
      </c>
      <c r="F4611" t="s">
        <v>17</v>
      </c>
      <c r="G4611" t="s">
        <v>18</v>
      </c>
      <c r="H4611" s="3">
        <v>8</v>
      </c>
      <c r="I4611" s="3">
        <v>11985</v>
      </c>
      <c r="J4611" s="3">
        <v>95880</v>
      </c>
      <c r="K4611" s="3">
        <v>8500</v>
      </c>
      <c r="L4611" s="3">
        <v>68000</v>
      </c>
      <c r="M4611" s="3">
        <v>27880</v>
      </c>
      <c r="N4611" s="4">
        <v>0.29078014184397161</v>
      </c>
    </row>
    <row r="4612" spans="1:14" x14ac:dyDescent="0.3">
      <c r="A4612" s="6">
        <v>45987</v>
      </c>
      <c r="B4612" s="1" t="s">
        <v>4796</v>
      </c>
      <c r="C4612" s="1" t="s">
        <v>26</v>
      </c>
      <c r="D4612" t="s">
        <v>30</v>
      </c>
      <c r="E4612" t="s">
        <v>807</v>
      </c>
      <c r="F4612" t="s">
        <v>21</v>
      </c>
      <c r="G4612" t="s">
        <v>20</v>
      </c>
      <c r="H4612" s="3">
        <v>4</v>
      </c>
      <c r="I4612" s="3">
        <v>786</v>
      </c>
      <c r="J4612" s="3">
        <v>3144</v>
      </c>
      <c r="K4612" s="3">
        <v>600</v>
      </c>
      <c r="L4612" s="3">
        <v>2400</v>
      </c>
      <c r="M4612" s="3">
        <v>744</v>
      </c>
      <c r="N4612" s="4">
        <v>0.23664122137404581</v>
      </c>
    </row>
    <row r="4613" spans="1:14" x14ac:dyDescent="0.3">
      <c r="A4613" s="6">
        <v>45987</v>
      </c>
      <c r="B4613" s="1" t="s">
        <v>4797</v>
      </c>
      <c r="C4613" s="1" t="s">
        <v>28</v>
      </c>
      <c r="D4613" t="s">
        <v>30</v>
      </c>
      <c r="E4613" t="s">
        <v>129</v>
      </c>
      <c r="F4613" t="s">
        <v>23</v>
      </c>
      <c r="G4613" t="s">
        <v>25</v>
      </c>
      <c r="H4613" s="3">
        <v>4</v>
      </c>
      <c r="I4613" s="3">
        <v>3904</v>
      </c>
      <c r="J4613" s="3">
        <v>15616</v>
      </c>
      <c r="K4613" s="3">
        <v>3200</v>
      </c>
      <c r="L4613" s="3">
        <v>12800</v>
      </c>
      <c r="M4613" s="3">
        <v>2816</v>
      </c>
      <c r="N4613" s="4">
        <v>0.18032786885245902</v>
      </c>
    </row>
    <row r="4614" spans="1:14" x14ac:dyDescent="0.3">
      <c r="A4614" s="6">
        <v>45987</v>
      </c>
      <c r="B4614" s="1" t="s">
        <v>4798</v>
      </c>
      <c r="C4614" s="1" t="s">
        <v>28</v>
      </c>
      <c r="D4614" t="s">
        <v>34</v>
      </c>
      <c r="E4614" t="s">
        <v>226</v>
      </c>
      <c r="F4614" t="s">
        <v>14</v>
      </c>
      <c r="G4614" t="s">
        <v>15</v>
      </c>
      <c r="H4614" s="3">
        <v>9</v>
      </c>
      <c r="I4614" s="3">
        <v>62099.999999999993</v>
      </c>
      <c r="J4614" s="3">
        <v>558899.99999999988</v>
      </c>
      <c r="K4614" s="3">
        <v>45000</v>
      </c>
      <c r="L4614" s="3">
        <v>405000</v>
      </c>
      <c r="M4614" s="3">
        <v>153899.99999999988</v>
      </c>
      <c r="N4614" s="4">
        <v>0.27536231884057955</v>
      </c>
    </row>
    <row r="4615" spans="1:14" x14ac:dyDescent="0.3">
      <c r="A4615" s="6">
        <v>45987</v>
      </c>
      <c r="B4615" s="1" t="s">
        <v>4799</v>
      </c>
      <c r="C4615" s="1" t="s">
        <v>29</v>
      </c>
      <c r="D4615" t="s">
        <v>35</v>
      </c>
      <c r="E4615" t="s">
        <v>92</v>
      </c>
      <c r="F4615" t="s">
        <v>23</v>
      </c>
      <c r="G4615" t="s">
        <v>25</v>
      </c>
      <c r="H4615" s="3">
        <v>10</v>
      </c>
      <c r="I4615" s="3">
        <v>4544</v>
      </c>
      <c r="J4615" s="3">
        <v>45440</v>
      </c>
      <c r="K4615" s="3">
        <v>3200</v>
      </c>
      <c r="L4615" s="3">
        <v>32000</v>
      </c>
      <c r="M4615" s="3">
        <v>13440</v>
      </c>
      <c r="N4615" s="4">
        <v>0.29577464788732394</v>
      </c>
    </row>
    <row r="4616" spans="1:14" x14ac:dyDescent="0.3">
      <c r="A4616" s="6">
        <v>45987</v>
      </c>
      <c r="B4616" s="1" t="s">
        <v>4800</v>
      </c>
      <c r="C4616" s="1" t="s">
        <v>26</v>
      </c>
      <c r="D4616" t="s">
        <v>33</v>
      </c>
      <c r="E4616" t="s">
        <v>506</v>
      </c>
      <c r="F4616" t="s">
        <v>22</v>
      </c>
      <c r="G4616" t="s">
        <v>18</v>
      </c>
      <c r="H4616" s="3">
        <v>3</v>
      </c>
      <c r="I4616" s="3">
        <v>9800</v>
      </c>
      <c r="J4616" s="3">
        <v>29400</v>
      </c>
      <c r="K4616" s="3">
        <v>7000</v>
      </c>
      <c r="L4616" s="3">
        <v>21000</v>
      </c>
      <c r="M4616" s="3">
        <v>8400</v>
      </c>
      <c r="N4616" s="4">
        <v>0.2857142857142857</v>
      </c>
    </row>
    <row r="4617" spans="1:14" x14ac:dyDescent="0.3">
      <c r="A4617" s="6">
        <v>45987</v>
      </c>
      <c r="B4617" s="1" t="s">
        <v>4801</v>
      </c>
      <c r="C4617" s="1" t="s">
        <v>26</v>
      </c>
      <c r="D4617" t="s">
        <v>33</v>
      </c>
      <c r="E4617" t="s">
        <v>807</v>
      </c>
      <c r="F4617" t="s">
        <v>17</v>
      </c>
      <c r="G4617" t="s">
        <v>18</v>
      </c>
      <c r="H4617" s="3">
        <v>8</v>
      </c>
      <c r="I4617" s="3">
        <v>12070</v>
      </c>
      <c r="J4617" s="3">
        <v>96560</v>
      </c>
      <c r="K4617" s="3">
        <v>8500</v>
      </c>
      <c r="L4617" s="3">
        <v>68000</v>
      </c>
      <c r="M4617" s="3">
        <v>28560</v>
      </c>
      <c r="N4617" s="4">
        <v>0.29577464788732394</v>
      </c>
    </row>
    <row r="4618" spans="1:14" x14ac:dyDescent="0.3">
      <c r="A4618" s="6">
        <v>45987</v>
      </c>
      <c r="B4618" s="1" t="s">
        <v>4802</v>
      </c>
      <c r="C4618" s="1" t="s">
        <v>27</v>
      </c>
      <c r="D4618" t="s">
        <v>35</v>
      </c>
      <c r="E4618" t="s">
        <v>935</v>
      </c>
      <c r="F4618" t="s">
        <v>23</v>
      </c>
      <c r="G4618" t="s">
        <v>25</v>
      </c>
      <c r="H4618" s="3">
        <v>10</v>
      </c>
      <c r="I4618" s="3">
        <v>4032</v>
      </c>
      <c r="J4618" s="3">
        <v>40320</v>
      </c>
      <c r="K4618" s="3">
        <v>3200</v>
      </c>
      <c r="L4618" s="3">
        <v>32000</v>
      </c>
      <c r="M4618" s="3">
        <v>8320</v>
      </c>
      <c r="N4618" s="4">
        <v>0.20634920634920634</v>
      </c>
    </row>
    <row r="4619" spans="1:14" x14ac:dyDescent="0.3">
      <c r="A4619" s="6">
        <v>45987</v>
      </c>
      <c r="B4619" s="1" t="s">
        <v>4803</v>
      </c>
      <c r="C4619" s="1" t="s">
        <v>28</v>
      </c>
      <c r="D4619" t="s">
        <v>35</v>
      </c>
      <c r="E4619" t="s">
        <v>388</v>
      </c>
      <c r="F4619" t="s">
        <v>16</v>
      </c>
      <c r="G4619" t="s">
        <v>15</v>
      </c>
      <c r="H4619" s="3">
        <v>8</v>
      </c>
      <c r="I4619" s="3">
        <v>53960</v>
      </c>
      <c r="J4619" s="3">
        <v>431680</v>
      </c>
      <c r="K4619" s="3">
        <v>38000</v>
      </c>
      <c r="L4619" s="3">
        <v>304000</v>
      </c>
      <c r="M4619" s="3">
        <v>127680</v>
      </c>
      <c r="N4619" s="4">
        <v>0.29577464788732394</v>
      </c>
    </row>
    <row r="4620" spans="1:14" x14ac:dyDescent="0.3">
      <c r="A4620" s="6">
        <v>45988</v>
      </c>
      <c r="B4620" s="1" t="s">
        <v>4804</v>
      </c>
      <c r="C4620" s="1" t="s">
        <v>28</v>
      </c>
      <c r="D4620" t="s">
        <v>32</v>
      </c>
      <c r="E4620" t="s">
        <v>85</v>
      </c>
      <c r="F4620" t="s">
        <v>22</v>
      </c>
      <c r="G4620" t="s">
        <v>18</v>
      </c>
      <c r="H4620" s="3">
        <v>5</v>
      </c>
      <c r="I4620" s="3">
        <v>8610</v>
      </c>
      <c r="J4620" s="3">
        <v>43050</v>
      </c>
      <c r="K4620" s="3">
        <v>7000</v>
      </c>
      <c r="L4620" s="3">
        <v>35000</v>
      </c>
      <c r="M4620" s="3">
        <v>8050</v>
      </c>
      <c r="N4620" s="4">
        <v>0.18699186991869918</v>
      </c>
    </row>
    <row r="4621" spans="1:14" x14ac:dyDescent="0.3">
      <c r="A4621" s="6">
        <v>45988</v>
      </c>
      <c r="B4621" s="1" t="s">
        <v>4805</v>
      </c>
      <c r="C4621" s="1" t="s">
        <v>27</v>
      </c>
      <c r="D4621" t="s">
        <v>34</v>
      </c>
      <c r="E4621" t="s">
        <v>361</v>
      </c>
      <c r="F4621" t="s">
        <v>21</v>
      </c>
      <c r="G4621" t="s">
        <v>20</v>
      </c>
      <c r="H4621" s="3">
        <v>3</v>
      </c>
      <c r="I4621" s="3">
        <v>827.99999999999989</v>
      </c>
      <c r="J4621" s="3">
        <v>2483.9999999999995</v>
      </c>
      <c r="K4621" s="3">
        <v>600</v>
      </c>
      <c r="L4621" s="3">
        <v>1800</v>
      </c>
      <c r="M4621" s="3">
        <v>683.99999999999955</v>
      </c>
      <c r="N4621" s="4">
        <v>0.2753623188405796</v>
      </c>
    </row>
    <row r="4622" spans="1:14" x14ac:dyDescent="0.3">
      <c r="A4622" s="6">
        <v>45988</v>
      </c>
      <c r="B4622" s="1" t="s">
        <v>4806</v>
      </c>
      <c r="C4622" s="1" t="s">
        <v>29</v>
      </c>
      <c r="D4622" t="s">
        <v>34</v>
      </c>
      <c r="E4622" t="s">
        <v>108</v>
      </c>
      <c r="F4622" t="s">
        <v>16</v>
      </c>
      <c r="G4622" t="s">
        <v>15</v>
      </c>
      <c r="H4622" s="3">
        <v>2</v>
      </c>
      <c r="I4622" s="3">
        <v>50920</v>
      </c>
      <c r="J4622" s="3">
        <v>101840</v>
      </c>
      <c r="K4622" s="3">
        <v>38000</v>
      </c>
      <c r="L4622" s="3">
        <v>76000</v>
      </c>
      <c r="M4622" s="3">
        <v>25840</v>
      </c>
      <c r="N4622" s="4">
        <v>0.2537313432835821</v>
      </c>
    </row>
    <row r="4623" spans="1:14" x14ac:dyDescent="0.3">
      <c r="A4623" s="6">
        <v>45988</v>
      </c>
      <c r="B4623" s="1" t="s">
        <v>4807</v>
      </c>
      <c r="C4623" s="1" t="s">
        <v>27</v>
      </c>
      <c r="D4623" t="s">
        <v>33</v>
      </c>
      <c r="E4623" t="s">
        <v>336</v>
      </c>
      <c r="F4623" t="s">
        <v>19</v>
      </c>
      <c r="G4623" t="s">
        <v>20</v>
      </c>
      <c r="H4623" s="3">
        <v>5</v>
      </c>
      <c r="I4623" s="3">
        <v>1305</v>
      </c>
      <c r="J4623" s="3">
        <v>6525</v>
      </c>
      <c r="K4623" s="3">
        <v>900</v>
      </c>
      <c r="L4623" s="3">
        <v>4500</v>
      </c>
      <c r="M4623" s="3">
        <v>2025</v>
      </c>
      <c r="N4623" s="4">
        <v>0.31034482758620691</v>
      </c>
    </row>
    <row r="4624" spans="1:14" x14ac:dyDescent="0.3">
      <c r="A4624" s="6">
        <v>45988</v>
      </c>
      <c r="B4624" s="1" t="s">
        <v>4808</v>
      </c>
      <c r="C4624" s="1" t="s">
        <v>29</v>
      </c>
      <c r="D4624" t="s">
        <v>35</v>
      </c>
      <c r="E4624" t="s">
        <v>265</v>
      </c>
      <c r="F4624" t="s">
        <v>14</v>
      </c>
      <c r="G4624" t="s">
        <v>15</v>
      </c>
      <c r="H4624" s="3">
        <v>10</v>
      </c>
      <c r="I4624" s="3">
        <v>56700</v>
      </c>
      <c r="J4624" s="3">
        <v>567000</v>
      </c>
      <c r="K4624" s="3">
        <v>45000</v>
      </c>
      <c r="L4624" s="3">
        <v>450000</v>
      </c>
      <c r="M4624" s="3">
        <v>117000</v>
      </c>
      <c r="N4624" s="4">
        <v>0.20634920634920634</v>
      </c>
    </row>
    <row r="4625" spans="1:14" x14ac:dyDescent="0.3">
      <c r="A4625" s="6">
        <v>45988</v>
      </c>
      <c r="B4625" s="1" t="s">
        <v>4809</v>
      </c>
      <c r="C4625" s="1" t="s">
        <v>27</v>
      </c>
      <c r="D4625" t="s">
        <v>30</v>
      </c>
      <c r="E4625" t="s">
        <v>126</v>
      </c>
      <c r="F4625" t="s">
        <v>22</v>
      </c>
      <c r="G4625" t="s">
        <v>18</v>
      </c>
      <c r="H4625" s="3">
        <v>4</v>
      </c>
      <c r="I4625" s="3">
        <v>9590</v>
      </c>
      <c r="J4625" s="3">
        <v>38360</v>
      </c>
      <c r="K4625" s="3">
        <v>7000</v>
      </c>
      <c r="L4625" s="3">
        <v>28000</v>
      </c>
      <c r="M4625" s="3">
        <v>10360</v>
      </c>
      <c r="N4625" s="4">
        <v>0.27007299270072993</v>
      </c>
    </row>
    <row r="4626" spans="1:14" x14ac:dyDescent="0.3">
      <c r="A4626" s="6">
        <v>45988</v>
      </c>
      <c r="B4626" s="1" t="s">
        <v>4810</v>
      </c>
      <c r="C4626" s="1" t="s">
        <v>29</v>
      </c>
      <c r="D4626" t="s">
        <v>34</v>
      </c>
      <c r="E4626" t="s">
        <v>139</v>
      </c>
      <c r="F4626" t="s">
        <v>22</v>
      </c>
      <c r="G4626" t="s">
        <v>18</v>
      </c>
      <c r="H4626" s="3">
        <v>4</v>
      </c>
      <c r="I4626" s="3">
        <v>8540</v>
      </c>
      <c r="J4626" s="3">
        <v>34160</v>
      </c>
      <c r="K4626" s="3">
        <v>7000</v>
      </c>
      <c r="L4626" s="3">
        <v>28000</v>
      </c>
      <c r="M4626" s="3">
        <v>6160</v>
      </c>
      <c r="N4626" s="4">
        <v>0.18032786885245902</v>
      </c>
    </row>
    <row r="4627" spans="1:14" x14ac:dyDescent="0.3">
      <c r="A4627" s="6">
        <v>45988</v>
      </c>
      <c r="B4627" s="1" t="s">
        <v>4811</v>
      </c>
      <c r="C4627" s="1" t="s">
        <v>26</v>
      </c>
      <c r="D4627" t="s">
        <v>34</v>
      </c>
      <c r="E4627" t="s">
        <v>390</v>
      </c>
      <c r="F4627" t="s">
        <v>24</v>
      </c>
      <c r="G4627" t="s">
        <v>25</v>
      </c>
      <c r="H4627" s="3">
        <v>5</v>
      </c>
      <c r="I4627" s="3">
        <v>3350</v>
      </c>
      <c r="J4627" s="3">
        <v>16750</v>
      </c>
      <c r="K4627" s="3">
        <v>2500</v>
      </c>
      <c r="L4627" s="3">
        <v>12500</v>
      </c>
      <c r="M4627" s="3">
        <v>4250</v>
      </c>
      <c r="N4627" s="4">
        <v>0.2537313432835821</v>
      </c>
    </row>
    <row r="4628" spans="1:14" x14ac:dyDescent="0.3">
      <c r="A4628" s="6">
        <v>45988</v>
      </c>
      <c r="B4628" s="1" t="s">
        <v>4812</v>
      </c>
      <c r="C4628" s="1" t="s">
        <v>27</v>
      </c>
      <c r="D4628" t="s">
        <v>35</v>
      </c>
      <c r="E4628" t="s">
        <v>361</v>
      </c>
      <c r="F4628" t="s">
        <v>23</v>
      </c>
      <c r="G4628" t="s">
        <v>25</v>
      </c>
      <c r="H4628" s="3">
        <v>8</v>
      </c>
      <c r="I4628" s="3">
        <v>4032</v>
      </c>
      <c r="J4628" s="3">
        <v>32256</v>
      </c>
      <c r="K4628" s="3">
        <v>3200</v>
      </c>
      <c r="L4628" s="3">
        <v>25600</v>
      </c>
      <c r="M4628" s="3">
        <v>6656</v>
      </c>
      <c r="N4628" s="4">
        <v>0.20634920634920634</v>
      </c>
    </row>
    <row r="4629" spans="1:14" x14ac:dyDescent="0.3">
      <c r="A4629" s="6">
        <v>45988</v>
      </c>
      <c r="B4629" s="1" t="s">
        <v>4813</v>
      </c>
      <c r="C4629" s="1" t="s">
        <v>29</v>
      </c>
      <c r="D4629" t="s">
        <v>32</v>
      </c>
      <c r="E4629" t="s">
        <v>102</v>
      </c>
      <c r="F4629" t="s">
        <v>23</v>
      </c>
      <c r="G4629" t="s">
        <v>25</v>
      </c>
      <c r="H4629" s="3">
        <v>6</v>
      </c>
      <c r="I4629" s="3">
        <v>4224</v>
      </c>
      <c r="J4629" s="3">
        <v>25344</v>
      </c>
      <c r="K4629" s="3">
        <v>3200</v>
      </c>
      <c r="L4629" s="3">
        <v>19200</v>
      </c>
      <c r="M4629" s="3">
        <v>6144</v>
      </c>
      <c r="N4629" s="4">
        <v>0.24242424242424243</v>
      </c>
    </row>
    <row r="4630" spans="1:14" x14ac:dyDescent="0.3">
      <c r="A4630" s="6">
        <v>45988</v>
      </c>
      <c r="B4630" s="1" t="s">
        <v>4814</v>
      </c>
      <c r="C4630" s="1" t="s">
        <v>28</v>
      </c>
      <c r="D4630" t="s">
        <v>33</v>
      </c>
      <c r="E4630" t="s">
        <v>371</v>
      </c>
      <c r="F4630" t="s">
        <v>24</v>
      </c>
      <c r="G4630" t="s">
        <v>25</v>
      </c>
      <c r="H4630" s="3">
        <v>6</v>
      </c>
      <c r="I4630" s="3">
        <v>3350</v>
      </c>
      <c r="J4630" s="3">
        <v>20100</v>
      </c>
      <c r="K4630" s="3">
        <v>2500</v>
      </c>
      <c r="L4630" s="3">
        <v>15000</v>
      </c>
      <c r="M4630" s="3">
        <v>5100</v>
      </c>
      <c r="N4630" s="4">
        <v>0.2537313432835821</v>
      </c>
    </row>
    <row r="4631" spans="1:14" x14ac:dyDescent="0.3">
      <c r="A4631" s="6">
        <v>45988</v>
      </c>
      <c r="B4631" s="1" t="s">
        <v>4815</v>
      </c>
      <c r="C4631" s="1" t="s">
        <v>27</v>
      </c>
      <c r="D4631" t="s">
        <v>35</v>
      </c>
      <c r="E4631" t="s">
        <v>415</v>
      </c>
      <c r="F4631" t="s">
        <v>23</v>
      </c>
      <c r="G4631" t="s">
        <v>25</v>
      </c>
      <c r="H4631" s="3">
        <v>10</v>
      </c>
      <c r="I4631" s="3">
        <v>3904</v>
      </c>
      <c r="J4631" s="3">
        <v>39040</v>
      </c>
      <c r="K4631" s="3">
        <v>3200</v>
      </c>
      <c r="L4631" s="3">
        <v>32000</v>
      </c>
      <c r="M4631" s="3">
        <v>7040</v>
      </c>
      <c r="N4631" s="4">
        <v>0.18032786885245902</v>
      </c>
    </row>
    <row r="4632" spans="1:14" x14ac:dyDescent="0.3">
      <c r="A4632" s="6">
        <v>45988</v>
      </c>
      <c r="B4632" s="1" t="s">
        <v>4816</v>
      </c>
      <c r="C4632" s="1" t="s">
        <v>28</v>
      </c>
      <c r="D4632" t="s">
        <v>31</v>
      </c>
      <c r="E4632" t="s">
        <v>286</v>
      </c>
      <c r="F4632" t="s">
        <v>24</v>
      </c>
      <c r="G4632" t="s">
        <v>25</v>
      </c>
      <c r="H4632" s="3">
        <v>4</v>
      </c>
      <c r="I4632" s="3">
        <v>3550</v>
      </c>
      <c r="J4632" s="3">
        <v>14200</v>
      </c>
      <c r="K4632" s="3">
        <v>2500</v>
      </c>
      <c r="L4632" s="3">
        <v>10000</v>
      </c>
      <c r="M4632" s="3">
        <v>4200</v>
      </c>
      <c r="N4632" s="4">
        <v>0.29577464788732394</v>
      </c>
    </row>
    <row r="4633" spans="1:14" x14ac:dyDescent="0.3">
      <c r="A4633" s="6">
        <v>45988</v>
      </c>
      <c r="B4633" s="1" t="s">
        <v>4817</v>
      </c>
      <c r="C4633" s="1" t="s">
        <v>28</v>
      </c>
      <c r="D4633" t="s">
        <v>30</v>
      </c>
      <c r="E4633" t="s">
        <v>283</v>
      </c>
      <c r="F4633" t="s">
        <v>14</v>
      </c>
      <c r="G4633" t="s">
        <v>15</v>
      </c>
      <c r="H4633" s="3">
        <v>9</v>
      </c>
      <c r="I4633" s="3">
        <v>58500</v>
      </c>
      <c r="J4633" s="3">
        <v>526500</v>
      </c>
      <c r="K4633" s="3">
        <v>45000</v>
      </c>
      <c r="L4633" s="3">
        <v>405000</v>
      </c>
      <c r="M4633" s="3">
        <v>121500</v>
      </c>
      <c r="N4633" s="4">
        <v>0.23076923076923078</v>
      </c>
    </row>
    <row r="4634" spans="1:14" x14ac:dyDescent="0.3">
      <c r="A4634" s="6">
        <v>45989</v>
      </c>
      <c r="B4634" s="1" t="s">
        <v>4818</v>
      </c>
      <c r="C4634" s="1" t="s">
        <v>29</v>
      </c>
      <c r="D4634" t="s">
        <v>33</v>
      </c>
      <c r="E4634" t="s">
        <v>321</v>
      </c>
      <c r="F4634" t="s">
        <v>23</v>
      </c>
      <c r="G4634" t="s">
        <v>25</v>
      </c>
      <c r="H4634" s="3">
        <v>1</v>
      </c>
      <c r="I4634" s="3">
        <v>4576</v>
      </c>
      <c r="J4634" s="3">
        <v>4576</v>
      </c>
      <c r="K4634" s="3">
        <v>3200</v>
      </c>
      <c r="L4634" s="3">
        <v>3200</v>
      </c>
      <c r="M4634" s="3">
        <v>1376</v>
      </c>
      <c r="N4634" s="4">
        <v>0.30069930069930068</v>
      </c>
    </row>
    <row r="4635" spans="1:14" x14ac:dyDescent="0.3">
      <c r="A4635" s="6">
        <v>45989</v>
      </c>
      <c r="B4635" s="1" t="s">
        <v>4819</v>
      </c>
      <c r="C4635" s="1" t="s">
        <v>28</v>
      </c>
      <c r="D4635" t="s">
        <v>34</v>
      </c>
      <c r="E4635" t="s">
        <v>275</v>
      </c>
      <c r="F4635" t="s">
        <v>22</v>
      </c>
      <c r="G4635" t="s">
        <v>18</v>
      </c>
      <c r="H4635" s="3">
        <v>9</v>
      </c>
      <c r="I4635" s="3">
        <v>9030</v>
      </c>
      <c r="J4635" s="3">
        <v>81270</v>
      </c>
      <c r="K4635" s="3">
        <v>7000</v>
      </c>
      <c r="L4635" s="3">
        <v>63000</v>
      </c>
      <c r="M4635" s="3">
        <v>18270</v>
      </c>
      <c r="N4635" s="4">
        <v>0.22480620155038761</v>
      </c>
    </row>
    <row r="4636" spans="1:14" x14ac:dyDescent="0.3">
      <c r="A4636" s="6">
        <v>45989</v>
      </c>
      <c r="B4636" s="1" t="s">
        <v>4820</v>
      </c>
      <c r="C4636" s="1" t="s">
        <v>29</v>
      </c>
      <c r="D4636" t="s">
        <v>32</v>
      </c>
      <c r="E4636" t="s">
        <v>308</v>
      </c>
      <c r="F4636" t="s">
        <v>17</v>
      </c>
      <c r="G4636" t="s">
        <v>18</v>
      </c>
      <c r="H4636" s="3">
        <v>7</v>
      </c>
      <c r="I4636" s="3">
        <v>10710</v>
      </c>
      <c r="J4636" s="3">
        <v>74970</v>
      </c>
      <c r="K4636" s="3">
        <v>8500</v>
      </c>
      <c r="L4636" s="3">
        <v>59500</v>
      </c>
      <c r="M4636" s="3">
        <v>15470</v>
      </c>
      <c r="N4636" s="4">
        <v>0.20634920634920634</v>
      </c>
    </row>
    <row r="4637" spans="1:14" x14ac:dyDescent="0.3">
      <c r="A4637" s="6">
        <v>45989</v>
      </c>
      <c r="B4637" s="1" t="s">
        <v>4821</v>
      </c>
      <c r="C4637" s="1" t="s">
        <v>28</v>
      </c>
      <c r="D4637" t="s">
        <v>33</v>
      </c>
      <c r="E4637" t="s">
        <v>292</v>
      </c>
      <c r="F4637" t="s">
        <v>24</v>
      </c>
      <c r="G4637" t="s">
        <v>25</v>
      </c>
      <c r="H4637" s="3">
        <v>6</v>
      </c>
      <c r="I4637" s="3">
        <v>3575</v>
      </c>
      <c r="J4637" s="3">
        <v>21450</v>
      </c>
      <c r="K4637" s="3">
        <v>2500</v>
      </c>
      <c r="L4637" s="3">
        <v>15000</v>
      </c>
      <c r="M4637" s="3">
        <v>6450</v>
      </c>
      <c r="N4637" s="4">
        <v>0.30069930069930068</v>
      </c>
    </row>
    <row r="4638" spans="1:14" x14ac:dyDescent="0.3">
      <c r="A4638" s="6">
        <v>45989</v>
      </c>
      <c r="B4638" s="1" t="s">
        <v>4822</v>
      </c>
      <c r="C4638" s="1" t="s">
        <v>28</v>
      </c>
      <c r="D4638" t="s">
        <v>34</v>
      </c>
      <c r="E4638" t="s">
        <v>411</v>
      </c>
      <c r="F4638" t="s">
        <v>17</v>
      </c>
      <c r="G4638" t="s">
        <v>18</v>
      </c>
      <c r="H4638" s="3">
        <v>2</v>
      </c>
      <c r="I4638" s="3">
        <v>11559.999999999998</v>
      </c>
      <c r="J4638" s="3">
        <v>23119.999999999996</v>
      </c>
      <c r="K4638" s="3">
        <v>8500</v>
      </c>
      <c r="L4638" s="3">
        <v>17000</v>
      </c>
      <c r="M4638" s="3">
        <v>6119.9999999999964</v>
      </c>
      <c r="N4638" s="4">
        <v>0.26470588235294107</v>
      </c>
    </row>
    <row r="4639" spans="1:14" x14ac:dyDescent="0.3">
      <c r="A4639" s="6">
        <v>45989</v>
      </c>
      <c r="B4639" s="1" t="s">
        <v>4823</v>
      </c>
      <c r="C4639" s="1" t="s">
        <v>29</v>
      </c>
      <c r="D4639" t="s">
        <v>32</v>
      </c>
      <c r="E4639" t="s">
        <v>198</v>
      </c>
      <c r="F4639" t="s">
        <v>21</v>
      </c>
      <c r="G4639" t="s">
        <v>20</v>
      </c>
      <c r="H4639" s="3">
        <v>10</v>
      </c>
      <c r="I4639" s="3">
        <v>786</v>
      </c>
      <c r="J4639" s="3">
        <v>7860</v>
      </c>
      <c r="K4639" s="3">
        <v>600</v>
      </c>
      <c r="L4639" s="3">
        <v>6000</v>
      </c>
      <c r="M4639" s="3">
        <v>1860</v>
      </c>
      <c r="N4639" s="4">
        <v>0.23664122137404581</v>
      </c>
    </row>
    <row r="4640" spans="1:14" x14ac:dyDescent="0.3">
      <c r="A4640" s="6">
        <v>45989</v>
      </c>
      <c r="B4640" s="1" t="s">
        <v>4824</v>
      </c>
      <c r="C4640" s="1" t="s">
        <v>28</v>
      </c>
      <c r="D4640" t="s">
        <v>33</v>
      </c>
      <c r="E4640" t="s">
        <v>319</v>
      </c>
      <c r="F4640" t="s">
        <v>16</v>
      </c>
      <c r="G4640" t="s">
        <v>15</v>
      </c>
      <c r="H4640" s="3">
        <v>8</v>
      </c>
      <c r="I4640" s="3">
        <v>49780</v>
      </c>
      <c r="J4640" s="3">
        <v>398240</v>
      </c>
      <c r="K4640" s="3">
        <v>38000</v>
      </c>
      <c r="L4640" s="3">
        <v>304000</v>
      </c>
      <c r="M4640" s="3">
        <v>94240</v>
      </c>
      <c r="N4640" s="4">
        <v>0.23664122137404581</v>
      </c>
    </row>
    <row r="4641" spans="1:14" x14ac:dyDescent="0.3">
      <c r="A4641" s="6">
        <v>45989</v>
      </c>
      <c r="B4641" s="1" t="s">
        <v>4825</v>
      </c>
      <c r="C4641" s="1" t="s">
        <v>28</v>
      </c>
      <c r="D4641" t="s">
        <v>33</v>
      </c>
      <c r="E4641" t="s">
        <v>88</v>
      </c>
      <c r="F4641" t="s">
        <v>23</v>
      </c>
      <c r="G4641" t="s">
        <v>25</v>
      </c>
      <c r="H4641" s="3">
        <v>4</v>
      </c>
      <c r="I4641" s="3">
        <v>4608</v>
      </c>
      <c r="J4641" s="3">
        <v>18432</v>
      </c>
      <c r="K4641" s="3">
        <v>3200</v>
      </c>
      <c r="L4641" s="3">
        <v>12800</v>
      </c>
      <c r="M4641" s="3">
        <v>5632</v>
      </c>
      <c r="N4641" s="4">
        <v>0.30555555555555558</v>
      </c>
    </row>
    <row r="4642" spans="1:14" x14ac:dyDescent="0.3">
      <c r="A4642" s="6">
        <v>45989</v>
      </c>
      <c r="B4642" s="1" t="s">
        <v>4826</v>
      </c>
      <c r="C4642" s="1" t="s">
        <v>28</v>
      </c>
      <c r="D4642" t="s">
        <v>32</v>
      </c>
      <c r="E4642" t="s">
        <v>233</v>
      </c>
      <c r="F4642" t="s">
        <v>19</v>
      </c>
      <c r="G4642" t="s">
        <v>20</v>
      </c>
      <c r="H4642" s="3">
        <v>5</v>
      </c>
      <c r="I4642" s="3">
        <v>1134</v>
      </c>
      <c r="J4642" s="3">
        <v>5670</v>
      </c>
      <c r="K4642" s="3">
        <v>900</v>
      </c>
      <c r="L4642" s="3">
        <v>4500</v>
      </c>
      <c r="M4642" s="3">
        <v>1170</v>
      </c>
      <c r="N4642" s="4">
        <v>0.20634920634920634</v>
      </c>
    </row>
    <row r="4643" spans="1:14" x14ac:dyDescent="0.3">
      <c r="A4643" s="6">
        <v>45989</v>
      </c>
      <c r="B4643" s="1" t="s">
        <v>4827</v>
      </c>
      <c r="C4643" s="1" t="s">
        <v>29</v>
      </c>
      <c r="D4643" t="s">
        <v>31</v>
      </c>
      <c r="E4643" t="s">
        <v>88</v>
      </c>
      <c r="F4643" t="s">
        <v>19</v>
      </c>
      <c r="G4643" t="s">
        <v>20</v>
      </c>
      <c r="H4643" s="3">
        <v>2</v>
      </c>
      <c r="I4643" s="3">
        <v>1098</v>
      </c>
      <c r="J4643" s="3">
        <v>2196</v>
      </c>
      <c r="K4643" s="3">
        <v>900</v>
      </c>
      <c r="L4643" s="3">
        <v>1800</v>
      </c>
      <c r="M4643" s="3">
        <v>396</v>
      </c>
      <c r="N4643" s="4">
        <v>0.18032786885245902</v>
      </c>
    </row>
    <row r="4644" spans="1:14" x14ac:dyDescent="0.3">
      <c r="A4644" s="6">
        <v>45989</v>
      </c>
      <c r="B4644" s="1" t="s">
        <v>4828</v>
      </c>
      <c r="C4644" s="1" t="s">
        <v>28</v>
      </c>
      <c r="D4644" t="s">
        <v>32</v>
      </c>
      <c r="E4644" t="s">
        <v>147</v>
      </c>
      <c r="F4644" t="s">
        <v>16</v>
      </c>
      <c r="G4644" t="s">
        <v>15</v>
      </c>
      <c r="H4644" s="3">
        <v>3</v>
      </c>
      <c r="I4644" s="3">
        <v>52820.000000000007</v>
      </c>
      <c r="J4644" s="3">
        <v>158460.00000000003</v>
      </c>
      <c r="K4644" s="3">
        <v>38000</v>
      </c>
      <c r="L4644" s="3">
        <v>114000</v>
      </c>
      <c r="M4644" s="3">
        <v>44460.000000000029</v>
      </c>
      <c r="N4644" s="4">
        <v>0.28057553956834547</v>
      </c>
    </row>
    <row r="4645" spans="1:14" x14ac:dyDescent="0.3">
      <c r="A4645" s="6">
        <v>45989</v>
      </c>
      <c r="B4645" s="1" t="s">
        <v>4829</v>
      </c>
      <c r="C4645" s="1" t="s">
        <v>27</v>
      </c>
      <c r="D4645" t="s">
        <v>35</v>
      </c>
      <c r="E4645" t="s">
        <v>76</v>
      </c>
      <c r="F4645" t="s">
        <v>16</v>
      </c>
      <c r="G4645" t="s">
        <v>15</v>
      </c>
      <c r="H4645" s="3">
        <v>7</v>
      </c>
      <c r="I4645" s="3">
        <v>54720</v>
      </c>
      <c r="J4645" s="3">
        <v>383040</v>
      </c>
      <c r="K4645" s="3">
        <v>38000</v>
      </c>
      <c r="L4645" s="3">
        <v>266000</v>
      </c>
      <c r="M4645" s="3">
        <v>117040</v>
      </c>
      <c r="N4645" s="4">
        <v>0.30555555555555558</v>
      </c>
    </row>
    <row r="4646" spans="1:14" x14ac:dyDescent="0.3">
      <c r="A4646" s="6">
        <v>45989</v>
      </c>
      <c r="B4646" s="1" t="s">
        <v>4830</v>
      </c>
      <c r="C4646" s="1" t="s">
        <v>29</v>
      </c>
      <c r="D4646" t="s">
        <v>33</v>
      </c>
      <c r="E4646" t="s">
        <v>280</v>
      </c>
      <c r="F4646" t="s">
        <v>22</v>
      </c>
      <c r="G4646" t="s">
        <v>18</v>
      </c>
      <c r="H4646" s="3">
        <v>2</v>
      </c>
      <c r="I4646" s="3">
        <v>10080</v>
      </c>
      <c r="J4646" s="3">
        <v>20160</v>
      </c>
      <c r="K4646" s="3">
        <v>7000</v>
      </c>
      <c r="L4646" s="3">
        <v>14000</v>
      </c>
      <c r="M4646" s="3">
        <v>6160</v>
      </c>
      <c r="N4646" s="4">
        <v>0.30555555555555558</v>
      </c>
    </row>
    <row r="4647" spans="1:14" x14ac:dyDescent="0.3">
      <c r="A4647" s="6">
        <v>45989</v>
      </c>
      <c r="B4647" s="1" t="s">
        <v>4831</v>
      </c>
      <c r="C4647" s="1" t="s">
        <v>27</v>
      </c>
      <c r="D4647" t="s">
        <v>30</v>
      </c>
      <c r="E4647" t="s">
        <v>110</v>
      </c>
      <c r="F4647" t="s">
        <v>22</v>
      </c>
      <c r="G4647" t="s">
        <v>18</v>
      </c>
      <c r="H4647" s="3">
        <v>1</v>
      </c>
      <c r="I4647" s="3">
        <v>10150</v>
      </c>
      <c r="J4647" s="3">
        <v>10150</v>
      </c>
      <c r="K4647" s="3">
        <v>7000</v>
      </c>
      <c r="L4647" s="3">
        <v>7000</v>
      </c>
      <c r="M4647" s="3">
        <v>3150</v>
      </c>
      <c r="N4647" s="4">
        <v>0.31034482758620691</v>
      </c>
    </row>
    <row r="4648" spans="1:14" x14ac:dyDescent="0.3">
      <c r="A4648" s="6">
        <v>45990</v>
      </c>
      <c r="B4648" s="1" t="s">
        <v>4832</v>
      </c>
      <c r="C4648" s="1" t="s">
        <v>28</v>
      </c>
      <c r="D4648" t="s">
        <v>32</v>
      </c>
      <c r="E4648" t="s">
        <v>327</v>
      </c>
      <c r="F4648" t="s">
        <v>24</v>
      </c>
      <c r="G4648" t="s">
        <v>25</v>
      </c>
      <c r="H4648" s="3">
        <v>5</v>
      </c>
      <c r="I4648" s="3">
        <v>3500</v>
      </c>
      <c r="J4648" s="3">
        <v>17500</v>
      </c>
      <c r="K4648" s="3">
        <v>2500</v>
      </c>
      <c r="L4648" s="3">
        <v>12500</v>
      </c>
      <c r="M4648" s="3">
        <v>5000</v>
      </c>
      <c r="N4648" s="4">
        <v>0.2857142857142857</v>
      </c>
    </row>
    <row r="4649" spans="1:14" x14ac:dyDescent="0.3">
      <c r="A4649" s="6">
        <v>45990</v>
      </c>
      <c r="B4649" s="1" t="s">
        <v>4833</v>
      </c>
      <c r="C4649" s="1" t="s">
        <v>26</v>
      </c>
      <c r="D4649" t="s">
        <v>30</v>
      </c>
      <c r="E4649" t="s">
        <v>255</v>
      </c>
      <c r="F4649" t="s">
        <v>14</v>
      </c>
      <c r="G4649" t="s">
        <v>15</v>
      </c>
      <c r="H4649" s="3">
        <v>6</v>
      </c>
      <c r="I4649" s="3">
        <v>55350</v>
      </c>
      <c r="J4649" s="3">
        <v>332100</v>
      </c>
      <c r="K4649" s="3">
        <v>45000</v>
      </c>
      <c r="L4649" s="3">
        <v>270000</v>
      </c>
      <c r="M4649" s="3">
        <v>62100</v>
      </c>
      <c r="N4649" s="4">
        <v>0.18699186991869918</v>
      </c>
    </row>
    <row r="4650" spans="1:14" x14ac:dyDescent="0.3">
      <c r="A4650" s="6">
        <v>45990</v>
      </c>
      <c r="B4650" s="1" t="s">
        <v>4834</v>
      </c>
      <c r="C4650" s="1" t="s">
        <v>26</v>
      </c>
      <c r="D4650" t="s">
        <v>34</v>
      </c>
      <c r="E4650" t="s">
        <v>233</v>
      </c>
      <c r="F4650" t="s">
        <v>17</v>
      </c>
      <c r="G4650" t="s">
        <v>18</v>
      </c>
      <c r="H4650" s="3">
        <v>7</v>
      </c>
      <c r="I4650" s="3">
        <v>11475</v>
      </c>
      <c r="J4650" s="3">
        <v>80325</v>
      </c>
      <c r="K4650" s="3">
        <v>8500</v>
      </c>
      <c r="L4650" s="3">
        <v>59500</v>
      </c>
      <c r="M4650" s="3">
        <v>20825</v>
      </c>
      <c r="N4650" s="4">
        <v>0.25925925925925924</v>
      </c>
    </row>
    <row r="4651" spans="1:14" x14ac:dyDescent="0.3">
      <c r="A4651" s="6">
        <v>45990</v>
      </c>
      <c r="B4651" s="1" t="s">
        <v>4835</v>
      </c>
      <c r="C4651" s="1" t="s">
        <v>27</v>
      </c>
      <c r="D4651" t="s">
        <v>33</v>
      </c>
      <c r="E4651" t="s">
        <v>431</v>
      </c>
      <c r="F4651" t="s">
        <v>23</v>
      </c>
      <c r="G4651" t="s">
        <v>25</v>
      </c>
      <c r="H4651" s="3">
        <v>4</v>
      </c>
      <c r="I4651" s="3">
        <v>3936</v>
      </c>
      <c r="J4651" s="3">
        <v>15744</v>
      </c>
      <c r="K4651" s="3">
        <v>3200</v>
      </c>
      <c r="L4651" s="3">
        <v>12800</v>
      </c>
      <c r="M4651" s="3">
        <v>2944</v>
      </c>
      <c r="N4651" s="4">
        <v>0.18699186991869918</v>
      </c>
    </row>
    <row r="4652" spans="1:14" x14ac:dyDescent="0.3">
      <c r="A4652" s="6">
        <v>45990</v>
      </c>
      <c r="B4652" s="1" t="s">
        <v>4836</v>
      </c>
      <c r="C4652" s="1" t="s">
        <v>28</v>
      </c>
      <c r="D4652" t="s">
        <v>34</v>
      </c>
      <c r="E4652" t="s">
        <v>88</v>
      </c>
      <c r="F4652" t="s">
        <v>16</v>
      </c>
      <c r="G4652" t="s">
        <v>15</v>
      </c>
      <c r="H4652" s="3">
        <v>6</v>
      </c>
      <c r="I4652" s="3">
        <v>52060.000000000007</v>
      </c>
      <c r="J4652" s="3">
        <v>312360.00000000006</v>
      </c>
      <c r="K4652" s="3">
        <v>38000</v>
      </c>
      <c r="L4652" s="3">
        <v>228000</v>
      </c>
      <c r="M4652" s="3">
        <v>84360.000000000058</v>
      </c>
      <c r="N4652" s="4">
        <v>0.27007299270073004</v>
      </c>
    </row>
    <row r="4653" spans="1:14" x14ac:dyDescent="0.3">
      <c r="A4653" s="6">
        <v>45990</v>
      </c>
      <c r="B4653" s="1" t="s">
        <v>4837</v>
      </c>
      <c r="C4653" s="1" t="s">
        <v>27</v>
      </c>
      <c r="D4653" t="s">
        <v>33</v>
      </c>
      <c r="E4653" t="s">
        <v>306</v>
      </c>
      <c r="F4653" t="s">
        <v>22</v>
      </c>
      <c r="G4653" t="s">
        <v>18</v>
      </c>
      <c r="H4653" s="3">
        <v>3</v>
      </c>
      <c r="I4653" s="3">
        <v>8750</v>
      </c>
      <c r="J4653" s="3">
        <v>26250</v>
      </c>
      <c r="K4653" s="3">
        <v>7000</v>
      </c>
      <c r="L4653" s="3">
        <v>21000</v>
      </c>
      <c r="M4653" s="3">
        <v>5250</v>
      </c>
      <c r="N4653" s="4">
        <v>0.2</v>
      </c>
    </row>
    <row r="4654" spans="1:14" x14ac:dyDescent="0.3">
      <c r="A4654" s="6">
        <v>45990</v>
      </c>
      <c r="B4654" s="1" t="s">
        <v>4838</v>
      </c>
      <c r="C4654" s="1" t="s">
        <v>26</v>
      </c>
      <c r="D4654" t="s">
        <v>30</v>
      </c>
      <c r="E4654" t="s">
        <v>37</v>
      </c>
      <c r="F4654" t="s">
        <v>22</v>
      </c>
      <c r="G4654" t="s">
        <v>18</v>
      </c>
      <c r="H4654" s="3">
        <v>8</v>
      </c>
      <c r="I4654" s="3">
        <v>9800</v>
      </c>
      <c r="J4654" s="3">
        <v>78400</v>
      </c>
      <c r="K4654" s="3">
        <v>7000</v>
      </c>
      <c r="L4654" s="3">
        <v>56000</v>
      </c>
      <c r="M4654" s="3">
        <v>22400</v>
      </c>
      <c r="N4654" s="4">
        <v>0.2857142857142857</v>
      </c>
    </row>
    <row r="4655" spans="1:14" x14ac:dyDescent="0.3">
      <c r="A4655" s="6">
        <v>45990</v>
      </c>
      <c r="B4655" s="1" t="s">
        <v>4839</v>
      </c>
      <c r="C4655" s="1" t="s">
        <v>27</v>
      </c>
      <c r="D4655" t="s">
        <v>32</v>
      </c>
      <c r="E4655" t="s">
        <v>415</v>
      </c>
      <c r="F4655" t="s">
        <v>19</v>
      </c>
      <c r="G4655" t="s">
        <v>20</v>
      </c>
      <c r="H4655" s="3">
        <v>7</v>
      </c>
      <c r="I4655" s="3">
        <v>1206</v>
      </c>
      <c r="J4655" s="3">
        <v>8442</v>
      </c>
      <c r="K4655" s="3">
        <v>900</v>
      </c>
      <c r="L4655" s="3">
        <v>6300</v>
      </c>
      <c r="M4655" s="3">
        <v>2142</v>
      </c>
      <c r="N4655" s="4">
        <v>0.2537313432835821</v>
      </c>
    </row>
    <row r="4656" spans="1:14" x14ac:dyDescent="0.3">
      <c r="A4656" s="6">
        <v>45990</v>
      </c>
      <c r="B4656" s="1" t="s">
        <v>4840</v>
      </c>
      <c r="C4656" s="1" t="s">
        <v>28</v>
      </c>
      <c r="D4656" t="s">
        <v>34</v>
      </c>
      <c r="E4656" t="s">
        <v>163</v>
      </c>
      <c r="F4656" t="s">
        <v>22</v>
      </c>
      <c r="G4656" t="s">
        <v>18</v>
      </c>
      <c r="H4656" s="3">
        <v>4</v>
      </c>
      <c r="I4656" s="3">
        <v>10080</v>
      </c>
      <c r="J4656" s="3">
        <v>40320</v>
      </c>
      <c r="K4656" s="3">
        <v>7000</v>
      </c>
      <c r="L4656" s="3">
        <v>28000</v>
      </c>
      <c r="M4656" s="3">
        <v>12320</v>
      </c>
      <c r="N4656" s="4">
        <v>0.30555555555555558</v>
      </c>
    </row>
    <row r="4657" spans="1:14" x14ac:dyDescent="0.3">
      <c r="A4657" s="6">
        <v>45990</v>
      </c>
      <c r="B4657" s="1" t="s">
        <v>4841</v>
      </c>
      <c r="C4657" s="1" t="s">
        <v>29</v>
      </c>
      <c r="D4657" t="s">
        <v>34</v>
      </c>
      <c r="E4657" t="s">
        <v>134</v>
      </c>
      <c r="F4657" t="s">
        <v>19</v>
      </c>
      <c r="G4657" t="s">
        <v>20</v>
      </c>
      <c r="H4657" s="3">
        <v>5</v>
      </c>
      <c r="I4657" s="3">
        <v>1080</v>
      </c>
      <c r="J4657" s="3">
        <v>5400</v>
      </c>
      <c r="K4657" s="3">
        <v>900</v>
      </c>
      <c r="L4657" s="3">
        <v>4500</v>
      </c>
      <c r="M4657" s="3">
        <v>900</v>
      </c>
      <c r="N4657" s="4">
        <v>0.16666666666666666</v>
      </c>
    </row>
    <row r="4658" spans="1:14" x14ac:dyDescent="0.3">
      <c r="A4658" s="6">
        <v>45990</v>
      </c>
      <c r="B4658" s="1" t="s">
        <v>4842</v>
      </c>
      <c r="C4658" s="1" t="s">
        <v>29</v>
      </c>
      <c r="D4658" t="s">
        <v>31</v>
      </c>
      <c r="E4658" t="s">
        <v>400</v>
      </c>
      <c r="F4658" t="s">
        <v>22</v>
      </c>
      <c r="G4658" t="s">
        <v>18</v>
      </c>
      <c r="H4658" s="3">
        <v>7</v>
      </c>
      <c r="I4658" s="3">
        <v>8820</v>
      </c>
      <c r="J4658" s="3">
        <v>61740</v>
      </c>
      <c r="K4658" s="3">
        <v>7000</v>
      </c>
      <c r="L4658" s="3">
        <v>49000</v>
      </c>
      <c r="M4658" s="3">
        <v>12740</v>
      </c>
      <c r="N4658" s="4">
        <v>0.20634920634920634</v>
      </c>
    </row>
    <row r="4659" spans="1:14" x14ac:dyDescent="0.3">
      <c r="A4659" s="6">
        <v>45990</v>
      </c>
      <c r="B4659" s="1" t="s">
        <v>4843</v>
      </c>
      <c r="C4659" s="1" t="s">
        <v>28</v>
      </c>
      <c r="D4659" t="s">
        <v>33</v>
      </c>
      <c r="E4659" t="s">
        <v>935</v>
      </c>
      <c r="F4659" t="s">
        <v>24</v>
      </c>
      <c r="G4659" t="s">
        <v>25</v>
      </c>
      <c r="H4659" s="3">
        <v>10</v>
      </c>
      <c r="I4659" s="3">
        <v>3125</v>
      </c>
      <c r="J4659" s="3">
        <v>31250</v>
      </c>
      <c r="K4659" s="3">
        <v>2500</v>
      </c>
      <c r="L4659" s="3">
        <v>25000</v>
      </c>
      <c r="M4659" s="3">
        <v>6250</v>
      </c>
      <c r="N4659" s="4">
        <v>0.2</v>
      </c>
    </row>
    <row r="4660" spans="1:14" x14ac:dyDescent="0.3">
      <c r="A4660" s="6">
        <v>45990</v>
      </c>
      <c r="B4660" s="1" t="s">
        <v>4844</v>
      </c>
      <c r="C4660" s="1" t="s">
        <v>28</v>
      </c>
      <c r="D4660" t="s">
        <v>32</v>
      </c>
      <c r="E4660" t="s">
        <v>249</v>
      </c>
      <c r="F4660" t="s">
        <v>14</v>
      </c>
      <c r="G4660" t="s">
        <v>15</v>
      </c>
      <c r="H4660" s="3">
        <v>8</v>
      </c>
      <c r="I4660" s="3">
        <v>62550.000000000007</v>
      </c>
      <c r="J4660" s="3">
        <v>500400.00000000006</v>
      </c>
      <c r="K4660" s="3">
        <v>45000</v>
      </c>
      <c r="L4660" s="3">
        <v>360000</v>
      </c>
      <c r="M4660" s="3">
        <v>140400.00000000006</v>
      </c>
      <c r="N4660" s="4">
        <v>0.28057553956834541</v>
      </c>
    </row>
    <row r="4661" spans="1:14" x14ac:dyDescent="0.3">
      <c r="A4661" s="6">
        <v>45990</v>
      </c>
      <c r="B4661" s="1" t="s">
        <v>4845</v>
      </c>
      <c r="C4661" s="1" t="s">
        <v>27</v>
      </c>
      <c r="D4661" t="s">
        <v>30</v>
      </c>
      <c r="E4661" t="s">
        <v>222</v>
      </c>
      <c r="F4661" t="s">
        <v>23</v>
      </c>
      <c r="G4661" t="s">
        <v>25</v>
      </c>
      <c r="H4661" s="3">
        <v>3</v>
      </c>
      <c r="I4661" s="3">
        <v>4640</v>
      </c>
      <c r="J4661" s="3">
        <v>13920</v>
      </c>
      <c r="K4661" s="3">
        <v>3200</v>
      </c>
      <c r="L4661" s="3">
        <v>9600</v>
      </c>
      <c r="M4661" s="3">
        <v>4320</v>
      </c>
      <c r="N4661" s="4">
        <v>0.31034482758620691</v>
      </c>
    </row>
    <row r="4662" spans="1:14" x14ac:dyDescent="0.3">
      <c r="A4662" s="6">
        <v>45991</v>
      </c>
      <c r="B4662" s="1" t="s">
        <v>4846</v>
      </c>
      <c r="C4662" s="1" t="s">
        <v>29</v>
      </c>
      <c r="D4662" t="s">
        <v>30</v>
      </c>
      <c r="E4662" t="s">
        <v>81</v>
      </c>
      <c r="F4662" t="s">
        <v>17</v>
      </c>
      <c r="G4662" t="s">
        <v>18</v>
      </c>
      <c r="H4662" s="3">
        <v>7</v>
      </c>
      <c r="I4662" s="3">
        <v>10455</v>
      </c>
      <c r="J4662" s="3">
        <v>73185</v>
      </c>
      <c r="K4662" s="3">
        <v>8500</v>
      </c>
      <c r="L4662" s="3">
        <v>59500</v>
      </c>
      <c r="M4662" s="3">
        <v>13685</v>
      </c>
      <c r="N4662" s="4">
        <v>0.18699186991869918</v>
      </c>
    </row>
    <row r="4663" spans="1:14" x14ac:dyDescent="0.3">
      <c r="A4663" s="6">
        <v>45991</v>
      </c>
      <c r="B4663" s="1" t="s">
        <v>4847</v>
      </c>
      <c r="C4663" s="1" t="s">
        <v>28</v>
      </c>
      <c r="D4663" t="s">
        <v>32</v>
      </c>
      <c r="E4663" t="s">
        <v>39</v>
      </c>
      <c r="F4663" t="s">
        <v>23</v>
      </c>
      <c r="G4663" t="s">
        <v>25</v>
      </c>
      <c r="H4663" s="3">
        <v>1</v>
      </c>
      <c r="I4663" s="3">
        <v>4480</v>
      </c>
      <c r="J4663" s="3">
        <v>4480</v>
      </c>
      <c r="K4663" s="3">
        <v>3200</v>
      </c>
      <c r="L4663" s="3">
        <v>3200</v>
      </c>
      <c r="M4663" s="3">
        <v>1280</v>
      </c>
      <c r="N4663" s="4">
        <v>0.2857142857142857</v>
      </c>
    </row>
    <row r="4664" spans="1:14" x14ac:dyDescent="0.3">
      <c r="A4664" s="6">
        <v>45991</v>
      </c>
      <c r="B4664" s="1" t="s">
        <v>4848</v>
      </c>
      <c r="C4664" s="1" t="s">
        <v>29</v>
      </c>
      <c r="D4664" t="s">
        <v>34</v>
      </c>
      <c r="E4664" t="s">
        <v>78</v>
      </c>
      <c r="F4664" t="s">
        <v>14</v>
      </c>
      <c r="G4664" t="s">
        <v>15</v>
      </c>
      <c r="H4664" s="3">
        <v>8</v>
      </c>
      <c r="I4664" s="3">
        <v>59850</v>
      </c>
      <c r="J4664" s="3">
        <v>478800</v>
      </c>
      <c r="K4664" s="3">
        <v>45000</v>
      </c>
      <c r="L4664" s="3">
        <v>360000</v>
      </c>
      <c r="M4664" s="3">
        <v>118800</v>
      </c>
      <c r="N4664" s="4">
        <v>0.24812030075187969</v>
      </c>
    </row>
    <row r="4665" spans="1:14" x14ac:dyDescent="0.3">
      <c r="A4665" s="6">
        <v>45991</v>
      </c>
      <c r="B4665" s="1" t="s">
        <v>4849</v>
      </c>
      <c r="C4665" s="1" t="s">
        <v>28</v>
      </c>
      <c r="D4665" t="s">
        <v>35</v>
      </c>
      <c r="E4665" t="s">
        <v>166</v>
      </c>
      <c r="F4665" t="s">
        <v>19</v>
      </c>
      <c r="G4665" t="s">
        <v>20</v>
      </c>
      <c r="H4665" s="3">
        <v>4</v>
      </c>
      <c r="I4665" s="3">
        <v>1287</v>
      </c>
      <c r="J4665" s="3">
        <v>5148</v>
      </c>
      <c r="K4665" s="3">
        <v>900</v>
      </c>
      <c r="L4665" s="3">
        <v>3600</v>
      </c>
      <c r="M4665" s="3">
        <v>1548</v>
      </c>
      <c r="N4665" s="4">
        <v>0.30069930069930068</v>
      </c>
    </row>
    <row r="4666" spans="1:14" x14ac:dyDescent="0.3">
      <c r="A4666" s="6">
        <v>45991</v>
      </c>
      <c r="B4666" s="1" t="s">
        <v>4850</v>
      </c>
      <c r="C4666" s="1" t="s">
        <v>26</v>
      </c>
      <c r="D4666" t="s">
        <v>31</v>
      </c>
      <c r="E4666" t="s">
        <v>129</v>
      </c>
      <c r="F4666" t="s">
        <v>16</v>
      </c>
      <c r="G4666" t="s">
        <v>15</v>
      </c>
      <c r="H4666" s="3">
        <v>4</v>
      </c>
      <c r="I4666" s="3">
        <v>47880</v>
      </c>
      <c r="J4666" s="3">
        <v>191520</v>
      </c>
      <c r="K4666" s="3">
        <v>38000</v>
      </c>
      <c r="L4666" s="3">
        <v>152000</v>
      </c>
      <c r="M4666" s="3">
        <v>39520</v>
      </c>
      <c r="N4666" s="4">
        <v>0.20634920634920634</v>
      </c>
    </row>
    <row r="4667" spans="1:14" x14ac:dyDescent="0.3">
      <c r="A4667" s="6">
        <v>45991</v>
      </c>
      <c r="B4667" s="1" t="s">
        <v>4851</v>
      </c>
      <c r="C4667" s="1" t="s">
        <v>26</v>
      </c>
      <c r="D4667" t="s">
        <v>35</v>
      </c>
      <c r="E4667" t="s">
        <v>424</v>
      </c>
      <c r="F4667" t="s">
        <v>14</v>
      </c>
      <c r="G4667" t="s">
        <v>15</v>
      </c>
      <c r="H4667" s="3">
        <v>10</v>
      </c>
      <c r="I4667" s="3">
        <v>62550.000000000007</v>
      </c>
      <c r="J4667" s="3">
        <v>625500.00000000012</v>
      </c>
      <c r="K4667" s="3">
        <v>45000</v>
      </c>
      <c r="L4667" s="3">
        <v>450000</v>
      </c>
      <c r="M4667" s="3">
        <v>175500.00000000012</v>
      </c>
      <c r="N4667" s="4">
        <v>0.28057553956834547</v>
      </c>
    </row>
    <row r="4668" spans="1:14" x14ac:dyDescent="0.3">
      <c r="A4668" s="6">
        <v>45991</v>
      </c>
      <c r="B4668" s="1" t="s">
        <v>4852</v>
      </c>
      <c r="C4668" s="1" t="s">
        <v>29</v>
      </c>
      <c r="D4668" t="s">
        <v>32</v>
      </c>
      <c r="E4668" t="s">
        <v>263</v>
      </c>
      <c r="F4668" t="s">
        <v>23</v>
      </c>
      <c r="G4668" t="s">
        <v>25</v>
      </c>
      <c r="H4668" s="3">
        <v>4</v>
      </c>
      <c r="I4668" s="3">
        <v>3936</v>
      </c>
      <c r="J4668" s="3">
        <v>15744</v>
      </c>
      <c r="K4668" s="3">
        <v>3200</v>
      </c>
      <c r="L4668" s="3">
        <v>12800</v>
      </c>
      <c r="M4668" s="3">
        <v>2944</v>
      </c>
      <c r="N4668" s="4">
        <v>0.18699186991869918</v>
      </c>
    </row>
    <row r="4669" spans="1:14" x14ac:dyDescent="0.3">
      <c r="A4669" s="6">
        <v>45991</v>
      </c>
      <c r="B4669" s="1" t="s">
        <v>4853</v>
      </c>
      <c r="C4669" s="1" t="s">
        <v>27</v>
      </c>
      <c r="D4669" t="s">
        <v>35</v>
      </c>
      <c r="E4669" t="s">
        <v>222</v>
      </c>
      <c r="F4669" t="s">
        <v>14</v>
      </c>
      <c r="G4669" t="s">
        <v>15</v>
      </c>
      <c r="H4669" s="3">
        <v>6</v>
      </c>
      <c r="I4669" s="3">
        <v>58950</v>
      </c>
      <c r="J4669" s="3">
        <v>353700</v>
      </c>
      <c r="K4669" s="3">
        <v>45000</v>
      </c>
      <c r="L4669" s="3">
        <v>270000</v>
      </c>
      <c r="M4669" s="3">
        <v>83700</v>
      </c>
      <c r="N4669" s="4">
        <v>0.23664122137404581</v>
      </c>
    </row>
    <row r="4670" spans="1:14" x14ac:dyDescent="0.3">
      <c r="A4670" s="6">
        <v>45991</v>
      </c>
      <c r="B4670" s="1" t="s">
        <v>4854</v>
      </c>
      <c r="C4670" s="1" t="s">
        <v>26</v>
      </c>
      <c r="D4670" t="s">
        <v>34</v>
      </c>
      <c r="E4670" t="s">
        <v>55</v>
      </c>
      <c r="F4670" t="s">
        <v>17</v>
      </c>
      <c r="G4670" t="s">
        <v>18</v>
      </c>
      <c r="H4670" s="3">
        <v>8</v>
      </c>
      <c r="I4670" s="3">
        <v>10795</v>
      </c>
      <c r="J4670" s="3">
        <v>86360</v>
      </c>
      <c r="K4670" s="3">
        <v>8500</v>
      </c>
      <c r="L4670" s="3">
        <v>68000</v>
      </c>
      <c r="M4670" s="3">
        <v>18360</v>
      </c>
      <c r="N4670" s="4">
        <v>0.2125984251968504</v>
      </c>
    </row>
    <row r="4671" spans="1:14" x14ac:dyDescent="0.3">
      <c r="A4671" s="6">
        <v>45991</v>
      </c>
      <c r="B4671" s="1" t="s">
        <v>4855</v>
      </c>
      <c r="C4671" s="1" t="s">
        <v>28</v>
      </c>
      <c r="D4671" t="s">
        <v>33</v>
      </c>
      <c r="E4671" t="s">
        <v>110</v>
      </c>
      <c r="F4671" t="s">
        <v>24</v>
      </c>
      <c r="G4671" t="s">
        <v>25</v>
      </c>
      <c r="H4671" s="3">
        <v>4</v>
      </c>
      <c r="I4671" s="3">
        <v>3350</v>
      </c>
      <c r="J4671" s="3">
        <v>13400</v>
      </c>
      <c r="K4671" s="3">
        <v>2500</v>
      </c>
      <c r="L4671" s="3">
        <v>10000</v>
      </c>
      <c r="M4671" s="3">
        <v>3400</v>
      </c>
      <c r="N4671" s="4">
        <v>0.2537313432835821</v>
      </c>
    </row>
    <row r="4672" spans="1:14" x14ac:dyDescent="0.3">
      <c r="A4672" s="6">
        <v>45991</v>
      </c>
      <c r="B4672" s="1" t="s">
        <v>4856</v>
      </c>
      <c r="C4672" s="1" t="s">
        <v>26</v>
      </c>
      <c r="D4672" t="s">
        <v>35</v>
      </c>
      <c r="E4672" t="s">
        <v>74</v>
      </c>
      <c r="F4672" t="s">
        <v>24</v>
      </c>
      <c r="G4672" t="s">
        <v>25</v>
      </c>
      <c r="H4672" s="3">
        <v>10</v>
      </c>
      <c r="I4672" s="3">
        <v>3399.9999999999995</v>
      </c>
      <c r="J4672" s="3">
        <v>33999.999999999993</v>
      </c>
      <c r="K4672" s="3">
        <v>2500</v>
      </c>
      <c r="L4672" s="3">
        <v>25000</v>
      </c>
      <c r="M4672" s="3">
        <v>8999.9999999999927</v>
      </c>
      <c r="N4672" s="4">
        <v>0.26470588235294101</v>
      </c>
    </row>
    <row r="4673" spans="1:14" x14ac:dyDescent="0.3">
      <c r="A4673" s="6">
        <v>45991</v>
      </c>
      <c r="B4673" s="1" t="s">
        <v>4857</v>
      </c>
      <c r="C4673" s="1" t="s">
        <v>29</v>
      </c>
      <c r="D4673" t="s">
        <v>34</v>
      </c>
      <c r="E4673" t="s">
        <v>92</v>
      </c>
      <c r="F4673" t="s">
        <v>16</v>
      </c>
      <c r="G4673" t="s">
        <v>15</v>
      </c>
      <c r="H4673" s="3">
        <v>8</v>
      </c>
      <c r="I4673" s="3">
        <v>49020</v>
      </c>
      <c r="J4673" s="3">
        <v>392160</v>
      </c>
      <c r="K4673" s="3">
        <v>38000</v>
      </c>
      <c r="L4673" s="3">
        <v>304000</v>
      </c>
      <c r="M4673" s="3">
        <v>88160</v>
      </c>
      <c r="N4673" s="4">
        <v>0.22480620155038761</v>
      </c>
    </row>
    <row r="4674" spans="1:14" x14ac:dyDescent="0.3">
      <c r="A4674" s="6">
        <v>45991</v>
      </c>
      <c r="B4674" s="1" t="s">
        <v>4858</v>
      </c>
      <c r="C4674" s="1" t="s">
        <v>28</v>
      </c>
      <c r="D4674" t="s">
        <v>32</v>
      </c>
      <c r="E4674" t="s">
        <v>145</v>
      </c>
      <c r="F4674" t="s">
        <v>16</v>
      </c>
      <c r="G4674" t="s">
        <v>15</v>
      </c>
      <c r="H4674" s="3">
        <v>6</v>
      </c>
      <c r="I4674" s="3">
        <v>45980</v>
      </c>
      <c r="J4674" s="3">
        <v>275880</v>
      </c>
      <c r="K4674" s="3">
        <v>38000</v>
      </c>
      <c r="L4674" s="3">
        <v>228000</v>
      </c>
      <c r="M4674" s="3">
        <v>47880</v>
      </c>
      <c r="N4674" s="4">
        <v>0.17355371900826447</v>
      </c>
    </row>
    <row r="4675" spans="1:14" x14ac:dyDescent="0.3">
      <c r="A4675" s="6">
        <v>45991</v>
      </c>
      <c r="B4675" s="1" t="s">
        <v>4859</v>
      </c>
      <c r="C4675" s="1" t="s">
        <v>28</v>
      </c>
      <c r="D4675" t="s">
        <v>30</v>
      </c>
      <c r="E4675" t="s">
        <v>390</v>
      </c>
      <c r="F4675" t="s">
        <v>21</v>
      </c>
      <c r="G4675" t="s">
        <v>20</v>
      </c>
      <c r="H4675" s="3">
        <v>5</v>
      </c>
      <c r="I4675" s="3">
        <v>822.00000000000011</v>
      </c>
      <c r="J4675" s="3">
        <v>4110.0000000000009</v>
      </c>
      <c r="K4675" s="3">
        <v>600</v>
      </c>
      <c r="L4675" s="3">
        <v>3000</v>
      </c>
      <c r="M4675" s="3">
        <v>1110.0000000000009</v>
      </c>
      <c r="N4675" s="4">
        <v>0.2700729927007301</v>
      </c>
    </row>
    <row r="4676" spans="1:14" x14ac:dyDescent="0.3">
      <c r="A4676" s="6">
        <v>45992</v>
      </c>
      <c r="B4676" s="1" t="s">
        <v>4860</v>
      </c>
      <c r="C4676" s="1" t="s">
        <v>26</v>
      </c>
      <c r="D4676" t="s">
        <v>32</v>
      </c>
      <c r="E4676" t="s">
        <v>100</v>
      </c>
      <c r="F4676" t="s">
        <v>23</v>
      </c>
      <c r="G4676" t="s">
        <v>25</v>
      </c>
      <c r="H4676" s="3">
        <v>10</v>
      </c>
      <c r="I4676" s="3">
        <v>4320</v>
      </c>
      <c r="J4676" s="3">
        <v>43200</v>
      </c>
      <c r="K4676" s="3">
        <v>3200</v>
      </c>
      <c r="L4676" s="3">
        <v>32000</v>
      </c>
      <c r="M4676" s="3">
        <v>11200</v>
      </c>
      <c r="N4676" s="4">
        <v>0.25925925925925924</v>
      </c>
    </row>
    <row r="4677" spans="1:14" x14ac:dyDescent="0.3">
      <c r="A4677" s="6">
        <v>45992</v>
      </c>
      <c r="B4677" s="1" t="s">
        <v>4861</v>
      </c>
      <c r="C4677" s="1" t="s">
        <v>28</v>
      </c>
      <c r="D4677" t="s">
        <v>34</v>
      </c>
      <c r="E4677" t="s">
        <v>61</v>
      </c>
      <c r="F4677" t="s">
        <v>24</v>
      </c>
      <c r="G4677" t="s">
        <v>25</v>
      </c>
      <c r="H4677" s="3">
        <v>10</v>
      </c>
      <c r="I4677" s="3">
        <v>3300</v>
      </c>
      <c r="J4677" s="3">
        <v>33000</v>
      </c>
      <c r="K4677" s="3">
        <v>2500</v>
      </c>
      <c r="L4677" s="3">
        <v>25000</v>
      </c>
      <c r="M4677" s="3">
        <v>8000</v>
      </c>
      <c r="N4677" s="4">
        <v>0.24242424242424243</v>
      </c>
    </row>
    <row r="4678" spans="1:14" x14ac:dyDescent="0.3">
      <c r="A4678" s="6">
        <v>45992</v>
      </c>
      <c r="B4678" s="1" t="s">
        <v>4862</v>
      </c>
      <c r="C4678" s="1" t="s">
        <v>29</v>
      </c>
      <c r="D4678" t="s">
        <v>30</v>
      </c>
      <c r="E4678" t="s">
        <v>349</v>
      </c>
      <c r="F4678" t="s">
        <v>24</v>
      </c>
      <c r="G4678" t="s">
        <v>25</v>
      </c>
      <c r="H4678" s="3">
        <v>3</v>
      </c>
      <c r="I4678" s="3">
        <v>3375</v>
      </c>
      <c r="J4678" s="3">
        <v>10125</v>
      </c>
      <c r="K4678" s="3">
        <v>2500</v>
      </c>
      <c r="L4678" s="3">
        <v>7500</v>
      </c>
      <c r="M4678" s="3">
        <v>2625</v>
      </c>
      <c r="N4678" s="4">
        <v>0.25925925925925924</v>
      </c>
    </row>
    <row r="4679" spans="1:14" x14ac:dyDescent="0.3">
      <c r="A4679" s="6">
        <v>45992</v>
      </c>
      <c r="B4679" s="1" t="s">
        <v>4863</v>
      </c>
      <c r="C4679" s="1" t="s">
        <v>26</v>
      </c>
      <c r="D4679" t="s">
        <v>35</v>
      </c>
      <c r="E4679" t="s">
        <v>149</v>
      </c>
      <c r="F4679" t="s">
        <v>21</v>
      </c>
      <c r="G4679" t="s">
        <v>20</v>
      </c>
      <c r="H4679" s="3">
        <v>5</v>
      </c>
      <c r="I4679" s="3">
        <v>762</v>
      </c>
      <c r="J4679" s="3">
        <v>3810</v>
      </c>
      <c r="K4679" s="3">
        <v>600</v>
      </c>
      <c r="L4679" s="3">
        <v>3000</v>
      </c>
      <c r="M4679" s="3">
        <v>810</v>
      </c>
      <c r="N4679" s="4">
        <v>0.2125984251968504</v>
      </c>
    </row>
    <row r="4680" spans="1:14" x14ac:dyDescent="0.3">
      <c r="A4680" s="6">
        <v>45992</v>
      </c>
      <c r="B4680" s="1" t="s">
        <v>4864</v>
      </c>
      <c r="C4680" s="1" t="s">
        <v>27</v>
      </c>
      <c r="D4680" t="s">
        <v>34</v>
      </c>
      <c r="E4680" t="s">
        <v>51</v>
      </c>
      <c r="F4680" t="s">
        <v>24</v>
      </c>
      <c r="G4680" t="s">
        <v>25</v>
      </c>
      <c r="H4680" s="3">
        <v>6</v>
      </c>
      <c r="I4680" s="3">
        <v>3325</v>
      </c>
      <c r="J4680" s="3">
        <v>19950</v>
      </c>
      <c r="K4680" s="3">
        <v>2500</v>
      </c>
      <c r="L4680" s="3">
        <v>15000</v>
      </c>
      <c r="M4680" s="3">
        <v>4950</v>
      </c>
      <c r="N4680" s="4">
        <v>0.24812030075187969</v>
      </c>
    </row>
    <row r="4681" spans="1:14" x14ac:dyDescent="0.3">
      <c r="A4681" s="6">
        <v>45992</v>
      </c>
      <c r="B4681" s="1" t="s">
        <v>4865</v>
      </c>
      <c r="C4681" s="1" t="s">
        <v>28</v>
      </c>
      <c r="D4681" t="s">
        <v>33</v>
      </c>
      <c r="E4681" t="s">
        <v>407</v>
      </c>
      <c r="F4681" t="s">
        <v>23</v>
      </c>
      <c r="G4681" t="s">
        <v>25</v>
      </c>
      <c r="H4681" s="3">
        <v>5</v>
      </c>
      <c r="I4681" s="3">
        <v>4352</v>
      </c>
      <c r="J4681" s="3">
        <v>21760</v>
      </c>
      <c r="K4681" s="3">
        <v>3200</v>
      </c>
      <c r="L4681" s="3">
        <v>16000</v>
      </c>
      <c r="M4681" s="3">
        <v>5760</v>
      </c>
      <c r="N4681" s="4">
        <v>0.26470588235294118</v>
      </c>
    </row>
    <row r="4682" spans="1:14" x14ac:dyDescent="0.3">
      <c r="A4682" s="6">
        <v>45992</v>
      </c>
      <c r="B4682" s="1" t="s">
        <v>4866</v>
      </c>
      <c r="C4682" s="1" t="s">
        <v>26</v>
      </c>
      <c r="D4682" t="s">
        <v>31</v>
      </c>
      <c r="E4682" t="s">
        <v>114</v>
      </c>
      <c r="F4682" t="s">
        <v>14</v>
      </c>
      <c r="G4682" t="s">
        <v>15</v>
      </c>
      <c r="H4682" s="3">
        <v>4</v>
      </c>
      <c r="I4682" s="3">
        <v>60300</v>
      </c>
      <c r="J4682" s="3">
        <v>241200</v>
      </c>
      <c r="K4682" s="3">
        <v>45000</v>
      </c>
      <c r="L4682" s="3">
        <v>180000</v>
      </c>
      <c r="M4682" s="3">
        <v>61200</v>
      </c>
      <c r="N4682" s="4">
        <v>0.2537313432835821</v>
      </c>
    </row>
    <row r="4683" spans="1:14" x14ac:dyDescent="0.3">
      <c r="A4683" s="6">
        <v>45992</v>
      </c>
      <c r="B4683" s="1" t="s">
        <v>4867</v>
      </c>
      <c r="C4683" s="1" t="s">
        <v>28</v>
      </c>
      <c r="D4683" t="s">
        <v>30</v>
      </c>
      <c r="E4683" t="s">
        <v>94</v>
      </c>
      <c r="F4683" t="s">
        <v>24</v>
      </c>
      <c r="G4683" t="s">
        <v>25</v>
      </c>
      <c r="H4683" s="3">
        <v>9</v>
      </c>
      <c r="I4683" s="3">
        <v>3325</v>
      </c>
      <c r="J4683" s="3">
        <v>29925</v>
      </c>
      <c r="K4683" s="3">
        <v>2500</v>
      </c>
      <c r="L4683" s="3">
        <v>22500</v>
      </c>
      <c r="M4683" s="3">
        <v>7425</v>
      </c>
      <c r="N4683" s="4">
        <v>0.24812030075187969</v>
      </c>
    </row>
    <row r="4684" spans="1:14" x14ac:dyDescent="0.3">
      <c r="A4684" s="6">
        <v>45992</v>
      </c>
      <c r="B4684" s="1" t="s">
        <v>4868</v>
      </c>
      <c r="C4684" s="1" t="s">
        <v>27</v>
      </c>
      <c r="D4684" t="s">
        <v>34</v>
      </c>
      <c r="E4684" t="s">
        <v>308</v>
      </c>
      <c r="F4684" t="s">
        <v>19</v>
      </c>
      <c r="G4684" t="s">
        <v>20</v>
      </c>
      <c r="H4684" s="3">
        <v>10</v>
      </c>
      <c r="I4684" s="3">
        <v>1134</v>
      </c>
      <c r="J4684" s="3">
        <v>11340</v>
      </c>
      <c r="K4684" s="3">
        <v>900</v>
      </c>
      <c r="L4684" s="3">
        <v>9000</v>
      </c>
      <c r="M4684" s="3">
        <v>2340</v>
      </c>
      <c r="N4684" s="4">
        <v>0.20634920634920634</v>
      </c>
    </row>
    <row r="4685" spans="1:14" x14ac:dyDescent="0.3">
      <c r="A4685" s="6">
        <v>45992</v>
      </c>
      <c r="B4685" s="1" t="s">
        <v>4869</v>
      </c>
      <c r="C4685" s="1" t="s">
        <v>27</v>
      </c>
      <c r="D4685" t="s">
        <v>34</v>
      </c>
      <c r="E4685" t="s">
        <v>415</v>
      </c>
      <c r="F4685" t="s">
        <v>16</v>
      </c>
      <c r="G4685" t="s">
        <v>15</v>
      </c>
      <c r="H4685" s="3">
        <v>4</v>
      </c>
      <c r="I4685" s="3">
        <v>54720</v>
      </c>
      <c r="J4685" s="3">
        <v>218880</v>
      </c>
      <c r="K4685" s="3">
        <v>38000</v>
      </c>
      <c r="L4685" s="3">
        <v>152000</v>
      </c>
      <c r="M4685" s="3">
        <v>66880</v>
      </c>
      <c r="N4685" s="4">
        <v>0.30555555555555558</v>
      </c>
    </row>
    <row r="4686" spans="1:14" x14ac:dyDescent="0.3">
      <c r="A4686" s="6">
        <v>45992</v>
      </c>
      <c r="B4686" s="1" t="s">
        <v>4870</v>
      </c>
      <c r="C4686" s="1" t="s">
        <v>27</v>
      </c>
      <c r="D4686" t="s">
        <v>35</v>
      </c>
      <c r="E4686" t="s">
        <v>206</v>
      </c>
      <c r="F4686" t="s">
        <v>22</v>
      </c>
      <c r="G4686" t="s">
        <v>18</v>
      </c>
      <c r="H4686" s="3">
        <v>5</v>
      </c>
      <c r="I4686" s="3">
        <v>8540</v>
      </c>
      <c r="J4686" s="3">
        <v>42700</v>
      </c>
      <c r="K4686" s="3">
        <v>7000</v>
      </c>
      <c r="L4686" s="3">
        <v>35000</v>
      </c>
      <c r="M4686" s="3">
        <v>7700</v>
      </c>
      <c r="N4686" s="4">
        <v>0.18032786885245902</v>
      </c>
    </row>
    <row r="4687" spans="1:14" x14ac:dyDescent="0.3">
      <c r="A4687" s="6">
        <v>45992</v>
      </c>
      <c r="B4687" s="1" t="s">
        <v>4871</v>
      </c>
      <c r="C4687" s="1" t="s">
        <v>28</v>
      </c>
      <c r="D4687" t="s">
        <v>33</v>
      </c>
      <c r="E4687" t="s">
        <v>280</v>
      </c>
      <c r="F4687" t="s">
        <v>22</v>
      </c>
      <c r="G4687" t="s">
        <v>18</v>
      </c>
      <c r="H4687" s="3">
        <v>1</v>
      </c>
      <c r="I4687" s="3">
        <v>9730</v>
      </c>
      <c r="J4687" s="3">
        <v>9730</v>
      </c>
      <c r="K4687" s="3">
        <v>7000</v>
      </c>
      <c r="L4687" s="3">
        <v>7000</v>
      </c>
      <c r="M4687" s="3">
        <v>2730</v>
      </c>
      <c r="N4687" s="4">
        <v>0.2805755395683453</v>
      </c>
    </row>
    <row r="4688" spans="1:14" x14ac:dyDescent="0.3">
      <c r="A4688" s="6">
        <v>45992</v>
      </c>
      <c r="B4688" s="1" t="s">
        <v>4872</v>
      </c>
      <c r="C4688" s="1" t="s">
        <v>29</v>
      </c>
      <c r="D4688" t="s">
        <v>33</v>
      </c>
      <c r="E4688" t="s">
        <v>369</v>
      </c>
      <c r="F4688" t="s">
        <v>23</v>
      </c>
      <c r="G4688" t="s">
        <v>25</v>
      </c>
      <c r="H4688" s="3">
        <v>4</v>
      </c>
      <c r="I4688" s="3">
        <v>4576</v>
      </c>
      <c r="J4688" s="3">
        <v>18304</v>
      </c>
      <c r="K4688" s="3">
        <v>3200</v>
      </c>
      <c r="L4688" s="3">
        <v>12800</v>
      </c>
      <c r="M4688" s="3">
        <v>5504</v>
      </c>
      <c r="N4688" s="4">
        <v>0.30069930069930068</v>
      </c>
    </row>
    <row r="4689" spans="1:14" x14ac:dyDescent="0.3">
      <c r="A4689" s="6">
        <v>45992</v>
      </c>
      <c r="B4689" s="1" t="s">
        <v>4873</v>
      </c>
      <c r="C4689" s="1" t="s">
        <v>27</v>
      </c>
      <c r="D4689" t="s">
        <v>30</v>
      </c>
      <c r="E4689" t="s">
        <v>306</v>
      </c>
      <c r="F4689" t="s">
        <v>23</v>
      </c>
      <c r="G4689" t="s">
        <v>25</v>
      </c>
      <c r="H4689" s="3">
        <v>10</v>
      </c>
      <c r="I4689" s="3">
        <v>3872</v>
      </c>
      <c r="J4689" s="3">
        <v>38720</v>
      </c>
      <c r="K4689" s="3">
        <v>3200</v>
      </c>
      <c r="L4689" s="3">
        <v>32000</v>
      </c>
      <c r="M4689" s="3">
        <v>6720</v>
      </c>
      <c r="N4689" s="4">
        <v>0.17355371900826447</v>
      </c>
    </row>
    <row r="4690" spans="1:14" x14ac:dyDescent="0.3">
      <c r="A4690" s="6">
        <v>45993</v>
      </c>
      <c r="B4690" s="1" t="s">
        <v>4874</v>
      </c>
      <c r="C4690" s="1" t="s">
        <v>27</v>
      </c>
      <c r="D4690" t="s">
        <v>35</v>
      </c>
      <c r="E4690" t="s">
        <v>565</v>
      </c>
      <c r="F4690" t="s">
        <v>17</v>
      </c>
      <c r="G4690" t="s">
        <v>18</v>
      </c>
      <c r="H4690" s="3">
        <v>6</v>
      </c>
      <c r="I4690" s="3">
        <v>12070</v>
      </c>
      <c r="J4690" s="3">
        <v>72420</v>
      </c>
      <c r="K4690" s="3">
        <v>8500</v>
      </c>
      <c r="L4690" s="3">
        <v>51000</v>
      </c>
      <c r="M4690" s="3">
        <v>21420</v>
      </c>
      <c r="N4690" s="4">
        <v>0.29577464788732394</v>
      </c>
    </row>
    <row r="4691" spans="1:14" x14ac:dyDescent="0.3">
      <c r="A4691" s="6">
        <v>45993</v>
      </c>
      <c r="B4691" s="1" t="s">
        <v>4875</v>
      </c>
      <c r="C4691" s="1" t="s">
        <v>26</v>
      </c>
      <c r="D4691" t="s">
        <v>31</v>
      </c>
      <c r="E4691" t="s">
        <v>447</v>
      </c>
      <c r="F4691" t="s">
        <v>17</v>
      </c>
      <c r="G4691" t="s">
        <v>18</v>
      </c>
      <c r="H4691" s="3">
        <v>2</v>
      </c>
      <c r="I4691" s="3">
        <v>11730</v>
      </c>
      <c r="J4691" s="3">
        <v>23460</v>
      </c>
      <c r="K4691" s="3">
        <v>8500</v>
      </c>
      <c r="L4691" s="3">
        <v>17000</v>
      </c>
      <c r="M4691" s="3">
        <v>6460</v>
      </c>
      <c r="N4691" s="4">
        <v>0.27536231884057971</v>
      </c>
    </row>
    <row r="4692" spans="1:14" x14ac:dyDescent="0.3">
      <c r="A4692" s="6">
        <v>45993</v>
      </c>
      <c r="B4692" s="1" t="s">
        <v>4876</v>
      </c>
      <c r="C4692" s="1" t="s">
        <v>27</v>
      </c>
      <c r="D4692" t="s">
        <v>31</v>
      </c>
      <c r="E4692" t="s">
        <v>379</v>
      </c>
      <c r="F4692" t="s">
        <v>14</v>
      </c>
      <c r="G4692" t="s">
        <v>15</v>
      </c>
      <c r="H4692" s="3">
        <v>1</v>
      </c>
      <c r="I4692" s="3">
        <v>64800</v>
      </c>
      <c r="J4692" s="3">
        <v>64800</v>
      </c>
      <c r="K4692" s="3">
        <v>45000</v>
      </c>
      <c r="L4692" s="3">
        <v>45000</v>
      </c>
      <c r="M4692" s="3">
        <v>19800</v>
      </c>
      <c r="N4692" s="4">
        <v>0.30555555555555558</v>
      </c>
    </row>
    <row r="4693" spans="1:14" x14ac:dyDescent="0.3">
      <c r="A4693" s="6">
        <v>45993</v>
      </c>
      <c r="B4693" s="1" t="s">
        <v>4877</v>
      </c>
      <c r="C4693" s="1" t="s">
        <v>27</v>
      </c>
      <c r="D4693" t="s">
        <v>34</v>
      </c>
      <c r="E4693" t="s">
        <v>255</v>
      </c>
      <c r="F4693" t="s">
        <v>23</v>
      </c>
      <c r="G4693" t="s">
        <v>25</v>
      </c>
      <c r="H4693" s="3">
        <v>2</v>
      </c>
      <c r="I4693" s="3">
        <v>4192</v>
      </c>
      <c r="J4693" s="3">
        <v>8384</v>
      </c>
      <c r="K4693" s="3">
        <v>3200</v>
      </c>
      <c r="L4693" s="3">
        <v>6400</v>
      </c>
      <c r="M4693" s="3">
        <v>1984</v>
      </c>
      <c r="N4693" s="4">
        <v>0.23664122137404581</v>
      </c>
    </row>
    <row r="4694" spans="1:14" x14ac:dyDescent="0.3">
      <c r="A4694" s="6">
        <v>45993</v>
      </c>
      <c r="B4694" s="1" t="s">
        <v>4878</v>
      </c>
      <c r="C4694" s="1" t="s">
        <v>29</v>
      </c>
      <c r="D4694" t="s">
        <v>34</v>
      </c>
      <c r="E4694" t="s">
        <v>447</v>
      </c>
      <c r="F4694" t="s">
        <v>14</v>
      </c>
      <c r="G4694" t="s">
        <v>15</v>
      </c>
      <c r="H4694" s="3">
        <v>7</v>
      </c>
      <c r="I4694" s="3">
        <v>58950</v>
      </c>
      <c r="J4694" s="3">
        <v>412650</v>
      </c>
      <c r="K4694" s="3">
        <v>45000</v>
      </c>
      <c r="L4694" s="3">
        <v>315000</v>
      </c>
      <c r="M4694" s="3">
        <v>97650</v>
      </c>
      <c r="N4694" s="4">
        <v>0.23664122137404581</v>
      </c>
    </row>
    <row r="4695" spans="1:14" x14ac:dyDescent="0.3">
      <c r="A4695" s="6">
        <v>45993</v>
      </c>
      <c r="B4695" s="1" t="s">
        <v>4879</v>
      </c>
      <c r="C4695" s="1" t="s">
        <v>29</v>
      </c>
      <c r="D4695" t="s">
        <v>30</v>
      </c>
      <c r="E4695" t="s">
        <v>83</v>
      </c>
      <c r="F4695" t="s">
        <v>22</v>
      </c>
      <c r="G4695" t="s">
        <v>18</v>
      </c>
      <c r="H4695" s="3">
        <v>5</v>
      </c>
      <c r="I4695" s="3">
        <v>10080</v>
      </c>
      <c r="J4695" s="3">
        <v>50400</v>
      </c>
      <c r="K4695" s="3">
        <v>7000</v>
      </c>
      <c r="L4695" s="3">
        <v>35000</v>
      </c>
      <c r="M4695" s="3">
        <v>15400</v>
      </c>
      <c r="N4695" s="4">
        <v>0.30555555555555558</v>
      </c>
    </row>
    <row r="4696" spans="1:14" x14ac:dyDescent="0.3">
      <c r="A4696" s="6">
        <v>45993</v>
      </c>
      <c r="B4696" s="1" t="s">
        <v>4880</v>
      </c>
      <c r="C4696" s="1" t="s">
        <v>28</v>
      </c>
      <c r="D4696" t="s">
        <v>32</v>
      </c>
      <c r="E4696" t="s">
        <v>94</v>
      </c>
      <c r="F4696" t="s">
        <v>21</v>
      </c>
      <c r="G4696" t="s">
        <v>20</v>
      </c>
      <c r="H4696" s="3">
        <v>9</v>
      </c>
      <c r="I4696" s="3">
        <v>744</v>
      </c>
      <c r="J4696" s="3">
        <v>6696</v>
      </c>
      <c r="K4696" s="3">
        <v>600</v>
      </c>
      <c r="L4696" s="3">
        <v>5400</v>
      </c>
      <c r="M4696" s="3">
        <v>1296</v>
      </c>
      <c r="N4696" s="4">
        <v>0.19354838709677419</v>
      </c>
    </row>
    <row r="4697" spans="1:14" x14ac:dyDescent="0.3">
      <c r="A4697" s="6">
        <v>45993</v>
      </c>
      <c r="B4697" s="1" t="s">
        <v>4881</v>
      </c>
      <c r="C4697" s="1" t="s">
        <v>29</v>
      </c>
      <c r="D4697" t="s">
        <v>35</v>
      </c>
      <c r="E4697" t="s">
        <v>524</v>
      </c>
      <c r="F4697" t="s">
        <v>14</v>
      </c>
      <c r="G4697" t="s">
        <v>15</v>
      </c>
      <c r="H4697" s="3">
        <v>8</v>
      </c>
      <c r="I4697" s="3">
        <v>62999.999999999993</v>
      </c>
      <c r="J4697" s="3">
        <v>503999.99999999994</v>
      </c>
      <c r="K4697" s="3">
        <v>45000</v>
      </c>
      <c r="L4697" s="3">
        <v>360000</v>
      </c>
      <c r="M4697" s="3">
        <v>143999.99999999994</v>
      </c>
      <c r="N4697" s="4">
        <v>0.28571428571428564</v>
      </c>
    </row>
    <row r="4698" spans="1:14" x14ac:dyDescent="0.3">
      <c r="A4698" s="6">
        <v>45993</v>
      </c>
      <c r="B4698" s="1" t="s">
        <v>4882</v>
      </c>
      <c r="C4698" s="1" t="s">
        <v>26</v>
      </c>
      <c r="D4698" t="s">
        <v>33</v>
      </c>
      <c r="E4698" t="s">
        <v>159</v>
      </c>
      <c r="F4698" t="s">
        <v>24</v>
      </c>
      <c r="G4698" t="s">
        <v>25</v>
      </c>
      <c r="H4698" s="3">
        <v>3</v>
      </c>
      <c r="I4698" s="3">
        <v>3300</v>
      </c>
      <c r="J4698" s="3">
        <v>9900</v>
      </c>
      <c r="K4698" s="3">
        <v>2500</v>
      </c>
      <c r="L4698" s="3">
        <v>7500</v>
      </c>
      <c r="M4698" s="3">
        <v>2400</v>
      </c>
      <c r="N4698" s="4">
        <v>0.24242424242424243</v>
      </c>
    </row>
    <row r="4699" spans="1:14" x14ac:dyDescent="0.3">
      <c r="A4699" s="6">
        <v>45993</v>
      </c>
      <c r="B4699" s="1" t="s">
        <v>4883</v>
      </c>
      <c r="C4699" s="1" t="s">
        <v>29</v>
      </c>
      <c r="D4699" t="s">
        <v>35</v>
      </c>
      <c r="E4699" t="s">
        <v>239</v>
      </c>
      <c r="F4699" t="s">
        <v>16</v>
      </c>
      <c r="G4699" t="s">
        <v>15</v>
      </c>
      <c r="H4699" s="3">
        <v>2</v>
      </c>
      <c r="I4699" s="3">
        <v>51300</v>
      </c>
      <c r="J4699" s="3">
        <v>102600</v>
      </c>
      <c r="K4699" s="3">
        <v>38000</v>
      </c>
      <c r="L4699" s="3">
        <v>76000</v>
      </c>
      <c r="M4699" s="3">
        <v>26600</v>
      </c>
      <c r="N4699" s="4">
        <v>0.25925925925925924</v>
      </c>
    </row>
    <row r="4700" spans="1:14" x14ac:dyDescent="0.3">
      <c r="A4700" s="6">
        <v>45993</v>
      </c>
      <c r="B4700" s="1" t="s">
        <v>4884</v>
      </c>
      <c r="C4700" s="1" t="s">
        <v>27</v>
      </c>
      <c r="D4700" t="s">
        <v>32</v>
      </c>
      <c r="E4700" t="s">
        <v>83</v>
      </c>
      <c r="F4700" t="s">
        <v>19</v>
      </c>
      <c r="G4700" t="s">
        <v>20</v>
      </c>
      <c r="H4700" s="3">
        <v>9</v>
      </c>
      <c r="I4700" s="3">
        <v>1296</v>
      </c>
      <c r="J4700" s="3">
        <v>11664</v>
      </c>
      <c r="K4700" s="3">
        <v>900</v>
      </c>
      <c r="L4700" s="3">
        <v>8100</v>
      </c>
      <c r="M4700" s="3">
        <v>3564</v>
      </c>
      <c r="N4700" s="4">
        <v>0.30555555555555558</v>
      </c>
    </row>
    <row r="4701" spans="1:14" x14ac:dyDescent="0.3">
      <c r="A4701" s="6">
        <v>45993</v>
      </c>
      <c r="B4701" s="1" t="s">
        <v>4885</v>
      </c>
      <c r="C4701" s="1" t="s">
        <v>27</v>
      </c>
      <c r="D4701" t="s">
        <v>30</v>
      </c>
      <c r="E4701" t="s">
        <v>59</v>
      </c>
      <c r="F4701" t="s">
        <v>19</v>
      </c>
      <c r="G4701" t="s">
        <v>20</v>
      </c>
      <c r="H4701" s="3">
        <v>2</v>
      </c>
      <c r="I4701" s="3">
        <v>1269</v>
      </c>
      <c r="J4701" s="3">
        <v>2538</v>
      </c>
      <c r="K4701" s="3">
        <v>900</v>
      </c>
      <c r="L4701" s="3">
        <v>1800</v>
      </c>
      <c r="M4701" s="3">
        <v>738</v>
      </c>
      <c r="N4701" s="4">
        <v>0.29078014184397161</v>
      </c>
    </row>
    <row r="4702" spans="1:14" x14ac:dyDescent="0.3">
      <c r="A4702" s="6">
        <v>45993</v>
      </c>
      <c r="B4702" s="1" t="s">
        <v>4886</v>
      </c>
      <c r="C4702" s="1" t="s">
        <v>28</v>
      </c>
      <c r="D4702" t="s">
        <v>34</v>
      </c>
      <c r="E4702" t="s">
        <v>72</v>
      </c>
      <c r="F4702" t="s">
        <v>22</v>
      </c>
      <c r="G4702" t="s">
        <v>18</v>
      </c>
      <c r="H4702" s="3">
        <v>4</v>
      </c>
      <c r="I4702" s="3">
        <v>8470</v>
      </c>
      <c r="J4702" s="3">
        <v>33880</v>
      </c>
      <c r="K4702" s="3">
        <v>7000</v>
      </c>
      <c r="L4702" s="3">
        <v>28000</v>
      </c>
      <c r="M4702" s="3">
        <v>5880</v>
      </c>
      <c r="N4702" s="4">
        <v>0.17355371900826447</v>
      </c>
    </row>
    <row r="4703" spans="1:14" x14ac:dyDescent="0.3">
      <c r="A4703" s="6">
        <v>45993</v>
      </c>
      <c r="B4703" s="1" t="s">
        <v>4887</v>
      </c>
      <c r="C4703" s="1" t="s">
        <v>29</v>
      </c>
      <c r="D4703" t="s">
        <v>32</v>
      </c>
      <c r="E4703" t="s">
        <v>436</v>
      </c>
      <c r="F4703" t="s">
        <v>16</v>
      </c>
      <c r="G4703" t="s">
        <v>15</v>
      </c>
      <c r="H4703" s="3">
        <v>1</v>
      </c>
      <c r="I4703" s="3">
        <v>50160</v>
      </c>
      <c r="J4703" s="3">
        <v>50160</v>
      </c>
      <c r="K4703" s="3">
        <v>38000</v>
      </c>
      <c r="L4703" s="3">
        <v>38000</v>
      </c>
      <c r="M4703" s="3">
        <v>12160</v>
      </c>
      <c r="N4703" s="4">
        <v>0.24242424242424243</v>
      </c>
    </row>
    <row r="4704" spans="1:14" x14ac:dyDescent="0.3">
      <c r="A4704" s="6">
        <v>45994</v>
      </c>
      <c r="B4704" s="1" t="s">
        <v>4888</v>
      </c>
      <c r="C4704" s="1" t="s">
        <v>28</v>
      </c>
      <c r="D4704" t="s">
        <v>34</v>
      </c>
      <c r="E4704" t="s">
        <v>319</v>
      </c>
      <c r="F4704" t="s">
        <v>22</v>
      </c>
      <c r="G4704" t="s">
        <v>18</v>
      </c>
      <c r="H4704" s="3">
        <v>8</v>
      </c>
      <c r="I4704" s="3">
        <v>8680</v>
      </c>
      <c r="J4704" s="3">
        <v>69440</v>
      </c>
      <c r="K4704" s="3">
        <v>7000</v>
      </c>
      <c r="L4704" s="3">
        <v>56000</v>
      </c>
      <c r="M4704" s="3">
        <v>13440</v>
      </c>
      <c r="N4704" s="4">
        <v>0.19354838709677419</v>
      </c>
    </row>
    <row r="4705" spans="1:14" x14ac:dyDescent="0.3">
      <c r="A4705" s="6">
        <v>45994</v>
      </c>
      <c r="B4705" s="1" t="s">
        <v>4889</v>
      </c>
      <c r="C4705" s="1" t="s">
        <v>29</v>
      </c>
      <c r="D4705" t="s">
        <v>34</v>
      </c>
      <c r="E4705" t="s">
        <v>453</v>
      </c>
      <c r="F4705" t="s">
        <v>23</v>
      </c>
      <c r="G4705" t="s">
        <v>25</v>
      </c>
      <c r="H4705" s="3">
        <v>9</v>
      </c>
      <c r="I4705" s="3">
        <v>4544</v>
      </c>
      <c r="J4705" s="3">
        <v>40896</v>
      </c>
      <c r="K4705" s="3">
        <v>3200</v>
      </c>
      <c r="L4705" s="3">
        <v>28800</v>
      </c>
      <c r="M4705" s="3">
        <v>12096</v>
      </c>
      <c r="N4705" s="4">
        <v>0.29577464788732394</v>
      </c>
    </row>
    <row r="4706" spans="1:14" x14ac:dyDescent="0.3">
      <c r="A4706" s="6">
        <v>45994</v>
      </c>
      <c r="B4706" s="1" t="s">
        <v>4890</v>
      </c>
      <c r="C4706" s="1" t="s">
        <v>29</v>
      </c>
      <c r="D4706" t="s">
        <v>31</v>
      </c>
      <c r="E4706" t="s">
        <v>198</v>
      </c>
      <c r="F4706" t="s">
        <v>14</v>
      </c>
      <c r="G4706" t="s">
        <v>15</v>
      </c>
      <c r="H4706" s="3">
        <v>1</v>
      </c>
      <c r="I4706" s="3">
        <v>56700</v>
      </c>
      <c r="J4706" s="3">
        <v>56700</v>
      </c>
      <c r="K4706" s="3">
        <v>45000</v>
      </c>
      <c r="L4706" s="3">
        <v>45000</v>
      </c>
      <c r="M4706" s="3">
        <v>11700</v>
      </c>
      <c r="N4706" s="4">
        <v>0.20634920634920634</v>
      </c>
    </row>
    <row r="4707" spans="1:14" x14ac:dyDescent="0.3">
      <c r="A4707" s="6">
        <v>45994</v>
      </c>
      <c r="B4707" s="1" t="s">
        <v>4891</v>
      </c>
      <c r="C4707" s="1" t="s">
        <v>26</v>
      </c>
      <c r="D4707" t="s">
        <v>31</v>
      </c>
      <c r="E4707" t="s">
        <v>196</v>
      </c>
      <c r="F4707" t="s">
        <v>23</v>
      </c>
      <c r="G4707" t="s">
        <v>25</v>
      </c>
      <c r="H4707" s="3">
        <v>8</v>
      </c>
      <c r="I4707" s="3">
        <v>4416</v>
      </c>
      <c r="J4707" s="3">
        <v>35328</v>
      </c>
      <c r="K4707" s="3">
        <v>3200</v>
      </c>
      <c r="L4707" s="3">
        <v>25600</v>
      </c>
      <c r="M4707" s="3">
        <v>9728</v>
      </c>
      <c r="N4707" s="4">
        <v>0.27536231884057971</v>
      </c>
    </row>
    <row r="4708" spans="1:14" x14ac:dyDescent="0.3">
      <c r="A4708" s="6">
        <v>45994</v>
      </c>
      <c r="B4708" s="1" t="s">
        <v>4892</v>
      </c>
      <c r="C4708" s="1" t="s">
        <v>28</v>
      </c>
      <c r="D4708" t="s">
        <v>33</v>
      </c>
      <c r="E4708" t="s">
        <v>129</v>
      </c>
      <c r="F4708" t="s">
        <v>22</v>
      </c>
      <c r="G4708" t="s">
        <v>18</v>
      </c>
      <c r="H4708" s="3">
        <v>1</v>
      </c>
      <c r="I4708" s="3">
        <v>8960</v>
      </c>
      <c r="J4708" s="3">
        <v>8960</v>
      </c>
      <c r="K4708" s="3">
        <v>7000</v>
      </c>
      <c r="L4708" s="3">
        <v>7000</v>
      </c>
      <c r="M4708" s="3">
        <v>1960</v>
      </c>
      <c r="N4708" s="4">
        <v>0.21875</v>
      </c>
    </row>
    <row r="4709" spans="1:14" x14ac:dyDescent="0.3">
      <c r="A4709" s="6">
        <v>45994</v>
      </c>
      <c r="B4709" s="1" t="s">
        <v>4893</v>
      </c>
      <c r="C4709" s="1" t="s">
        <v>26</v>
      </c>
      <c r="D4709" t="s">
        <v>33</v>
      </c>
      <c r="E4709" t="s">
        <v>55</v>
      </c>
      <c r="F4709" t="s">
        <v>21</v>
      </c>
      <c r="G4709" t="s">
        <v>20</v>
      </c>
      <c r="H4709" s="3">
        <v>10</v>
      </c>
      <c r="I4709" s="3">
        <v>762</v>
      </c>
      <c r="J4709" s="3">
        <v>7620</v>
      </c>
      <c r="K4709" s="3">
        <v>600</v>
      </c>
      <c r="L4709" s="3">
        <v>6000</v>
      </c>
      <c r="M4709" s="3">
        <v>1620</v>
      </c>
      <c r="N4709" s="4">
        <v>0.2125984251968504</v>
      </c>
    </row>
    <row r="4710" spans="1:14" x14ac:dyDescent="0.3">
      <c r="A4710" s="6">
        <v>45994</v>
      </c>
      <c r="B4710" s="1" t="s">
        <v>4894</v>
      </c>
      <c r="C4710" s="1" t="s">
        <v>27</v>
      </c>
      <c r="D4710" t="s">
        <v>32</v>
      </c>
      <c r="E4710" t="s">
        <v>243</v>
      </c>
      <c r="F4710" t="s">
        <v>22</v>
      </c>
      <c r="G4710" t="s">
        <v>18</v>
      </c>
      <c r="H4710" s="3">
        <v>2</v>
      </c>
      <c r="I4710" s="3">
        <v>9870</v>
      </c>
      <c r="J4710" s="3">
        <v>19740</v>
      </c>
      <c r="K4710" s="3">
        <v>7000</v>
      </c>
      <c r="L4710" s="3">
        <v>14000</v>
      </c>
      <c r="M4710" s="3">
        <v>5740</v>
      </c>
      <c r="N4710" s="4">
        <v>0.29078014184397161</v>
      </c>
    </row>
    <row r="4711" spans="1:14" x14ac:dyDescent="0.3">
      <c r="A4711" s="6">
        <v>45994</v>
      </c>
      <c r="B4711" s="1" t="s">
        <v>4895</v>
      </c>
      <c r="C4711" s="1" t="s">
        <v>29</v>
      </c>
      <c r="D4711" t="s">
        <v>34</v>
      </c>
      <c r="E4711" t="s">
        <v>76</v>
      </c>
      <c r="F4711" t="s">
        <v>19</v>
      </c>
      <c r="G4711" t="s">
        <v>20</v>
      </c>
      <c r="H4711" s="3">
        <v>1</v>
      </c>
      <c r="I4711" s="3">
        <v>1242</v>
      </c>
      <c r="J4711" s="3">
        <v>1242</v>
      </c>
      <c r="K4711" s="3">
        <v>900</v>
      </c>
      <c r="L4711" s="3">
        <v>900</v>
      </c>
      <c r="M4711" s="3">
        <v>342</v>
      </c>
      <c r="N4711" s="4">
        <v>0.27536231884057971</v>
      </c>
    </row>
    <row r="4712" spans="1:14" x14ac:dyDescent="0.3">
      <c r="A4712" s="6">
        <v>45994</v>
      </c>
      <c r="B4712" s="1" t="s">
        <v>4896</v>
      </c>
      <c r="C4712" s="1" t="s">
        <v>27</v>
      </c>
      <c r="D4712" t="s">
        <v>30</v>
      </c>
      <c r="E4712" t="s">
        <v>308</v>
      </c>
      <c r="F4712" t="s">
        <v>24</v>
      </c>
      <c r="G4712" t="s">
        <v>25</v>
      </c>
      <c r="H4712" s="3">
        <v>3</v>
      </c>
      <c r="I4712" s="3">
        <v>3125</v>
      </c>
      <c r="J4712" s="3">
        <v>9375</v>
      </c>
      <c r="K4712" s="3">
        <v>2500</v>
      </c>
      <c r="L4712" s="3">
        <v>7500</v>
      </c>
      <c r="M4712" s="3">
        <v>1875</v>
      </c>
      <c r="N4712" s="4">
        <v>0.2</v>
      </c>
    </row>
    <row r="4713" spans="1:14" x14ac:dyDescent="0.3">
      <c r="A4713" s="6">
        <v>45994</v>
      </c>
      <c r="B4713" s="1" t="s">
        <v>4897</v>
      </c>
      <c r="C4713" s="1" t="s">
        <v>29</v>
      </c>
      <c r="D4713" t="s">
        <v>33</v>
      </c>
      <c r="E4713" t="s">
        <v>582</v>
      </c>
      <c r="F4713" t="s">
        <v>14</v>
      </c>
      <c r="G4713" t="s">
        <v>15</v>
      </c>
      <c r="H4713" s="3">
        <v>7</v>
      </c>
      <c r="I4713" s="3">
        <v>58950</v>
      </c>
      <c r="J4713" s="3">
        <v>412650</v>
      </c>
      <c r="K4713" s="3">
        <v>45000</v>
      </c>
      <c r="L4713" s="3">
        <v>315000</v>
      </c>
      <c r="M4713" s="3">
        <v>97650</v>
      </c>
      <c r="N4713" s="4">
        <v>0.23664122137404581</v>
      </c>
    </row>
    <row r="4714" spans="1:14" x14ac:dyDescent="0.3">
      <c r="A4714" s="6">
        <v>45994</v>
      </c>
      <c r="B4714" s="1" t="s">
        <v>4898</v>
      </c>
      <c r="C4714" s="1" t="s">
        <v>27</v>
      </c>
      <c r="D4714" t="s">
        <v>34</v>
      </c>
      <c r="E4714" t="s">
        <v>166</v>
      </c>
      <c r="F4714" t="s">
        <v>19</v>
      </c>
      <c r="G4714" t="s">
        <v>20</v>
      </c>
      <c r="H4714" s="3">
        <v>9</v>
      </c>
      <c r="I4714" s="3">
        <v>1179</v>
      </c>
      <c r="J4714" s="3">
        <v>10611</v>
      </c>
      <c r="K4714" s="3">
        <v>900</v>
      </c>
      <c r="L4714" s="3">
        <v>8100</v>
      </c>
      <c r="M4714" s="3">
        <v>2511</v>
      </c>
      <c r="N4714" s="4">
        <v>0.23664122137404581</v>
      </c>
    </row>
    <row r="4715" spans="1:14" x14ac:dyDescent="0.3">
      <c r="A4715" s="6">
        <v>45994</v>
      </c>
      <c r="B4715" s="1" t="s">
        <v>4899</v>
      </c>
      <c r="C4715" s="1" t="s">
        <v>27</v>
      </c>
      <c r="D4715" t="s">
        <v>32</v>
      </c>
      <c r="E4715" t="s">
        <v>292</v>
      </c>
      <c r="F4715" t="s">
        <v>17</v>
      </c>
      <c r="G4715" t="s">
        <v>18</v>
      </c>
      <c r="H4715" s="3">
        <v>10</v>
      </c>
      <c r="I4715" s="3">
        <v>11050</v>
      </c>
      <c r="J4715" s="3">
        <v>110500</v>
      </c>
      <c r="K4715" s="3">
        <v>8500</v>
      </c>
      <c r="L4715" s="3">
        <v>85000</v>
      </c>
      <c r="M4715" s="3">
        <v>25500</v>
      </c>
      <c r="N4715" s="4">
        <v>0.23076923076923078</v>
      </c>
    </row>
    <row r="4716" spans="1:14" x14ac:dyDescent="0.3">
      <c r="A4716" s="6">
        <v>45994</v>
      </c>
      <c r="B4716" s="1" t="s">
        <v>4900</v>
      </c>
      <c r="C4716" s="1" t="s">
        <v>28</v>
      </c>
      <c r="D4716" t="s">
        <v>35</v>
      </c>
      <c r="E4716" t="s">
        <v>228</v>
      </c>
      <c r="F4716" t="s">
        <v>21</v>
      </c>
      <c r="G4716" t="s">
        <v>20</v>
      </c>
      <c r="H4716" s="3">
        <v>1</v>
      </c>
      <c r="I4716" s="3">
        <v>804</v>
      </c>
      <c r="J4716" s="3">
        <v>804</v>
      </c>
      <c r="K4716" s="3">
        <v>600</v>
      </c>
      <c r="L4716" s="3">
        <v>600</v>
      </c>
      <c r="M4716" s="3">
        <v>204</v>
      </c>
      <c r="N4716" s="4">
        <v>0.2537313432835821</v>
      </c>
    </row>
    <row r="4717" spans="1:14" x14ac:dyDescent="0.3">
      <c r="A4717" s="6">
        <v>45994</v>
      </c>
      <c r="B4717" s="1" t="s">
        <v>4901</v>
      </c>
      <c r="C4717" s="1" t="s">
        <v>28</v>
      </c>
      <c r="D4717" t="s">
        <v>33</v>
      </c>
      <c r="E4717" t="s">
        <v>361</v>
      </c>
      <c r="F4717" t="s">
        <v>17</v>
      </c>
      <c r="G4717" t="s">
        <v>18</v>
      </c>
      <c r="H4717" s="3">
        <v>6</v>
      </c>
      <c r="I4717" s="3">
        <v>11050</v>
      </c>
      <c r="J4717" s="3">
        <v>66300</v>
      </c>
      <c r="K4717" s="3">
        <v>8500</v>
      </c>
      <c r="L4717" s="3">
        <v>51000</v>
      </c>
      <c r="M4717" s="3">
        <v>15300</v>
      </c>
      <c r="N4717" s="4">
        <v>0.23076923076923078</v>
      </c>
    </row>
    <row r="4718" spans="1:14" x14ac:dyDescent="0.3">
      <c r="A4718" s="6">
        <v>45995</v>
      </c>
      <c r="B4718" s="1" t="s">
        <v>4902</v>
      </c>
      <c r="C4718" s="1" t="s">
        <v>26</v>
      </c>
      <c r="D4718" t="s">
        <v>34</v>
      </c>
      <c r="E4718" t="s">
        <v>59</v>
      </c>
      <c r="F4718" t="s">
        <v>23</v>
      </c>
      <c r="G4718" t="s">
        <v>25</v>
      </c>
      <c r="H4718" s="3">
        <v>7</v>
      </c>
      <c r="I4718" s="3">
        <v>4000</v>
      </c>
      <c r="J4718" s="3">
        <v>28000</v>
      </c>
      <c r="K4718" s="3">
        <v>3200</v>
      </c>
      <c r="L4718" s="3">
        <v>22400</v>
      </c>
      <c r="M4718" s="3">
        <v>5600</v>
      </c>
      <c r="N4718" s="4">
        <v>0.2</v>
      </c>
    </row>
    <row r="4719" spans="1:14" x14ac:dyDescent="0.3">
      <c r="A4719" s="6">
        <v>45995</v>
      </c>
      <c r="B4719" s="1" t="s">
        <v>4903</v>
      </c>
      <c r="C4719" s="1" t="s">
        <v>29</v>
      </c>
      <c r="D4719" t="s">
        <v>30</v>
      </c>
      <c r="E4719" t="s">
        <v>81</v>
      </c>
      <c r="F4719" t="s">
        <v>24</v>
      </c>
      <c r="G4719" t="s">
        <v>25</v>
      </c>
      <c r="H4719" s="3">
        <v>1</v>
      </c>
      <c r="I4719" s="3">
        <v>3575</v>
      </c>
      <c r="J4719" s="3">
        <v>3575</v>
      </c>
      <c r="K4719" s="3">
        <v>2500</v>
      </c>
      <c r="L4719" s="3">
        <v>2500</v>
      </c>
      <c r="M4719" s="3">
        <v>1075</v>
      </c>
      <c r="N4719" s="4">
        <v>0.30069930069930068</v>
      </c>
    </row>
    <row r="4720" spans="1:14" x14ac:dyDescent="0.3">
      <c r="A4720" s="6">
        <v>45995</v>
      </c>
      <c r="B4720" s="1" t="s">
        <v>4904</v>
      </c>
      <c r="C4720" s="1" t="s">
        <v>26</v>
      </c>
      <c r="D4720" t="s">
        <v>31</v>
      </c>
      <c r="E4720" t="s">
        <v>137</v>
      </c>
      <c r="F4720" t="s">
        <v>21</v>
      </c>
      <c r="G4720" t="s">
        <v>20</v>
      </c>
      <c r="H4720" s="3">
        <v>5</v>
      </c>
      <c r="I4720" s="3">
        <v>870</v>
      </c>
      <c r="J4720" s="3">
        <v>4350</v>
      </c>
      <c r="K4720" s="3">
        <v>600</v>
      </c>
      <c r="L4720" s="3">
        <v>3000</v>
      </c>
      <c r="M4720" s="3">
        <v>1350</v>
      </c>
      <c r="N4720" s="4">
        <v>0.31034482758620691</v>
      </c>
    </row>
    <row r="4721" spans="1:14" x14ac:dyDescent="0.3">
      <c r="A4721" s="6">
        <v>45995</v>
      </c>
      <c r="B4721" s="1" t="s">
        <v>4905</v>
      </c>
      <c r="C4721" s="1" t="s">
        <v>26</v>
      </c>
      <c r="D4721" t="s">
        <v>31</v>
      </c>
      <c r="E4721" t="s">
        <v>310</v>
      </c>
      <c r="F4721" t="s">
        <v>17</v>
      </c>
      <c r="G4721" t="s">
        <v>18</v>
      </c>
      <c r="H4721" s="3">
        <v>1</v>
      </c>
      <c r="I4721" s="3">
        <v>11730</v>
      </c>
      <c r="J4721" s="3">
        <v>11730</v>
      </c>
      <c r="K4721" s="3">
        <v>8500</v>
      </c>
      <c r="L4721" s="3">
        <v>8500</v>
      </c>
      <c r="M4721" s="3">
        <v>3230</v>
      </c>
      <c r="N4721" s="4">
        <v>0.27536231884057971</v>
      </c>
    </row>
    <row r="4722" spans="1:14" x14ac:dyDescent="0.3">
      <c r="A4722" s="6">
        <v>45995</v>
      </c>
      <c r="B4722" s="1" t="s">
        <v>4906</v>
      </c>
      <c r="C4722" s="1" t="s">
        <v>26</v>
      </c>
      <c r="D4722" t="s">
        <v>35</v>
      </c>
      <c r="E4722" t="s">
        <v>218</v>
      </c>
      <c r="F4722" t="s">
        <v>19</v>
      </c>
      <c r="G4722" t="s">
        <v>20</v>
      </c>
      <c r="H4722" s="3">
        <v>10</v>
      </c>
      <c r="I4722" s="3">
        <v>1134</v>
      </c>
      <c r="J4722" s="3">
        <v>11340</v>
      </c>
      <c r="K4722" s="3">
        <v>900</v>
      </c>
      <c r="L4722" s="3">
        <v>9000</v>
      </c>
      <c r="M4722" s="3">
        <v>2340</v>
      </c>
      <c r="N4722" s="4">
        <v>0.20634920634920634</v>
      </c>
    </row>
    <row r="4723" spans="1:14" x14ac:dyDescent="0.3">
      <c r="A4723" s="6">
        <v>45995</v>
      </c>
      <c r="B4723" s="1" t="s">
        <v>4907</v>
      </c>
      <c r="C4723" s="1" t="s">
        <v>29</v>
      </c>
      <c r="D4723" t="s">
        <v>35</v>
      </c>
      <c r="E4723" t="s">
        <v>100</v>
      </c>
      <c r="F4723" t="s">
        <v>24</v>
      </c>
      <c r="G4723" t="s">
        <v>25</v>
      </c>
      <c r="H4723" s="3">
        <v>2</v>
      </c>
      <c r="I4723" s="3">
        <v>3325</v>
      </c>
      <c r="J4723" s="3">
        <v>6650</v>
      </c>
      <c r="K4723" s="3">
        <v>2500</v>
      </c>
      <c r="L4723" s="3">
        <v>5000</v>
      </c>
      <c r="M4723" s="3">
        <v>1650</v>
      </c>
      <c r="N4723" s="4">
        <v>0.24812030075187969</v>
      </c>
    </row>
    <row r="4724" spans="1:14" x14ac:dyDescent="0.3">
      <c r="A4724" s="6">
        <v>45995</v>
      </c>
      <c r="B4724" s="1" t="s">
        <v>4908</v>
      </c>
      <c r="C4724" s="1" t="s">
        <v>29</v>
      </c>
      <c r="D4724" t="s">
        <v>30</v>
      </c>
      <c r="E4724" t="s">
        <v>100</v>
      </c>
      <c r="F4724" t="s">
        <v>21</v>
      </c>
      <c r="G4724" t="s">
        <v>20</v>
      </c>
      <c r="H4724" s="3">
        <v>10</v>
      </c>
      <c r="I4724" s="3">
        <v>726</v>
      </c>
      <c r="J4724" s="3">
        <v>7260</v>
      </c>
      <c r="K4724" s="3">
        <v>600</v>
      </c>
      <c r="L4724" s="3">
        <v>6000</v>
      </c>
      <c r="M4724" s="3">
        <v>1260</v>
      </c>
      <c r="N4724" s="4">
        <v>0.17355371900826447</v>
      </c>
    </row>
    <row r="4725" spans="1:14" x14ac:dyDescent="0.3">
      <c r="A4725" s="6">
        <v>45995</v>
      </c>
      <c r="B4725" s="1" t="s">
        <v>4909</v>
      </c>
      <c r="C4725" s="1" t="s">
        <v>28</v>
      </c>
      <c r="D4725" t="s">
        <v>30</v>
      </c>
      <c r="E4725" t="s">
        <v>120</v>
      </c>
      <c r="F4725" t="s">
        <v>19</v>
      </c>
      <c r="G4725" t="s">
        <v>20</v>
      </c>
      <c r="H4725" s="3">
        <v>1</v>
      </c>
      <c r="I4725" s="3">
        <v>1269</v>
      </c>
      <c r="J4725" s="3">
        <v>1269</v>
      </c>
      <c r="K4725" s="3">
        <v>900</v>
      </c>
      <c r="L4725" s="3">
        <v>900</v>
      </c>
      <c r="M4725" s="3">
        <v>369</v>
      </c>
      <c r="N4725" s="4">
        <v>0.29078014184397161</v>
      </c>
    </row>
    <row r="4726" spans="1:14" x14ac:dyDescent="0.3">
      <c r="A4726" s="6">
        <v>45995</v>
      </c>
      <c r="B4726" s="1" t="s">
        <v>4910</v>
      </c>
      <c r="C4726" s="1" t="s">
        <v>28</v>
      </c>
      <c r="D4726" t="s">
        <v>35</v>
      </c>
      <c r="E4726" t="s">
        <v>409</v>
      </c>
      <c r="F4726" t="s">
        <v>21</v>
      </c>
      <c r="G4726" t="s">
        <v>20</v>
      </c>
      <c r="H4726" s="3">
        <v>4</v>
      </c>
      <c r="I4726" s="3">
        <v>840</v>
      </c>
      <c r="J4726" s="3">
        <v>3360</v>
      </c>
      <c r="K4726" s="3">
        <v>600</v>
      </c>
      <c r="L4726" s="3">
        <v>2400</v>
      </c>
      <c r="M4726" s="3">
        <v>960</v>
      </c>
      <c r="N4726" s="4">
        <v>0.2857142857142857</v>
      </c>
    </row>
    <row r="4727" spans="1:14" x14ac:dyDescent="0.3">
      <c r="A4727" s="6">
        <v>45995</v>
      </c>
      <c r="B4727" s="1" t="s">
        <v>4911</v>
      </c>
      <c r="C4727" s="1" t="s">
        <v>26</v>
      </c>
      <c r="D4727" t="s">
        <v>31</v>
      </c>
      <c r="E4727" t="s">
        <v>43</v>
      </c>
      <c r="F4727" t="s">
        <v>23</v>
      </c>
      <c r="G4727" t="s">
        <v>25</v>
      </c>
      <c r="H4727" s="3">
        <v>2</v>
      </c>
      <c r="I4727" s="3">
        <v>3968</v>
      </c>
      <c r="J4727" s="3">
        <v>7936</v>
      </c>
      <c r="K4727" s="3">
        <v>3200</v>
      </c>
      <c r="L4727" s="3">
        <v>6400</v>
      </c>
      <c r="M4727" s="3">
        <v>1536</v>
      </c>
      <c r="N4727" s="4">
        <v>0.19354838709677419</v>
      </c>
    </row>
    <row r="4728" spans="1:14" x14ac:dyDescent="0.3">
      <c r="A4728" s="6">
        <v>45995</v>
      </c>
      <c r="B4728" s="1" t="s">
        <v>4912</v>
      </c>
      <c r="C4728" s="1" t="s">
        <v>27</v>
      </c>
      <c r="D4728" t="s">
        <v>34</v>
      </c>
      <c r="E4728" t="s">
        <v>155</v>
      </c>
      <c r="F4728" t="s">
        <v>17</v>
      </c>
      <c r="G4728" t="s">
        <v>18</v>
      </c>
      <c r="H4728" s="3">
        <v>1</v>
      </c>
      <c r="I4728" s="3">
        <v>11900</v>
      </c>
      <c r="J4728" s="3">
        <v>11900</v>
      </c>
      <c r="K4728" s="3">
        <v>8500</v>
      </c>
      <c r="L4728" s="3">
        <v>8500</v>
      </c>
      <c r="M4728" s="3">
        <v>3400</v>
      </c>
      <c r="N4728" s="4">
        <v>0.2857142857142857</v>
      </c>
    </row>
    <row r="4729" spans="1:14" x14ac:dyDescent="0.3">
      <c r="A4729" s="6">
        <v>45995</v>
      </c>
      <c r="B4729" s="1" t="s">
        <v>4913</v>
      </c>
      <c r="C4729" s="1" t="s">
        <v>27</v>
      </c>
      <c r="D4729" t="s">
        <v>32</v>
      </c>
      <c r="E4729" t="s">
        <v>275</v>
      </c>
      <c r="F4729" t="s">
        <v>24</v>
      </c>
      <c r="G4729" t="s">
        <v>25</v>
      </c>
      <c r="H4729" s="3">
        <v>1</v>
      </c>
      <c r="I4729" s="3">
        <v>3100</v>
      </c>
      <c r="J4729" s="3">
        <v>3100</v>
      </c>
      <c r="K4729" s="3">
        <v>2500</v>
      </c>
      <c r="L4729" s="3">
        <v>2500</v>
      </c>
      <c r="M4729" s="3">
        <v>600</v>
      </c>
      <c r="N4729" s="4">
        <v>0.19354838709677419</v>
      </c>
    </row>
    <row r="4730" spans="1:14" x14ac:dyDescent="0.3">
      <c r="A4730" s="6">
        <v>45995</v>
      </c>
      <c r="B4730" s="1" t="s">
        <v>4914</v>
      </c>
      <c r="C4730" s="1" t="s">
        <v>27</v>
      </c>
      <c r="D4730" t="s">
        <v>31</v>
      </c>
      <c r="E4730" t="s">
        <v>355</v>
      </c>
      <c r="F4730" t="s">
        <v>14</v>
      </c>
      <c r="G4730" t="s">
        <v>15</v>
      </c>
      <c r="H4730" s="3">
        <v>10</v>
      </c>
      <c r="I4730" s="3">
        <v>59850</v>
      </c>
      <c r="J4730" s="3">
        <v>598500</v>
      </c>
      <c r="K4730" s="3">
        <v>45000</v>
      </c>
      <c r="L4730" s="3">
        <v>450000</v>
      </c>
      <c r="M4730" s="3">
        <v>148500</v>
      </c>
      <c r="N4730" s="4">
        <v>0.24812030075187969</v>
      </c>
    </row>
    <row r="4731" spans="1:14" x14ac:dyDescent="0.3">
      <c r="A4731" s="6">
        <v>45995</v>
      </c>
      <c r="B4731" s="1" t="s">
        <v>4915</v>
      </c>
      <c r="C4731" s="1" t="s">
        <v>27</v>
      </c>
      <c r="D4731" t="s">
        <v>34</v>
      </c>
      <c r="E4731" t="s">
        <v>321</v>
      </c>
      <c r="F4731" t="s">
        <v>19</v>
      </c>
      <c r="G4731" t="s">
        <v>20</v>
      </c>
      <c r="H4731" s="3">
        <v>4</v>
      </c>
      <c r="I4731" s="3">
        <v>1269</v>
      </c>
      <c r="J4731" s="3">
        <v>5076</v>
      </c>
      <c r="K4731" s="3">
        <v>900</v>
      </c>
      <c r="L4731" s="3">
        <v>3600</v>
      </c>
      <c r="M4731" s="3">
        <v>1476</v>
      </c>
      <c r="N4731" s="4">
        <v>0.29078014184397161</v>
      </c>
    </row>
    <row r="4732" spans="1:14" x14ac:dyDescent="0.3">
      <c r="A4732" s="6">
        <v>45996</v>
      </c>
      <c r="B4732" s="1" t="s">
        <v>4916</v>
      </c>
      <c r="C4732" s="1" t="s">
        <v>26</v>
      </c>
      <c r="D4732" t="s">
        <v>33</v>
      </c>
      <c r="E4732" t="s">
        <v>114</v>
      </c>
      <c r="F4732" t="s">
        <v>19</v>
      </c>
      <c r="G4732" t="s">
        <v>20</v>
      </c>
      <c r="H4732" s="3">
        <v>4</v>
      </c>
      <c r="I4732" s="3">
        <v>1170</v>
      </c>
      <c r="J4732" s="3">
        <v>4680</v>
      </c>
      <c r="K4732" s="3">
        <v>900</v>
      </c>
      <c r="L4732" s="3">
        <v>3600</v>
      </c>
      <c r="M4732" s="3">
        <v>1080</v>
      </c>
      <c r="N4732" s="4">
        <v>0.23076923076923078</v>
      </c>
    </row>
    <row r="4733" spans="1:14" x14ac:dyDescent="0.3">
      <c r="A4733" s="6">
        <v>45996</v>
      </c>
      <c r="B4733" s="1" t="s">
        <v>4917</v>
      </c>
      <c r="C4733" s="1" t="s">
        <v>26</v>
      </c>
      <c r="D4733" t="s">
        <v>30</v>
      </c>
      <c r="E4733" t="s">
        <v>76</v>
      </c>
      <c r="F4733" t="s">
        <v>23</v>
      </c>
      <c r="G4733" t="s">
        <v>25</v>
      </c>
      <c r="H4733" s="3">
        <v>1</v>
      </c>
      <c r="I4733" s="3">
        <v>4064</v>
      </c>
      <c r="J4733" s="3">
        <v>4064</v>
      </c>
      <c r="K4733" s="3">
        <v>3200</v>
      </c>
      <c r="L4733" s="3">
        <v>3200</v>
      </c>
      <c r="M4733" s="3">
        <v>864</v>
      </c>
      <c r="N4733" s="4">
        <v>0.2125984251968504</v>
      </c>
    </row>
    <row r="4734" spans="1:14" x14ac:dyDescent="0.3">
      <c r="A4734" s="6">
        <v>45996</v>
      </c>
      <c r="B4734" s="1" t="s">
        <v>4918</v>
      </c>
      <c r="C4734" s="1" t="s">
        <v>27</v>
      </c>
      <c r="D4734" t="s">
        <v>33</v>
      </c>
      <c r="E4734" t="s">
        <v>329</v>
      </c>
      <c r="F4734" t="s">
        <v>21</v>
      </c>
      <c r="G4734" t="s">
        <v>20</v>
      </c>
      <c r="H4734" s="3">
        <v>4</v>
      </c>
      <c r="I4734" s="3">
        <v>810</v>
      </c>
      <c r="J4734" s="3">
        <v>3240</v>
      </c>
      <c r="K4734" s="3">
        <v>600</v>
      </c>
      <c r="L4734" s="3">
        <v>2400</v>
      </c>
      <c r="M4734" s="3">
        <v>840</v>
      </c>
      <c r="N4734" s="4">
        <v>0.25925925925925924</v>
      </c>
    </row>
    <row r="4735" spans="1:14" x14ac:dyDescent="0.3">
      <c r="A4735" s="6">
        <v>45996</v>
      </c>
      <c r="B4735" s="1" t="s">
        <v>4919</v>
      </c>
      <c r="C4735" s="1" t="s">
        <v>28</v>
      </c>
      <c r="D4735" t="s">
        <v>35</v>
      </c>
      <c r="E4735" t="s">
        <v>447</v>
      </c>
      <c r="F4735" t="s">
        <v>24</v>
      </c>
      <c r="G4735" t="s">
        <v>25</v>
      </c>
      <c r="H4735" s="3">
        <v>6</v>
      </c>
      <c r="I4735" s="3">
        <v>3125</v>
      </c>
      <c r="J4735" s="3">
        <v>18750</v>
      </c>
      <c r="K4735" s="3">
        <v>2500</v>
      </c>
      <c r="L4735" s="3">
        <v>15000</v>
      </c>
      <c r="M4735" s="3">
        <v>3750</v>
      </c>
      <c r="N4735" s="4">
        <v>0.2</v>
      </c>
    </row>
    <row r="4736" spans="1:14" x14ac:dyDescent="0.3">
      <c r="A4736" s="6">
        <v>45996</v>
      </c>
      <c r="B4736" s="1" t="s">
        <v>4920</v>
      </c>
      <c r="C4736" s="1" t="s">
        <v>28</v>
      </c>
      <c r="D4736" t="s">
        <v>31</v>
      </c>
      <c r="E4736" t="s">
        <v>78</v>
      </c>
      <c r="F4736" t="s">
        <v>21</v>
      </c>
      <c r="G4736" t="s">
        <v>20</v>
      </c>
      <c r="H4736" s="3">
        <v>2</v>
      </c>
      <c r="I4736" s="3">
        <v>810</v>
      </c>
      <c r="J4736" s="3">
        <v>1620</v>
      </c>
      <c r="K4736" s="3">
        <v>600</v>
      </c>
      <c r="L4736" s="3">
        <v>1200</v>
      </c>
      <c r="M4736" s="3">
        <v>420</v>
      </c>
      <c r="N4736" s="4">
        <v>0.25925925925925924</v>
      </c>
    </row>
    <row r="4737" spans="1:14" x14ac:dyDescent="0.3">
      <c r="A4737" s="6">
        <v>45996</v>
      </c>
      <c r="B4737" s="1" t="s">
        <v>4921</v>
      </c>
      <c r="C4737" s="1" t="s">
        <v>26</v>
      </c>
      <c r="D4737" t="s">
        <v>32</v>
      </c>
      <c r="E4737" t="s">
        <v>145</v>
      </c>
      <c r="F4737" t="s">
        <v>16</v>
      </c>
      <c r="G4737" t="s">
        <v>15</v>
      </c>
      <c r="H4737" s="3">
        <v>1</v>
      </c>
      <c r="I4737" s="3">
        <v>51679.999999999993</v>
      </c>
      <c r="J4737" s="3">
        <v>51679.999999999993</v>
      </c>
      <c r="K4737" s="3">
        <v>38000</v>
      </c>
      <c r="L4737" s="3">
        <v>38000</v>
      </c>
      <c r="M4737" s="3">
        <v>13679.999999999993</v>
      </c>
      <c r="N4737" s="4">
        <v>0.26470588235294107</v>
      </c>
    </row>
    <row r="4738" spans="1:14" x14ac:dyDescent="0.3">
      <c r="A4738" s="6">
        <v>45996</v>
      </c>
      <c r="B4738" s="1" t="s">
        <v>4922</v>
      </c>
      <c r="C4738" s="1" t="s">
        <v>26</v>
      </c>
      <c r="D4738" t="s">
        <v>30</v>
      </c>
      <c r="E4738" t="s">
        <v>310</v>
      </c>
      <c r="F4738" t="s">
        <v>17</v>
      </c>
      <c r="G4738" t="s">
        <v>18</v>
      </c>
      <c r="H4738" s="3">
        <v>9</v>
      </c>
      <c r="I4738" s="3">
        <v>11475</v>
      </c>
      <c r="J4738" s="3">
        <v>103275</v>
      </c>
      <c r="K4738" s="3">
        <v>8500</v>
      </c>
      <c r="L4738" s="3">
        <v>76500</v>
      </c>
      <c r="M4738" s="3">
        <v>26775</v>
      </c>
      <c r="N4738" s="4">
        <v>0.25925925925925924</v>
      </c>
    </row>
    <row r="4739" spans="1:14" x14ac:dyDescent="0.3">
      <c r="A4739" s="6">
        <v>45996</v>
      </c>
      <c r="B4739" s="1" t="s">
        <v>4923</v>
      </c>
      <c r="C4739" s="1" t="s">
        <v>27</v>
      </c>
      <c r="D4739" t="s">
        <v>33</v>
      </c>
      <c r="E4739" t="s">
        <v>51</v>
      </c>
      <c r="F4739" t="s">
        <v>17</v>
      </c>
      <c r="G4739" t="s">
        <v>18</v>
      </c>
      <c r="H4739" s="3">
        <v>10</v>
      </c>
      <c r="I4739" s="3">
        <v>11730</v>
      </c>
      <c r="J4739" s="3">
        <v>117300</v>
      </c>
      <c r="K4739" s="3">
        <v>8500</v>
      </c>
      <c r="L4739" s="3">
        <v>85000</v>
      </c>
      <c r="M4739" s="3">
        <v>32300</v>
      </c>
      <c r="N4739" s="4">
        <v>0.27536231884057971</v>
      </c>
    </row>
    <row r="4740" spans="1:14" x14ac:dyDescent="0.3">
      <c r="A4740" s="6">
        <v>45996</v>
      </c>
      <c r="B4740" s="1" t="s">
        <v>4924</v>
      </c>
      <c r="C4740" s="1" t="s">
        <v>28</v>
      </c>
      <c r="D4740" t="s">
        <v>35</v>
      </c>
      <c r="E4740" t="s">
        <v>331</v>
      </c>
      <c r="F4740" t="s">
        <v>21</v>
      </c>
      <c r="G4740" t="s">
        <v>20</v>
      </c>
      <c r="H4740" s="3">
        <v>10</v>
      </c>
      <c r="I4740" s="3">
        <v>774</v>
      </c>
      <c r="J4740" s="3">
        <v>7740</v>
      </c>
      <c r="K4740" s="3">
        <v>600</v>
      </c>
      <c r="L4740" s="3">
        <v>6000</v>
      </c>
      <c r="M4740" s="3">
        <v>1740</v>
      </c>
      <c r="N4740" s="4">
        <v>0.22480620155038761</v>
      </c>
    </row>
    <row r="4741" spans="1:14" x14ac:dyDescent="0.3">
      <c r="A4741" s="6">
        <v>45996</v>
      </c>
      <c r="B4741" s="1" t="s">
        <v>4925</v>
      </c>
      <c r="C4741" s="1" t="s">
        <v>28</v>
      </c>
      <c r="D4741" t="s">
        <v>34</v>
      </c>
      <c r="E4741" t="s">
        <v>65</v>
      </c>
      <c r="F4741" t="s">
        <v>14</v>
      </c>
      <c r="G4741" t="s">
        <v>15</v>
      </c>
      <c r="H4741" s="3">
        <v>3</v>
      </c>
      <c r="I4741" s="3">
        <v>62099.999999999993</v>
      </c>
      <c r="J4741" s="3">
        <v>186299.99999999997</v>
      </c>
      <c r="K4741" s="3">
        <v>45000</v>
      </c>
      <c r="L4741" s="3">
        <v>135000</v>
      </c>
      <c r="M4741" s="3">
        <v>51299.999999999971</v>
      </c>
      <c r="N4741" s="4">
        <v>0.2753623188405796</v>
      </c>
    </row>
    <row r="4742" spans="1:14" x14ac:dyDescent="0.3">
      <c r="A4742" s="6">
        <v>45996</v>
      </c>
      <c r="B4742" s="1" t="s">
        <v>4926</v>
      </c>
      <c r="C4742" s="1" t="s">
        <v>28</v>
      </c>
      <c r="D4742" t="s">
        <v>30</v>
      </c>
      <c r="E4742" t="s">
        <v>96</v>
      </c>
      <c r="F4742" t="s">
        <v>19</v>
      </c>
      <c r="G4742" t="s">
        <v>20</v>
      </c>
      <c r="H4742" s="3">
        <v>8</v>
      </c>
      <c r="I4742" s="3">
        <v>1260</v>
      </c>
      <c r="J4742" s="3">
        <v>10080</v>
      </c>
      <c r="K4742" s="3">
        <v>900</v>
      </c>
      <c r="L4742" s="3">
        <v>7200</v>
      </c>
      <c r="M4742" s="3">
        <v>2880</v>
      </c>
      <c r="N4742" s="4">
        <v>0.2857142857142857</v>
      </c>
    </row>
    <row r="4743" spans="1:14" x14ac:dyDescent="0.3">
      <c r="A4743" s="6">
        <v>45996</v>
      </c>
      <c r="B4743" s="1" t="s">
        <v>4927</v>
      </c>
      <c r="C4743" s="1" t="s">
        <v>26</v>
      </c>
      <c r="D4743" t="s">
        <v>32</v>
      </c>
      <c r="E4743" t="s">
        <v>76</v>
      </c>
      <c r="F4743" t="s">
        <v>19</v>
      </c>
      <c r="G4743" t="s">
        <v>20</v>
      </c>
      <c r="H4743" s="3">
        <v>4</v>
      </c>
      <c r="I4743" s="3">
        <v>1170</v>
      </c>
      <c r="J4743" s="3">
        <v>4680</v>
      </c>
      <c r="K4743" s="3">
        <v>900</v>
      </c>
      <c r="L4743" s="3">
        <v>3600</v>
      </c>
      <c r="M4743" s="3">
        <v>1080</v>
      </c>
      <c r="N4743" s="4">
        <v>0.23076923076923078</v>
      </c>
    </row>
    <row r="4744" spans="1:14" x14ac:dyDescent="0.3">
      <c r="A4744" s="6">
        <v>45996</v>
      </c>
      <c r="B4744" s="1" t="s">
        <v>4928</v>
      </c>
      <c r="C4744" s="1" t="s">
        <v>28</v>
      </c>
      <c r="D4744" t="s">
        <v>32</v>
      </c>
      <c r="E4744" t="s">
        <v>283</v>
      </c>
      <c r="F4744" t="s">
        <v>19</v>
      </c>
      <c r="G4744" t="s">
        <v>20</v>
      </c>
      <c r="H4744" s="3">
        <v>1</v>
      </c>
      <c r="I4744" s="3">
        <v>1080</v>
      </c>
      <c r="J4744" s="3">
        <v>1080</v>
      </c>
      <c r="K4744" s="3">
        <v>900</v>
      </c>
      <c r="L4744" s="3">
        <v>900</v>
      </c>
      <c r="M4744" s="3">
        <v>180</v>
      </c>
      <c r="N4744" s="4">
        <v>0.16666666666666666</v>
      </c>
    </row>
    <row r="4745" spans="1:14" x14ac:dyDescent="0.3">
      <c r="A4745" s="6">
        <v>45996</v>
      </c>
      <c r="B4745" s="1" t="s">
        <v>4929</v>
      </c>
      <c r="C4745" s="1" t="s">
        <v>27</v>
      </c>
      <c r="D4745" t="s">
        <v>35</v>
      </c>
      <c r="E4745" t="s">
        <v>142</v>
      </c>
      <c r="F4745" t="s">
        <v>23</v>
      </c>
      <c r="G4745" t="s">
        <v>25</v>
      </c>
      <c r="H4745" s="3">
        <v>3</v>
      </c>
      <c r="I4745" s="3">
        <v>4448</v>
      </c>
      <c r="J4745" s="3">
        <v>13344</v>
      </c>
      <c r="K4745" s="3">
        <v>3200</v>
      </c>
      <c r="L4745" s="3">
        <v>9600</v>
      </c>
      <c r="M4745" s="3">
        <v>3744</v>
      </c>
      <c r="N4745" s="4">
        <v>0.2805755395683453</v>
      </c>
    </row>
    <row r="4746" spans="1:14" x14ac:dyDescent="0.3">
      <c r="A4746" s="6">
        <v>45997</v>
      </c>
      <c r="B4746" s="1" t="s">
        <v>4930</v>
      </c>
      <c r="C4746" s="1" t="s">
        <v>26</v>
      </c>
      <c r="D4746" t="s">
        <v>34</v>
      </c>
      <c r="E4746" t="s">
        <v>53</v>
      </c>
      <c r="F4746" t="s">
        <v>16</v>
      </c>
      <c r="G4746" t="s">
        <v>15</v>
      </c>
      <c r="H4746" s="3">
        <v>7</v>
      </c>
      <c r="I4746" s="3">
        <v>48640</v>
      </c>
      <c r="J4746" s="3">
        <v>340480</v>
      </c>
      <c r="K4746" s="3">
        <v>38000</v>
      </c>
      <c r="L4746" s="3">
        <v>266000</v>
      </c>
      <c r="M4746" s="3">
        <v>74480</v>
      </c>
      <c r="N4746" s="4">
        <v>0.21875</v>
      </c>
    </row>
    <row r="4747" spans="1:14" x14ac:dyDescent="0.3">
      <c r="A4747" s="6">
        <v>45997</v>
      </c>
      <c r="B4747" s="1" t="s">
        <v>4931</v>
      </c>
      <c r="C4747" s="1" t="s">
        <v>27</v>
      </c>
      <c r="D4747" t="s">
        <v>31</v>
      </c>
      <c r="E4747" t="s">
        <v>336</v>
      </c>
      <c r="F4747" t="s">
        <v>21</v>
      </c>
      <c r="G4747" t="s">
        <v>20</v>
      </c>
      <c r="H4747" s="3">
        <v>4</v>
      </c>
      <c r="I4747" s="3">
        <v>774</v>
      </c>
      <c r="J4747" s="3">
        <v>3096</v>
      </c>
      <c r="K4747" s="3">
        <v>600</v>
      </c>
      <c r="L4747" s="3">
        <v>2400</v>
      </c>
      <c r="M4747" s="3">
        <v>696</v>
      </c>
      <c r="N4747" s="4">
        <v>0.22480620155038761</v>
      </c>
    </row>
    <row r="4748" spans="1:14" x14ac:dyDescent="0.3">
      <c r="A4748" s="6">
        <v>45997</v>
      </c>
      <c r="B4748" s="1" t="s">
        <v>4932</v>
      </c>
      <c r="C4748" s="1" t="s">
        <v>28</v>
      </c>
      <c r="D4748" t="s">
        <v>32</v>
      </c>
      <c r="E4748" t="s">
        <v>390</v>
      </c>
      <c r="F4748" t="s">
        <v>19</v>
      </c>
      <c r="G4748" t="s">
        <v>20</v>
      </c>
      <c r="H4748" s="3">
        <v>10</v>
      </c>
      <c r="I4748" s="3">
        <v>1224</v>
      </c>
      <c r="J4748" s="3">
        <v>12240</v>
      </c>
      <c r="K4748" s="3">
        <v>900</v>
      </c>
      <c r="L4748" s="3">
        <v>9000</v>
      </c>
      <c r="M4748" s="3">
        <v>3240</v>
      </c>
      <c r="N4748" s="4">
        <v>0.26470588235294118</v>
      </c>
    </row>
    <row r="4749" spans="1:14" x14ac:dyDescent="0.3">
      <c r="A4749" s="6">
        <v>45997</v>
      </c>
      <c r="B4749" s="1" t="s">
        <v>4933</v>
      </c>
      <c r="C4749" s="1" t="s">
        <v>26</v>
      </c>
      <c r="D4749" t="s">
        <v>31</v>
      </c>
      <c r="E4749" t="s">
        <v>67</v>
      </c>
      <c r="F4749" t="s">
        <v>22</v>
      </c>
      <c r="G4749" t="s">
        <v>18</v>
      </c>
      <c r="H4749" s="3">
        <v>2</v>
      </c>
      <c r="I4749" s="3">
        <v>8960</v>
      </c>
      <c r="J4749" s="3">
        <v>17920</v>
      </c>
      <c r="K4749" s="3">
        <v>7000</v>
      </c>
      <c r="L4749" s="3">
        <v>14000</v>
      </c>
      <c r="M4749" s="3">
        <v>3920</v>
      </c>
      <c r="N4749" s="4">
        <v>0.21875</v>
      </c>
    </row>
    <row r="4750" spans="1:14" x14ac:dyDescent="0.3">
      <c r="A4750" s="6">
        <v>45997</v>
      </c>
      <c r="B4750" s="1" t="s">
        <v>4934</v>
      </c>
      <c r="C4750" s="1" t="s">
        <v>27</v>
      </c>
      <c r="D4750" t="s">
        <v>35</v>
      </c>
      <c r="E4750" t="s">
        <v>145</v>
      </c>
      <c r="F4750" t="s">
        <v>16</v>
      </c>
      <c r="G4750" t="s">
        <v>15</v>
      </c>
      <c r="H4750" s="3">
        <v>7</v>
      </c>
      <c r="I4750" s="3">
        <v>50920</v>
      </c>
      <c r="J4750" s="3">
        <v>356440</v>
      </c>
      <c r="K4750" s="3">
        <v>38000</v>
      </c>
      <c r="L4750" s="3">
        <v>266000</v>
      </c>
      <c r="M4750" s="3">
        <v>90440</v>
      </c>
      <c r="N4750" s="4">
        <v>0.2537313432835821</v>
      </c>
    </row>
    <row r="4751" spans="1:14" x14ac:dyDescent="0.3">
      <c r="A4751" s="6">
        <v>45997</v>
      </c>
      <c r="B4751" s="1" t="s">
        <v>4935</v>
      </c>
      <c r="C4751" s="1" t="s">
        <v>27</v>
      </c>
      <c r="D4751" t="s">
        <v>31</v>
      </c>
      <c r="E4751" t="s">
        <v>935</v>
      </c>
      <c r="F4751" t="s">
        <v>23</v>
      </c>
      <c r="G4751" t="s">
        <v>25</v>
      </c>
      <c r="H4751" s="3">
        <v>5</v>
      </c>
      <c r="I4751" s="3">
        <v>4448</v>
      </c>
      <c r="J4751" s="3">
        <v>22240</v>
      </c>
      <c r="K4751" s="3">
        <v>3200</v>
      </c>
      <c r="L4751" s="3">
        <v>16000</v>
      </c>
      <c r="M4751" s="3">
        <v>6240</v>
      </c>
      <c r="N4751" s="4">
        <v>0.2805755395683453</v>
      </c>
    </row>
    <row r="4752" spans="1:14" x14ac:dyDescent="0.3">
      <c r="A4752" s="6">
        <v>45997</v>
      </c>
      <c r="B4752" s="1" t="s">
        <v>4936</v>
      </c>
      <c r="C4752" s="1" t="s">
        <v>27</v>
      </c>
      <c r="D4752" t="s">
        <v>30</v>
      </c>
      <c r="E4752" t="s">
        <v>349</v>
      </c>
      <c r="F4752" t="s">
        <v>23</v>
      </c>
      <c r="G4752" t="s">
        <v>25</v>
      </c>
      <c r="H4752" s="3">
        <v>6</v>
      </c>
      <c r="I4752" s="3">
        <v>4480</v>
      </c>
      <c r="J4752" s="3">
        <v>26880</v>
      </c>
      <c r="K4752" s="3">
        <v>3200</v>
      </c>
      <c r="L4752" s="3">
        <v>19200</v>
      </c>
      <c r="M4752" s="3">
        <v>7680</v>
      </c>
      <c r="N4752" s="4">
        <v>0.2857142857142857</v>
      </c>
    </row>
    <row r="4753" spans="1:14" x14ac:dyDescent="0.3">
      <c r="A4753" s="6">
        <v>45997</v>
      </c>
      <c r="B4753" s="1" t="s">
        <v>4937</v>
      </c>
      <c r="C4753" s="1" t="s">
        <v>29</v>
      </c>
      <c r="D4753" t="s">
        <v>35</v>
      </c>
      <c r="E4753" t="s">
        <v>57</v>
      </c>
      <c r="F4753" t="s">
        <v>19</v>
      </c>
      <c r="G4753" t="s">
        <v>20</v>
      </c>
      <c r="H4753" s="3">
        <v>2</v>
      </c>
      <c r="I4753" s="3">
        <v>1242</v>
      </c>
      <c r="J4753" s="3">
        <v>2484</v>
      </c>
      <c r="K4753" s="3">
        <v>900</v>
      </c>
      <c r="L4753" s="3">
        <v>1800</v>
      </c>
      <c r="M4753" s="3">
        <v>684</v>
      </c>
      <c r="N4753" s="4">
        <v>0.27536231884057971</v>
      </c>
    </row>
    <row r="4754" spans="1:14" x14ac:dyDescent="0.3">
      <c r="A4754" s="6">
        <v>45997</v>
      </c>
      <c r="B4754" s="1" t="s">
        <v>4938</v>
      </c>
      <c r="C4754" s="1" t="s">
        <v>26</v>
      </c>
      <c r="D4754" t="s">
        <v>34</v>
      </c>
      <c r="E4754" t="s">
        <v>198</v>
      </c>
      <c r="F4754" t="s">
        <v>16</v>
      </c>
      <c r="G4754" t="s">
        <v>15</v>
      </c>
      <c r="H4754" s="3">
        <v>7</v>
      </c>
      <c r="I4754" s="3">
        <v>54720</v>
      </c>
      <c r="J4754" s="3">
        <v>383040</v>
      </c>
      <c r="K4754" s="3">
        <v>38000</v>
      </c>
      <c r="L4754" s="3">
        <v>266000</v>
      </c>
      <c r="M4754" s="3">
        <v>117040</v>
      </c>
      <c r="N4754" s="4">
        <v>0.30555555555555558</v>
      </c>
    </row>
    <row r="4755" spans="1:14" x14ac:dyDescent="0.3">
      <c r="A4755" s="6">
        <v>45997</v>
      </c>
      <c r="B4755" s="1" t="s">
        <v>4939</v>
      </c>
      <c r="C4755" s="1" t="s">
        <v>29</v>
      </c>
      <c r="D4755" t="s">
        <v>35</v>
      </c>
      <c r="E4755" t="s">
        <v>106</v>
      </c>
      <c r="F4755" t="s">
        <v>24</v>
      </c>
      <c r="G4755" t="s">
        <v>25</v>
      </c>
      <c r="H4755" s="3">
        <v>10</v>
      </c>
      <c r="I4755" s="3">
        <v>3125</v>
      </c>
      <c r="J4755" s="3">
        <v>31250</v>
      </c>
      <c r="K4755" s="3">
        <v>2500</v>
      </c>
      <c r="L4755" s="3">
        <v>25000</v>
      </c>
      <c r="M4755" s="3">
        <v>6250</v>
      </c>
      <c r="N4755" s="4">
        <v>0.2</v>
      </c>
    </row>
    <row r="4756" spans="1:14" x14ac:dyDescent="0.3">
      <c r="A4756" s="6">
        <v>45997</v>
      </c>
      <c r="B4756" s="1" t="s">
        <v>4940</v>
      </c>
      <c r="C4756" s="1" t="s">
        <v>28</v>
      </c>
      <c r="D4756" t="s">
        <v>34</v>
      </c>
      <c r="E4756" t="s">
        <v>427</v>
      </c>
      <c r="F4756" t="s">
        <v>19</v>
      </c>
      <c r="G4756" t="s">
        <v>20</v>
      </c>
      <c r="H4756" s="3">
        <v>6</v>
      </c>
      <c r="I4756" s="3">
        <v>1098</v>
      </c>
      <c r="J4756" s="3">
        <v>6588</v>
      </c>
      <c r="K4756" s="3">
        <v>900</v>
      </c>
      <c r="L4756" s="3">
        <v>5400</v>
      </c>
      <c r="M4756" s="3">
        <v>1188</v>
      </c>
      <c r="N4756" s="4">
        <v>0.18032786885245902</v>
      </c>
    </row>
    <row r="4757" spans="1:14" x14ac:dyDescent="0.3">
      <c r="A4757" s="6">
        <v>45997</v>
      </c>
      <c r="B4757" s="1" t="s">
        <v>4941</v>
      </c>
      <c r="C4757" s="1" t="s">
        <v>29</v>
      </c>
      <c r="D4757" t="s">
        <v>32</v>
      </c>
      <c r="E4757" t="s">
        <v>206</v>
      </c>
      <c r="F4757" t="s">
        <v>14</v>
      </c>
      <c r="G4757" t="s">
        <v>15</v>
      </c>
      <c r="H4757" s="3">
        <v>9</v>
      </c>
      <c r="I4757" s="3">
        <v>54900</v>
      </c>
      <c r="J4757" s="3">
        <v>494100</v>
      </c>
      <c r="K4757" s="3">
        <v>45000</v>
      </c>
      <c r="L4757" s="3">
        <v>405000</v>
      </c>
      <c r="M4757" s="3">
        <v>89100</v>
      </c>
      <c r="N4757" s="4">
        <v>0.18032786885245902</v>
      </c>
    </row>
    <row r="4758" spans="1:14" x14ac:dyDescent="0.3">
      <c r="A4758" s="6">
        <v>45997</v>
      </c>
      <c r="B4758" s="1" t="s">
        <v>4942</v>
      </c>
      <c r="C4758" s="1" t="s">
        <v>28</v>
      </c>
      <c r="D4758" t="s">
        <v>32</v>
      </c>
      <c r="E4758" t="s">
        <v>280</v>
      </c>
      <c r="F4758" t="s">
        <v>19</v>
      </c>
      <c r="G4758" t="s">
        <v>20</v>
      </c>
      <c r="H4758" s="3">
        <v>1</v>
      </c>
      <c r="I4758" s="3">
        <v>1278</v>
      </c>
      <c r="J4758" s="3">
        <v>1278</v>
      </c>
      <c r="K4758" s="3">
        <v>900</v>
      </c>
      <c r="L4758" s="3">
        <v>900</v>
      </c>
      <c r="M4758" s="3">
        <v>378</v>
      </c>
      <c r="N4758" s="4">
        <v>0.29577464788732394</v>
      </c>
    </row>
    <row r="4759" spans="1:14" x14ac:dyDescent="0.3">
      <c r="A4759" s="6">
        <v>45997</v>
      </c>
      <c r="B4759" s="1" t="s">
        <v>4943</v>
      </c>
      <c r="C4759" s="1" t="s">
        <v>29</v>
      </c>
      <c r="D4759" t="s">
        <v>30</v>
      </c>
      <c r="E4759" t="s">
        <v>214</v>
      </c>
      <c r="F4759" t="s">
        <v>17</v>
      </c>
      <c r="G4759" t="s">
        <v>18</v>
      </c>
      <c r="H4759" s="3">
        <v>1</v>
      </c>
      <c r="I4759" s="3">
        <v>11220</v>
      </c>
      <c r="J4759" s="3">
        <v>11220</v>
      </c>
      <c r="K4759" s="3">
        <v>8500</v>
      </c>
      <c r="L4759" s="3">
        <v>8500</v>
      </c>
      <c r="M4759" s="3">
        <v>2720</v>
      </c>
      <c r="N4759" s="4">
        <v>0.24242424242424243</v>
      </c>
    </row>
    <row r="4760" spans="1:14" x14ac:dyDescent="0.3">
      <c r="A4760" s="6">
        <v>45998</v>
      </c>
      <c r="B4760" s="1" t="s">
        <v>4944</v>
      </c>
      <c r="C4760" s="1" t="s">
        <v>27</v>
      </c>
      <c r="D4760" t="s">
        <v>33</v>
      </c>
      <c r="E4760" t="s">
        <v>576</v>
      </c>
      <c r="F4760" t="s">
        <v>21</v>
      </c>
      <c r="G4760" t="s">
        <v>20</v>
      </c>
      <c r="H4760" s="3">
        <v>6</v>
      </c>
      <c r="I4760" s="3">
        <v>810</v>
      </c>
      <c r="J4760" s="3">
        <v>4860</v>
      </c>
      <c r="K4760" s="3">
        <v>600</v>
      </c>
      <c r="L4760" s="3">
        <v>3600</v>
      </c>
      <c r="M4760" s="3">
        <v>1260</v>
      </c>
      <c r="N4760" s="4">
        <v>0.25925925925925924</v>
      </c>
    </row>
    <row r="4761" spans="1:14" x14ac:dyDescent="0.3">
      <c r="A4761" s="6">
        <v>45998</v>
      </c>
      <c r="B4761" s="1" t="s">
        <v>4945</v>
      </c>
      <c r="C4761" s="1" t="s">
        <v>29</v>
      </c>
      <c r="D4761" t="s">
        <v>30</v>
      </c>
      <c r="E4761" t="s">
        <v>166</v>
      </c>
      <c r="F4761" t="s">
        <v>24</v>
      </c>
      <c r="G4761" t="s">
        <v>25</v>
      </c>
      <c r="H4761" s="3">
        <v>9</v>
      </c>
      <c r="I4761" s="3">
        <v>3525</v>
      </c>
      <c r="J4761" s="3">
        <v>31725</v>
      </c>
      <c r="K4761" s="3">
        <v>2500</v>
      </c>
      <c r="L4761" s="3">
        <v>22500</v>
      </c>
      <c r="M4761" s="3">
        <v>9225</v>
      </c>
      <c r="N4761" s="4">
        <v>0.29078014184397161</v>
      </c>
    </row>
    <row r="4762" spans="1:14" x14ac:dyDescent="0.3">
      <c r="A4762" s="6">
        <v>45998</v>
      </c>
      <c r="B4762" s="1" t="s">
        <v>4946</v>
      </c>
      <c r="C4762" s="1" t="s">
        <v>28</v>
      </c>
      <c r="D4762" t="s">
        <v>34</v>
      </c>
      <c r="E4762" t="s">
        <v>142</v>
      </c>
      <c r="F4762" t="s">
        <v>24</v>
      </c>
      <c r="G4762" t="s">
        <v>25</v>
      </c>
      <c r="H4762" s="3">
        <v>9</v>
      </c>
      <c r="I4762" s="3">
        <v>3600</v>
      </c>
      <c r="J4762" s="3">
        <v>32400</v>
      </c>
      <c r="K4762" s="3">
        <v>2500</v>
      </c>
      <c r="L4762" s="3">
        <v>22500</v>
      </c>
      <c r="M4762" s="3">
        <v>9900</v>
      </c>
      <c r="N4762" s="4">
        <v>0.30555555555555558</v>
      </c>
    </row>
    <row r="4763" spans="1:14" x14ac:dyDescent="0.3">
      <c r="A4763" s="6">
        <v>45998</v>
      </c>
      <c r="B4763" s="1" t="s">
        <v>4947</v>
      </c>
      <c r="C4763" s="1" t="s">
        <v>29</v>
      </c>
      <c r="D4763" t="s">
        <v>35</v>
      </c>
      <c r="E4763" t="s">
        <v>283</v>
      </c>
      <c r="F4763" t="s">
        <v>24</v>
      </c>
      <c r="G4763" t="s">
        <v>25</v>
      </c>
      <c r="H4763" s="3">
        <v>6</v>
      </c>
      <c r="I4763" s="3">
        <v>3300</v>
      </c>
      <c r="J4763" s="3">
        <v>19800</v>
      </c>
      <c r="K4763" s="3">
        <v>2500</v>
      </c>
      <c r="L4763" s="3">
        <v>15000</v>
      </c>
      <c r="M4763" s="3">
        <v>4800</v>
      </c>
      <c r="N4763" s="4">
        <v>0.24242424242424243</v>
      </c>
    </row>
    <row r="4764" spans="1:14" x14ac:dyDescent="0.3">
      <c r="A4764" s="6">
        <v>45998</v>
      </c>
      <c r="B4764" s="1" t="s">
        <v>4948</v>
      </c>
      <c r="C4764" s="1" t="s">
        <v>26</v>
      </c>
      <c r="D4764" t="s">
        <v>32</v>
      </c>
      <c r="E4764" t="s">
        <v>371</v>
      </c>
      <c r="F4764" t="s">
        <v>16</v>
      </c>
      <c r="G4764" t="s">
        <v>15</v>
      </c>
      <c r="H4764" s="3">
        <v>7</v>
      </c>
      <c r="I4764" s="3">
        <v>45600</v>
      </c>
      <c r="J4764" s="3">
        <v>319200</v>
      </c>
      <c r="K4764" s="3">
        <v>38000</v>
      </c>
      <c r="L4764" s="3">
        <v>266000</v>
      </c>
      <c r="M4764" s="3">
        <v>53200</v>
      </c>
      <c r="N4764" s="4">
        <v>0.16666666666666666</v>
      </c>
    </row>
    <row r="4765" spans="1:14" x14ac:dyDescent="0.3">
      <c r="A4765" s="6">
        <v>45998</v>
      </c>
      <c r="B4765" s="1" t="s">
        <v>4949</v>
      </c>
      <c r="C4765" s="1" t="s">
        <v>27</v>
      </c>
      <c r="D4765" t="s">
        <v>30</v>
      </c>
      <c r="E4765" t="s">
        <v>108</v>
      </c>
      <c r="F4765" t="s">
        <v>21</v>
      </c>
      <c r="G4765" t="s">
        <v>20</v>
      </c>
      <c r="H4765" s="3">
        <v>10</v>
      </c>
      <c r="I4765" s="3">
        <v>750</v>
      </c>
      <c r="J4765" s="3">
        <v>7500</v>
      </c>
      <c r="K4765" s="3">
        <v>600</v>
      </c>
      <c r="L4765" s="3">
        <v>6000</v>
      </c>
      <c r="M4765" s="3">
        <v>1500</v>
      </c>
      <c r="N4765" s="4">
        <v>0.2</v>
      </c>
    </row>
    <row r="4766" spans="1:14" x14ac:dyDescent="0.3">
      <c r="A4766" s="6">
        <v>45998</v>
      </c>
      <c r="B4766" s="1" t="s">
        <v>4950</v>
      </c>
      <c r="C4766" s="1" t="s">
        <v>29</v>
      </c>
      <c r="D4766" t="s">
        <v>34</v>
      </c>
      <c r="E4766" t="s">
        <v>114</v>
      </c>
      <c r="F4766" t="s">
        <v>17</v>
      </c>
      <c r="G4766" t="s">
        <v>18</v>
      </c>
      <c r="H4766" s="3">
        <v>1</v>
      </c>
      <c r="I4766" s="3">
        <v>10200</v>
      </c>
      <c r="J4766" s="3">
        <v>10200</v>
      </c>
      <c r="K4766" s="3">
        <v>8500</v>
      </c>
      <c r="L4766" s="3">
        <v>8500</v>
      </c>
      <c r="M4766" s="3">
        <v>1700</v>
      </c>
      <c r="N4766" s="4">
        <v>0.16666666666666666</v>
      </c>
    </row>
    <row r="4767" spans="1:14" x14ac:dyDescent="0.3">
      <c r="A4767" s="6">
        <v>45998</v>
      </c>
      <c r="B4767" s="1" t="s">
        <v>4951</v>
      </c>
      <c r="C4767" s="1" t="s">
        <v>28</v>
      </c>
      <c r="D4767" t="s">
        <v>31</v>
      </c>
      <c r="E4767" t="s">
        <v>94</v>
      </c>
      <c r="F4767" t="s">
        <v>14</v>
      </c>
      <c r="G4767" t="s">
        <v>15</v>
      </c>
      <c r="H4767" s="3">
        <v>9</v>
      </c>
      <c r="I4767" s="3">
        <v>61199.999999999993</v>
      </c>
      <c r="J4767" s="3">
        <v>550799.99999999988</v>
      </c>
      <c r="K4767" s="3">
        <v>45000</v>
      </c>
      <c r="L4767" s="3">
        <v>405000</v>
      </c>
      <c r="M4767" s="3">
        <v>145799.99999999988</v>
      </c>
      <c r="N4767" s="4">
        <v>0.26470588235294101</v>
      </c>
    </row>
    <row r="4768" spans="1:14" x14ac:dyDescent="0.3">
      <c r="A4768" s="6">
        <v>45998</v>
      </c>
      <c r="B4768" s="1" t="s">
        <v>4952</v>
      </c>
      <c r="C4768" s="1" t="s">
        <v>27</v>
      </c>
      <c r="D4768" t="s">
        <v>30</v>
      </c>
      <c r="E4768" t="s">
        <v>548</v>
      </c>
      <c r="F4768" t="s">
        <v>19</v>
      </c>
      <c r="G4768" t="s">
        <v>20</v>
      </c>
      <c r="H4768" s="3">
        <v>7</v>
      </c>
      <c r="I4768" s="3">
        <v>1296</v>
      </c>
      <c r="J4768" s="3">
        <v>9072</v>
      </c>
      <c r="K4768" s="3">
        <v>900</v>
      </c>
      <c r="L4768" s="3">
        <v>6300</v>
      </c>
      <c r="M4768" s="3">
        <v>2772</v>
      </c>
      <c r="N4768" s="4">
        <v>0.30555555555555558</v>
      </c>
    </row>
    <row r="4769" spans="1:14" x14ac:dyDescent="0.3">
      <c r="A4769" s="6">
        <v>45998</v>
      </c>
      <c r="B4769" s="1" t="s">
        <v>4953</v>
      </c>
      <c r="C4769" s="1" t="s">
        <v>27</v>
      </c>
      <c r="D4769" t="s">
        <v>31</v>
      </c>
      <c r="E4769" t="s">
        <v>427</v>
      </c>
      <c r="F4769" t="s">
        <v>21</v>
      </c>
      <c r="G4769" t="s">
        <v>20</v>
      </c>
      <c r="H4769" s="3">
        <v>4</v>
      </c>
      <c r="I4769" s="3">
        <v>750</v>
      </c>
      <c r="J4769" s="3">
        <v>3000</v>
      </c>
      <c r="K4769" s="3">
        <v>600</v>
      </c>
      <c r="L4769" s="3">
        <v>2400</v>
      </c>
      <c r="M4769" s="3">
        <v>600</v>
      </c>
      <c r="N4769" s="4">
        <v>0.2</v>
      </c>
    </row>
    <row r="4770" spans="1:14" x14ac:dyDescent="0.3">
      <c r="A4770" s="6">
        <v>45998</v>
      </c>
      <c r="B4770" s="1" t="s">
        <v>4954</v>
      </c>
      <c r="C4770" s="1" t="s">
        <v>29</v>
      </c>
      <c r="D4770" t="s">
        <v>30</v>
      </c>
      <c r="E4770" t="s">
        <v>149</v>
      </c>
      <c r="F4770" t="s">
        <v>16</v>
      </c>
      <c r="G4770" t="s">
        <v>15</v>
      </c>
      <c r="H4770" s="3">
        <v>7</v>
      </c>
      <c r="I4770" s="3">
        <v>52439.999999999993</v>
      </c>
      <c r="J4770" s="3">
        <v>367079.99999999994</v>
      </c>
      <c r="K4770" s="3">
        <v>38000</v>
      </c>
      <c r="L4770" s="3">
        <v>266000</v>
      </c>
      <c r="M4770" s="3">
        <v>101079.99999999994</v>
      </c>
      <c r="N4770" s="4">
        <v>0.2753623188405796</v>
      </c>
    </row>
    <row r="4771" spans="1:14" x14ac:dyDescent="0.3">
      <c r="A4771" s="6">
        <v>45998</v>
      </c>
      <c r="B4771" s="1" t="s">
        <v>4955</v>
      </c>
      <c r="C4771" s="1" t="s">
        <v>28</v>
      </c>
      <c r="D4771" t="s">
        <v>34</v>
      </c>
      <c r="E4771" t="s">
        <v>45</v>
      </c>
      <c r="F4771" t="s">
        <v>19</v>
      </c>
      <c r="G4771" t="s">
        <v>20</v>
      </c>
      <c r="H4771" s="3">
        <v>7</v>
      </c>
      <c r="I4771" s="3">
        <v>1251</v>
      </c>
      <c r="J4771" s="3">
        <v>8757</v>
      </c>
      <c r="K4771" s="3">
        <v>900</v>
      </c>
      <c r="L4771" s="3">
        <v>6300</v>
      </c>
      <c r="M4771" s="3">
        <v>2457</v>
      </c>
      <c r="N4771" s="4">
        <v>0.2805755395683453</v>
      </c>
    </row>
    <row r="4772" spans="1:14" x14ac:dyDescent="0.3">
      <c r="A4772" s="6">
        <v>45998</v>
      </c>
      <c r="B4772" s="1" t="s">
        <v>4956</v>
      </c>
      <c r="C4772" s="1" t="s">
        <v>26</v>
      </c>
      <c r="D4772" t="s">
        <v>33</v>
      </c>
      <c r="E4772" t="s">
        <v>349</v>
      </c>
      <c r="F4772" t="s">
        <v>17</v>
      </c>
      <c r="G4772" t="s">
        <v>18</v>
      </c>
      <c r="H4772" s="3">
        <v>9</v>
      </c>
      <c r="I4772" s="3">
        <v>10370</v>
      </c>
      <c r="J4772" s="3">
        <v>93330</v>
      </c>
      <c r="K4772" s="3">
        <v>8500</v>
      </c>
      <c r="L4772" s="3">
        <v>76500</v>
      </c>
      <c r="M4772" s="3">
        <v>16830</v>
      </c>
      <c r="N4772" s="4">
        <v>0.18032786885245902</v>
      </c>
    </row>
    <row r="4773" spans="1:14" x14ac:dyDescent="0.3">
      <c r="A4773" s="6">
        <v>45998</v>
      </c>
      <c r="B4773" s="1" t="s">
        <v>4957</v>
      </c>
      <c r="C4773" s="1" t="s">
        <v>26</v>
      </c>
      <c r="D4773" t="s">
        <v>35</v>
      </c>
      <c r="E4773" t="s">
        <v>263</v>
      </c>
      <c r="F4773" t="s">
        <v>21</v>
      </c>
      <c r="G4773" t="s">
        <v>20</v>
      </c>
      <c r="H4773" s="3">
        <v>3</v>
      </c>
      <c r="I4773" s="3">
        <v>804</v>
      </c>
      <c r="J4773" s="3">
        <v>2412</v>
      </c>
      <c r="K4773" s="3">
        <v>600</v>
      </c>
      <c r="L4773" s="3">
        <v>1800</v>
      </c>
      <c r="M4773" s="3">
        <v>612</v>
      </c>
      <c r="N4773" s="4">
        <v>0.2537313432835821</v>
      </c>
    </row>
    <row r="4774" spans="1:14" x14ac:dyDescent="0.3">
      <c r="A4774" s="6">
        <v>45999</v>
      </c>
      <c r="B4774" s="1" t="s">
        <v>4958</v>
      </c>
      <c r="C4774" s="1" t="s">
        <v>28</v>
      </c>
      <c r="D4774" t="s">
        <v>34</v>
      </c>
      <c r="E4774" t="s">
        <v>359</v>
      </c>
      <c r="F4774" t="s">
        <v>21</v>
      </c>
      <c r="G4774" t="s">
        <v>20</v>
      </c>
      <c r="H4774" s="3">
        <v>1</v>
      </c>
      <c r="I4774" s="3">
        <v>720</v>
      </c>
      <c r="J4774" s="3">
        <v>720</v>
      </c>
      <c r="K4774" s="3">
        <v>600</v>
      </c>
      <c r="L4774" s="3">
        <v>600</v>
      </c>
      <c r="M4774" s="3">
        <v>120</v>
      </c>
      <c r="N4774" s="4">
        <v>0.16666666666666666</v>
      </c>
    </row>
    <row r="4775" spans="1:14" x14ac:dyDescent="0.3">
      <c r="A4775" s="6">
        <v>45999</v>
      </c>
      <c r="B4775" s="1" t="s">
        <v>4959</v>
      </c>
      <c r="C4775" s="1" t="s">
        <v>28</v>
      </c>
      <c r="D4775" t="s">
        <v>31</v>
      </c>
      <c r="E4775" t="s">
        <v>49</v>
      </c>
      <c r="F4775" t="s">
        <v>22</v>
      </c>
      <c r="G4775" t="s">
        <v>18</v>
      </c>
      <c r="H4775" s="3">
        <v>8</v>
      </c>
      <c r="I4775" s="3">
        <v>9450</v>
      </c>
      <c r="J4775" s="3">
        <v>75600</v>
      </c>
      <c r="K4775" s="3">
        <v>7000</v>
      </c>
      <c r="L4775" s="3">
        <v>56000</v>
      </c>
      <c r="M4775" s="3">
        <v>19600</v>
      </c>
      <c r="N4775" s="4">
        <v>0.25925925925925924</v>
      </c>
    </row>
    <row r="4776" spans="1:14" x14ac:dyDescent="0.3">
      <c r="A4776" s="6">
        <v>45999</v>
      </c>
      <c r="B4776" s="1" t="s">
        <v>4960</v>
      </c>
      <c r="C4776" s="1" t="s">
        <v>27</v>
      </c>
      <c r="D4776" t="s">
        <v>31</v>
      </c>
      <c r="E4776" t="s">
        <v>292</v>
      </c>
      <c r="F4776" t="s">
        <v>21</v>
      </c>
      <c r="G4776" t="s">
        <v>20</v>
      </c>
      <c r="H4776" s="3">
        <v>3</v>
      </c>
      <c r="I4776" s="3">
        <v>720</v>
      </c>
      <c r="J4776" s="3">
        <v>2160</v>
      </c>
      <c r="K4776" s="3">
        <v>600</v>
      </c>
      <c r="L4776" s="3">
        <v>1800</v>
      </c>
      <c r="M4776" s="3">
        <v>360</v>
      </c>
      <c r="N4776" s="4">
        <v>0.16666666666666666</v>
      </c>
    </row>
    <row r="4777" spans="1:14" x14ac:dyDescent="0.3">
      <c r="A4777" s="6">
        <v>45999</v>
      </c>
      <c r="B4777" s="1" t="s">
        <v>4961</v>
      </c>
      <c r="C4777" s="1" t="s">
        <v>29</v>
      </c>
      <c r="D4777" t="s">
        <v>30</v>
      </c>
      <c r="E4777" t="s">
        <v>319</v>
      </c>
      <c r="F4777" t="s">
        <v>24</v>
      </c>
      <c r="G4777" t="s">
        <v>25</v>
      </c>
      <c r="H4777" s="3">
        <v>4</v>
      </c>
      <c r="I4777" s="3">
        <v>3475.0000000000005</v>
      </c>
      <c r="J4777" s="3">
        <v>13900.000000000002</v>
      </c>
      <c r="K4777" s="3">
        <v>2500</v>
      </c>
      <c r="L4777" s="3">
        <v>10000</v>
      </c>
      <c r="M4777" s="3">
        <v>3900.0000000000018</v>
      </c>
      <c r="N4777" s="4">
        <v>0.28057553956834541</v>
      </c>
    </row>
    <row r="4778" spans="1:14" x14ac:dyDescent="0.3">
      <c r="A4778" s="6">
        <v>45999</v>
      </c>
      <c r="B4778" s="1" t="s">
        <v>4962</v>
      </c>
      <c r="C4778" s="1" t="s">
        <v>29</v>
      </c>
      <c r="D4778" t="s">
        <v>34</v>
      </c>
      <c r="E4778" t="s">
        <v>142</v>
      </c>
      <c r="F4778" t="s">
        <v>23</v>
      </c>
      <c r="G4778" t="s">
        <v>25</v>
      </c>
      <c r="H4778" s="3">
        <v>7</v>
      </c>
      <c r="I4778" s="3">
        <v>4640</v>
      </c>
      <c r="J4778" s="3">
        <v>32480</v>
      </c>
      <c r="K4778" s="3">
        <v>3200</v>
      </c>
      <c r="L4778" s="3">
        <v>22400</v>
      </c>
      <c r="M4778" s="3">
        <v>10080</v>
      </c>
      <c r="N4778" s="4">
        <v>0.31034482758620691</v>
      </c>
    </row>
    <row r="4779" spans="1:14" x14ac:dyDescent="0.3">
      <c r="A4779" s="6">
        <v>45999</v>
      </c>
      <c r="B4779" s="1" t="s">
        <v>4963</v>
      </c>
      <c r="C4779" s="1" t="s">
        <v>29</v>
      </c>
      <c r="D4779" t="s">
        <v>31</v>
      </c>
      <c r="E4779" t="s">
        <v>436</v>
      </c>
      <c r="F4779" t="s">
        <v>19</v>
      </c>
      <c r="G4779" t="s">
        <v>20</v>
      </c>
      <c r="H4779" s="3">
        <v>4</v>
      </c>
      <c r="I4779" s="3">
        <v>1161</v>
      </c>
      <c r="J4779" s="3">
        <v>4644</v>
      </c>
      <c r="K4779" s="3">
        <v>900</v>
      </c>
      <c r="L4779" s="3">
        <v>3600</v>
      </c>
      <c r="M4779" s="3">
        <v>1044</v>
      </c>
      <c r="N4779" s="4">
        <v>0.22480620155038761</v>
      </c>
    </row>
    <row r="4780" spans="1:14" x14ac:dyDescent="0.3">
      <c r="A4780" s="6">
        <v>45999</v>
      </c>
      <c r="B4780" s="1" t="s">
        <v>4964</v>
      </c>
      <c r="C4780" s="1" t="s">
        <v>26</v>
      </c>
      <c r="D4780" t="s">
        <v>34</v>
      </c>
      <c r="E4780" t="s">
        <v>228</v>
      </c>
      <c r="F4780" t="s">
        <v>14</v>
      </c>
      <c r="G4780" t="s">
        <v>15</v>
      </c>
      <c r="H4780" s="3">
        <v>9</v>
      </c>
      <c r="I4780" s="3">
        <v>60750.000000000007</v>
      </c>
      <c r="J4780" s="3">
        <v>546750.00000000012</v>
      </c>
      <c r="K4780" s="3">
        <v>45000</v>
      </c>
      <c r="L4780" s="3">
        <v>405000</v>
      </c>
      <c r="M4780" s="3">
        <v>141750.00000000012</v>
      </c>
      <c r="N4780" s="4">
        <v>0.25925925925925941</v>
      </c>
    </row>
    <row r="4781" spans="1:14" x14ac:dyDescent="0.3">
      <c r="A4781" s="6">
        <v>45999</v>
      </c>
      <c r="B4781" s="1" t="s">
        <v>4965</v>
      </c>
      <c r="C4781" s="1" t="s">
        <v>27</v>
      </c>
      <c r="D4781" t="s">
        <v>31</v>
      </c>
      <c r="E4781" t="s">
        <v>265</v>
      </c>
      <c r="F4781" t="s">
        <v>24</v>
      </c>
      <c r="G4781" t="s">
        <v>25</v>
      </c>
      <c r="H4781" s="3">
        <v>4</v>
      </c>
      <c r="I4781" s="3">
        <v>3575</v>
      </c>
      <c r="J4781" s="3">
        <v>14300</v>
      </c>
      <c r="K4781" s="3">
        <v>2500</v>
      </c>
      <c r="L4781" s="3">
        <v>10000</v>
      </c>
      <c r="M4781" s="3">
        <v>4300</v>
      </c>
      <c r="N4781" s="4">
        <v>0.30069930069930068</v>
      </c>
    </row>
    <row r="4782" spans="1:14" x14ac:dyDescent="0.3">
      <c r="A4782" s="6">
        <v>45999</v>
      </c>
      <c r="B4782" s="1" t="s">
        <v>4966</v>
      </c>
      <c r="C4782" s="1" t="s">
        <v>29</v>
      </c>
      <c r="D4782" t="s">
        <v>34</v>
      </c>
      <c r="E4782" t="s">
        <v>108</v>
      </c>
      <c r="F4782" t="s">
        <v>23</v>
      </c>
      <c r="G4782" t="s">
        <v>25</v>
      </c>
      <c r="H4782" s="3">
        <v>2</v>
      </c>
      <c r="I4782" s="3">
        <v>4384</v>
      </c>
      <c r="J4782" s="3">
        <v>8768</v>
      </c>
      <c r="K4782" s="3">
        <v>3200</v>
      </c>
      <c r="L4782" s="3">
        <v>6400</v>
      </c>
      <c r="M4782" s="3">
        <v>2368</v>
      </c>
      <c r="N4782" s="4">
        <v>0.27007299270072993</v>
      </c>
    </row>
    <row r="4783" spans="1:14" x14ac:dyDescent="0.3">
      <c r="A4783" s="6">
        <v>45999</v>
      </c>
      <c r="B4783" s="1" t="s">
        <v>4967</v>
      </c>
      <c r="C4783" s="1" t="s">
        <v>29</v>
      </c>
      <c r="D4783" t="s">
        <v>34</v>
      </c>
      <c r="E4783" t="s">
        <v>175</v>
      </c>
      <c r="F4783" t="s">
        <v>24</v>
      </c>
      <c r="G4783" t="s">
        <v>25</v>
      </c>
      <c r="H4783" s="3">
        <v>6</v>
      </c>
      <c r="I4783" s="3">
        <v>3275</v>
      </c>
      <c r="J4783" s="3">
        <v>19650</v>
      </c>
      <c r="K4783" s="3">
        <v>2500</v>
      </c>
      <c r="L4783" s="3">
        <v>15000</v>
      </c>
      <c r="M4783" s="3">
        <v>4650</v>
      </c>
      <c r="N4783" s="4">
        <v>0.23664122137404581</v>
      </c>
    </row>
    <row r="4784" spans="1:14" x14ac:dyDescent="0.3">
      <c r="A4784" s="6">
        <v>45999</v>
      </c>
      <c r="B4784" s="1" t="s">
        <v>4968</v>
      </c>
      <c r="C4784" s="1" t="s">
        <v>26</v>
      </c>
      <c r="D4784" t="s">
        <v>31</v>
      </c>
      <c r="E4784" t="s">
        <v>149</v>
      </c>
      <c r="F4784" t="s">
        <v>23</v>
      </c>
      <c r="G4784" t="s">
        <v>25</v>
      </c>
      <c r="H4784" s="3">
        <v>3</v>
      </c>
      <c r="I4784" s="3">
        <v>4000</v>
      </c>
      <c r="J4784" s="3">
        <v>12000</v>
      </c>
      <c r="K4784" s="3">
        <v>3200</v>
      </c>
      <c r="L4784" s="3">
        <v>9600</v>
      </c>
      <c r="M4784" s="3">
        <v>2400</v>
      </c>
      <c r="N4784" s="4">
        <v>0.2</v>
      </c>
    </row>
    <row r="4785" spans="1:14" x14ac:dyDescent="0.3">
      <c r="A4785" s="6">
        <v>45999</v>
      </c>
      <c r="B4785" s="1" t="s">
        <v>4969</v>
      </c>
      <c r="C4785" s="1" t="s">
        <v>27</v>
      </c>
      <c r="D4785" t="s">
        <v>32</v>
      </c>
      <c r="E4785" t="s">
        <v>308</v>
      </c>
      <c r="F4785" t="s">
        <v>21</v>
      </c>
      <c r="G4785" t="s">
        <v>20</v>
      </c>
      <c r="H4785" s="3">
        <v>2</v>
      </c>
      <c r="I4785" s="3">
        <v>834.00000000000011</v>
      </c>
      <c r="J4785" s="3">
        <v>1668.0000000000002</v>
      </c>
      <c r="K4785" s="3">
        <v>600</v>
      </c>
      <c r="L4785" s="3">
        <v>1200</v>
      </c>
      <c r="M4785" s="3">
        <v>468.00000000000023</v>
      </c>
      <c r="N4785" s="4">
        <v>0.28057553956834541</v>
      </c>
    </row>
    <row r="4786" spans="1:14" x14ac:dyDescent="0.3">
      <c r="A4786" s="6">
        <v>45999</v>
      </c>
      <c r="B4786" s="1" t="s">
        <v>4970</v>
      </c>
      <c r="C4786" s="1" t="s">
        <v>28</v>
      </c>
      <c r="D4786" t="s">
        <v>31</v>
      </c>
      <c r="E4786" t="s">
        <v>265</v>
      </c>
      <c r="F4786" t="s">
        <v>19</v>
      </c>
      <c r="G4786" t="s">
        <v>20</v>
      </c>
      <c r="H4786" s="3">
        <v>3</v>
      </c>
      <c r="I4786" s="3">
        <v>1098</v>
      </c>
      <c r="J4786" s="3">
        <v>3294</v>
      </c>
      <c r="K4786" s="3">
        <v>900</v>
      </c>
      <c r="L4786" s="3">
        <v>2700</v>
      </c>
      <c r="M4786" s="3">
        <v>594</v>
      </c>
      <c r="N4786" s="4">
        <v>0.18032786885245902</v>
      </c>
    </row>
    <row r="4787" spans="1:14" x14ac:dyDescent="0.3">
      <c r="A4787" s="6">
        <v>45999</v>
      </c>
      <c r="B4787" s="1" t="s">
        <v>4971</v>
      </c>
      <c r="C4787" s="1" t="s">
        <v>27</v>
      </c>
      <c r="D4787" t="s">
        <v>31</v>
      </c>
      <c r="E4787" t="s">
        <v>329</v>
      </c>
      <c r="F4787" t="s">
        <v>16</v>
      </c>
      <c r="G4787" t="s">
        <v>15</v>
      </c>
      <c r="H4787" s="3">
        <v>10</v>
      </c>
      <c r="I4787" s="3">
        <v>45980</v>
      </c>
      <c r="J4787" s="3">
        <v>459800</v>
      </c>
      <c r="K4787" s="3">
        <v>38000</v>
      </c>
      <c r="L4787" s="3">
        <v>380000</v>
      </c>
      <c r="M4787" s="3">
        <v>79800</v>
      </c>
      <c r="N4787" s="4">
        <v>0.17355371900826447</v>
      </c>
    </row>
    <row r="4788" spans="1:14" x14ac:dyDescent="0.3">
      <c r="A4788" s="6">
        <v>46000</v>
      </c>
      <c r="B4788" s="1" t="s">
        <v>4972</v>
      </c>
      <c r="C4788" s="1" t="s">
        <v>26</v>
      </c>
      <c r="D4788" t="s">
        <v>33</v>
      </c>
      <c r="E4788" t="s">
        <v>239</v>
      </c>
      <c r="F4788" t="s">
        <v>14</v>
      </c>
      <c r="G4788" t="s">
        <v>15</v>
      </c>
      <c r="H4788" s="3">
        <v>8</v>
      </c>
      <c r="I4788" s="3">
        <v>61650.000000000007</v>
      </c>
      <c r="J4788" s="3">
        <v>493200.00000000006</v>
      </c>
      <c r="K4788" s="3">
        <v>45000</v>
      </c>
      <c r="L4788" s="3">
        <v>360000</v>
      </c>
      <c r="M4788" s="3">
        <v>133200.00000000006</v>
      </c>
      <c r="N4788" s="4">
        <v>0.27007299270072999</v>
      </c>
    </row>
    <row r="4789" spans="1:14" x14ac:dyDescent="0.3">
      <c r="A4789" s="6">
        <v>46000</v>
      </c>
      <c r="B4789" s="1" t="s">
        <v>4973</v>
      </c>
      <c r="C4789" s="1" t="s">
        <v>27</v>
      </c>
      <c r="D4789" t="s">
        <v>34</v>
      </c>
      <c r="E4789" t="s">
        <v>582</v>
      </c>
      <c r="F4789" t="s">
        <v>17</v>
      </c>
      <c r="G4789" t="s">
        <v>18</v>
      </c>
      <c r="H4789" s="3">
        <v>1</v>
      </c>
      <c r="I4789" s="3">
        <v>10795</v>
      </c>
      <c r="J4789" s="3">
        <v>10795</v>
      </c>
      <c r="K4789" s="3">
        <v>8500</v>
      </c>
      <c r="L4789" s="3">
        <v>8500</v>
      </c>
      <c r="M4789" s="3">
        <v>2295</v>
      </c>
      <c r="N4789" s="4">
        <v>0.2125984251968504</v>
      </c>
    </row>
    <row r="4790" spans="1:14" x14ac:dyDescent="0.3">
      <c r="A4790" s="6">
        <v>46000</v>
      </c>
      <c r="B4790" s="1" t="s">
        <v>4974</v>
      </c>
      <c r="C4790" s="1" t="s">
        <v>26</v>
      </c>
      <c r="D4790" t="s">
        <v>32</v>
      </c>
      <c r="E4790" t="s">
        <v>381</v>
      </c>
      <c r="F4790" t="s">
        <v>24</v>
      </c>
      <c r="G4790" t="s">
        <v>25</v>
      </c>
      <c r="H4790" s="3">
        <v>2</v>
      </c>
      <c r="I4790" s="3">
        <v>3200</v>
      </c>
      <c r="J4790" s="3">
        <v>6400</v>
      </c>
      <c r="K4790" s="3">
        <v>2500</v>
      </c>
      <c r="L4790" s="3">
        <v>5000</v>
      </c>
      <c r="M4790" s="3">
        <v>1400</v>
      </c>
      <c r="N4790" s="4">
        <v>0.21875</v>
      </c>
    </row>
    <row r="4791" spans="1:14" x14ac:dyDescent="0.3">
      <c r="A4791" s="6">
        <v>46000</v>
      </c>
      <c r="B4791" s="1" t="s">
        <v>4975</v>
      </c>
      <c r="C4791" s="1" t="s">
        <v>27</v>
      </c>
      <c r="D4791" t="s">
        <v>34</v>
      </c>
      <c r="E4791" t="s">
        <v>208</v>
      </c>
      <c r="F4791" t="s">
        <v>21</v>
      </c>
      <c r="G4791" t="s">
        <v>20</v>
      </c>
      <c r="H4791" s="3">
        <v>9</v>
      </c>
      <c r="I4791" s="3">
        <v>852</v>
      </c>
      <c r="J4791" s="3">
        <v>7668</v>
      </c>
      <c r="K4791" s="3">
        <v>600</v>
      </c>
      <c r="L4791" s="3">
        <v>5400</v>
      </c>
      <c r="M4791" s="3">
        <v>2268</v>
      </c>
      <c r="N4791" s="4">
        <v>0.29577464788732394</v>
      </c>
    </row>
    <row r="4792" spans="1:14" x14ac:dyDescent="0.3">
      <c r="A4792" s="6">
        <v>46000</v>
      </c>
      <c r="B4792" s="1" t="s">
        <v>4976</v>
      </c>
      <c r="C4792" s="1" t="s">
        <v>27</v>
      </c>
      <c r="D4792" t="s">
        <v>30</v>
      </c>
      <c r="E4792" t="s">
        <v>336</v>
      </c>
      <c r="F4792" t="s">
        <v>19</v>
      </c>
      <c r="G4792" t="s">
        <v>20</v>
      </c>
      <c r="H4792" s="3">
        <v>8</v>
      </c>
      <c r="I4792" s="3">
        <v>1287</v>
      </c>
      <c r="J4792" s="3">
        <v>10296</v>
      </c>
      <c r="K4792" s="3">
        <v>900</v>
      </c>
      <c r="L4792" s="3">
        <v>7200</v>
      </c>
      <c r="M4792" s="3">
        <v>3096</v>
      </c>
      <c r="N4792" s="4">
        <v>0.30069930069930068</v>
      </c>
    </row>
    <row r="4793" spans="1:14" x14ac:dyDescent="0.3">
      <c r="A4793" s="6">
        <v>46000</v>
      </c>
      <c r="B4793" s="1" t="s">
        <v>4977</v>
      </c>
      <c r="C4793" s="1" t="s">
        <v>29</v>
      </c>
      <c r="D4793" t="s">
        <v>35</v>
      </c>
      <c r="E4793" t="s">
        <v>65</v>
      </c>
      <c r="F4793" t="s">
        <v>14</v>
      </c>
      <c r="G4793" t="s">
        <v>15</v>
      </c>
      <c r="H4793" s="3">
        <v>6</v>
      </c>
      <c r="I4793" s="3">
        <v>58500</v>
      </c>
      <c r="J4793" s="3">
        <v>351000</v>
      </c>
      <c r="K4793" s="3">
        <v>45000</v>
      </c>
      <c r="L4793" s="3">
        <v>270000</v>
      </c>
      <c r="M4793" s="3">
        <v>81000</v>
      </c>
      <c r="N4793" s="4">
        <v>0.23076923076923078</v>
      </c>
    </row>
    <row r="4794" spans="1:14" x14ac:dyDescent="0.3">
      <c r="A4794" s="6">
        <v>46000</v>
      </c>
      <c r="B4794" s="1" t="s">
        <v>4978</v>
      </c>
      <c r="C4794" s="1" t="s">
        <v>29</v>
      </c>
      <c r="D4794" t="s">
        <v>34</v>
      </c>
      <c r="E4794" t="s">
        <v>57</v>
      </c>
      <c r="F4794" t="s">
        <v>22</v>
      </c>
      <c r="G4794" t="s">
        <v>18</v>
      </c>
      <c r="H4794" s="3">
        <v>9</v>
      </c>
      <c r="I4794" s="3">
        <v>9450</v>
      </c>
      <c r="J4794" s="3">
        <v>85050</v>
      </c>
      <c r="K4794" s="3">
        <v>7000</v>
      </c>
      <c r="L4794" s="3">
        <v>63000</v>
      </c>
      <c r="M4794" s="3">
        <v>22050</v>
      </c>
      <c r="N4794" s="4">
        <v>0.25925925925925924</v>
      </c>
    </row>
    <row r="4795" spans="1:14" x14ac:dyDescent="0.3">
      <c r="A4795" s="6">
        <v>46000</v>
      </c>
      <c r="B4795" s="1" t="s">
        <v>4979</v>
      </c>
      <c r="C4795" s="1" t="s">
        <v>28</v>
      </c>
      <c r="D4795" t="s">
        <v>34</v>
      </c>
      <c r="E4795" t="s">
        <v>193</v>
      </c>
      <c r="F4795" t="s">
        <v>21</v>
      </c>
      <c r="G4795" t="s">
        <v>20</v>
      </c>
      <c r="H4795" s="3">
        <v>2</v>
      </c>
      <c r="I4795" s="3">
        <v>738</v>
      </c>
      <c r="J4795" s="3">
        <v>1476</v>
      </c>
      <c r="K4795" s="3">
        <v>600</v>
      </c>
      <c r="L4795" s="3">
        <v>1200</v>
      </c>
      <c r="M4795" s="3">
        <v>276</v>
      </c>
      <c r="N4795" s="4">
        <v>0.18699186991869918</v>
      </c>
    </row>
    <row r="4796" spans="1:14" x14ac:dyDescent="0.3">
      <c r="A4796" s="6">
        <v>46000</v>
      </c>
      <c r="B4796" s="1" t="s">
        <v>4980</v>
      </c>
      <c r="C4796" s="1" t="s">
        <v>28</v>
      </c>
      <c r="D4796" t="s">
        <v>31</v>
      </c>
      <c r="E4796" t="s">
        <v>41</v>
      </c>
      <c r="F4796" t="s">
        <v>16</v>
      </c>
      <c r="G4796" t="s">
        <v>15</v>
      </c>
      <c r="H4796" s="3">
        <v>7</v>
      </c>
      <c r="I4796" s="3">
        <v>47880</v>
      </c>
      <c r="J4796" s="3">
        <v>335160</v>
      </c>
      <c r="K4796" s="3">
        <v>38000</v>
      </c>
      <c r="L4796" s="3">
        <v>266000</v>
      </c>
      <c r="M4796" s="3">
        <v>69160</v>
      </c>
      <c r="N4796" s="4">
        <v>0.20634920634920634</v>
      </c>
    </row>
    <row r="4797" spans="1:14" x14ac:dyDescent="0.3">
      <c r="A4797" s="6">
        <v>46000</v>
      </c>
      <c r="B4797" s="1" t="s">
        <v>4981</v>
      </c>
      <c r="C4797" s="1" t="s">
        <v>28</v>
      </c>
      <c r="D4797" t="s">
        <v>33</v>
      </c>
      <c r="E4797" t="s">
        <v>43</v>
      </c>
      <c r="F4797" t="s">
        <v>23</v>
      </c>
      <c r="G4797" t="s">
        <v>25</v>
      </c>
      <c r="H4797" s="3">
        <v>5</v>
      </c>
      <c r="I4797" s="3">
        <v>4192</v>
      </c>
      <c r="J4797" s="3">
        <v>20960</v>
      </c>
      <c r="K4797" s="3">
        <v>3200</v>
      </c>
      <c r="L4797" s="3">
        <v>16000</v>
      </c>
      <c r="M4797" s="3">
        <v>4960</v>
      </c>
      <c r="N4797" s="4">
        <v>0.23664122137404581</v>
      </c>
    </row>
    <row r="4798" spans="1:14" x14ac:dyDescent="0.3">
      <c r="A4798" s="6">
        <v>46000</v>
      </c>
      <c r="B4798" s="1" t="s">
        <v>4982</v>
      </c>
      <c r="C4798" s="1" t="s">
        <v>26</v>
      </c>
      <c r="D4798" t="s">
        <v>35</v>
      </c>
      <c r="E4798" t="s">
        <v>134</v>
      </c>
      <c r="F4798" t="s">
        <v>22</v>
      </c>
      <c r="G4798" t="s">
        <v>18</v>
      </c>
      <c r="H4798" s="3">
        <v>9</v>
      </c>
      <c r="I4798" s="3">
        <v>9940</v>
      </c>
      <c r="J4798" s="3">
        <v>89460</v>
      </c>
      <c r="K4798" s="3">
        <v>7000</v>
      </c>
      <c r="L4798" s="3">
        <v>63000</v>
      </c>
      <c r="M4798" s="3">
        <v>26460</v>
      </c>
      <c r="N4798" s="4">
        <v>0.29577464788732394</v>
      </c>
    </row>
    <row r="4799" spans="1:14" x14ac:dyDescent="0.3">
      <c r="A4799" s="6">
        <v>46000</v>
      </c>
      <c r="B4799" s="1" t="s">
        <v>4983</v>
      </c>
      <c r="C4799" s="1" t="s">
        <v>29</v>
      </c>
      <c r="D4799" t="s">
        <v>33</v>
      </c>
      <c r="E4799" t="s">
        <v>139</v>
      </c>
      <c r="F4799" t="s">
        <v>16</v>
      </c>
      <c r="G4799" t="s">
        <v>15</v>
      </c>
      <c r="H4799" s="3">
        <v>3</v>
      </c>
      <c r="I4799" s="3">
        <v>53580</v>
      </c>
      <c r="J4799" s="3">
        <v>160740</v>
      </c>
      <c r="K4799" s="3">
        <v>38000</v>
      </c>
      <c r="L4799" s="3">
        <v>114000</v>
      </c>
      <c r="M4799" s="3">
        <v>46740</v>
      </c>
      <c r="N4799" s="4">
        <v>0.29078014184397161</v>
      </c>
    </row>
    <row r="4800" spans="1:14" x14ac:dyDescent="0.3">
      <c r="A4800" s="6">
        <v>46000</v>
      </c>
      <c r="B4800" s="1" t="s">
        <v>4984</v>
      </c>
      <c r="C4800" s="1" t="s">
        <v>28</v>
      </c>
      <c r="D4800" t="s">
        <v>32</v>
      </c>
      <c r="E4800" t="s">
        <v>407</v>
      </c>
      <c r="F4800" t="s">
        <v>17</v>
      </c>
      <c r="G4800" t="s">
        <v>18</v>
      </c>
      <c r="H4800" s="3">
        <v>2</v>
      </c>
      <c r="I4800" s="3">
        <v>10200</v>
      </c>
      <c r="J4800" s="3">
        <v>20400</v>
      </c>
      <c r="K4800" s="3">
        <v>8500</v>
      </c>
      <c r="L4800" s="3">
        <v>17000</v>
      </c>
      <c r="M4800" s="3">
        <v>3400</v>
      </c>
      <c r="N4800" s="4">
        <v>0.16666666666666666</v>
      </c>
    </row>
    <row r="4801" spans="1:14" x14ac:dyDescent="0.3">
      <c r="A4801" s="6">
        <v>46000</v>
      </c>
      <c r="B4801" s="1" t="s">
        <v>4985</v>
      </c>
      <c r="C4801" s="1" t="s">
        <v>27</v>
      </c>
      <c r="D4801" t="s">
        <v>30</v>
      </c>
      <c r="E4801" t="s">
        <v>104</v>
      </c>
      <c r="F4801" t="s">
        <v>17</v>
      </c>
      <c r="G4801" t="s">
        <v>18</v>
      </c>
      <c r="H4801" s="3">
        <v>3</v>
      </c>
      <c r="I4801" s="3">
        <v>11050</v>
      </c>
      <c r="J4801" s="3">
        <v>33150</v>
      </c>
      <c r="K4801" s="3">
        <v>8500</v>
      </c>
      <c r="L4801" s="3">
        <v>25500</v>
      </c>
      <c r="M4801" s="3">
        <v>7650</v>
      </c>
      <c r="N4801" s="4">
        <v>0.23076923076923078</v>
      </c>
    </row>
    <row r="4802" spans="1:14" x14ac:dyDescent="0.3">
      <c r="A4802" s="6">
        <v>46001</v>
      </c>
      <c r="B4802" s="1" t="s">
        <v>4986</v>
      </c>
      <c r="C4802" s="1" t="s">
        <v>28</v>
      </c>
      <c r="D4802" t="s">
        <v>30</v>
      </c>
      <c r="E4802" t="s">
        <v>381</v>
      </c>
      <c r="F4802" t="s">
        <v>22</v>
      </c>
      <c r="G4802" t="s">
        <v>18</v>
      </c>
      <c r="H4802" s="3">
        <v>8</v>
      </c>
      <c r="I4802" s="3">
        <v>9870</v>
      </c>
      <c r="J4802" s="3">
        <v>78960</v>
      </c>
      <c r="K4802" s="3">
        <v>7000</v>
      </c>
      <c r="L4802" s="3">
        <v>56000</v>
      </c>
      <c r="M4802" s="3">
        <v>22960</v>
      </c>
      <c r="N4802" s="4">
        <v>0.29078014184397161</v>
      </c>
    </row>
    <row r="4803" spans="1:14" x14ac:dyDescent="0.3">
      <c r="A4803" s="6">
        <v>46001</v>
      </c>
      <c r="B4803" s="1" t="s">
        <v>4987</v>
      </c>
      <c r="C4803" s="1" t="s">
        <v>29</v>
      </c>
      <c r="D4803" t="s">
        <v>30</v>
      </c>
      <c r="E4803" t="s">
        <v>161</v>
      </c>
      <c r="F4803" t="s">
        <v>16</v>
      </c>
      <c r="G4803" t="s">
        <v>15</v>
      </c>
      <c r="H4803" s="3">
        <v>9</v>
      </c>
      <c r="I4803" s="3">
        <v>50920</v>
      </c>
      <c r="J4803" s="3">
        <v>458280</v>
      </c>
      <c r="K4803" s="3">
        <v>38000</v>
      </c>
      <c r="L4803" s="3">
        <v>342000</v>
      </c>
      <c r="M4803" s="3">
        <v>116280</v>
      </c>
      <c r="N4803" s="4">
        <v>0.2537313432835821</v>
      </c>
    </row>
    <row r="4804" spans="1:14" x14ac:dyDescent="0.3">
      <c r="A4804" s="6">
        <v>46001</v>
      </c>
      <c r="B4804" s="1" t="s">
        <v>4988</v>
      </c>
      <c r="C4804" s="1" t="s">
        <v>29</v>
      </c>
      <c r="D4804" t="s">
        <v>33</v>
      </c>
      <c r="E4804" t="s">
        <v>163</v>
      </c>
      <c r="F4804" t="s">
        <v>24</v>
      </c>
      <c r="G4804" t="s">
        <v>25</v>
      </c>
      <c r="H4804" s="3">
        <v>8</v>
      </c>
      <c r="I4804" s="3">
        <v>3075</v>
      </c>
      <c r="J4804" s="3">
        <v>24600</v>
      </c>
      <c r="K4804" s="3">
        <v>2500</v>
      </c>
      <c r="L4804" s="3">
        <v>20000</v>
      </c>
      <c r="M4804" s="3">
        <v>4600</v>
      </c>
      <c r="N4804" s="4">
        <v>0.18699186991869918</v>
      </c>
    </row>
    <row r="4805" spans="1:14" x14ac:dyDescent="0.3">
      <c r="A4805" s="6">
        <v>46001</v>
      </c>
      <c r="B4805" s="1" t="s">
        <v>4989</v>
      </c>
      <c r="C4805" s="1" t="s">
        <v>29</v>
      </c>
      <c r="D4805" t="s">
        <v>30</v>
      </c>
      <c r="E4805" t="s">
        <v>149</v>
      </c>
      <c r="F4805" t="s">
        <v>24</v>
      </c>
      <c r="G4805" t="s">
        <v>25</v>
      </c>
      <c r="H4805" s="3">
        <v>5</v>
      </c>
      <c r="I4805" s="3">
        <v>3399.9999999999995</v>
      </c>
      <c r="J4805" s="3">
        <v>16999.999999999996</v>
      </c>
      <c r="K4805" s="3">
        <v>2500</v>
      </c>
      <c r="L4805" s="3">
        <v>12500</v>
      </c>
      <c r="M4805" s="3">
        <v>4499.9999999999964</v>
      </c>
      <c r="N4805" s="4">
        <v>0.26470588235294101</v>
      </c>
    </row>
    <row r="4806" spans="1:14" x14ac:dyDescent="0.3">
      <c r="A4806" s="6">
        <v>46001</v>
      </c>
      <c r="B4806" s="1" t="s">
        <v>4990</v>
      </c>
      <c r="C4806" s="1" t="s">
        <v>28</v>
      </c>
      <c r="D4806" t="s">
        <v>30</v>
      </c>
      <c r="E4806" t="s">
        <v>407</v>
      </c>
      <c r="F4806" t="s">
        <v>21</v>
      </c>
      <c r="G4806" t="s">
        <v>20</v>
      </c>
      <c r="H4806" s="3">
        <v>10</v>
      </c>
      <c r="I4806" s="3">
        <v>780</v>
      </c>
      <c r="J4806" s="3">
        <v>7800</v>
      </c>
      <c r="K4806" s="3">
        <v>600</v>
      </c>
      <c r="L4806" s="3">
        <v>6000</v>
      </c>
      <c r="M4806" s="3">
        <v>1800</v>
      </c>
      <c r="N4806" s="4">
        <v>0.23076923076923078</v>
      </c>
    </row>
    <row r="4807" spans="1:14" x14ac:dyDescent="0.3">
      <c r="A4807" s="6">
        <v>46001</v>
      </c>
      <c r="B4807" s="1" t="s">
        <v>4991</v>
      </c>
      <c r="C4807" s="1" t="s">
        <v>27</v>
      </c>
      <c r="D4807" t="s">
        <v>35</v>
      </c>
      <c r="E4807" t="s">
        <v>371</v>
      </c>
      <c r="F4807" t="s">
        <v>21</v>
      </c>
      <c r="G4807" t="s">
        <v>20</v>
      </c>
      <c r="H4807" s="3">
        <v>5</v>
      </c>
      <c r="I4807" s="3">
        <v>810</v>
      </c>
      <c r="J4807" s="3">
        <v>4050</v>
      </c>
      <c r="K4807" s="3">
        <v>600</v>
      </c>
      <c r="L4807" s="3">
        <v>3000</v>
      </c>
      <c r="M4807" s="3">
        <v>1050</v>
      </c>
      <c r="N4807" s="4">
        <v>0.25925925925925924</v>
      </c>
    </row>
    <row r="4808" spans="1:14" x14ac:dyDescent="0.3">
      <c r="A4808" s="6">
        <v>46001</v>
      </c>
      <c r="B4808" s="1" t="s">
        <v>4992</v>
      </c>
      <c r="C4808" s="1" t="s">
        <v>28</v>
      </c>
      <c r="D4808" t="s">
        <v>31</v>
      </c>
      <c r="E4808" t="s">
        <v>304</v>
      </c>
      <c r="F4808" t="s">
        <v>23</v>
      </c>
      <c r="G4808" t="s">
        <v>25</v>
      </c>
      <c r="H4808" s="3">
        <v>5</v>
      </c>
      <c r="I4808" s="3">
        <v>4064</v>
      </c>
      <c r="J4808" s="3">
        <v>20320</v>
      </c>
      <c r="K4808" s="3">
        <v>3200</v>
      </c>
      <c r="L4808" s="3">
        <v>16000</v>
      </c>
      <c r="M4808" s="3">
        <v>4320</v>
      </c>
      <c r="N4808" s="4">
        <v>0.2125984251968504</v>
      </c>
    </row>
    <row r="4809" spans="1:14" x14ac:dyDescent="0.3">
      <c r="A4809" s="6">
        <v>46001</v>
      </c>
      <c r="B4809" s="1" t="s">
        <v>4993</v>
      </c>
      <c r="C4809" s="1" t="s">
        <v>29</v>
      </c>
      <c r="D4809" t="s">
        <v>33</v>
      </c>
      <c r="E4809" t="s">
        <v>184</v>
      </c>
      <c r="F4809" t="s">
        <v>16</v>
      </c>
      <c r="G4809" t="s">
        <v>15</v>
      </c>
      <c r="H4809" s="3">
        <v>1</v>
      </c>
      <c r="I4809" s="3">
        <v>48640</v>
      </c>
      <c r="J4809" s="3">
        <v>48640</v>
      </c>
      <c r="K4809" s="3">
        <v>38000</v>
      </c>
      <c r="L4809" s="3">
        <v>38000</v>
      </c>
      <c r="M4809" s="3">
        <v>10640</v>
      </c>
      <c r="N4809" s="4">
        <v>0.21875</v>
      </c>
    </row>
    <row r="4810" spans="1:14" x14ac:dyDescent="0.3">
      <c r="A4810" s="6">
        <v>46001</v>
      </c>
      <c r="B4810" s="1" t="s">
        <v>4994</v>
      </c>
      <c r="C4810" s="1" t="s">
        <v>29</v>
      </c>
      <c r="D4810" t="s">
        <v>33</v>
      </c>
      <c r="E4810" t="s">
        <v>576</v>
      </c>
      <c r="F4810" t="s">
        <v>21</v>
      </c>
      <c r="G4810" t="s">
        <v>20</v>
      </c>
      <c r="H4810" s="3">
        <v>9</v>
      </c>
      <c r="I4810" s="3">
        <v>744</v>
      </c>
      <c r="J4810" s="3">
        <v>6696</v>
      </c>
      <c r="K4810" s="3">
        <v>600</v>
      </c>
      <c r="L4810" s="3">
        <v>5400</v>
      </c>
      <c r="M4810" s="3">
        <v>1296</v>
      </c>
      <c r="N4810" s="4">
        <v>0.19354838709677419</v>
      </c>
    </row>
    <row r="4811" spans="1:14" x14ac:dyDescent="0.3">
      <c r="A4811" s="6">
        <v>46001</v>
      </c>
      <c r="B4811" s="1" t="s">
        <v>4995</v>
      </c>
      <c r="C4811" s="1" t="s">
        <v>26</v>
      </c>
      <c r="D4811" t="s">
        <v>34</v>
      </c>
      <c r="E4811" t="s">
        <v>90</v>
      </c>
      <c r="F4811" t="s">
        <v>17</v>
      </c>
      <c r="G4811" t="s">
        <v>18</v>
      </c>
      <c r="H4811" s="3">
        <v>10</v>
      </c>
      <c r="I4811" s="3">
        <v>11730</v>
      </c>
      <c r="J4811" s="3">
        <v>117300</v>
      </c>
      <c r="K4811" s="3">
        <v>8500</v>
      </c>
      <c r="L4811" s="3">
        <v>85000</v>
      </c>
      <c r="M4811" s="3">
        <v>32300</v>
      </c>
      <c r="N4811" s="4">
        <v>0.27536231884057971</v>
      </c>
    </row>
    <row r="4812" spans="1:14" x14ac:dyDescent="0.3">
      <c r="A4812" s="6">
        <v>46001</v>
      </c>
      <c r="B4812" s="1" t="s">
        <v>4996</v>
      </c>
      <c r="C4812" s="1" t="s">
        <v>29</v>
      </c>
      <c r="D4812" t="s">
        <v>33</v>
      </c>
      <c r="E4812" t="s">
        <v>329</v>
      </c>
      <c r="F4812" t="s">
        <v>19</v>
      </c>
      <c r="G4812" t="s">
        <v>20</v>
      </c>
      <c r="H4812" s="3">
        <v>4</v>
      </c>
      <c r="I4812" s="3">
        <v>1080</v>
      </c>
      <c r="J4812" s="3">
        <v>4320</v>
      </c>
      <c r="K4812" s="3">
        <v>900</v>
      </c>
      <c r="L4812" s="3">
        <v>3600</v>
      </c>
      <c r="M4812" s="3">
        <v>720</v>
      </c>
      <c r="N4812" s="4">
        <v>0.16666666666666666</v>
      </c>
    </row>
    <row r="4813" spans="1:14" x14ac:dyDescent="0.3">
      <c r="A4813" s="6">
        <v>46001</v>
      </c>
      <c r="B4813" s="1" t="s">
        <v>4997</v>
      </c>
      <c r="C4813" s="1" t="s">
        <v>29</v>
      </c>
      <c r="D4813" t="s">
        <v>31</v>
      </c>
      <c r="E4813" t="s">
        <v>369</v>
      </c>
      <c r="F4813" t="s">
        <v>17</v>
      </c>
      <c r="G4813" t="s">
        <v>18</v>
      </c>
      <c r="H4813" s="3">
        <v>3</v>
      </c>
      <c r="I4813" s="3">
        <v>12240</v>
      </c>
      <c r="J4813" s="3">
        <v>36720</v>
      </c>
      <c r="K4813" s="3">
        <v>8500</v>
      </c>
      <c r="L4813" s="3">
        <v>25500</v>
      </c>
      <c r="M4813" s="3">
        <v>11220</v>
      </c>
      <c r="N4813" s="4">
        <v>0.30555555555555558</v>
      </c>
    </row>
    <row r="4814" spans="1:14" x14ac:dyDescent="0.3">
      <c r="A4814" s="6">
        <v>46001</v>
      </c>
      <c r="B4814" s="1" t="s">
        <v>4998</v>
      </c>
      <c r="C4814" s="1" t="s">
        <v>26</v>
      </c>
      <c r="D4814" t="s">
        <v>34</v>
      </c>
      <c r="E4814" t="s">
        <v>180</v>
      </c>
      <c r="F4814" t="s">
        <v>23</v>
      </c>
      <c r="G4814" t="s">
        <v>25</v>
      </c>
      <c r="H4814" s="3">
        <v>8</v>
      </c>
      <c r="I4814" s="3">
        <v>3968</v>
      </c>
      <c r="J4814" s="3">
        <v>31744</v>
      </c>
      <c r="K4814" s="3">
        <v>3200</v>
      </c>
      <c r="L4814" s="3">
        <v>25600</v>
      </c>
      <c r="M4814" s="3">
        <v>6144</v>
      </c>
      <c r="N4814" s="4">
        <v>0.19354838709677419</v>
      </c>
    </row>
    <row r="4815" spans="1:14" x14ac:dyDescent="0.3">
      <c r="A4815" s="6">
        <v>46001</v>
      </c>
      <c r="B4815" s="1" t="s">
        <v>4999</v>
      </c>
      <c r="C4815" s="1" t="s">
        <v>27</v>
      </c>
      <c r="D4815" t="s">
        <v>35</v>
      </c>
      <c r="E4815" t="s">
        <v>407</v>
      </c>
      <c r="F4815" t="s">
        <v>17</v>
      </c>
      <c r="G4815" t="s">
        <v>18</v>
      </c>
      <c r="H4815" s="3">
        <v>5</v>
      </c>
      <c r="I4815" s="3">
        <v>12240</v>
      </c>
      <c r="J4815" s="3">
        <v>61200</v>
      </c>
      <c r="K4815" s="3">
        <v>8500</v>
      </c>
      <c r="L4815" s="3">
        <v>42500</v>
      </c>
      <c r="M4815" s="3">
        <v>18700</v>
      </c>
      <c r="N4815" s="4">
        <v>0.30555555555555558</v>
      </c>
    </row>
    <row r="4816" spans="1:14" x14ac:dyDescent="0.3">
      <c r="A4816" s="6">
        <v>46002</v>
      </c>
      <c r="B4816" s="1" t="s">
        <v>5000</v>
      </c>
      <c r="C4816" s="1" t="s">
        <v>29</v>
      </c>
      <c r="D4816" t="s">
        <v>31</v>
      </c>
      <c r="E4816" t="s">
        <v>114</v>
      </c>
      <c r="F4816" t="s">
        <v>14</v>
      </c>
      <c r="G4816" t="s">
        <v>15</v>
      </c>
      <c r="H4816" s="3">
        <v>2</v>
      </c>
      <c r="I4816" s="3">
        <v>59850</v>
      </c>
      <c r="J4816" s="3">
        <v>119700</v>
      </c>
      <c r="K4816" s="3">
        <v>45000</v>
      </c>
      <c r="L4816" s="3">
        <v>90000</v>
      </c>
      <c r="M4816" s="3">
        <v>29700</v>
      </c>
      <c r="N4816" s="4">
        <v>0.24812030075187969</v>
      </c>
    </row>
    <row r="4817" spans="1:14" x14ac:dyDescent="0.3">
      <c r="A4817" s="6">
        <v>46002</v>
      </c>
      <c r="B4817" s="1" t="s">
        <v>5001</v>
      </c>
      <c r="C4817" s="1" t="s">
        <v>28</v>
      </c>
      <c r="D4817" t="s">
        <v>32</v>
      </c>
      <c r="E4817" t="s">
        <v>69</v>
      </c>
      <c r="F4817" t="s">
        <v>19</v>
      </c>
      <c r="G4817" t="s">
        <v>20</v>
      </c>
      <c r="H4817" s="3">
        <v>1</v>
      </c>
      <c r="I4817" s="3">
        <v>1179</v>
      </c>
      <c r="J4817" s="3">
        <v>1179</v>
      </c>
      <c r="K4817" s="3">
        <v>900</v>
      </c>
      <c r="L4817" s="3">
        <v>900</v>
      </c>
      <c r="M4817" s="3">
        <v>279</v>
      </c>
      <c r="N4817" s="4">
        <v>0.23664122137404581</v>
      </c>
    </row>
    <row r="4818" spans="1:14" x14ac:dyDescent="0.3">
      <c r="A4818" s="6">
        <v>46002</v>
      </c>
      <c r="B4818" s="1" t="s">
        <v>5002</v>
      </c>
      <c r="C4818" s="1" t="s">
        <v>26</v>
      </c>
      <c r="D4818" t="s">
        <v>33</v>
      </c>
      <c r="E4818" t="s">
        <v>196</v>
      </c>
      <c r="F4818" t="s">
        <v>19</v>
      </c>
      <c r="G4818" t="s">
        <v>20</v>
      </c>
      <c r="H4818" s="3">
        <v>1</v>
      </c>
      <c r="I4818" s="3">
        <v>1251</v>
      </c>
      <c r="J4818" s="3">
        <v>1251</v>
      </c>
      <c r="K4818" s="3">
        <v>900</v>
      </c>
      <c r="L4818" s="3">
        <v>900</v>
      </c>
      <c r="M4818" s="3">
        <v>351</v>
      </c>
      <c r="N4818" s="4">
        <v>0.2805755395683453</v>
      </c>
    </row>
    <row r="4819" spans="1:14" x14ac:dyDescent="0.3">
      <c r="A4819" s="6">
        <v>46002</v>
      </c>
      <c r="B4819" s="1" t="s">
        <v>5003</v>
      </c>
      <c r="C4819" s="1" t="s">
        <v>28</v>
      </c>
      <c r="D4819" t="s">
        <v>31</v>
      </c>
      <c r="E4819" t="s">
        <v>231</v>
      </c>
      <c r="F4819" t="s">
        <v>16</v>
      </c>
      <c r="G4819" t="s">
        <v>15</v>
      </c>
      <c r="H4819" s="3">
        <v>10</v>
      </c>
      <c r="I4819" s="3">
        <v>52439.999999999993</v>
      </c>
      <c r="J4819" s="3">
        <v>524399.99999999988</v>
      </c>
      <c r="K4819" s="3">
        <v>38000</v>
      </c>
      <c r="L4819" s="3">
        <v>380000</v>
      </c>
      <c r="M4819" s="3">
        <v>144399.99999999988</v>
      </c>
      <c r="N4819" s="4">
        <v>0.27536231884057955</v>
      </c>
    </row>
    <row r="4820" spans="1:14" x14ac:dyDescent="0.3">
      <c r="A4820" s="6">
        <v>46002</v>
      </c>
      <c r="B4820" s="1" t="s">
        <v>5004</v>
      </c>
      <c r="C4820" s="1" t="s">
        <v>27</v>
      </c>
      <c r="D4820" t="s">
        <v>33</v>
      </c>
      <c r="E4820" t="s">
        <v>49</v>
      </c>
      <c r="F4820" t="s">
        <v>17</v>
      </c>
      <c r="G4820" t="s">
        <v>18</v>
      </c>
      <c r="H4820" s="3">
        <v>3</v>
      </c>
      <c r="I4820" s="3">
        <v>10625</v>
      </c>
      <c r="J4820" s="3">
        <v>31875</v>
      </c>
      <c r="K4820" s="3">
        <v>8500</v>
      </c>
      <c r="L4820" s="3">
        <v>25500</v>
      </c>
      <c r="M4820" s="3">
        <v>6375</v>
      </c>
      <c r="N4820" s="4">
        <v>0.2</v>
      </c>
    </row>
    <row r="4821" spans="1:14" x14ac:dyDescent="0.3">
      <c r="A4821" s="6">
        <v>46002</v>
      </c>
      <c r="B4821" s="1" t="s">
        <v>5005</v>
      </c>
      <c r="C4821" s="1" t="s">
        <v>29</v>
      </c>
      <c r="D4821" t="s">
        <v>30</v>
      </c>
      <c r="E4821" t="s">
        <v>369</v>
      </c>
      <c r="F4821" t="s">
        <v>16</v>
      </c>
      <c r="G4821" t="s">
        <v>15</v>
      </c>
      <c r="H4821" s="3">
        <v>9</v>
      </c>
      <c r="I4821" s="3">
        <v>50160</v>
      </c>
      <c r="J4821" s="3">
        <v>451440</v>
      </c>
      <c r="K4821" s="3">
        <v>38000</v>
      </c>
      <c r="L4821" s="3">
        <v>342000</v>
      </c>
      <c r="M4821" s="3">
        <v>109440</v>
      </c>
      <c r="N4821" s="4">
        <v>0.24242424242424243</v>
      </c>
    </row>
    <row r="4822" spans="1:14" x14ac:dyDescent="0.3">
      <c r="A4822" s="6">
        <v>46002</v>
      </c>
      <c r="B4822" s="1" t="s">
        <v>5006</v>
      </c>
      <c r="C4822" s="1" t="s">
        <v>29</v>
      </c>
      <c r="D4822" t="s">
        <v>35</v>
      </c>
      <c r="E4822" t="s">
        <v>41</v>
      </c>
      <c r="F4822" t="s">
        <v>14</v>
      </c>
      <c r="G4822" t="s">
        <v>15</v>
      </c>
      <c r="H4822" s="3">
        <v>4</v>
      </c>
      <c r="I4822" s="3">
        <v>54450</v>
      </c>
      <c r="J4822" s="3">
        <v>217800</v>
      </c>
      <c r="K4822" s="3">
        <v>45000</v>
      </c>
      <c r="L4822" s="3">
        <v>180000</v>
      </c>
      <c r="M4822" s="3">
        <v>37800</v>
      </c>
      <c r="N4822" s="4">
        <v>0.17355371900826447</v>
      </c>
    </row>
    <row r="4823" spans="1:14" x14ac:dyDescent="0.3">
      <c r="A4823" s="6">
        <v>46002</v>
      </c>
      <c r="B4823" s="1" t="s">
        <v>5007</v>
      </c>
      <c r="C4823" s="1" t="s">
        <v>26</v>
      </c>
      <c r="D4823" t="s">
        <v>33</v>
      </c>
      <c r="E4823" t="s">
        <v>280</v>
      </c>
      <c r="F4823" t="s">
        <v>16</v>
      </c>
      <c r="G4823" t="s">
        <v>15</v>
      </c>
      <c r="H4823" s="3">
        <v>5</v>
      </c>
      <c r="I4823" s="3">
        <v>48260</v>
      </c>
      <c r="J4823" s="3">
        <v>241300</v>
      </c>
      <c r="K4823" s="3">
        <v>38000</v>
      </c>
      <c r="L4823" s="3">
        <v>190000</v>
      </c>
      <c r="M4823" s="3">
        <v>51300</v>
      </c>
      <c r="N4823" s="4">
        <v>0.2125984251968504</v>
      </c>
    </row>
    <row r="4824" spans="1:14" x14ac:dyDescent="0.3">
      <c r="A4824" s="6">
        <v>46002</v>
      </c>
      <c r="B4824" s="1" t="s">
        <v>5008</v>
      </c>
      <c r="C4824" s="1" t="s">
        <v>26</v>
      </c>
      <c r="D4824" t="s">
        <v>31</v>
      </c>
      <c r="E4824" t="s">
        <v>361</v>
      </c>
      <c r="F4824" t="s">
        <v>21</v>
      </c>
      <c r="G4824" t="s">
        <v>20</v>
      </c>
      <c r="H4824" s="3">
        <v>7</v>
      </c>
      <c r="I4824" s="3">
        <v>840</v>
      </c>
      <c r="J4824" s="3">
        <v>5880</v>
      </c>
      <c r="K4824" s="3">
        <v>600</v>
      </c>
      <c r="L4824" s="3">
        <v>4200</v>
      </c>
      <c r="M4824" s="3">
        <v>1680</v>
      </c>
      <c r="N4824" s="4">
        <v>0.2857142857142857</v>
      </c>
    </row>
    <row r="4825" spans="1:14" x14ac:dyDescent="0.3">
      <c r="A4825" s="6">
        <v>46002</v>
      </c>
      <c r="B4825" s="1" t="s">
        <v>5009</v>
      </c>
      <c r="C4825" s="1" t="s">
        <v>26</v>
      </c>
      <c r="D4825" t="s">
        <v>31</v>
      </c>
      <c r="E4825" t="s">
        <v>363</v>
      </c>
      <c r="F4825" t="s">
        <v>22</v>
      </c>
      <c r="G4825" t="s">
        <v>18</v>
      </c>
      <c r="H4825" s="3">
        <v>7</v>
      </c>
      <c r="I4825" s="3">
        <v>8610</v>
      </c>
      <c r="J4825" s="3">
        <v>60270</v>
      </c>
      <c r="K4825" s="3">
        <v>7000</v>
      </c>
      <c r="L4825" s="3">
        <v>49000</v>
      </c>
      <c r="M4825" s="3">
        <v>11270</v>
      </c>
      <c r="N4825" s="4">
        <v>0.18699186991869918</v>
      </c>
    </row>
    <row r="4826" spans="1:14" x14ac:dyDescent="0.3">
      <c r="A4826" s="6">
        <v>46002</v>
      </c>
      <c r="B4826" s="1" t="s">
        <v>5010</v>
      </c>
      <c r="C4826" s="1" t="s">
        <v>28</v>
      </c>
      <c r="D4826" t="s">
        <v>34</v>
      </c>
      <c r="E4826" t="s">
        <v>186</v>
      </c>
      <c r="F4826" t="s">
        <v>23</v>
      </c>
      <c r="G4826" t="s">
        <v>25</v>
      </c>
      <c r="H4826" s="3">
        <v>1</v>
      </c>
      <c r="I4826" s="3">
        <v>3968</v>
      </c>
      <c r="J4826" s="3">
        <v>3968</v>
      </c>
      <c r="K4826" s="3">
        <v>3200</v>
      </c>
      <c r="L4826" s="3">
        <v>3200</v>
      </c>
      <c r="M4826" s="3">
        <v>768</v>
      </c>
      <c r="N4826" s="4">
        <v>0.19354838709677419</v>
      </c>
    </row>
    <row r="4827" spans="1:14" x14ac:dyDescent="0.3">
      <c r="A4827" s="6">
        <v>46002</v>
      </c>
      <c r="B4827" s="1" t="s">
        <v>5011</v>
      </c>
      <c r="C4827" s="1" t="s">
        <v>28</v>
      </c>
      <c r="D4827" t="s">
        <v>30</v>
      </c>
      <c r="E4827" t="s">
        <v>147</v>
      </c>
      <c r="F4827" t="s">
        <v>14</v>
      </c>
      <c r="G4827" t="s">
        <v>15</v>
      </c>
      <c r="H4827" s="3">
        <v>8</v>
      </c>
      <c r="I4827" s="3">
        <v>57150</v>
      </c>
      <c r="J4827" s="3">
        <v>457200</v>
      </c>
      <c r="K4827" s="3">
        <v>45000</v>
      </c>
      <c r="L4827" s="3">
        <v>360000</v>
      </c>
      <c r="M4827" s="3">
        <v>97200</v>
      </c>
      <c r="N4827" s="4">
        <v>0.2125984251968504</v>
      </c>
    </row>
    <row r="4828" spans="1:14" x14ac:dyDescent="0.3">
      <c r="A4828" s="6">
        <v>46002</v>
      </c>
      <c r="B4828" s="1" t="s">
        <v>5012</v>
      </c>
      <c r="C4828" s="1" t="s">
        <v>28</v>
      </c>
      <c r="D4828" t="s">
        <v>33</v>
      </c>
      <c r="E4828" t="s">
        <v>78</v>
      </c>
      <c r="F4828" t="s">
        <v>19</v>
      </c>
      <c r="G4828" t="s">
        <v>20</v>
      </c>
      <c r="H4828" s="3">
        <v>3</v>
      </c>
      <c r="I4828" s="3">
        <v>1305</v>
      </c>
      <c r="J4828" s="3">
        <v>3915</v>
      </c>
      <c r="K4828" s="3">
        <v>900</v>
      </c>
      <c r="L4828" s="3">
        <v>2700</v>
      </c>
      <c r="M4828" s="3">
        <v>1215</v>
      </c>
      <c r="N4828" s="4">
        <v>0.31034482758620691</v>
      </c>
    </row>
    <row r="4829" spans="1:14" x14ac:dyDescent="0.3">
      <c r="A4829" s="6">
        <v>46002</v>
      </c>
      <c r="B4829" s="1" t="s">
        <v>5013</v>
      </c>
      <c r="C4829" s="1" t="s">
        <v>26</v>
      </c>
      <c r="D4829" t="s">
        <v>30</v>
      </c>
      <c r="E4829" t="s">
        <v>283</v>
      </c>
      <c r="F4829" t="s">
        <v>19</v>
      </c>
      <c r="G4829" t="s">
        <v>20</v>
      </c>
      <c r="H4829" s="3">
        <v>6</v>
      </c>
      <c r="I4829" s="3">
        <v>1206</v>
      </c>
      <c r="J4829" s="3">
        <v>7236</v>
      </c>
      <c r="K4829" s="3">
        <v>900</v>
      </c>
      <c r="L4829" s="3">
        <v>5400</v>
      </c>
      <c r="M4829" s="3">
        <v>1836</v>
      </c>
      <c r="N4829" s="4">
        <v>0.2537313432835821</v>
      </c>
    </row>
    <row r="4830" spans="1:14" x14ac:dyDescent="0.3">
      <c r="A4830" s="6">
        <v>46003</v>
      </c>
      <c r="B4830" s="1" t="s">
        <v>5014</v>
      </c>
      <c r="C4830" s="1" t="s">
        <v>27</v>
      </c>
      <c r="D4830" t="s">
        <v>34</v>
      </c>
      <c r="E4830" t="s">
        <v>155</v>
      </c>
      <c r="F4830" t="s">
        <v>14</v>
      </c>
      <c r="G4830" t="s">
        <v>15</v>
      </c>
      <c r="H4830" s="3">
        <v>2</v>
      </c>
      <c r="I4830" s="3">
        <v>55800</v>
      </c>
      <c r="J4830" s="3">
        <v>111600</v>
      </c>
      <c r="K4830" s="3">
        <v>45000</v>
      </c>
      <c r="L4830" s="3">
        <v>90000</v>
      </c>
      <c r="M4830" s="3">
        <v>21600</v>
      </c>
      <c r="N4830" s="4">
        <v>0.19354838709677419</v>
      </c>
    </row>
    <row r="4831" spans="1:14" x14ac:dyDescent="0.3">
      <c r="A4831" s="6">
        <v>46003</v>
      </c>
      <c r="B4831" s="1" t="s">
        <v>5015</v>
      </c>
      <c r="C4831" s="1" t="s">
        <v>26</v>
      </c>
      <c r="D4831" t="s">
        <v>30</v>
      </c>
      <c r="E4831" t="s">
        <v>327</v>
      </c>
      <c r="F4831" t="s">
        <v>23</v>
      </c>
      <c r="G4831" t="s">
        <v>25</v>
      </c>
      <c r="H4831" s="3">
        <v>8</v>
      </c>
      <c r="I4831" s="3">
        <v>4096</v>
      </c>
      <c r="J4831" s="3">
        <v>32768</v>
      </c>
      <c r="K4831" s="3">
        <v>3200</v>
      </c>
      <c r="L4831" s="3">
        <v>25600</v>
      </c>
      <c r="M4831" s="3">
        <v>7168</v>
      </c>
      <c r="N4831" s="4">
        <v>0.21875</v>
      </c>
    </row>
    <row r="4832" spans="1:14" x14ac:dyDescent="0.3">
      <c r="A4832" s="6">
        <v>46003</v>
      </c>
      <c r="B4832" s="1" t="s">
        <v>5016</v>
      </c>
      <c r="C4832" s="1" t="s">
        <v>28</v>
      </c>
      <c r="D4832" t="s">
        <v>34</v>
      </c>
      <c r="E4832" t="s">
        <v>351</v>
      </c>
      <c r="F4832" t="s">
        <v>21</v>
      </c>
      <c r="G4832" t="s">
        <v>20</v>
      </c>
      <c r="H4832" s="3">
        <v>7</v>
      </c>
      <c r="I4832" s="3">
        <v>768</v>
      </c>
      <c r="J4832" s="3">
        <v>5376</v>
      </c>
      <c r="K4832" s="3">
        <v>600</v>
      </c>
      <c r="L4832" s="3">
        <v>4200</v>
      </c>
      <c r="M4832" s="3">
        <v>1176</v>
      </c>
      <c r="N4832" s="4">
        <v>0.21875</v>
      </c>
    </row>
    <row r="4833" spans="1:14" x14ac:dyDescent="0.3">
      <c r="A4833" s="6">
        <v>46003</v>
      </c>
      <c r="B4833" s="1" t="s">
        <v>5017</v>
      </c>
      <c r="C4833" s="1" t="s">
        <v>29</v>
      </c>
      <c r="D4833" t="s">
        <v>33</v>
      </c>
      <c r="E4833" t="s">
        <v>106</v>
      </c>
      <c r="F4833" t="s">
        <v>16</v>
      </c>
      <c r="G4833" t="s">
        <v>15</v>
      </c>
      <c r="H4833" s="3">
        <v>6</v>
      </c>
      <c r="I4833" s="3">
        <v>47500</v>
      </c>
      <c r="J4833" s="3">
        <v>285000</v>
      </c>
      <c r="K4833" s="3">
        <v>38000</v>
      </c>
      <c r="L4833" s="3">
        <v>228000</v>
      </c>
      <c r="M4833" s="3">
        <v>57000</v>
      </c>
      <c r="N4833" s="4">
        <v>0.2</v>
      </c>
    </row>
    <row r="4834" spans="1:14" x14ac:dyDescent="0.3">
      <c r="A4834" s="6">
        <v>46003</v>
      </c>
      <c r="B4834" s="1" t="s">
        <v>5018</v>
      </c>
      <c r="C4834" s="1" t="s">
        <v>29</v>
      </c>
      <c r="D4834" t="s">
        <v>32</v>
      </c>
      <c r="E4834" t="s">
        <v>751</v>
      </c>
      <c r="F4834" t="s">
        <v>14</v>
      </c>
      <c r="G4834" t="s">
        <v>15</v>
      </c>
      <c r="H4834" s="3">
        <v>3</v>
      </c>
      <c r="I4834" s="3">
        <v>58050</v>
      </c>
      <c r="J4834" s="3">
        <v>174150</v>
      </c>
      <c r="K4834" s="3">
        <v>45000</v>
      </c>
      <c r="L4834" s="3">
        <v>135000</v>
      </c>
      <c r="M4834" s="3">
        <v>39150</v>
      </c>
      <c r="N4834" s="4">
        <v>0.22480620155038761</v>
      </c>
    </row>
    <row r="4835" spans="1:14" x14ac:dyDescent="0.3">
      <c r="A4835" s="6">
        <v>46003</v>
      </c>
      <c r="B4835" s="1" t="s">
        <v>5019</v>
      </c>
      <c r="C4835" s="1" t="s">
        <v>27</v>
      </c>
      <c r="D4835" t="s">
        <v>33</v>
      </c>
      <c r="E4835" t="s">
        <v>189</v>
      </c>
      <c r="F4835" t="s">
        <v>16</v>
      </c>
      <c r="G4835" t="s">
        <v>15</v>
      </c>
      <c r="H4835" s="3">
        <v>7</v>
      </c>
      <c r="I4835" s="3">
        <v>45980</v>
      </c>
      <c r="J4835" s="3">
        <v>321860</v>
      </c>
      <c r="K4835" s="3">
        <v>38000</v>
      </c>
      <c r="L4835" s="3">
        <v>266000</v>
      </c>
      <c r="M4835" s="3">
        <v>55860</v>
      </c>
      <c r="N4835" s="4">
        <v>0.17355371900826447</v>
      </c>
    </row>
    <row r="4836" spans="1:14" x14ac:dyDescent="0.3">
      <c r="A4836" s="6">
        <v>46003</v>
      </c>
      <c r="B4836" s="1" t="s">
        <v>5020</v>
      </c>
      <c r="C4836" s="1" t="s">
        <v>26</v>
      </c>
      <c r="D4836" t="s">
        <v>35</v>
      </c>
      <c r="E4836" t="s">
        <v>76</v>
      </c>
      <c r="F4836" t="s">
        <v>19</v>
      </c>
      <c r="G4836" t="s">
        <v>20</v>
      </c>
      <c r="H4836" s="3">
        <v>5</v>
      </c>
      <c r="I4836" s="3">
        <v>1125</v>
      </c>
      <c r="J4836" s="3">
        <v>5625</v>
      </c>
      <c r="K4836" s="3">
        <v>900</v>
      </c>
      <c r="L4836" s="3">
        <v>4500</v>
      </c>
      <c r="M4836" s="3">
        <v>1125</v>
      </c>
      <c r="N4836" s="4">
        <v>0.2</v>
      </c>
    </row>
    <row r="4837" spans="1:14" x14ac:dyDescent="0.3">
      <c r="A4837" s="6">
        <v>46003</v>
      </c>
      <c r="B4837" s="1" t="s">
        <v>5021</v>
      </c>
      <c r="C4837" s="1" t="s">
        <v>26</v>
      </c>
      <c r="D4837" t="s">
        <v>31</v>
      </c>
      <c r="E4837" t="s">
        <v>184</v>
      </c>
      <c r="F4837" t="s">
        <v>16</v>
      </c>
      <c r="G4837" t="s">
        <v>15</v>
      </c>
      <c r="H4837" s="3">
        <v>6</v>
      </c>
      <c r="I4837" s="3">
        <v>52820.000000000007</v>
      </c>
      <c r="J4837" s="3">
        <v>316920.00000000006</v>
      </c>
      <c r="K4837" s="3">
        <v>38000</v>
      </c>
      <c r="L4837" s="3">
        <v>228000</v>
      </c>
      <c r="M4837" s="3">
        <v>88920.000000000058</v>
      </c>
      <c r="N4837" s="4">
        <v>0.28057553956834547</v>
      </c>
    </row>
    <row r="4838" spans="1:14" x14ac:dyDescent="0.3">
      <c r="A4838" s="6">
        <v>46003</v>
      </c>
      <c r="B4838" s="1" t="s">
        <v>5022</v>
      </c>
      <c r="C4838" s="1" t="s">
        <v>29</v>
      </c>
      <c r="D4838" t="s">
        <v>33</v>
      </c>
      <c r="E4838" t="s">
        <v>118</v>
      </c>
      <c r="F4838" t="s">
        <v>24</v>
      </c>
      <c r="G4838" t="s">
        <v>25</v>
      </c>
      <c r="H4838" s="3">
        <v>5</v>
      </c>
      <c r="I4838" s="3">
        <v>3150</v>
      </c>
      <c r="J4838" s="3">
        <v>15750</v>
      </c>
      <c r="K4838" s="3">
        <v>2500</v>
      </c>
      <c r="L4838" s="3">
        <v>12500</v>
      </c>
      <c r="M4838" s="3">
        <v>3250</v>
      </c>
      <c r="N4838" s="4">
        <v>0.20634920634920634</v>
      </c>
    </row>
    <row r="4839" spans="1:14" x14ac:dyDescent="0.3">
      <c r="A4839" s="6">
        <v>46003</v>
      </c>
      <c r="B4839" s="1" t="s">
        <v>5023</v>
      </c>
      <c r="C4839" s="1" t="s">
        <v>28</v>
      </c>
      <c r="D4839" t="s">
        <v>35</v>
      </c>
      <c r="E4839" t="s">
        <v>196</v>
      </c>
      <c r="F4839" t="s">
        <v>22</v>
      </c>
      <c r="G4839" t="s">
        <v>18</v>
      </c>
      <c r="H4839" s="3">
        <v>9</v>
      </c>
      <c r="I4839" s="3">
        <v>8750</v>
      </c>
      <c r="J4839" s="3">
        <v>78750</v>
      </c>
      <c r="K4839" s="3">
        <v>7000</v>
      </c>
      <c r="L4839" s="3">
        <v>63000</v>
      </c>
      <c r="M4839" s="3">
        <v>15750</v>
      </c>
      <c r="N4839" s="4">
        <v>0.2</v>
      </c>
    </row>
    <row r="4840" spans="1:14" x14ac:dyDescent="0.3">
      <c r="A4840" s="6">
        <v>46003</v>
      </c>
      <c r="B4840" s="1" t="s">
        <v>5024</v>
      </c>
      <c r="C4840" s="1" t="s">
        <v>26</v>
      </c>
      <c r="D4840" t="s">
        <v>34</v>
      </c>
      <c r="E4840" t="s">
        <v>447</v>
      </c>
      <c r="F4840" t="s">
        <v>23</v>
      </c>
      <c r="G4840" t="s">
        <v>25</v>
      </c>
      <c r="H4840" s="3">
        <v>2</v>
      </c>
      <c r="I4840" s="3">
        <v>3936</v>
      </c>
      <c r="J4840" s="3">
        <v>7872</v>
      </c>
      <c r="K4840" s="3">
        <v>3200</v>
      </c>
      <c r="L4840" s="3">
        <v>6400</v>
      </c>
      <c r="M4840" s="3">
        <v>1472</v>
      </c>
      <c r="N4840" s="4">
        <v>0.18699186991869918</v>
      </c>
    </row>
    <row r="4841" spans="1:14" x14ac:dyDescent="0.3">
      <c r="A4841" s="6">
        <v>46003</v>
      </c>
      <c r="B4841" s="1" t="s">
        <v>5025</v>
      </c>
      <c r="C4841" s="1" t="s">
        <v>29</v>
      </c>
      <c r="D4841" t="s">
        <v>34</v>
      </c>
      <c r="E4841" t="s">
        <v>61</v>
      </c>
      <c r="F4841" t="s">
        <v>22</v>
      </c>
      <c r="G4841" t="s">
        <v>18</v>
      </c>
      <c r="H4841" s="3">
        <v>3</v>
      </c>
      <c r="I4841" s="3">
        <v>10150</v>
      </c>
      <c r="J4841" s="3">
        <v>30450</v>
      </c>
      <c r="K4841" s="3">
        <v>7000</v>
      </c>
      <c r="L4841" s="3">
        <v>21000</v>
      </c>
      <c r="M4841" s="3">
        <v>9450</v>
      </c>
      <c r="N4841" s="4">
        <v>0.31034482758620691</v>
      </c>
    </row>
    <row r="4842" spans="1:14" x14ac:dyDescent="0.3">
      <c r="A4842" s="6">
        <v>46003</v>
      </c>
      <c r="B4842" s="1" t="s">
        <v>5026</v>
      </c>
      <c r="C4842" s="1" t="s">
        <v>28</v>
      </c>
      <c r="D4842" t="s">
        <v>32</v>
      </c>
      <c r="E4842" t="s">
        <v>90</v>
      </c>
      <c r="F4842" t="s">
        <v>24</v>
      </c>
      <c r="G4842" t="s">
        <v>25</v>
      </c>
      <c r="H4842" s="3">
        <v>1</v>
      </c>
      <c r="I4842" s="3">
        <v>3025</v>
      </c>
      <c r="J4842" s="3">
        <v>3025</v>
      </c>
      <c r="K4842" s="3">
        <v>2500</v>
      </c>
      <c r="L4842" s="3">
        <v>2500</v>
      </c>
      <c r="M4842" s="3">
        <v>525</v>
      </c>
      <c r="N4842" s="4">
        <v>0.17355371900826447</v>
      </c>
    </row>
    <row r="4843" spans="1:14" x14ac:dyDescent="0.3">
      <c r="A4843" s="6">
        <v>46003</v>
      </c>
      <c r="B4843" s="1" t="s">
        <v>5027</v>
      </c>
      <c r="C4843" s="1" t="s">
        <v>28</v>
      </c>
      <c r="D4843" t="s">
        <v>31</v>
      </c>
      <c r="E4843" t="s">
        <v>407</v>
      </c>
      <c r="F4843" t="s">
        <v>19</v>
      </c>
      <c r="G4843" t="s">
        <v>20</v>
      </c>
      <c r="H4843" s="3">
        <v>6</v>
      </c>
      <c r="I4843" s="3">
        <v>1278</v>
      </c>
      <c r="J4843" s="3">
        <v>7668</v>
      </c>
      <c r="K4843" s="3">
        <v>900</v>
      </c>
      <c r="L4843" s="3">
        <v>5400</v>
      </c>
      <c r="M4843" s="3">
        <v>2268</v>
      </c>
      <c r="N4843" s="4">
        <v>0.29577464788732394</v>
      </c>
    </row>
    <row r="4844" spans="1:14" x14ac:dyDescent="0.3">
      <c r="A4844" s="6">
        <v>46004</v>
      </c>
      <c r="B4844" s="1" t="s">
        <v>5028</v>
      </c>
      <c r="C4844" s="1" t="s">
        <v>28</v>
      </c>
      <c r="D4844" t="s">
        <v>31</v>
      </c>
      <c r="E4844" t="s">
        <v>100</v>
      </c>
      <c r="F4844" t="s">
        <v>22</v>
      </c>
      <c r="G4844" t="s">
        <v>18</v>
      </c>
      <c r="H4844" s="3">
        <v>8</v>
      </c>
      <c r="I4844" s="3">
        <v>9730</v>
      </c>
      <c r="J4844" s="3">
        <v>77840</v>
      </c>
      <c r="K4844" s="3">
        <v>7000</v>
      </c>
      <c r="L4844" s="3">
        <v>56000</v>
      </c>
      <c r="M4844" s="3">
        <v>21840</v>
      </c>
      <c r="N4844" s="4">
        <v>0.2805755395683453</v>
      </c>
    </row>
    <row r="4845" spans="1:14" x14ac:dyDescent="0.3">
      <c r="A4845" s="6">
        <v>46004</v>
      </c>
      <c r="B4845" s="1" t="s">
        <v>5029</v>
      </c>
      <c r="C4845" s="1" t="s">
        <v>29</v>
      </c>
      <c r="D4845" t="s">
        <v>35</v>
      </c>
      <c r="E4845" t="s">
        <v>310</v>
      </c>
      <c r="F4845" t="s">
        <v>19</v>
      </c>
      <c r="G4845" t="s">
        <v>20</v>
      </c>
      <c r="H4845" s="3">
        <v>4</v>
      </c>
      <c r="I4845" s="3">
        <v>1107</v>
      </c>
      <c r="J4845" s="3">
        <v>4428</v>
      </c>
      <c r="K4845" s="3">
        <v>900</v>
      </c>
      <c r="L4845" s="3">
        <v>3600</v>
      </c>
      <c r="M4845" s="3">
        <v>828</v>
      </c>
      <c r="N4845" s="4">
        <v>0.18699186991869918</v>
      </c>
    </row>
    <row r="4846" spans="1:14" x14ac:dyDescent="0.3">
      <c r="A4846" s="6">
        <v>46004</v>
      </c>
      <c r="B4846" s="1" t="s">
        <v>5030</v>
      </c>
      <c r="C4846" s="1" t="s">
        <v>26</v>
      </c>
      <c r="D4846" t="s">
        <v>31</v>
      </c>
      <c r="E4846" t="s">
        <v>145</v>
      </c>
      <c r="F4846" t="s">
        <v>14</v>
      </c>
      <c r="G4846" t="s">
        <v>15</v>
      </c>
      <c r="H4846" s="3">
        <v>10</v>
      </c>
      <c r="I4846" s="3">
        <v>58500</v>
      </c>
      <c r="J4846" s="3">
        <v>585000</v>
      </c>
      <c r="K4846" s="3">
        <v>45000</v>
      </c>
      <c r="L4846" s="3">
        <v>450000</v>
      </c>
      <c r="M4846" s="3">
        <v>135000</v>
      </c>
      <c r="N4846" s="4">
        <v>0.23076923076923078</v>
      </c>
    </row>
    <row r="4847" spans="1:14" x14ac:dyDescent="0.3">
      <c r="A4847" s="6">
        <v>46004</v>
      </c>
      <c r="B4847" s="1" t="s">
        <v>5031</v>
      </c>
      <c r="C4847" s="1" t="s">
        <v>28</v>
      </c>
      <c r="D4847" t="s">
        <v>30</v>
      </c>
      <c r="E4847" t="s">
        <v>124</v>
      </c>
      <c r="F4847" t="s">
        <v>16</v>
      </c>
      <c r="G4847" t="s">
        <v>15</v>
      </c>
      <c r="H4847" s="3">
        <v>7</v>
      </c>
      <c r="I4847" s="3">
        <v>48260</v>
      </c>
      <c r="J4847" s="3">
        <v>337820</v>
      </c>
      <c r="K4847" s="3">
        <v>38000</v>
      </c>
      <c r="L4847" s="3">
        <v>266000</v>
      </c>
      <c r="M4847" s="3">
        <v>71820</v>
      </c>
      <c r="N4847" s="4">
        <v>0.2125984251968504</v>
      </c>
    </row>
    <row r="4848" spans="1:14" x14ac:dyDescent="0.3">
      <c r="A4848" s="6">
        <v>46004</v>
      </c>
      <c r="B4848" s="1" t="s">
        <v>5032</v>
      </c>
      <c r="C4848" s="1" t="s">
        <v>28</v>
      </c>
      <c r="D4848" t="s">
        <v>30</v>
      </c>
      <c r="E4848" t="s">
        <v>388</v>
      </c>
      <c r="F4848" t="s">
        <v>23</v>
      </c>
      <c r="G4848" t="s">
        <v>25</v>
      </c>
      <c r="H4848" s="3">
        <v>3</v>
      </c>
      <c r="I4848" s="3">
        <v>3968</v>
      </c>
      <c r="J4848" s="3">
        <v>11904</v>
      </c>
      <c r="K4848" s="3">
        <v>3200</v>
      </c>
      <c r="L4848" s="3">
        <v>9600</v>
      </c>
      <c r="M4848" s="3">
        <v>2304</v>
      </c>
      <c r="N4848" s="4">
        <v>0.19354838709677419</v>
      </c>
    </row>
    <row r="4849" spans="1:14" x14ac:dyDescent="0.3">
      <c r="A4849" s="6">
        <v>46004</v>
      </c>
      <c r="B4849" s="1" t="s">
        <v>5033</v>
      </c>
      <c r="C4849" s="1" t="s">
        <v>29</v>
      </c>
      <c r="D4849" t="s">
        <v>30</v>
      </c>
      <c r="E4849" t="s">
        <v>175</v>
      </c>
      <c r="F4849" t="s">
        <v>17</v>
      </c>
      <c r="G4849" t="s">
        <v>18</v>
      </c>
      <c r="H4849" s="3">
        <v>2</v>
      </c>
      <c r="I4849" s="3">
        <v>10795</v>
      </c>
      <c r="J4849" s="3">
        <v>21590</v>
      </c>
      <c r="K4849" s="3">
        <v>8500</v>
      </c>
      <c r="L4849" s="3">
        <v>17000</v>
      </c>
      <c r="M4849" s="3">
        <v>4590</v>
      </c>
      <c r="N4849" s="4">
        <v>0.2125984251968504</v>
      </c>
    </row>
    <row r="4850" spans="1:14" x14ac:dyDescent="0.3">
      <c r="A4850" s="6">
        <v>46004</v>
      </c>
      <c r="B4850" s="1" t="s">
        <v>5034</v>
      </c>
      <c r="C4850" s="1" t="s">
        <v>27</v>
      </c>
      <c r="D4850" t="s">
        <v>33</v>
      </c>
      <c r="E4850" t="s">
        <v>126</v>
      </c>
      <c r="F4850" t="s">
        <v>21</v>
      </c>
      <c r="G4850" t="s">
        <v>20</v>
      </c>
      <c r="H4850" s="3">
        <v>8</v>
      </c>
      <c r="I4850" s="3">
        <v>732</v>
      </c>
      <c r="J4850" s="3">
        <v>5856</v>
      </c>
      <c r="K4850" s="3">
        <v>600</v>
      </c>
      <c r="L4850" s="3">
        <v>4800</v>
      </c>
      <c r="M4850" s="3">
        <v>1056</v>
      </c>
      <c r="N4850" s="4">
        <v>0.18032786885245902</v>
      </c>
    </row>
    <row r="4851" spans="1:14" x14ac:dyDescent="0.3">
      <c r="A4851" s="6">
        <v>46004</v>
      </c>
      <c r="B4851" s="1" t="s">
        <v>5035</v>
      </c>
      <c r="C4851" s="1" t="s">
        <v>29</v>
      </c>
      <c r="D4851" t="s">
        <v>35</v>
      </c>
      <c r="E4851" t="s">
        <v>74</v>
      </c>
      <c r="F4851" t="s">
        <v>23</v>
      </c>
      <c r="G4851" t="s">
        <v>25</v>
      </c>
      <c r="H4851" s="3">
        <v>5</v>
      </c>
      <c r="I4851" s="3">
        <v>3904</v>
      </c>
      <c r="J4851" s="3">
        <v>19520</v>
      </c>
      <c r="K4851" s="3">
        <v>3200</v>
      </c>
      <c r="L4851" s="3">
        <v>16000</v>
      </c>
      <c r="M4851" s="3">
        <v>3520</v>
      </c>
      <c r="N4851" s="4">
        <v>0.18032786885245902</v>
      </c>
    </row>
    <row r="4852" spans="1:14" x14ac:dyDescent="0.3">
      <c r="A4852" s="6">
        <v>46004</v>
      </c>
      <c r="B4852" s="1" t="s">
        <v>5036</v>
      </c>
      <c r="C4852" s="1" t="s">
        <v>28</v>
      </c>
      <c r="D4852" t="s">
        <v>32</v>
      </c>
      <c r="E4852" t="s">
        <v>411</v>
      </c>
      <c r="F4852" t="s">
        <v>14</v>
      </c>
      <c r="G4852" t="s">
        <v>15</v>
      </c>
      <c r="H4852" s="3">
        <v>1</v>
      </c>
      <c r="I4852" s="3">
        <v>62550.000000000007</v>
      </c>
      <c r="J4852" s="3">
        <v>62550.000000000007</v>
      </c>
      <c r="K4852" s="3">
        <v>45000</v>
      </c>
      <c r="L4852" s="3">
        <v>45000</v>
      </c>
      <c r="M4852" s="3">
        <v>17550.000000000007</v>
      </c>
      <c r="N4852" s="4">
        <v>0.28057553956834541</v>
      </c>
    </row>
    <row r="4853" spans="1:14" x14ac:dyDescent="0.3">
      <c r="A4853" s="6">
        <v>46004</v>
      </c>
      <c r="B4853" s="1" t="s">
        <v>5037</v>
      </c>
      <c r="C4853" s="1" t="s">
        <v>26</v>
      </c>
      <c r="D4853" t="s">
        <v>31</v>
      </c>
      <c r="E4853" t="s">
        <v>81</v>
      </c>
      <c r="F4853" t="s">
        <v>17</v>
      </c>
      <c r="G4853" t="s">
        <v>18</v>
      </c>
      <c r="H4853" s="3">
        <v>2</v>
      </c>
      <c r="I4853" s="3">
        <v>11900</v>
      </c>
      <c r="J4853" s="3">
        <v>23800</v>
      </c>
      <c r="K4853" s="3">
        <v>8500</v>
      </c>
      <c r="L4853" s="3">
        <v>17000</v>
      </c>
      <c r="M4853" s="3">
        <v>6800</v>
      </c>
      <c r="N4853" s="4">
        <v>0.2857142857142857</v>
      </c>
    </row>
    <row r="4854" spans="1:14" x14ac:dyDescent="0.3">
      <c r="A4854" s="6">
        <v>46004</v>
      </c>
      <c r="B4854" s="1" t="s">
        <v>5038</v>
      </c>
      <c r="C4854" s="1" t="s">
        <v>27</v>
      </c>
      <c r="D4854" t="s">
        <v>33</v>
      </c>
      <c r="E4854" t="s">
        <v>371</v>
      </c>
      <c r="F4854" t="s">
        <v>19</v>
      </c>
      <c r="G4854" t="s">
        <v>20</v>
      </c>
      <c r="H4854" s="3">
        <v>2</v>
      </c>
      <c r="I4854" s="3">
        <v>1197</v>
      </c>
      <c r="J4854" s="3">
        <v>2394</v>
      </c>
      <c r="K4854" s="3">
        <v>900</v>
      </c>
      <c r="L4854" s="3">
        <v>1800</v>
      </c>
      <c r="M4854" s="3">
        <v>594</v>
      </c>
      <c r="N4854" s="4">
        <v>0.24812030075187969</v>
      </c>
    </row>
    <row r="4855" spans="1:14" x14ac:dyDescent="0.3">
      <c r="A4855" s="6">
        <v>46004</v>
      </c>
      <c r="B4855" s="1" t="s">
        <v>5039</v>
      </c>
      <c r="C4855" s="1" t="s">
        <v>26</v>
      </c>
      <c r="D4855" t="s">
        <v>31</v>
      </c>
      <c r="E4855" t="s">
        <v>59</v>
      </c>
      <c r="F4855" t="s">
        <v>23</v>
      </c>
      <c r="G4855" t="s">
        <v>25</v>
      </c>
      <c r="H4855" s="3">
        <v>7</v>
      </c>
      <c r="I4855" s="3">
        <v>4512</v>
      </c>
      <c r="J4855" s="3">
        <v>31584</v>
      </c>
      <c r="K4855" s="3">
        <v>3200</v>
      </c>
      <c r="L4855" s="3">
        <v>22400</v>
      </c>
      <c r="M4855" s="3">
        <v>9184</v>
      </c>
      <c r="N4855" s="4">
        <v>0.29078014184397161</v>
      </c>
    </row>
    <row r="4856" spans="1:14" x14ac:dyDescent="0.3">
      <c r="A4856" s="6">
        <v>46004</v>
      </c>
      <c r="B4856" s="1" t="s">
        <v>5040</v>
      </c>
      <c r="C4856" s="1" t="s">
        <v>27</v>
      </c>
      <c r="D4856" t="s">
        <v>31</v>
      </c>
      <c r="E4856" t="s">
        <v>126</v>
      </c>
      <c r="F4856" t="s">
        <v>24</v>
      </c>
      <c r="G4856" t="s">
        <v>25</v>
      </c>
      <c r="H4856" s="3">
        <v>3</v>
      </c>
      <c r="I4856" s="3">
        <v>3125</v>
      </c>
      <c r="J4856" s="3">
        <v>9375</v>
      </c>
      <c r="K4856" s="3">
        <v>2500</v>
      </c>
      <c r="L4856" s="3">
        <v>7500</v>
      </c>
      <c r="M4856" s="3">
        <v>1875</v>
      </c>
      <c r="N4856" s="4">
        <v>0.2</v>
      </c>
    </row>
    <row r="4857" spans="1:14" x14ac:dyDescent="0.3">
      <c r="A4857" s="6">
        <v>46004</v>
      </c>
      <c r="B4857" s="1" t="s">
        <v>5041</v>
      </c>
      <c r="C4857" s="1" t="s">
        <v>26</v>
      </c>
      <c r="D4857" t="s">
        <v>30</v>
      </c>
      <c r="E4857" t="s">
        <v>67</v>
      </c>
      <c r="F4857" t="s">
        <v>16</v>
      </c>
      <c r="G4857" t="s">
        <v>15</v>
      </c>
      <c r="H4857" s="3">
        <v>7</v>
      </c>
      <c r="I4857" s="3">
        <v>53580</v>
      </c>
      <c r="J4857" s="3">
        <v>375060</v>
      </c>
      <c r="K4857" s="3">
        <v>38000</v>
      </c>
      <c r="L4857" s="3">
        <v>266000</v>
      </c>
      <c r="M4857" s="3">
        <v>109060</v>
      </c>
      <c r="N4857" s="4">
        <v>0.29078014184397161</v>
      </c>
    </row>
    <row r="4858" spans="1:14" x14ac:dyDescent="0.3">
      <c r="A4858" s="6">
        <v>46005</v>
      </c>
      <c r="B4858" s="1" t="s">
        <v>5042</v>
      </c>
      <c r="C4858" s="1" t="s">
        <v>27</v>
      </c>
      <c r="D4858" t="s">
        <v>30</v>
      </c>
      <c r="E4858" t="s">
        <v>161</v>
      </c>
      <c r="F4858" t="s">
        <v>23</v>
      </c>
      <c r="G4858" t="s">
        <v>25</v>
      </c>
      <c r="H4858" s="3">
        <v>10</v>
      </c>
      <c r="I4858" s="3">
        <v>4096</v>
      </c>
      <c r="J4858" s="3">
        <v>40960</v>
      </c>
      <c r="K4858" s="3">
        <v>3200</v>
      </c>
      <c r="L4858" s="3">
        <v>32000</v>
      </c>
      <c r="M4858" s="3">
        <v>8960</v>
      </c>
      <c r="N4858" s="4">
        <v>0.21875</v>
      </c>
    </row>
    <row r="4859" spans="1:14" x14ac:dyDescent="0.3">
      <c r="A4859" s="6">
        <v>46005</v>
      </c>
      <c r="B4859" s="1" t="s">
        <v>5043</v>
      </c>
      <c r="C4859" s="1" t="s">
        <v>27</v>
      </c>
      <c r="D4859" t="s">
        <v>31</v>
      </c>
      <c r="E4859" t="s">
        <v>582</v>
      </c>
      <c r="F4859" t="s">
        <v>19</v>
      </c>
      <c r="G4859" t="s">
        <v>20</v>
      </c>
      <c r="H4859" s="3">
        <v>8</v>
      </c>
      <c r="I4859" s="3">
        <v>1224</v>
      </c>
      <c r="J4859" s="3">
        <v>9792</v>
      </c>
      <c r="K4859" s="3">
        <v>900</v>
      </c>
      <c r="L4859" s="3">
        <v>7200</v>
      </c>
      <c r="M4859" s="3">
        <v>2592</v>
      </c>
      <c r="N4859" s="4">
        <v>0.26470588235294118</v>
      </c>
    </row>
    <row r="4860" spans="1:14" x14ac:dyDescent="0.3">
      <c r="A4860" s="6">
        <v>46005</v>
      </c>
      <c r="B4860" s="1" t="s">
        <v>5044</v>
      </c>
      <c r="C4860" s="1" t="s">
        <v>28</v>
      </c>
      <c r="D4860" t="s">
        <v>32</v>
      </c>
      <c r="E4860" t="s">
        <v>49</v>
      </c>
      <c r="F4860" t="s">
        <v>14</v>
      </c>
      <c r="G4860" t="s">
        <v>15</v>
      </c>
      <c r="H4860" s="3">
        <v>8</v>
      </c>
      <c r="I4860" s="3">
        <v>62550.000000000007</v>
      </c>
      <c r="J4860" s="3">
        <v>500400.00000000006</v>
      </c>
      <c r="K4860" s="3">
        <v>45000</v>
      </c>
      <c r="L4860" s="3">
        <v>360000</v>
      </c>
      <c r="M4860" s="3">
        <v>140400.00000000006</v>
      </c>
      <c r="N4860" s="4">
        <v>0.28057553956834541</v>
      </c>
    </row>
    <row r="4861" spans="1:14" x14ac:dyDescent="0.3">
      <c r="A4861" s="6">
        <v>46005</v>
      </c>
      <c r="B4861" s="1" t="s">
        <v>5045</v>
      </c>
      <c r="C4861" s="1" t="s">
        <v>29</v>
      </c>
      <c r="D4861" t="s">
        <v>32</v>
      </c>
      <c r="E4861" t="s">
        <v>184</v>
      </c>
      <c r="F4861" t="s">
        <v>19</v>
      </c>
      <c r="G4861" t="s">
        <v>20</v>
      </c>
      <c r="H4861" s="3">
        <v>7</v>
      </c>
      <c r="I4861" s="3">
        <v>1206</v>
      </c>
      <c r="J4861" s="3">
        <v>8442</v>
      </c>
      <c r="K4861" s="3">
        <v>900</v>
      </c>
      <c r="L4861" s="3">
        <v>6300</v>
      </c>
      <c r="M4861" s="3">
        <v>2142</v>
      </c>
      <c r="N4861" s="4">
        <v>0.2537313432835821</v>
      </c>
    </row>
    <row r="4862" spans="1:14" x14ac:dyDescent="0.3">
      <c r="A4862" s="6">
        <v>46005</v>
      </c>
      <c r="B4862" s="1" t="s">
        <v>5046</v>
      </c>
      <c r="C4862" s="1" t="s">
        <v>29</v>
      </c>
      <c r="D4862" t="s">
        <v>35</v>
      </c>
      <c r="E4862" t="s">
        <v>108</v>
      </c>
      <c r="F4862" t="s">
        <v>19</v>
      </c>
      <c r="G4862" t="s">
        <v>20</v>
      </c>
      <c r="H4862" s="3">
        <v>2</v>
      </c>
      <c r="I4862" s="3">
        <v>1233</v>
      </c>
      <c r="J4862" s="3">
        <v>2466</v>
      </c>
      <c r="K4862" s="3">
        <v>900</v>
      </c>
      <c r="L4862" s="3">
        <v>1800</v>
      </c>
      <c r="M4862" s="3">
        <v>666</v>
      </c>
      <c r="N4862" s="4">
        <v>0.27007299270072993</v>
      </c>
    </row>
    <row r="4863" spans="1:14" x14ac:dyDescent="0.3">
      <c r="A4863" s="6">
        <v>46005</v>
      </c>
      <c r="B4863" s="1" t="s">
        <v>5047</v>
      </c>
      <c r="C4863" s="1" t="s">
        <v>27</v>
      </c>
      <c r="D4863" t="s">
        <v>30</v>
      </c>
      <c r="E4863" t="s">
        <v>169</v>
      </c>
      <c r="F4863" t="s">
        <v>19</v>
      </c>
      <c r="G4863" t="s">
        <v>20</v>
      </c>
      <c r="H4863" s="3">
        <v>4</v>
      </c>
      <c r="I4863" s="3">
        <v>1080</v>
      </c>
      <c r="J4863" s="3">
        <v>4320</v>
      </c>
      <c r="K4863" s="3">
        <v>900</v>
      </c>
      <c r="L4863" s="3">
        <v>3600</v>
      </c>
      <c r="M4863" s="3">
        <v>720</v>
      </c>
      <c r="N4863" s="4">
        <v>0.16666666666666666</v>
      </c>
    </row>
    <row r="4864" spans="1:14" x14ac:dyDescent="0.3">
      <c r="A4864" s="6">
        <v>46005</v>
      </c>
      <c r="B4864" s="1" t="s">
        <v>5048</v>
      </c>
      <c r="C4864" s="1" t="s">
        <v>28</v>
      </c>
      <c r="D4864" t="s">
        <v>30</v>
      </c>
      <c r="E4864" t="s">
        <v>218</v>
      </c>
      <c r="F4864" t="s">
        <v>19</v>
      </c>
      <c r="G4864" t="s">
        <v>20</v>
      </c>
      <c r="H4864" s="3">
        <v>2</v>
      </c>
      <c r="I4864" s="3">
        <v>1134</v>
      </c>
      <c r="J4864" s="3">
        <v>2268</v>
      </c>
      <c r="K4864" s="3">
        <v>900</v>
      </c>
      <c r="L4864" s="3">
        <v>1800</v>
      </c>
      <c r="M4864" s="3">
        <v>468</v>
      </c>
      <c r="N4864" s="4">
        <v>0.20634920634920634</v>
      </c>
    </row>
    <row r="4865" spans="1:14" x14ac:dyDescent="0.3">
      <c r="A4865" s="6">
        <v>46005</v>
      </c>
      <c r="B4865" s="1" t="s">
        <v>5049</v>
      </c>
      <c r="C4865" s="1" t="s">
        <v>27</v>
      </c>
      <c r="D4865" t="s">
        <v>33</v>
      </c>
      <c r="E4865" t="s">
        <v>400</v>
      </c>
      <c r="F4865" t="s">
        <v>19</v>
      </c>
      <c r="G4865" t="s">
        <v>20</v>
      </c>
      <c r="H4865" s="3">
        <v>4</v>
      </c>
      <c r="I4865" s="3">
        <v>1242</v>
      </c>
      <c r="J4865" s="3">
        <v>4968</v>
      </c>
      <c r="K4865" s="3">
        <v>900</v>
      </c>
      <c r="L4865" s="3">
        <v>3600</v>
      </c>
      <c r="M4865" s="3">
        <v>1368</v>
      </c>
      <c r="N4865" s="4">
        <v>0.27536231884057971</v>
      </c>
    </row>
    <row r="4866" spans="1:14" x14ac:dyDescent="0.3">
      <c r="A4866" s="6">
        <v>46005</v>
      </c>
      <c r="B4866" s="1" t="s">
        <v>5050</v>
      </c>
      <c r="C4866" s="1" t="s">
        <v>27</v>
      </c>
      <c r="D4866" t="s">
        <v>34</v>
      </c>
      <c r="E4866" t="s">
        <v>55</v>
      </c>
      <c r="F4866" t="s">
        <v>17</v>
      </c>
      <c r="G4866" t="s">
        <v>18</v>
      </c>
      <c r="H4866" s="3">
        <v>3</v>
      </c>
      <c r="I4866" s="3">
        <v>11559.999999999998</v>
      </c>
      <c r="J4866" s="3">
        <v>34679.999999999993</v>
      </c>
      <c r="K4866" s="3">
        <v>8500</v>
      </c>
      <c r="L4866" s="3">
        <v>25500</v>
      </c>
      <c r="M4866" s="3">
        <v>9179.9999999999927</v>
      </c>
      <c r="N4866" s="4">
        <v>0.26470588235294101</v>
      </c>
    </row>
    <row r="4867" spans="1:14" x14ac:dyDescent="0.3">
      <c r="A4867" s="6">
        <v>46005</v>
      </c>
      <c r="B4867" s="1" t="s">
        <v>5051</v>
      </c>
      <c r="C4867" s="1" t="s">
        <v>26</v>
      </c>
      <c r="D4867" t="s">
        <v>33</v>
      </c>
      <c r="E4867" t="s">
        <v>442</v>
      </c>
      <c r="F4867" t="s">
        <v>17</v>
      </c>
      <c r="G4867" t="s">
        <v>18</v>
      </c>
      <c r="H4867" s="3">
        <v>6</v>
      </c>
      <c r="I4867" s="3">
        <v>11985</v>
      </c>
      <c r="J4867" s="3">
        <v>71910</v>
      </c>
      <c r="K4867" s="3">
        <v>8500</v>
      </c>
      <c r="L4867" s="3">
        <v>51000</v>
      </c>
      <c r="M4867" s="3">
        <v>20910</v>
      </c>
      <c r="N4867" s="4">
        <v>0.29078014184397161</v>
      </c>
    </row>
    <row r="4868" spans="1:14" x14ac:dyDescent="0.3">
      <c r="A4868" s="6">
        <v>46005</v>
      </c>
      <c r="B4868" s="1" t="s">
        <v>5052</v>
      </c>
      <c r="C4868" s="1" t="s">
        <v>28</v>
      </c>
      <c r="D4868" t="s">
        <v>30</v>
      </c>
      <c r="E4868" t="s">
        <v>283</v>
      </c>
      <c r="F4868" t="s">
        <v>22</v>
      </c>
      <c r="G4868" t="s">
        <v>18</v>
      </c>
      <c r="H4868" s="3">
        <v>4</v>
      </c>
      <c r="I4868" s="3">
        <v>10010</v>
      </c>
      <c r="J4868" s="3">
        <v>40040</v>
      </c>
      <c r="K4868" s="3">
        <v>7000</v>
      </c>
      <c r="L4868" s="3">
        <v>28000</v>
      </c>
      <c r="M4868" s="3">
        <v>12040</v>
      </c>
      <c r="N4868" s="4">
        <v>0.30069930069930068</v>
      </c>
    </row>
    <row r="4869" spans="1:14" x14ac:dyDescent="0.3">
      <c r="A4869" s="6">
        <v>46005</v>
      </c>
      <c r="B4869" s="1" t="s">
        <v>5053</v>
      </c>
      <c r="C4869" s="1" t="s">
        <v>26</v>
      </c>
      <c r="D4869" t="s">
        <v>30</v>
      </c>
      <c r="E4869" t="s">
        <v>163</v>
      </c>
      <c r="F4869" t="s">
        <v>21</v>
      </c>
      <c r="G4869" t="s">
        <v>20</v>
      </c>
      <c r="H4869" s="3">
        <v>8</v>
      </c>
      <c r="I4869" s="3">
        <v>762</v>
      </c>
      <c r="J4869" s="3">
        <v>6096</v>
      </c>
      <c r="K4869" s="3">
        <v>600</v>
      </c>
      <c r="L4869" s="3">
        <v>4800</v>
      </c>
      <c r="M4869" s="3">
        <v>1296</v>
      </c>
      <c r="N4869" s="4">
        <v>0.2125984251968504</v>
      </c>
    </row>
    <row r="4870" spans="1:14" x14ac:dyDescent="0.3">
      <c r="A4870" s="6">
        <v>46005</v>
      </c>
      <c r="B4870" s="1" t="s">
        <v>5054</v>
      </c>
      <c r="C4870" s="1" t="s">
        <v>27</v>
      </c>
      <c r="D4870" t="s">
        <v>34</v>
      </c>
      <c r="E4870" t="s">
        <v>131</v>
      </c>
      <c r="F4870" t="s">
        <v>22</v>
      </c>
      <c r="G4870" t="s">
        <v>18</v>
      </c>
      <c r="H4870" s="3">
        <v>5</v>
      </c>
      <c r="I4870" s="3">
        <v>9170</v>
      </c>
      <c r="J4870" s="3">
        <v>45850</v>
      </c>
      <c r="K4870" s="3">
        <v>7000</v>
      </c>
      <c r="L4870" s="3">
        <v>35000</v>
      </c>
      <c r="M4870" s="3">
        <v>10850</v>
      </c>
      <c r="N4870" s="4">
        <v>0.23664122137404581</v>
      </c>
    </row>
    <row r="4871" spans="1:14" x14ac:dyDescent="0.3">
      <c r="A4871" s="6">
        <v>46005</v>
      </c>
      <c r="B4871" s="1" t="s">
        <v>5055</v>
      </c>
      <c r="C4871" s="1" t="s">
        <v>29</v>
      </c>
      <c r="D4871" t="s">
        <v>31</v>
      </c>
      <c r="E4871" t="s">
        <v>193</v>
      </c>
      <c r="F4871" t="s">
        <v>16</v>
      </c>
      <c r="G4871" t="s">
        <v>15</v>
      </c>
      <c r="H4871" s="3">
        <v>7</v>
      </c>
      <c r="I4871" s="3">
        <v>52820.000000000007</v>
      </c>
      <c r="J4871" s="3">
        <v>369740.00000000006</v>
      </c>
      <c r="K4871" s="3">
        <v>38000</v>
      </c>
      <c r="L4871" s="3">
        <v>266000</v>
      </c>
      <c r="M4871" s="3">
        <v>103740.00000000006</v>
      </c>
      <c r="N4871" s="4">
        <v>0.28057553956834541</v>
      </c>
    </row>
    <row r="4872" spans="1:14" x14ac:dyDescent="0.3">
      <c r="A4872" s="6">
        <v>46006</v>
      </c>
      <c r="B4872" s="1" t="s">
        <v>5056</v>
      </c>
      <c r="C4872" s="1" t="s">
        <v>29</v>
      </c>
      <c r="D4872" t="s">
        <v>33</v>
      </c>
      <c r="E4872" t="s">
        <v>159</v>
      </c>
      <c r="F4872" t="s">
        <v>17</v>
      </c>
      <c r="G4872" t="s">
        <v>18</v>
      </c>
      <c r="H4872" s="3">
        <v>9</v>
      </c>
      <c r="I4872" s="3">
        <v>11900</v>
      </c>
      <c r="J4872" s="3">
        <v>107100</v>
      </c>
      <c r="K4872" s="3">
        <v>8500</v>
      </c>
      <c r="L4872" s="3">
        <v>76500</v>
      </c>
      <c r="M4872" s="3">
        <v>30600</v>
      </c>
      <c r="N4872" s="4">
        <v>0.2857142857142857</v>
      </c>
    </row>
    <row r="4873" spans="1:14" x14ac:dyDescent="0.3">
      <c r="A4873" s="6">
        <v>46006</v>
      </c>
      <c r="B4873" s="1" t="s">
        <v>5057</v>
      </c>
      <c r="C4873" s="1" t="s">
        <v>28</v>
      </c>
      <c r="D4873" t="s">
        <v>34</v>
      </c>
      <c r="E4873" t="s">
        <v>134</v>
      </c>
      <c r="F4873" t="s">
        <v>16</v>
      </c>
      <c r="G4873" t="s">
        <v>15</v>
      </c>
      <c r="H4873" s="3">
        <v>10</v>
      </c>
      <c r="I4873" s="3">
        <v>54340</v>
      </c>
      <c r="J4873" s="3">
        <v>543400</v>
      </c>
      <c r="K4873" s="3">
        <v>38000</v>
      </c>
      <c r="L4873" s="3">
        <v>380000</v>
      </c>
      <c r="M4873" s="3">
        <v>163400</v>
      </c>
      <c r="N4873" s="4">
        <v>0.30069930069930068</v>
      </c>
    </row>
    <row r="4874" spans="1:14" x14ac:dyDescent="0.3">
      <c r="A4874" s="6">
        <v>46006</v>
      </c>
      <c r="B4874" s="1" t="s">
        <v>5058</v>
      </c>
      <c r="C4874" s="1" t="s">
        <v>29</v>
      </c>
      <c r="D4874" t="s">
        <v>33</v>
      </c>
      <c r="E4874" t="s">
        <v>222</v>
      </c>
      <c r="F4874" t="s">
        <v>19</v>
      </c>
      <c r="G4874" t="s">
        <v>20</v>
      </c>
      <c r="H4874" s="3">
        <v>7</v>
      </c>
      <c r="I4874" s="3">
        <v>1206</v>
      </c>
      <c r="J4874" s="3">
        <v>8442</v>
      </c>
      <c r="K4874" s="3">
        <v>900</v>
      </c>
      <c r="L4874" s="3">
        <v>6300</v>
      </c>
      <c r="M4874" s="3">
        <v>2142</v>
      </c>
      <c r="N4874" s="4">
        <v>0.2537313432835821</v>
      </c>
    </row>
    <row r="4875" spans="1:14" x14ac:dyDescent="0.3">
      <c r="A4875" s="6">
        <v>46006</v>
      </c>
      <c r="B4875" s="1" t="s">
        <v>5059</v>
      </c>
      <c r="C4875" s="1" t="s">
        <v>29</v>
      </c>
      <c r="D4875" t="s">
        <v>35</v>
      </c>
      <c r="E4875" t="s">
        <v>698</v>
      </c>
      <c r="F4875" t="s">
        <v>14</v>
      </c>
      <c r="G4875" t="s">
        <v>15</v>
      </c>
      <c r="H4875" s="3">
        <v>2</v>
      </c>
      <c r="I4875" s="3">
        <v>57150</v>
      </c>
      <c r="J4875" s="3">
        <v>114300</v>
      </c>
      <c r="K4875" s="3">
        <v>45000</v>
      </c>
      <c r="L4875" s="3">
        <v>90000</v>
      </c>
      <c r="M4875" s="3">
        <v>24300</v>
      </c>
      <c r="N4875" s="4">
        <v>0.2125984251968504</v>
      </c>
    </row>
    <row r="4876" spans="1:14" x14ac:dyDescent="0.3">
      <c r="A4876" s="6">
        <v>46006</v>
      </c>
      <c r="B4876" s="1" t="s">
        <v>5060</v>
      </c>
      <c r="C4876" s="1" t="s">
        <v>27</v>
      </c>
      <c r="D4876" t="s">
        <v>34</v>
      </c>
      <c r="E4876" t="s">
        <v>169</v>
      </c>
      <c r="F4876" t="s">
        <v>21</v>
      </c>
      <c r="G4876" t="s">
        <v>20</v>
      </c>
      <c r="H4876" s="3">
        <v>5</v>
      </c>
      <c r="I4876" s="3">
        <v>726</v>
      </c>
      <c r="J4876" s="3">
        <v>3630</v>
      </c>
      <c r="K4876" s="3">
        <v>600</v>
      </c>
      <c r="L4876" s="3">
        <v>3000</v>
      </c>
      <c r="M4876" s="3">
        <v>630</v>
      </c>
      <c r="N4876" s="4">
        <v>0.17355371900826447</v>
      </c>
    </row>
    <row r="4877" spans="1:14" x14ac:dyDescent="0.3">
      <c r="A4877" s="6">
        <v>46006</v>
      </c>
      <c r="B4877" s="1" t="s">
        <v>5061</v>
      </c>
      <c r="C4877" s="1" t="s">
        <v>26</v>
      </c>
      <c r="D4877" t="s">
        <v>30</v>
      </c>
      <c r="E4877" t="s">
        <v>94</v>
      </c>
      <c r="F4877" t="s">
        <v>22</v>
      </c>
      <c r="G4877" t="s">
        <v>18</v>
      </c>
      <c r="H4877" s="3">
        <v>6</v>
      </c>
      <c r="I4877" s="3">
        <v>8470</v>
      </c>
      <c r="J4877" s="3">
        <v>50820</v>
      </c>
      <c r="K4877" s="3">
        <v>7000</v>
      </c>
      <c r="L4877" s="3">
        <v>42000</v>
      </c>
      <c r="M4877" s="3">
        <v>8820</v>
      </c>
      <c r="N4877" s="4">
        <v>0.17355371900826447</v>
      </c>
    </row>
    <row r="4878" spans="1:14" x14ac:dyDescent="0.3">
      <c r="A4878" s="6">
        <v>46006</v>
      </c>
      <c r="B4878" s="1" t="s">
        <v>5062</v>
      </c>
      <c r="C4878" s="1" t="s">
        <v>29</v>
      </c>
      <c r="D4878" t="s">
        <v>31</v>
      </c>
      <c r="E4878" t="s">
        <v>106</v>
      </c>
      <c r="F4878" t="s">
        <v>17</v>
      </c>
      <c r="G4878" t="s">
        <v>18</v>
      </c>
      <c r="H4878" s="3">
        <v>1</v>
      </c>
      <c r="I4878" s="3">
        <v>11645</v>
      </c>
      <c r="J4878" s="3">
        <v>11645</v>
      </c>
      <c r="K4878" s="3">
        <v>8500</v>
      </c>
      <c r="L4878" s="3">
        <v>8500</v>
      </c>
      <c r="M4878" s="3">
        <v>3145</v>
      </c>
      <c r="N4878" s="4">
        <v>0.27007299270072993</v>
      </c>
    </row>
    <row r="4879" spans="1:14" x14ac:dyDescent="0.3">
      <c r="A4879" s="6">
        <v>46006</v>
      </c>
      <c r="B4879" s="1" t="s">
        <v>5063</v>
      </c>
      <c r="C4879" s="1" t="s">
        <v>28</v>
      </c>
      <c r="D4879" t="s">
        <v>31</v>
      </c>
      <c r="E4879" t="s">
        <v>349</v>
      </c>
      <c r="F4879" t="s">
        <v>23</v>
      </c>
      <c r="G4879" t="s">
        <v>25</v>
      </c>
      <c r="H4879" s="3">
        <v>7</v>
      </c>
      <c r="I4879" s="3">
        <v>4000</v>
      </c>
      <c r="J4879" s="3">
        <v>28000</v>
      </c>
      <c r="K4879" s="3">
        <v>3200</v>
      </c>
      <c r="L4879" s="3">
        <v>22400</v>
      </c>
      <c r="M4879" s="3">
        <v>5600</v>
      </c>
      <c r="N4879" s="4">
        <v>0.2</v>
      </c>
    </row>
    <row r="4880" spans="1:14" x14ac:dyDescent="0.3">
      <c r="A4880" s="6">
        <v>46006</v>
      </c>
      <c r="B4880" s="1" t="s">
        <v>5064</v>
      </c>
      <c r="C4880" s="1" t="s">
        <v>28</v>
      </c>
      <c r="D4880" t="s">
        <v>35</v>
      </c>
      <c r="E4880" t="s">
        <v>411</v>
      </c>
      <c r="F4880" t="s">
        <v>14</v>
      </c>
      <c r="G4880" t="s">
        <v>15</v>
      </c>
      <c r="H4880" s="3">
        <v>6</v>
      </c>
      <c r="I4880" s="3">
        <v>54000</v>
      </c>
      <c r="J4880" s="3">
        <v>324000</v>
      </c>
      <c r="K4880" s="3">
        <v>45000</v>
      </c>
      <c r="L4880" s="3">
        <v>270000</v>
      </c>
      <c r="M4880" s="3">
        <v>54000</v>
      </c>
      <c r="N4880" s="4">
        <v>0.16666666666666666</v>
      </c>
    </row>
    <row r="4881" spans="1:14" x14ac:dyDescent="0.3">
      <c r="A4881" s="6">
        <v>46006</v>
      </c>
      <c r="B4881" s="1" t="s">
        <v>5065</v>
      </c>
      <c r="C4881" s="1" t="s">
        <v>29</v>
      </c>
      <c r="D4881" t="s">
        <v>30</v>
      </c>
      <c r="E4881" t="s">
        <v>411</v>
      </c>
      <c r="F4881" t="s">
        <v>14</v>
      </c>
      <c r="G4881" t="s">
        <v>15</v>
      </c>
      <c r="H4881" s="3">
        <v>3</v>
      </c>
      <c r="I4881" s="3">
        <v>61199.999999999993</v>
      </c>
      <c r="J4881" s="3">
        <v>183599.99999999997</v>
      </c>
      <c r="K4881" s="3">
        <v>45000</v>
      </c>
      <c r="L4881" s="3">
        <v>135000</v>
      </c>
      <c r="M4881" s="3">
        <v>48599.999999999971</v>
      </c>
      <c r="N4881" s="4">
        <v>0.26470588235294107</v>
      </c>
    </row>
    <row r="4882" spans="1:14" x14ac:dyDescent="0.3">
      <c r="A4882" s="6">
        <v>46006</v>
      </c>
      <c r="B4882" s="1" t="s">
        <v>5066</v>
      </c>
      <c r="C4882" s="1" t="s">
        <v>27</v>
      </c>
      <c r="D4882" t="s">
        <v>35</v>
      </c>
      <c r="E4882" t="s">
        <v>308</v>
      </c>
      <c r="F4882" t="s">
        <v>24</v>
      </c>
      <c r="G4882" t="s">
        <v>25</v>
      </c>
      <c r="H4882" s="3">
        <v>5</v>
      </c>
      <c r="I4882" s="3">
        <v>3275</v>
      </c>
      <c r="J4882" s="3">
        <v>16375</v>
      </c>
      <c r="K4882" s="3">
        <v>2500</v>
      </c>
      <c r="L4882" s="3">
        <v>12500</v>
      </c>
      <c r="M4882" s="3">
        <v>3875</v>
      </c>
      <c r="N4882" s="4">
        <v>0.23664122137404581</v>
      </c>
    </row>
    <row r="4883" spans="1:14" x14ac:dyDescent="0.3">
      <c r="A4883" s="6">
        <v>46006</v>
      </c>
      <c r="B4883" s="1" t="s">
        <v>5067</v>
      </c>
      <c r="C4883" s="1" t="s">
        <v>26</v>
      </c>
      <c r="D4883" t="s">
        <v>35</v>
      </c>
      <c r="E4883" t="s">
        <v>72</v>
      </c>
      <c r="F4883" t="s">
        <v>23</v>
      </c>
      <c r="G4883" t="s">
        <v>25</v>
      </c>
      <c r="H4883" s="3">
        <v>7</v>
      </c>
      <c r="I4883" s="3">
        <v>3904</v>
      </c>
      <c r="J4883" s="3">
        <v>27328</v>
      </c>
      <c r="K4883" s="3">
        <v>3200</v>
      </c>
      <c r="L4883" s="3">
        <v>22400</v>
      </c>
      <c r="M4883" s="3">
        <v>4928</v>
      </c>
      <c r="N4883" s="4">
        <v>0.18032786885245902</v>
      </c>
    </row>
    <row r="4884" spans="1:14" x14ac:dyDescent="0.3">
      <c r="A4884" s="6">
        <v>46006</v>
      </c>
      <c r="B4884" s="1" t="s">
        <v>5068</v>
      </c>
      <c r="C4884" s="1" t="s">
        <v>26</v>
      </c>
      <c r="D4884" t="s">
        <v>35</v>
      </c>
      <c r="E4884" t="s">
        <v>129</v>
      </c>
      <c r="F4884" t="s">
        <v>17</v>
      </c>
      <c r="G4884" t="s">
        <v>18</v>
      </c>
      <c r="H4884" s="3">
        <v>4</v>
      </c>
      <c r="I4884" s="3">
        <v>12240</v>
      </c>
      <c r="J4884" s="3">
        <v>48960</v>
      </c>
      <c r="K4884" s="3">
        <v>8500</v>
      </c>
      <c r="L4884" s="3">
        <v>34000</v>
      </c>
      <c r="M4884" s="3">
        <v>14960</v>
      </c>
      <c r="N4884" s="4">
        <v>0.30555555555555558</v>
      </c>
    </row>
    <row r="4885" spans="1:14" x14ac:dyDescent="0.3">
      <c r="A4885" s="6">
        <v>46006</v>
      </c>
      <c r="B4885" s="1" t="s">
        <v>5069</v>
      </c>
      <c r="C4885" s="1" t="s">
        <v>26</v>
      </c>
      <c r="D4885" t="s">
        <v>35</v>
      </c>
      <c r="E4885" t="s">
        <v>409</v>
      </c>
      <c r="F4885" t="s">
        <v>14</v>
      </c>
      <c r="G4885" t="s">
        <v>15</v>
      </c>
      <c r="H4885" s="3">
        <v>1</v>
      </c>
      <c r="I4885" s="3">
        <v>60750.000000000007</v>
      </c>
      <c r="J4885" s="3">
        <v>60750.000000000007</v>
      </c>
      <c r="K4885" s="3">
        <v>45000</v>
      </c>
      <c r="L4885" s="3">
        <v>45000</v>
      </c>
      <c r="M4885" s="3">
        <v>15750.000000000007</v>
      </c>
      <c r="N4885" s="4">
        <v>0.25925925925925936</v>
      </c>
    </row>
    <row r="4886" spans="1:14" x14ac:dyDescent="0.3">
      <c r="A4886" s="6">
        <v>46007</v>
      </c>
      <c r="B4886" s="1" t="s">
        <v>5070</v>
      </c>
      <c r="C4886" s="1" t="s">
        <v>29</v>
      </c>
      <c r="D4886" t="s">
        <v>33</v>
      </c>
      <c r="E4886" t="s">
        <v>357</v>
      </c>
      <c r="F4886" t="s">
        <v>16</v>
      </c>
      <c r="G4886" t="s">
        <v>15</v>
      </c>
      <c r="H4886" s="3">
        <v>5</v>
      </c>
      <c r="I4886" s="3">
        <v>48260</v>
      </c>
      <c r="J4886" s="3">
        <v>241300</v>
      </c>
      <c r="K4886" s="3">
        <v>38000</v>
      </c>
      <c r="L4886" s="3">
        <v>190000</v>
      </c>
      <c r="M4886" s="3">
        <v>51300</v>
      </c>
      <c r="N4886" s="4">
        <v>0.2125984251968504</v>
      </c>
    </row>
    <row r="4887" spans="1:14" x14ac:dyDescent="0.3">
      <c r="A4887" s="6">
        <v>46007</v>
      </c>
      <c r="B4887" s="1" t="s">
        <v>5071</v>
      </c>
      <c r="C4887" s="1" t="s">
        <v>26</v>
      </c>
      <c r="D4887" t="s">
        <v>34</v>
      </c>
      <c r="E4887" t="s">
        <v>355</v>
      </c>
      <c r="F4887" t="s">
        <v>22</v>
      </c>
      <c r="G4887" t="s">
        <v>18</v>
      </c>
      <c r="H4887" s="3">
        <v>8</v>
      </c>
      <c r="I4887" s="3">
        <v>9100</v>
      </c>
      <c r="J4887" s="3">
        <v>72800</v>
      </c>
      <c r="K4887" s="3">
        <v>7000</v>
      </c>
      <c r="L4887" s="3">
        <v>56000</v>
      </c>
      <c r="M4887" s="3">
        <v>16800</v>
      </c>
      <c r="N4887" s="4">
        <v>0.23076923076923078</v>
      </c>
    </row>
    <row r="4888" spans="1:14" x14ac:dyDescent="0.3">
      <c r="A4888" s="6">
        <v>46007</v>
      </c>
      <c r="B4888" s="1" t="s">
        <v>5072</v>
      </c>
      <c r="C4888" s="1" t="s">
        <v>29</v>
      </c>
      <c r="D4888" t="s">
        <v>34</v>
      </c>
      <c r="E4888" t="s">
        <v>751</v>
      </c>
      <c r="F4888" t="s">
        <v>14</v>
      </c>
      <c r="G4888" t="s">
        <v>15</v>
      </c>
      <c r="H4888" s="3">
        <v>7</v>
      </c>
      <c r="I4888" s="3">
        <v>62999.999999999993</v>
      </c>
      <c r="J4888" s="3">
        <v>440999.99999999994</v>
      </c>
      <c r="K4888" s="3">
        <v>45000</v>
      </c>
      <c r="L4888" s="3">
        <v>315000</v>
      </c>
      <c r="M4888" s="3">
        <v>125999.99999999994</v>
      </c>
      <c r="N4888" s="4">
        <v>0.28571428571428564</v>
      </c>
    </row>
    <row r="4889" spans="1:14" x14ac:dyDescent="0.3">
      <c r="A4889" s="6">
        <v>46007</v>
      </c>
      <c r="B4889" s="1" t="s">
        <v>5073</v>
      </c>
      <c r="C4889" s="1" t="s">
        <v>27</v>
      </c>
      <c r="D4889" t="s">
        <v>32</v>
      </c>
      <c r="E4889" t="s">
        <v>85</v>
      </c>
      <c r="F4889" t="s">
        <v>16</v>
      </c>
      <c r="G4889" t="s">
        <v>15</v>
      </c>
      <c r="H4889" s="3">
        <v>10</v>
      </c>
      <c r="I4889" s="3">
        <v>49020</v>
      </c>
      <c r="J4889" s="3">
        <v>490200</v>
      </c>
      <c r="K4889" s="3">
        <v>38000</v>
      </c>
      <c r="L4889" s="3">
        <v>380000</v>
      </c>
      <c r="M4889" s="3">
        <v>110200</v>
      </c>
      <c r="N4889" s="4">
        <v>0.22480620155038761</v>
      </c>
    </row>
    <row r="4890" spans="1:14" x14ac:dyDescent="0.3">
      <c r="A4890" s="6">
        <v>46007</v>
      </c>
      <c r="B4890" s="1" t="s">
        <v>5074</v>
      </c>
      <c r="C4890" s="1" t="s">
        <v>26</v>
      </c>
      <c r="D4890" t="s">
        <v>35</v>
      </c>
      <c r="E4890" t="s">
        <v>329</v>
      </c>
      <c r="F4890" t="s">
        <v>16</v>
      </c>
      <c r="G4890" t="s">
        <v>15</v>
      </c>
      <c r="H4890" s="3">
        <v>1</v>
      </c>
      <c r="I4890" s="3">
        <v>50160</v>
      </c>
      <c r="J4890" s="3">
        <v>50160</v>
      </c>
      <c r="K4890" s="3">
        <v>38000</v>
      </c>
      <c r="L4890" s="3">
        <v>38000</v>
      </c>
      <c r="M4890" s="3">
        <v>12160</v>
      </c>
      <c r="N4890" s="4">
        <v>0.24242424242424243</v>
      </c>
    </row>
    <row r="4891" spans="1:14" x14ac:dyDescent="0.3">
      <c r="A4891" s="6">
        <v>46007</v>
      </c>
      <c r="B4891" s="1" t="s">
        <v>5075</v>
      </c>
      <c r="C4891" s="1" t="s">
        <v>26</v>
      </c>
      <c r="D4891" t="s">
        <v>31</v>
      </c>
      <c r="E4891" t="s">
        <v>45</v>
      </c>
      <c r="F4891" t="s">
        <v>16</v>
      </c>
      <c r="G4891" t="s">
        <v>15</v>
      </c>
      <c r="H4891" s="3">
        <v>10</v>
      </c>
      <c r="I4891" s="3">
        <v>49780</v>
      </c>
      <c r="J4891" s="3">
        <v>497800</v>
      </c>
      <c r="K4891" s="3">
        <v>38000</v>
      </c>
      <c r="L4891" s="3">
        <v>380000</v>
      </c>
      <c r="M4891" s="3">
        <v>117800</v>
      </c>
      <c r="N4891" s="4">
        <v>0.23664122137404581</v>
      </c>
    </row>
    <row r="4892" spans="1:14" x14ac:dyDescent="0.3">
      <c r="A4892" s="6">
        <v>46007</v>
      </c>
      <c r="B4892" s="1" t="s">
        <v>5076</v>
      </c>
      <c r="C4892" s="1" t="s">
        <v>27</v>
      </c>
      <c r="D4892" t="s">
        <v>34</v>
      </c>
      <c r="E4892" t="s">
        <v>582</v>
      </c>
      <c r="F4892" t="s">
        <v>21</v>
      </c>
      <c r="G4892" t="s">
        <v>20</v>
      </c>
      <c r="H4892" s="3">
        <v>4</v>
      </c>
      <c r="I4892" s="3">
        <v>810</v>
      </c>
      <c r="J4892" s="3">
        <v>3240</v>
      </c>
      <c r="K4892" s="3">
        <v>600</v>
      </c>
      <c r="L4892" s="3">
        <v>2400</v>
      </c>
      <c r="M4892" s="3">
        <v>840</v>
      </c>
      <c r="N4892" s="4">
        <v>0.25925925925925924</v>
      </c>
    </row>
    <row r="4893" spans="1:14" x14ac:dyDescent="0.3">
      <c r="A4893" s="6">
        <v>46007</v>
      </c>
      <c r="B4893" s="1" t="s">
        <v>5077</v>
      </c>
      <c r="C4893" s="1" t="s">
        <v>28</v>
      </c>
      <c r="D4893" t="s">
        <v>32</v>
      </c>
      <c r="E4893" t="s">
        <v>226</v>
      </c>
      <c r="F4893" t="s">
        <v>21</v>
      </c>
      <c r="G4893" t="s">
        <v>20</v>
      </c>
      <c r="H4893" s="3">
        <v>6</v>
      </c>
      <c r="I4893" s="3">
        <v>774</v>
      </c>
      <c r="J4893" s="3">
        <v>4644</v>
      </c>
      <c r="K4893" s="3">
        <v>600</v>
      </c>
      <c r="L4893" s="3">
        <v>3600</v>
      </c>
      <c r="M4893" s="3">
        <v>1044</v>
      </c>
      <c r="N4893" s="4">
        <v>0.22480620155038761</v>
      </c>
    </row>
    <row r="4894" spans="1:14" x14ac:dyDescent="0.3">
      <c r="A4894" s="6">
        <v>46007</v>
      </c>
      <c r="B4894" s="1" t="s">
        <v>5078</v>
      </c>
      <c r="C4894" s="1" t="s">
        <v>27</v>
      </c>
      <c r="D4894" t="s">
        <v>34</v>
      </c>
      <c r="E4894" t="s">
        <v>198</v>
      </c>
      <c r="F4894" t="s">
        <v>17</v>
      </c>
      <c r="G4894" t="s">
        <v>18</v>
      </c>
      <c r="H4894" s="3">
        <v>3</v>
      </c>
      <c r="I4894" s="3">
        <v>10710</v>
      </c>
      <c r="J4894" s="3">
        <v>32130</v>
      </c>
      <c r="K4894" s="3">
        <v>8500</v>
      </c>
      <c r="L4894" s="3">
        <v>25500</v>
      </c>
      <c r="M4894" s="3">
        <v>6630</v>
      </c>
      <c r="N4894" s="4">
        <v>0.20634920634920634</v>
      </c>
    </row>
    <row r="4895" spans="1:14" x14ac:dyDescent="0.3">
      <c r="A4895" s="6">
        <v>46007</v>
      </c>
      <c r="B4895" s="1" t="s">
        <v>5079</v>
      </c>
      <c r="C4895" s="1" t="s">
        <v>28</v>
      </c>
      <c r="D4895" t="s">
        <v>34</v>
      </c>
      <c r="E4895" t="s">
        <v>390</v>
      </c>
      <c r="F4895" t="s">
        <v>24</v>
      </c>
      <c r="G4895" t="s">
        <v>25</v>
      </c>
      <c r="H4895" s="3">
        <v>7</v>
      </c>
      <c r="I4895" s="3">
        <v>3425.0000000000005</v>
      </c>
      <c r="J4895" s="3">
        <v>23975.000000000004</v>
      </c>
      <c r="K4895" s="3">
        <v>2500</v>
      </c>
      <c r="L4895" s="3">
        <v>17500</v>
      </c>
      <c r="M4895" s="3">
        <v>6475.0000000000036</v>
      </c>
      <c r="N4895" s="4">
        <v>0.27007299270073004</v>
      </c>
    </row>
    <row r="4896" spans="1:14" x14ac:dyDescent="0.3">
      <c r="A4896" s="6">
        <v>46007</v>
      </c>
      <c r="B4896" s="1" t="s">
        <v>5080</v>
      </c>
      <c r="C4896" s="1" t="s">
        <v>28</v>
      </c>
      <c r="D4896" t="s">
        <v>34</v>
      </c>
      <c r="E4896" t="s">
        <v>159</v>
      </c>
      <c r="F4896" t="s">
        <v>22</v>
      </c>
      <c r="G4896" t="s">
        <v>18</v>
      </c>
      <c r="H4896" s="3">
        <v>1</v>
      </c>
      <c r="I4896" s="3">
        <v>9870</v>
      </c>
      <c r="J4896" s="3">
        <v>9870</v>
      </c>
      <c r="K4896" s="3">
        <v>7000</v>
      </c>
      <c r="L4896" s="3">
        <v>7000</v>
      </c>
      <c r="M4896" s="3">
        <v>2870</v>
      </c>
      <c r="N4896" s="4">
        <v>0.29078014184397161</v>
      </c>
    </row>
    <row r="4897" spans="1:14" x14ac:dyDescent="0.3">
      <c r="A4897" s="6">
        <v>46007</v>
      </c>
      <c r="B4897" s="1" t="s">
        <v>5081</v>
      </c>
      <c r="C4897" s="1" t="s">
        <v>27</v>
      </c>
      <c r="D4897" t="s">
        <v>31</v>
      </c>
      <c r="E4897" t="s">
        <v>198</v>
      </c>
      <c r="F4897" t="s">
        <v>23</v>
      </c>
      <c r="G4897" t="s">
        <v>25</v>
      </c>
      <c r="H4897" s="3">
        <v>9</v>
      </c>
      <c r="I4897" s="3">
        <v>4032</v>
      </c>
      <c r="J4897" s="3">
        <v>36288</v>
      </c>
      <c r="K4897" s="3">
        <v>3200</v>
      </c>
      <c r="L4897" s="3">
        <v>28800</v>
      </c>
      <c r="M4897" s="3">
        <v>7488</v>
      </c>
      <c r="N4897" s="4">
        <v>0.20634920634920634</v>
      </c>
    </row>
    <row r="4898" spans="1:14" x14ac:dyDescent="0.3">
      <c r="A4898" s="6">
        <v>46007</v>
      </c>
      <c r="B4898" s="1" t="s">
        <v>5082</v>
      </c>
      <c r="C4898" s="1" t="s">
        <v>26</v>
      </c>
      <c r="D4898" t="s">
        <v>31</v>
      </c>
      <c r="E4898" t="s">
        <v>222</v>
      </c>
      <c r="F4898" t="s">
        <v>17</v>
      </c>
      <c r="G4898" t="s">
        <v>18</v>
      </c>
      <c r="H4898" s="3">
        <v>3</v>
      </c>
      <c r="I4898" s="3">
        <v>10285</v>
      </c>
      <c r="J4898" s="3">
        <v>30855</v>
      </c>
      <c r="K4898" s="3">
        <v>8500</v>
      </c>
      <c r="L4898" s="3">
        <v>25500</v>
      </c>
      <c r="M4898" s="3">
        <v>5355</v>
      </c>
      <c r="N4898" s="4">
        <v>0.17355371900826447</v>
      </c>
    </row>
    <row r="4899" spans="1:14" x14ac:dyDescent="0.3">
      <c r="A4899" s="6">
        <v>46007</v>
      </c>
      <c r="B4899" s="1" t="s">
        <v>5083</v>
      </c>
      <c r="C4899" s="1" t="s">
        <v>28</v>
      </c>
      <c r="D4899" t="s">
        <v>31</v>
      </c>
      <c r="E4899" t="s">
        <v>94</v>
      </c>
      <c r="F4899" t="s">
        <v>19</v>
      </c>
      <c r="G4899" t="s">
        <v>20</v>
      </c>
      <c r="H4899" s="3">
        <v>2</v>
      </c>
      <c r="I4899" s="3">
        <v>1233</v>
      </c>
      <c r="J4899" s="3">
        <v>2466</v>
      </c>
      <c r="K4899" s="3">
        <v>900</v>
      </c>
      <c r="L4899" s="3">
        <v>1800</v>
      </c>
      <c r="M4899" s="3">
        <v>666</v>
      </c>
      <c r="N4899" s="4">
        <v>0.27007299270072993</v>
      </c>
    </row>
    <row r="4900" spans="1:14" x14ac:dyDescent="0.3">
      <c r="A4900" s="6">
        <v>46008</v>
      </c>
      <c r="B4900" s="1" t="s">
        <v>5084</v>
      </c>
      <c r="C4900" s="1" t="s">
        <v>28</v>
      </c>
      <c r="D4900" t="s">
        <v>30</v>
      </c>
      <c r="E4900" t="s">
        <v>110</v>
      </c>
      <c r="F4900" t="s">
        <v>19</v>
      </c>
      <c r="G4900" t="s">
        <v>20</v>
      </c>
      <c r="H4900" s="3">
        <v>9</v>
      </c>
      <c r="I4900" s="3">
        <v>1296</v>
      </c>
      <c r="J4900" s="3">
        <v>11664</v>
      </c>
      <c r="K4900" s="3">
        <v>900</v>
      </c>
      <c r="L4900" s="3">
        <v>8100</v>
      </c>
      <c r="M4900" s="3">
        <v>3564</v>
      </c>
      <c r="N4900" s="4">
        <v>0.30555555555555558</v>
      </c>
    </row>
    <row r="4901" spans="1:14" x14ac:dyDescent="0.3">
      <c r="A4901" s="6">
        <v>46008</v>
      </c>
      <c r="B4901" s="1" t="s">
        <v>5085</v>
      </c>
      <c r="C4901" s="1" t="s">
        <v>29</v>
      </c>
      <c r="D4901" t="s">
        <v>31</v>
      </c>
      <c r="E4901" t="s">
        <v>424</v>
      </c>
      <c r="F4901" t="s">
        <v>17</v>
      </c>
      <c r="G4901" t="s">
        <v>18</v>
      </c>
      <c r="H4901" s="3">
        <v>10</v>
      </c>
      <c r="I4901" s="3">
        <v>10370</v>
      </c>
      <c r="J4901" s="3">
        <v>103700</v>
      </c>
      <c r="K4901" s="3">
        <v>8500</v>
      </c>
      <c r="L4901" s="3">
        <v>85000</v>
      </c>
      <c r="M4901" s="3">
        <v>18700</v>
      </c>
      <c r="N4901" s="4">
        <v>0.18032786885245902</v>
      </c>
    </row>
    <row r="4902" spans="1:14" x14ac:dyDescent="0.3">
      <c r="A4902" s="6">
        <v>46008</v>
      </c>
      <c r="B4902" s="1" t="s">
        <v>5086</v>
      </c>
      <c r="C4902" s="1" t="s">
        <v>26</v>
      </c>
      <c r="D4902" t="s">
        <v>30</v>
      </c>
      <c r="E4902" t="s">
        <v>436</v>
      </c>
      <c r="F4902" t="s">
        <v>17</v>
      </c>
      <c r="G4902" t="s">
        <v>18</v>
      </c>
      <c r="H4902" s="3">
        <v>1</v>
      </c>
      <c r="I4902" s="3">
        <v>10965</v>
      </c>
      <c r="J4902" s="3">
        <v>10965</v>
      </c>
      <c r="K4902" s="3">
        <v>8500</v>
      </c>
      <c r="L4902" s="3">
        <v>8500</v>
      </c>
      <c r="M4902" s="3">
        <v>2465</v>
      </c>
      <c r="N4902" s="4">
        <v>0.22480620155038761</v>
      </c>
    </row>
    <row r="4903" spans="1:14" x14ac:dyDescent="0.3">
      <c r="A4903" s="6">
        <v>46008</v>
      </c>
      <c r="B4903" s="1" t="s">
        <v>5087</v>
      </c>
      <c r="C4903" s="1" t="s">
        <v>28</v>
      </c>
      <c r="D4903" t="s">
        <v>34</v>
      </c>
      <c r="E4903" t="s">
        <v>155</v>
      </c>
      <c r="F4903" t="s">
        <v>16</v>
      </c>
      <c r="G4903" t="s">
        <v>15</v>
      </c>
      <c r="H4903" s="3">
        <v>6</v>
      </c>
      <c r="I4903" s="3">
        <v>51679.999999999993</v>
      </c>
      <c r="J4903" s="3">
        <v>310079.99999999994</v>
      </c>
      <c r="K4903" s="3">
        <v>38000</v>
      </c>
      <c r="L4903" s="3">
        <v>228000</v>
      </c>
      <c r="M4903" s="3">
        <v>82079.999999999942</v>
      </c>
      <c r="N4903" s="4">
        <v>0.26470588235294101</v>
      </c>
    </row>
    <row r="4904" spans="1:14" x14ac:dyDescent="0.3">
      <c r="A4904" s="6">
        <v>46008</v>
      </c>
      <c r="B4904" s="1" t="s">
        <v>5088</v>
      </c>
      <c r="C4904" s="1" t="s">
        <v>28</v>
      </c>
      <c r="D4904" t="s">
        <v>32</v>
      </c>
      <c r="E4904" t="s">
        <v>159</v>
      </c>
      <c r="F4904" t="s">
        <v>21</v>
      </c>
      <c r="G4904" t="s">
        <v>20</v>
      </c>
      <c r="H4904" s="3">
        <v>9</v>
      </c>
      <c r="I4904" s="3">
        <v>815.99999999999989</v>
      </c>
      <c r="J4904" s="3">
        <v>7343.9999999999991</v>
      </c>
      <c r="K4904" s="3">
        <v>600</v>
      </c>
      <c r="L4904" s="3">
        <v>5400</v>
      </c>
      <c r="M4904" s="3">
        <v>1943.9999999999991</v>
      </c>
      <c r="N4904" s="4">
        <v>0.26470588235294107</v>
      </c>
    </row>
    <row r="4905" spans="1:14" x14ac:dyDescent="0.3">
      <c r="A4905" s="6">
        <v>46008</v>
      </c>
      <c r="B4905" s="1" t="s">
        <v>5089</v>
      </c>
      <c r="C4905" s="1" t="s">
        <v>26</v>
      </c>
      <c r="D4905" t="s">
        <v>32</v>
      </c>
      <c r="E4905" t="s">
        <v>96</v>
      </c>
      <c r="F4905" t="s">
        <v>24</v>
      </c>
      <c r="G4905" t="s">
        <v>25</v>
      </c>
      <c r="H4905" s="3">
        <v>5</v>
      </c>
      <c r="I4905" s="3">
        <v>3075</v>
      </c>
      <c r="J4905" s="3">
        <v>15375</v>
      </c>
      <c r="K4905" s="3">
        <v>2500</v>
      </c>
      <c r="L4905" s="3">
        <v>12500</v>
      </c>
      <c r="M4905" s="3">
        <v>2875</v>
      </c>
      <c r="N4905" s="4">
        <v>0.18699186991869918</v>
      </c>
    </row>
    <row r="4906" spans="1:14" x14ac:dyDescent="0.3">
      <c r="A4906" s="6">
        <v>46008</v>
      </c>
      <c r="B4906" s="1" t="s">
        <v>5090</v>
      </c>
      <c r="C4906" s="1" t="s">
        <v>26</v>
      </c>
      <c r="D4906" t="s">
        <v>33</v>
      </c>
      <c r="E4906" t="s">
        <v>110</v>
      </c>
      <c r="F4906" t="s">
        <v>21</v>
      </c>
      <c r="G4906" t="s">
        <v>20</v>
      </c>
      <c r="H4906" s="3">
        <v>8</v>
      </c>
      <c r="I4906" s="3">
        <v>786</v>
      </c>
      <c r="J4906" s="3">
        <v>6288</v>
      </c>
      <c r="K4906" s="3">
        <v>600</v>
      </c>
      <c r="L4906" s="3">
        <v>4800</v>
      </c>
      <c r="M4906" s="3">
        <v>1488</v>
      </c>
      <c r="N4906" s="4">
        <v>0.23664122137404581</v>
      </c>
    </row>
    <row r="4907" spans="1:14" x14ac:dyDescent="0.3">
      <c r="A4907" s="6">
        <v>46008</v>
      </c>
      <c r="B4907" s="1" t="s">
        <v>5091</v>
      </c>
      <c r="C4907" s="1" t="s">
        <v>27</v>
      </c>
      <c r="D4907" t="s">
        <v>31</v>
      </c>
      <c r="E4907" t="s">
        <v>55</v>
      </c>
      <c r="F4907" t="s">
        <v>23</v>
      </c>
      <c r="G4907" t="s">
        <v>25</v>
      </c>
      <c r="H4907" s="3">
        <v>8</v>
      </c>
      <c r="I4907" s="3">
        <v>3904</v>
      </c>
      <c r="J4907" s="3">
        <v>31232</v>
      </c>
      <c r="K4907" s="3">
        <v>3200</v>
      </c>
      <c r="L4907" s="3">
        <v>25600</v>
      </c>
      <c r="M4907" s="3">
        <v>5632</v>
      </c>
      <c r="N4907" s="4">
        <v>0.18032786885245902</v>
      </c>
    </row>
    <row r="4908" spans="1:14" x14ac:dyDescent="0.3">
      <c r="A4908" s="6">
        <v>46008</v>
      </c>
      <c r="B4908" s="1" t="s">
        <v>5092</v>
      </c>
      <c r="C4908" s="1" t="s">
        <v>28</v>
      </c>
      <c r="D4908" t="s">
        <v>32</v>
      </c>
      <c r="E4908" t="s">
        <v>76</v>
      </c>
      <c r="F4908" t="s">
        <v>19</v>
      </c>
      <c r="G4908" t="s">
        <v>20</v>
      </c>
      <c r="H4908" s="3">
        <v>4</v>
      </c>
      <c r="I4908" s="3">
        <v>1107</v>
      </c>
      <c r="J4908" s="3">
        <v>4428</v>
      </c>
      <c r="K4908" s="3">
        <v>900</v>
      </c>
      <c r="L4908" s="3">
        <v>3600</v>
      </c>
      <c r="M4908" s="3">
        <v>828</v>
      </c>
      <c r="N4908" s="4">
        <v>0.18699186991869918</v>
      </c>
    </row>
    <row r="4909" spans="1:14" x14ac:dyDescent="0.3">
      <c r="A4909" s="6">
        <v>46008</v>
      </c>
      <c r="B4909" s="1" t="s">
        <v>5093</v>
      </c>
      <c r="C4909" s="1" t="s">
        <v>26</v>
      </c>
      <c r="D4909" t="s">
        <v>31</v>
      </c>
      <c r="E4909" t="s">
        <v>349</v>
      </c>
      <c r="F4909" t="s">
        <v>21</v>
      </c>
      <c r="G4909" t="s">
        <v>20</v>
      </c>
      <c r="H4909" s="3">
        <v>6</v>
      </c>
      <c r="I4909" s="3">
        <v>798</v>
      </c>
      <c r="J4909" s="3">
        <v>4788</v>
      </c>
      <c r="K4909" s="3">
        <v>600</v>
      </c>
      <c r="L4909" s="3">
        <v>3600</v>
      </c>
      <c r="M4909" s="3">
        <v>1188</v>
      </c>
      <c r="N4909" s="4">
        <v>0.24812030075187969</v>
      </c>
    </row>
    <row r="4910" spans="1:14" x14ac:dyDescent="0.3">
      <c r="A4910" s="6">
        <v>46008</v>
      </c>
      <c r="B4910" s="1" t="s">
        <v>5094</v>
      </c>
      <c r="C4910" s="1" t="s">
        <v>27</v>
      </c>
      <c r="D4910" t="s">
        <v>31</v>
      </c>
      <c r="E4910" t="s">
        <v>280</v>
      </c>
      <c r="F4910" t="s">
        <v>23</v>
      </c>
      <c r="G4910" t="s">
        <v>25</v>
      </c>
      <c r="H4910" s="3">
        <v>5</v>
      </c>
      <c r="I4910" s="3">
        <v>4320</v>
      </c>
      <c r="J4910" s="3">
        <v>21600</v>
      </c>
      <c r="K4910" s="3">
        <v>3200</v>
      </c>
      <c r="L4910" s="3">
        <v>16000</v>
      </c>
      <c r="M4910" s="3">
        <v>5600</v>
      </c>
      <c r="N4910" s="4">
        <v>0.25925925925925924</v>
      </c>
    </row>
    <row r="4911" spans="1:14" x14ac:dyDescent="0.3">
      <c r="A4911" s="6">
        <v>46008</v>
      </c>
      <c r="B4911" s="1" t="s">
        <v>5095</v>
      </c>
      <c r="C4911" s="1" t="s">
        <v>28</v>
      </c>
      <c r="D4911" t="s">
        <v>34</v>
      </c>
      <c r="E4911" t="s">
        <v>65</v>
      </c>
      <c r="F4911" t="s">
        <v>23</v>
      </c>
      <c r="G4911" t="s">
        <v>25</v>
      </c>
      <c r="H4911" s="3">
        <v>5</v>
      </c>
      <c r="I4911" s="3">
        <v>4640</v>
      </c>
      <c r="J4911" s="3">
        <v>23200</v>
      </c>
      <c r="K4911" s="3">
        <v>3200</v>
      </c>
      <c r="L4911" s="3">
        <v>16000</v>
      </c>
      <c r="M4911" s="3">
        <v>7200</v>
      </c>
      <c r="N4911" s="4">
        <v>0.31034482758620691</v>
      </c>
    </row>
    <row r="4912" spans="1:14" x14ac:dyDescent="0.3">
      <c r="A4912" s="6">
        <v>46008</v>
      </c>
      <c r="B4912" s="1" t="s">
        <v>5096</v>
      </c>
      <c r="C4912" s="1" t="s">
        <v>27</v>
      </c>
      <c r="D4912" t="s">
        <v>35</v>
      </c>
      <c r="E4912" t="s">
        <v>151</v>
      </c>
      <c r="F4912" t="s">
        <v>16</v>
      </c>
      <c r="G4912" t="s">
        <v>15</v>
      </c>
      <c r="H4912" s="3">
        <v>3</v>
      </c>
      <c r="I4912" s="3">
        <v>47880</v>
      </c>
      <c r="J4912" s="3">
        <v>143640</v>
      </c>
      <c r="K4912" s="3">
        <v>38000</v>
      </c>
      <c r="L4912" s="3">
        <v>114000</v>
      </c>
      <c r="M4912" s="3">
        <v>29640</v>
      </c>
      <c r="N4912" s="4">
        <v>0.20634920634920634</v>
      </c>
    </row>
    <row r="4913" spans="1:14" x14ac:dyDescent="0.3">
      <c r="A4913" s="6">
        <v>46008</v>
      </c>
      <c r="B4913" s="1" t="s">
        <v>5097</v>
      </c>
      <c r="C4913" s="1" t="s">
        <v>26</v>
      </c>
      <c r="D4913" t="s">
        <v>30</v>
      </c>
      <c r="E4913" t="s">
        <v>155</v>
      </c>
      <c r="F4913" t="s">
        <v>24</v>
      </c>
      <c r="G4913" t="s">
        <v>25</v>
      </c>
      <c r="H4913" s="3">
        <v>6</v>
      </c>
      <c r="I4913" s="3">
        <v>3625</v>
      </c>
      <c r="J4913" s="3">
        <v>21750</v>
      </c>
      <c r="K4913" s="3">
        <v>2500</v>
      </c>
      <c r="L4913" s="3">
        <v>15000</v>
      </c>
      <c r="M4913" s="3">
        <v>6750</v>
      </c>
      <c r="N4913" s="4">
        <v>0.31034482758620691</v>
      </c>
    </row>
    <row r="4914" spans="1:14" x14ac:dyDescent="0.3">
      <c r="A4914" s="6">
        <v>46009</v>
      </c>
      <c r="B4914" s="1" t="s">
        <v>5098</v>
      </c>
      <c r="C4914" s="1" t="s">
        <v>27</v>
      </c>
      <c r="D4914" t="s">
        <v>30</v>
      </c>
      <c r="E4914" t="s">
        <v>131</v>
      </c>
      <c r="F4914" t="s">
        <v>24</v>
      </c>
      <c r="G4914" t="s">
        <v>25</v>
      </c>
      <c r="H4914" s="3">
        <v>3</v>
      </c>
      <c r="I4914" s="3">
        <v>3500</v>
      </c>
      <c r="J4914" s="3">
        <v>10500</v>
      </c>
      <c r="K4914" s="3">
        <v>2500</v>
      </c>
      <c r="L4914" s="3">
        <v>7500</v>
      </c>
      <c r="M4914" s="3">
        <v>3000</v>
      </c>
      <c r="N4914" s="4">
        <v>0.2857142857142857</v>
      </c>
    </row>
    <row r="4915" spans="1:14" x14ac:dyDescent="0.3">
      <c r="A4915" s="6">
        <v>46009</v>
      </c>
      <c r="B4915" s="1" t="s">
        <v>5099</v>
      </c>
      <c r="C4915" s="1" t="s">
        <v>27</v>
      </c>
      <c r="D4915" t="s">
        <v>35</v>
      </c>
      <c r="E4915" t="s">
        <v>582</v>
      </c>
      <c r="F4915" t="s">
        <v>24</v>
      </c>
      <c r="G4915" t="s">
        <v>25</v>
      </c>
      <c r="H4915" s="3">
        <v>10</v>
      </c>
      <c r="I4915" s="3">
        <v>3399.9999999999995</v>
      </c>
      <c r="J4915" s="3">
        <v>33999.999999999993</v>
      </c>
      <c r="K4915" s="3">
        <v>2500</v>
      </c>
      <c r="L4915" s="3">
        <v>25000</v>
      </c>
      <c r="M4915" s="3">
        <v>8999.9999999999927</v>
      </c>
      <c r="N4915" s="4">
        <v>0.26470588235294101</v>
      </c>
    </row>
    <row r="4916" spans="1:14" x14ac:dyDescent="0.3">
      <c r="A4916" s="6">
        <v>46009</v>
      </c>
      <c r="B4916" s="1" t="s">
        <v>5100</v>
      </c>
      <c r="C4916" s="1" t="s">
        <v>27</v>
      </c>
      <c r="D4916" t="s">
        <v>30</v>
      </c>
      <c r="E4916" t="s">
        <v>118</v>
      </c>
      <c r="F4916" t="s">
        <v>21</v>
      </c>
      <c r="G4916" t="s">
        <v>20</v>
      </c>
      <c r="H4916" s="3">
        <v>8</v>
      </c>
      <c r="I4916" s="3">
        <v>720</v>
      </c>
      <c r="J4916" s="3">
        <v>5760</v>
      </c>
      <c r="K4916" s="3">
        <v>600</v>
      </c>
      <c r="L4916" s="3">
        <v>4800</v>
      </c>
      <c r="M4916" s="3">
        <v>960</v>
      </c>
      <c r="N4916" s="4">
        <v>0.16666666666666666</v>
      </c>
    </row>
    <row r="4917" spans="1:14" x14ac:dyDescent="0.3">
      <c r="A4917" s="6">
        <v>46009</v>
      </c>
      <c r="B4917" s="1" t="s">
        <v>5101</v>
      </c>
      <c r="C4917" s="1" t="s">
        <v>29</v>
      </c>
      <c r="D4917" t="s">
        <v>34</v>
      </c>
      <c r="E4917" t="s">
        <v>120</v>
      </c>
      <c r="F4917" t="s">
        <v>16</v>
      </c>
      <c r="G4917" t="s">
        <v>15</v>
      </c>
      <c r="H4917" s="3">
        <v>7</v>
      </c>
      <c r="I4917" s="3">
        <v>49400</v>
      </c>
      <c r="J4917" s="3">
        <v>345800</v>
      </c>
      <c r="K4917" s="3">
        <v>38000</v>
      </c>
      <c r="L4917" s="3">
        <v>266000</v>
      </c>
      <c r="M4917" s="3">
        <v>79800</v>
      </c>
      <c r="N4917" s="4">
        <v>0.23076923076923078</v>
      </c>
    </row>
    <row r="4918" spans="1:14" x14ac:dyDescent="0.3">
      <c r="A4918" s="6">
        <v>46009</v>
      </c>
      <c r="B4918" s="1" t="s">
        <v>5102</v>
      </c>
      <c r="C4918" s="1" t="s">
        <v>27</v>
      </c>
      <c r="D4918" t="s">
        <v>32</v>
      </c>
      <c r="E4918" t="s">
        <v>222</v>
      </c>
      <c r="F4918" t="s">
        <v>23</v>
      </c>
      <c r="G4918" t="s">
        <v>25</v>
      </c>
      <c r="H4918" s="3">
        <v>2</v>
      </c>
      <c r="I4918" s="3">
        <v>4064</v>
      </c>
      <c r="J4918" s="3">
        <v>8128</v>
      </c>
      <c r="K4918" s="3">
        <v>3200</v>
      </c>
      <c r="L4918" s="3">
        <v>6400</v>
      </c>
      <c r="M4918" s="3">
        <v>1728</v>
      </c>
      <c r="N4918" s="4">
        <v>0.2125984251968504</v>
      </c>
    </row>
    <row r="4919" spans="1:14" x14ac:dyDescent="0.3">
      <c r="A4919" s="6">
        <v>46009</v>
      </c>
      <c r="B4919" s="1" t="s">
        <v>5103</v>
      </c>
      <c r="C4919" s="1" t="s">
        <v>29</v>
      </c>
      <c r="D4919" t="s">
        <v>35</v>
      </c>
      <c r="E4919" t="s">
        <v>424</v>
      </c>
      <c r="F4919" t="s">
        <v>21</v>
      </c>
      <c r="G4919" t="s">
        <v>20</v>
      </c>
      <c r="H4919" s="3">
        <v>3</v>
      </c>
      <c r="I4919" s="3">
        <v>786</v>
      </c>
      <c r="J4919" s="3">
        <v>2358</v>
      </c>
      <c r="K4919" s="3">
        <v>600</v>
      </c>
      <c r="L4919" s="3">
        <v>1800</v>
      </c>
      <c r="M4919" s="3">
        <v>558</v>
      </c>
      <c r="N4919" s="4">
        <v>0.23664122137404581</v>
      </c>
    </row>
    <row r="4920" spans="1:14" x14ac:dyDescent="0.3">
      <c r="A4920" s="6">
        <v>46009</v>
      </c>
      <c r="B4920" s="1" t="s">
        <v>5104</v>
      </c>
      <c r="C4920" s="1" t="s">
        <v>27</v>
      </c>
      <c r="D4920" t="s">
        <v>31</v>
      </c>
      <c r="E4920" t="s">
        <v>175</v>
      </c>
      <c r="F4920" t="s">
        <v>22</v>
      </c>
      <c r="G4920" t="s">
        <v>18</v>
      </c>
      <c r="H4920" s="3">
        <v>1</v>
      </c>
      <c r="I4920" s="3">
        <v>8960</v>
      </c>
      <c r="J4920" s="3">
        <v>8960</v>
      </c>
      <c r="K4920" s="3">
        <v>7000</v>
      </c>
      <c r="L4920" s="3">
        <v>7000</v>
      </c>
      <c r="M4920" s="3">
        <v>1960</v>
      </c>
      <c r="N4920" s="4">
        <v>0.21875</v>
      </c>
    </row>
    <row r="4921" spans="1:14" x14ac:dyDescent="0.3">
      <c r="A4921" s="6">
        <v>46009</v>
      </c>
      <c r="B4921" s="1" t="s">
        <v>5105</v>
      </c>
      <c r="C4921" s="1" t="s">
        <v>28</v>
      </c>
      <c r="D4921" t="s">
        <v>35</v>
      </c>
      <c r="E4921" t="s">
        <v>548</v>
      </c>
      <c r="F4921" t="s">
        <v>24</v>
      </c>
      <c r="G4921" t="s">
        <v>25</v>
      </c>
      <c r="H4921" s="3">
        <v>3</v>
      </c>
      <c r="I4921" s="3">
        <v>3250</v>
      </c>
      <c r="J4921" s="3">
        <v>9750</v>
      </c>
      <c r="K4921" s="3">
        <v>2500</v>
      </c>
      <c r="L4921" s="3">
        <v>7500</v>
      </c>
      <c r="M4921" s="3">
        <v>2250</v>
      </c>
      <c r="N4921" s="4">
        <v>0.23076923076923078</v>
      </c>
    </row>
    <row r="4922" spans="1:14" x14ac:dyDescent="0.3">
      <c r="A4922" s="6">
        <v>46009</v>
      </c>
      <c r="B4922" s="1" t="s">
        <v>5106</v>
      </c>
      <c r="C4922" s="1" t="s">
        <v>26</v>
      </c>
      <c r="D4922" t="s">
        <v>32</v>
      </c>
      <c r="E4922" t="s">
        <v>108</v>
      </c>
      <c r="F4922" t="s">
        <v>21</v>
      </c>
      <c r="G4922" t="s">
        <v>20</v>
      </c>
      <c r="H4922" s="3">
        <v>2</v>
      </c>
      <c r="I4922" s="3">
        <v>738</v>
      </c>
      <c r="J4922" s="3">
        <v>1476</v>
      </c>
      <c r="K4922" s="3">
        <v>600</v>
      </c>
      <c r="L4922" s="3">
        <v>1200</v>
      </c>
      <c r="M4922" s="3">
        <v>276</v>
      </c>
      <c r="N4922" s="4">
        <v>0.18699186991869918</v>
      </c>
    </row>
    <row r="4923" spans="1:14" x14ac:dyDescent="0.3">
      <c r="A4923" s="6">
        <v>46009</v>
      </c>
      <c r="B4923" s="1" t="s">
        <v>5107</v>
      </c>
      <c r="C4923" s="1" t="s">
        <v>27</v>
      </c>
      <c r="D4923" t="s">
        <v>34</v>
      </c>
      <c r="E4923" t="s">
        <v>116</v>
      </c>
      <c r="F4923" t="s">
        <v>17</v>
      </c>
      <c r="G4923" t="s">
        <v>18</v>
      </c>
      <c r="H4923" s="3">
        <v>4</v>
      </c>
      <c r="I4923" s="3">
        <v>12070</v>
      </c>
      <c r="J4923" s="3">
        <v>48280</v>
      </c>
      <c r="K4923" s="3">
        <v>8500</v>
      </c>
      <c r="L4923" s="3">
        <v>34000</v>
      </c>
      <c r="M4923" s="3">
        <v>14280</v>
      </c>
      <c r="N4923" s="4">
        <v>0.29577464788732394</v>
      </c>
    </row>
    <row r="4924" spans="1:14" x14ac:dyDescent="0.3">
      <c r="A4924" s="6">
        <v>46009</v>
      </c>
      <c r="B4924" s="1" t="s">
        <v>5108</v>
      </c>
      <c r="C4924" s="1" t="s">
        <v>27</v>
      </c>
      <c r="D4924" t="s">
        <v>31</v>
      </c>
      <c r="E4924" t="s">
        <v>431</v>
      </c>
      <c r="F4924" t="s">
        <v>23</v>
      </c>
      <c r="G4924" t="s">
        <v>25</v>
      </c>
      <c r="H4924" s="3">
        <v>4</v>
      </c>
      <c r="I4924" s="3">
        <v>4160</v>
      </c>
      <c r="J4924" s="3">
        <v>16640</v>
      </c>
      <c r="K4924" s="3">
        <v>3200</v>
      </c>
      <c r="L4924" s="3">
        <v>12800</v>
      </c>
      <c r="M4924" s="3">
        <v>3840</v>
      </c>
      <c r="N4924" s="4">
        <v>0.23076923076923078</v>
      </c>
    </row>
    <row r="4925" spans="1:14" x14ac:dyDescent="0.3">
      <c r="A4925" s="6">
        <v>46009</v>
      </c>
      <c r="B4925" s="1" t="s">
        <v>5109</v>
      </c>
      <c r="C4925" s="1" t="s">
        <v>28</v>
      </c>
      <c r="D4925" t="s">
        <v>34</v>
      </c>
      <c r="E4925" t="s">
        <v>39</v>
      </c>
      <c r="F4925" t="s">
        <v>21</v>
      </c>
      <c r="G4925" t="s">
        <v>20</v>
      </c>
      <c r="H4925" s="3">
        <v>1</v>
      </c>
      <c r="I4925" s="3">
        <v>774</v>
      </c>
      <c r="J4925" s="3">
        <v>774</v>
      </c>
      <c r="K4925" s="3">
        <v>600</v>
      </c>
      <c r="L4925" s="3">
        <v>600</v>
      </c>
      <c r="M4925" s="3">
        <v>174</v>
      </c>
      <c r="N4925" s="4">
        <v>0.22480620155038761</v>
      </c>
    </row>
    <row r="4926" spans="1:14" x14ac:dyDescent="0.3">
      <c r="A4926" s="6">
        <v>46009</v>
      </c>
      <c r="B4926" s="1" t="s">
        <v>5110</v>
      </c>
      <c r="C4926" s="1" t="s">
        <v>27</v>
      </c>
      <c r="D4926" t="s">
        <v>34</v>
      </c>
      <c r="E4926" t="s">
        <v>41</v>
      </c>
      <c r="F4926" t="s">
        <v>22</v>
      </c>
      <c r="G4926" t="s">
        <v>18</v>
      </c>
      <c r="H4926" s="3">
        <v>9</v>
      </c>
      <c r="I4926" s="3">
        <v>9100</v>
      </c>
      <c r="J4926" s="3">
        <v>81900</v>
      </c>
      <c r="K4926" s="3">
        <v>7000</v>
      </c>
      <c r="L4926" s="3">
        <v>63000</v>
      </c>
      <c r="M4926" s="3">
        <v>18900</v>
      </c>
      <c r="N4926" s="4">
        <v>0.23076923076923078</v>
      </c>
    </row>
    <row r="4927" spans="1:14" x14ac:dyDescent="0.3">
      <c r="A4927" s="6">
        <v>46009</v>
      </c>
      <c r="B4927" s="1" t="s">
        <v>5111</v>
      </c>
      <c r="C4927" s="1" t="s">
        <v>26</v>
      </c>
      <c r="D4927" t="s">
        <v>33</v>
      </c>
      <c r="E4927" t="s">
        <v>400</v>
      </c>
      <c r="F4927" t="s">
        <v>21</v>
      </c>
      <c r="G4927" t="s">
        <v>20</v>
      </c>
      <c r="H4927" s="3">
        <v>1</v>
      </c>
      <c r="I4927" s="3">
        <v>834.00000000000011</v>
      </c>
      <c r="J4927" s="3">
        <v>834.00000000000011</v>
      </c>
      <c r="K4927" s="3">
        <v>600</v>
      </c>
      <c r="L4927" s="3">
        <v>600</v>
      </c>
      <c r="M4927" s="3">
        <v>234.00000000000011</v>
      </c>
      <c r="N4927" s="4">
        <v>0.28057553956834541</v>
      </c>
    </row>
    <row r="4928" spans="1:14" x14ac:dyDescent="0.3">
      <c r="A4928" s="6">
        <v>46010</v>
      </c>
      <c r="B4928" s="1" t="s">
        <v>5112</v>
      </c>
      <c r="C4928" s="1" t="s">
        <v>27</v>
      </c>
      <c r="D4928" t="s">
        <v>30</v>
      </c>
      <c r="E4928" t="s">
        <v>106</v>
      </c>
      <c r="F4928" t="s">
        <v>22</v>
      </c>
      <c r="G4928" t="s">
        <v>18</v>
      </c>
      <c r="H4928" s="3">
        <v>10</v>
      </c>
      <c r="I4928" s="3">
        <v>9800</v>
      </c>
      <c r="J4928" s="3">
        <v>98000</v>
      </c>
      <c r="K4928" s="3">
        <v>7000</v>
      </c>
      <c r="L4928" s="3">
        <v>70000</v>
      </c>
      <c r="M4928" s="3">
        <v>28000</v>
      </c>
      <c r="N4928" s="4">
        <v>0.2857142857142857</v>
      </c>
    </row>
    <row r="4929" spans="1:14" x14ac:dyDescent="0.3">
      <c r="A4929" s="6">
        <v>46010</v>
      </c>
      <c r="B4929" s="1" t="s">
        <v>5113</v>
      </c>
      <c r="C4929" s="1" t="s">
        <v>27</v>
      </c>
      <c r="D4929" t="s">
        <v>30</v>
      </c>
      <c r="E4929" t="s">
        <v>427</v>
      </c>
      <c r="F4929" t="s">
        <v>23</v>
      </c>
      <c r="G4929" t="s">
        <v>25</v>
      </c>
      <c r="H4929" s="3">
        <v>10</v>
      </c>
      <c r="I4929" s="3">
        <v>4640</v>
      </c>
      <c r="J4929" s="3">
        <v>46400</v>
      </c>
      <c r="K4929" s="3">
        <v>3200</v>
      </c>
      <c r="L4929" s="3">
        <v>32000</v>
      </c>
      <c r="M4929" s="3">
        <v>14400</v>
      </c>
      <c r="N4929" s="4">
        <v>0.31034482758620691</v>
      </c>
    </row>
    <row r="4930" spans="1:14" x14ac:dyDescent="0.3">
      <c r="A4930" s="6">
        <v>46010</v>
      </c>
      <c r="B4930" s="1" t="s">
        <v>5114</v>
      </c>
      <c r="C4930" s="1" t="s">
        <v>27</v>
      </c>
      <c r="D4930" t="s">
        <v>34</v>
      </c>
      <c r="E4930" t="s">
        <v>53</v>
      </c>
      <c r="F4930" t="s">
        <v>24</v>
      </c>
      <c r="G4930" t="s">
        <v>25</v>
      </c>
      <c r="H4930" s="3">
        <v>10</v>
      </c>
      <c r="I4930" s="3">
        <v>3150</v>
      </c>
      <c r="J4930" s="3">
        <v>31500</v>
      </c>
      <c r="K4930" s="3">
        <v>2500</v>
      </c>
      <c r="L4930" s="3">
        <v>25000</v>
      </c>
      <c r="M4930" s="3">
        <v>6500</v>
      </c>
      <c r="N4930" s="4">
        <v>0.20634920634920634</v>
      </c>
    </row>
    <row r="4931" spans="1:14" x14ac:dyDescent="0.3">
      <c r="A4931" s="6">
        <v>46010</v>
      </c>
      <c r="B4931" s="1" t="s">
        <v>5115</v>
      </c>
      <c r="C4931" s="1" t="s">
        <v>27</v>
      </c>
      <c r="D4931" t="s">
        <v>31</v>
      </c>
      <c r="E4931" t="s">
        <v>447</v>
      </c>
      <c r="F4931" t="s">
        <v>24</v>
      </c>
      <c r="G4931" t="s">
        <v>25</v>
      </c>
      <c r="H4931" s="3">
        <v>9</v>
      </c>
      <c r="I4931" s="3">
        <v>3525</v>
      </c>
      <c r="J4931" s="3">
        <v>31725</v>
      </c>
      <c r="K4931" s="3">
        <v>2500</v>
      </c>
      <c r="L4931" s="3">
        <v>22500</v>
      </c>
      <c r="M4931" s="3">
        <v>9225</v>
      </c>
      <c r="N4931" s="4">
        <v>0.29078014184397161</v>
      </c>
    </row>
    <row r="4932" spans="1:14" x14ac:dyDescent="0.3">
      <c r="A4932" s="6">
        <v>46010</v>
      </c>
      <c r="B4932" s="1" t="s">
        <v>5116</v>
      </c>
      <c r="C4932" s="1" t="s">
        <v>26</v>
      </c>
      <c r="D4932" t="s">
        <v>31</v>
      </c>
      <c r="E4932" t="s">
        <v>53</v>
      </c>
      <c r="F4932" t="s">
        <v>21</v>
      </c>
      <c r="G4932" t="s">
        <v>20</v>
      </c>
      <c r="H4932" s="3">
        <v>7</v>
      </c>
      <c r="I4932" s="3">
        <v>756</v>
      </c>
      <c r="J4932" s="3">
        <v>5292</v>
      </c>
      <c r="K4932" s="3">
        <v>600</v>
      </c>
      <c r="L4932" s="3">
        <v>4200</v>
      </c>
      <c r="M4932" s="3">
        <v>1092</v>
      </c>
      <c r="N4932" s="4">
        <v>0.20634920634920634</v>
      </c>
    </row>
    <row r="4933" spans="1:14" x14ac:dyDescent="0.3">
      <c r="A4933" s="6">
        <v>46010</v>
      </c>
      <c r="B4933" s="1" t="s">
        <v>5117</v>
      </c>
      <c r="C4933" s="1" t="s">
        <v>29</v>
      </c>
      <c r="D4933" t="s">
        <v>34</v>
      </c>
      <c r="E4933" t="s">
        <v>574</v>
      </c>
      <c r="F4933" t="s">
        <v>19</v>
      </c>
      <c r="G4933" t="s">
        <v>20</v>
      </c>
      <c r="H4933" s="3">
        <v>3</v>
      </c>
      <c r="I4933" s="3">
        <v>1215</v>
      </c>
      <c r="J4933" s="3">
        <v>3645</v>
      </c>
      <c r="K4933" s="3">
        <v>900</v>
      </c>
      <c r="L4933" s="3">
        <v>2700</v>
      </c>
      <c r="M4933" s="3">
        <v>945</v>
      </c>
      <c r="N4933" s="4">
        <v>0.25925925925925924</v>
      </c>
    </row>
    <row r="4934" spans="1:14" x14ac:dyDescent="0.3">
      <c r="A4934" s="6">
        <v>46010</v>
      </c>
      <c r="B4934" s="1" t="s">
        <v>5118</v>
      </c>
      <c r="C4934" s="1" t="s">
        <v>26</v>
      </c>
      <c r="D4934" t="s">
        <v>35</v>
      </c>
      <c r="E4934" t="s">
        <v>43</v>
      </c>
      <c r="F4934" t="s">
        <v>21</v>
      </c>
      <c r="G4934" t="s">
        <v>20</v>
      </c>
      <c r="H4934" s="3">
        <v>4</v>
      </c>
      <c r="I4934" s="3">
        <v>768</v>
      </c>
      <c r="J4934" s="3">
        <v>3072</v>
      </c>
      <c r="K4934" s="3">
        <v>600</v>
      </c>
      <c r="L4934" s="3">
        <v>2400</v>
      </c>
      <c r="M4934" s="3">
        <v>672</v>
      </c>
      <c r="N4934" s="4">
        <v>0.21875</v>
      </c>
    </row>
    <row r="4935" spans="1:14" x14ac:dyDescent="0.3">
      <c r="A4935" s="6">
        <v>46010</v>
      </c>
      <c r="B4935" s="1" t="s">
        <v>5119</v>
      </c>
      <c r="C4935" s="1" t="s">
        <v>28</v>
      </c>
      <c r="D4935" t="s">
        <v>31</v>
      </c>
      <c r="E4935" t="s">
        <v>72</v>
      </c>
      <c r="F4935" t="s">
        <v>17</v>
      </c>
      <c r="G4935" t="s">
        <v>18</v>
      </c>
      <c r="H4935" s="3">
        <v>9</v>
      </c>
      <c r="I4935" s="3">
        <v>11475</v>
      </c>
      <c r="J4935" s="3">
        <v>103275</v>
      </c>
      <c r="K4935" s="3">
        <v>8500</v>
      </c>
      <c r="L4935" s="3">
        <v>76500</v>
      </c>
      <c r="M4935" s="3">
        <v>26775</v>
      </c>
      <c r="N4935" s="4">
        <v>0.25925925925925924</v>
      </c>
    </row>
    <row r="4936" spans="1:14" x14ac:dyDescent="0.3">
      <c r="A4936" s="6">
        <v>46010</v>
      </c>
      <c r="B4936" s="1" t="s">
        <v>5120</v>
      </c>
      <c r="C4936" s="1" t="s">
        <v>27</v>
      </c>
      <c r="D4936" t="s">
        <v>35</v>
      </c>
      <c r="E4936" t="s">
        <v>431</v>
      </c>
      <c r="F4936" t="s">
        <v>21</v>
      </c>
      <c r="G4936" t="s">
        <v>20</v>
      </c>
      <c r="H4936" s="3">
        <v>7</v>
      </c>
      <c r="I4936" s="3">
        <v>774</v>
      </c>
      <c r="J4936" s="3">
        <v>5418</v>
      </c>
      <c r="K4936" s="3">
        <v>600</v>
      </c>
      <c r="L4936" s="3">
        <v>4200</v>
      </c>
      <c r="M4936" s="3">
        <v>1218</v>
      </c>
      <c r="N4936" s="4">
        <v>0.22480620155038761</v>
      </c>
    </row>
    <row r="4937" spans="1:14" x14ac:dyDescent="0.3">
      <c r="A4937" s="6">
        <v>46010</v>
      </c>
      <c r="B4937" s="1" t="s">
        <v>5121</v>
      </c>
      <c r="C4937" s="1" t="s">
        <v>26</v>
      </c>
      <c r="D4937" t="s">
        <v>35</v>
      </c>
      <c r="E4937" t="s">
        <v>409</v>
      </c>
      <c r="F4937" t="s">
        <v>24</v>
      </c>
      <c r="G4937" t="s">
        <v>25</v>
      </c>
      <c r="H4937" s="3">
        <v>9</v>
      </c>
      <c r="I4937" s="3">
        <v>3525</v>
      </c>
      <c r="J4937" s="3">
        <v>31725</v>
      </c>
      <c r="K4937" s="3">
        <v>2500</v>
      </c>
      <c r="L4937" s="3">
        <v>22500</v>
      </c>
      <c r="M4937" s="3">
        <v>9225</v>
      </c>
      <c r="N4937" s="4">
        <v>0.29078014184397161</v>
      </c>
    </row>
    <row r="4938" spans="1:14" x14ac:dyDescent="0.3">
      <c r="A4938" s="6">
        <v>46010</v>
      </c>
      <c r="B4938" s="1" t="s">
        <v>5122</v>
      </c>
      <c r="C4938" s="1" t="s">
        <v>27</v>
      </c>
      <c r="D4938" t="s">
        <v>30</v>
      </c>
      <c r="E4938" t="s">
        <v>220</v>
      </c>
      <c r="F4938" t="s">
        <v>19</v>
      </c>
      <c r="G4938" t="s">
        <v>20</v>
      </c>
      <c r="H4938" s="3">
        <v>10</v>
      </c>
      <c r="I4938" s="3">
        <v>1089</v>
      </c>
      <c r="J4938" s="3">
        <v>10890</v>
      </c>
      <c r="K4938" s="3">
        <v>900</v>
      </c>
      <c r="L4938" s="3">
        <v>9000</v>
      </c>
      <c r="M4938" s="3">
        <v>1890</v>
      </c>
      <c r="N4938" s="4">
        <v>0.17355371900826447</v>
      </c>
    </row>
    <row r="4939" spans="1:14" x14ac:dyDescent="0.3">
      <c r="A4939" s="6">
        <v>46010</v>
      </c>
      <c r="B4939" s="1" t="s">
        <v>5123</v>
      </c>
      <c r="C4939" s="1" t="s">
        <v>27</v>
      </c>
      <c r="D4939" t="s">
        <v>30</v>
      </c>
      <c r="E4939" t="s">
        <v>116</v>
      </c>
      <c r="F4939" t="s">
        <v>19</v>
      </c>
      <c r="G4939" t="s">
        <v>20</v>
      </c>
      <c r="H4939" s="3">
        <v>3</v>
      </c>
      <c r="I4939" s="3">
        <v>1287</v>
      </c>
      <c r="J4939" s="3">
        <v>3861</v>
      </c>
      <c r="K4939" s="3">
        <v>900</v>
      </c>
      <c r="L4939" s="3">
        <v>2700</v>
      </c>
      <c r="M4939" s="3">
        <v>1161</v>
      </c>
      <c r="N4939" s="4">
        <v>0.30069930069930068</v>
      </c>
    </row>
    <row r="4940" spans="1:14" x14ac:dyDescent="0.3">
      <c r="A4940" s="6">
        <v>46010</v>
      </c>
      <c r="B4940" s="1" t="s">
        <v>5124</v>
      </c>
      <c r="C4940" s="1" t="s">
        <v>27</v>
      </c>
      <c r="D4940" t="s">
        <v>35</v>
      </c>
      <c r="E4940" t="s">
        <v>67</v>
      </c>
      <c r="F4940" t="s">
        <v>16</v>
      </c>
      <c r="G4940" t="s">
        <v>15</v>
      </c>
      <c r="H4940" s="3">
        <v>8</v>
      </c>
      <c r="I4940" s="3">
        <v>46740</v>
      </c>
      <c r="J4940" s="3">
        <v>373920</v>
      </c>
      <c r="K4940" s="3">
        <v>38000</v>
      </c>
      <c r="L4940" s="3">
        <v>304000</v>
      </c>
      <c r="M4940" s="3">
        <v>69920</v>
      </c>
      <c r="N4940" s="4">
        <v>0.18699186991869918</v>
      </c>
    </row>
    <row r="4941" spans="1:14" x14ac:dyDescent="0.3">
      <c r="A4941" s="6">
        <v>46010</v>
      </c>
      <c r="B4941" s="1" t="s">
        <v>5125</v>
      </c>
      <c r="C4941" s="1" t="s">
        <v>27</v>
      </c>
      <c r="D4941" t="s">
        <v>30</v>
      </c>
      <c r="E4941" t="s">
        <v>88</v>
      </c>
      <c r="F4941" t="s">
        <v>21</v>
      </c>
      <c r="G4941" t="s">
        <v>20</v>
      </c>
      <c r="H4941" s="3">
        <v>8</v>
      </c>
      <c r="I4941" s="3">
        <v>846</v>
      </c>
      <c r="J4941" s="3">
        <v>6768</v>
      </c>
      <c r="K4941" s="3">
        <v>600</v>
      </c>
      <c r="L4941" s="3">
        <v>4800</v>
      </c>
      <c r="M4941" s="3">
        <v>1968</v>
      </c>
      <c r="N4941" s="4">
        <v>0.29078014184397161</v>
      </c>
    </row>
    <row r="4942" spans="1:14" x14ac:dyDescent="0.3">
      <c r="A4942" s="6">
        <v>46011</v>
      </c>
      <c r="B4942" s="1" t="s">
        <v>5126</v>
      </c>
      <c r="C4942" s="1" t="s">
        <v>26</v>
      </c>
      <c r="D4942" t="s">
        <v>31</v>
      </c>
      <c r="E4942" t="s">
        <v>548</v>
      </c>
      <c r="F4942" t="s">
        <v>19</v>
      </c>
      <c r="G4942" t="s">
        <v>20</v>
      </c>
      <c r="H4942" s="3">
        <v>3</v>
      </c>
      <c r="I4942" s="3">
        <v>1188</v>
      </c>
      <c r="J4942" s="3">
        <v>3564</v>
      </c>
      <c r="K4942" s="3">
        <v>900</v>
      </c>
      <c r="L4942" s="3">
        <v>2700</v>
      </c>
      <c r="M4942" s="3">
        <v>864</v>
      </c>
      <c r="N4942" s="4">
        <v>0.24242424242424243</v>
      </c>
    </row>
    <row r="4943" spans="1:14" x14ac:dyDescent="0.3">
      <c r="A4943" s="6">
        <v>46011</v>
      </c>
      <c r="B4943" s="1" t="s">
        <v>5127</v>
      </c>
      <c r="C4943" s="1" t="s">
        <v>29</v>
      </c>
      <c r="D4943" t="s">
        <v>33</v>
      </c>
      <c r="E4943" t="s">
        <v>255</v>
      </c>
      <c r="F4943" t="s">
        <v>22</v>
      </c>
      <c r="G4943" t="s">
        <v>18</v>
      </c>
      <c r="H4943" s="3">
        <v>10</v>
      </c>
      <c r="I4943" s="3">
        <v>8750</v>
      </c>
      <c r="J4943" s="3">
        <v>87500</v>
      </c>
      <c r="K4943" s="3">
        <v>7000</v>
      </c>
      <c r="L4943" s="3">
        <v>70000</v>
      </c>
      <c r="M4943" s="3">
        <v>17500</v>
      </c>
      <c r="N4943" s="4">
        <v>0.2</v>
      </c>
    </row>
    <row r="4944" spans="1:14" x14ac:dyDescent="0.3">
      <c r="A4944" s="6">
        <v>46011</v>
      </c>
      <c r="B4944" s="1" t="s">
        <v>5128</v>
      </c>
      <c r="C4944" s="1" t="s">
        <v>27</v>
      </c>
      <c r="D4944" t="s">
        <v>32</v>
      </c>
      <c r="E4944" t="s">
        <v>807</v>
      </c>
      <c r="F4944" t="s">
        <v>23</v>
      </c>
      <c r="G4944" t="s">
        <v>25</v>
      </c>
      <c r="H4944" s="3">
        <v>9</v>
      </c>
      <c r="I4944" s="3">
        <v>4320</v>
      </c>
      <c r="J4944" s="3">
        <v>38880</v>
      </c>
      <c r="K4944" s="3">
        <v>3200</v>
      </c>
      <c r="L4944" s="3">
        <v>28800</v>
      </c>
      <c r="M4944" s="3">
        <v>10080</v>
      </c>
      <c r="N4944" s="4">
        <v>0.25925925925925924</v>
      </c>
    </row>
    <row r="4945" spans="1:14" x14ac:dyDescent="0.3">
      <c r="A4945" s="6">
        <v>46011</v>
      </c>
      <c r="B4945" s="1" t="s">
        <v>5129</v>
      </c>
      <c r="C4945" s="1" t="s">
        <v>26</v>
      </c>
      <c r="D4945" t="s">
        <v>34</v>
      </c>
      <c r="E4945" t="s">
        <v>163</v>
      </c>
      <c r="F4945" t="s">
        <v>17</v>
      </c>
      <c r="G4945" t="s">
        <v>18</v>
      </c>
      <c r="H4945" s="3">
        <v>9</v>
      </c>
      <c r="I4945" s="3">
        <v>10795</v>
      </c>
      <c r="J4945" s="3">
        <v>97155</v>
      </c>
      <c r="K4945" s="3">
        <v>8500</v>
      </c>
      <c r="L4945" s="3">
        <v>76500</v>
      </c>
      <c r="M4945" s="3">
        <v>20655</v>
      </c>
      <c r="N4945" s="4">
        <v>0.2125984251968504</v>
      </c>
    </row>
    <row r="4946" spans="1:14" x14ac:dyDescent="0.3">
      <c r="A4946" s="6">
        <v>46011</v>
      </c>
      <c r="B4946" s="1" t="s">
        <v>5130</v>
      </c>
      <c r="C4946" s="1" t="s">
        <v>28</v>
      </c>
      <c r="D4946" t="s">
        <v>32</v>
      </c>
      <c r="E4946" t="s">
        <v>43</v>
      </c>
      <c r="F4946" t="s">
        <v>19</v>
      </c>
      <c r="G4946" t="s">
        <v>20</v>
      </c>
      <c r="H4946" s="3">
        <v>5</v>
      </c>
      <c r="I4946" s="3">
        <v>1098</v>
      </c>
      <c r="J4946" s="3">
        <v>5490</v>
      </c>
      <c r="K4946" s="3">
        <v>900</v>
      </c>
      <c r="L4946" s="3">
        <v>4500</v>
      </c>
      <c r="M4946" s="3">
        <v>990</v>
      </c>
      <c r="N4946" s="4">
        <v>0.18032786885245902</v>
      </c>
    </row>
    <row r="4947" spans="1:14" x14ac:dyDescent="0.3">
      <c r="A4947" s="6">
        <v>46011</v>
      </c>
      <c r="B4947" s="1" t="s">
        <v>5131</v>
      </c>
      <c r="C4947" s="1" t="s">
        <v>27</v>
      </c>
      <c r="D4947" t="s">
        <v>34</v>
      </c>
      <c r="E4947" t="s">
        <v>90</v>
      </c>
      <c r="F4947" t="s">
        <v>24</v>
      </c>
      <c r="G4947" t="s">
        <v>25</v>
      </c>
      <c r="H4947" s="3">
        <v>7</v>
      </c>
      <c r="I4947" s="3">
        <v>3550</v>
      </c>
      <c r="J4947" s="3">
        <v>24850</v>
      </c>
      <c r="K4947" s="3">
        <v>2500</v>
      </c>
      <c r="L4947" s="3">
        <v>17500</v>
      </c>
      <c r="M4947" s="3">
        <v>7350</v>
      </c>
      <c r="N4947" s="4">
        <v>0.29577464788732394</v>
      </c>
    </row>
    <row r="4948" spans="1:14" x14ac:dyDescent="0.3">
      <c r="A4948" s="6">
        <v>46011</v>
      </c>
      <c r="B4948" s="1" t="s">
        <v>5132</v>
      </c>
      <c r="C4948" s="1" t="s">
        <v>28</v>
      </c>
      <c r="D4948" t="s">
        <v>35</v>
      </c>
      <c r="E4948" t="s">
        <v>149</v>
      </c>
      <c r="F4948" t="s">
        <v>14</v>
      </c>
      <c r="G4948" t="s">
        <v>15</v>
      </c>
      <c r="H4948" s="3">
        <v>4</v>
      </c>
      <c r="I4948" s="3">
        <v>55800</v>
      </c>
      <c r="J4948" s="3">
        <v>223200</v>
      </c>
      <c r="K4948" s="3">
        <v>45000</v>
      </c>
      <c r="L4948" s="3">
        <v>180000</v>
      </c>
      <c r="M4948" s="3">
        <v>43200</v>
      </c>
      <c r="N4948" s="4">
        <v>0.19354838709677419</v>
      </c>
    </row>
    <row r="4949" spans="1:14" x14ac:dyDescent="0.3">
      <c r="A4949" s="6">
        <v>46011</v>
      </c>
      <c r="B4949" s="1" t="s">
        <v>5133</v>
      </c>
      <c r="C4949" s="1" t="s">
        <v>27</v>
      </c>
      <c r="D4949" t="s">
        <v>34</v>
      </c>
      <c r="E4949" t="s">
        <v>292</v>
      </c>
      <c r="F4949" t="s">
        <v>14</v>
      </c>
      <c r="G4949" t="s">
        <v>15</v>
      </c>
      <c r="H4949" s="3">
        <v>1</v>
      </c>
      <c r="I4949" s="3">
        <v>58950</v>
      </c>
      <c r="J4949" s="3">
        <v>58950</v>
      </c>
      <c r="K4949" s="3">
        <v>45000</v>
      </c>
      <c r="L4949" s="3">
        <v>45000</v>
      </c>
      <c r="M4949" s="3">
        <v>13950</v>
      </c>
      <c r="N4949" s="4">
        <v>0.23664122137404581</v>
      </c>
    </row>
    <row r="4950" spans="1:14" x14ac:dyDescent="0.3">
      <c r="A4950" s="6">
        <v>46011</v>
      </c>
      <c r="B4950" s="1" t="s">
        <v>5134</v>
      </c>
      <c r="C4950" s="1" t="s">
        <v>26</v>
      </c>
      <c r="D4950" t="s">
        <v>33</v>
      </c>
      <c r="E4950" t="s">
        <v>175</v>
      </c>
      <c r="F4950" t="s">
        <v>21</v>
      </c>
      <c r="G4950" t="s">
        <v>20</v>
      </c>
      <c r="H4950" s="3">
        <v>6</v>
      </c>
      <c r="I4950" s="3">
        <v>798</v>
      </c>
      <c r="J4950" s="3">
        <v>4788</v>
      </c>
      <c r="K4950" s="3">
        <v>600</v>
      </c>
      <c r="L4950" s="3">
        <v>3600</v>
      </c>
      <c r="M4950" s="3">
        <v>1188</v>
      </c>
      <c r="N4950" s="4">
        <v>0.24812030075187969</v>
      </c>
    </row>
    <row r="4951" spans="1:14" x14ac:dyDescent="0.3">
      <c r="A4951" s="6">
        <v>46011</v>
      </c>
      <c r="B4951" s="1" t="s">
        <v>5135</v>
      </c>
      <c r="C4951" s="1" t="s">
        <v>27</v>
      </c>
      <c r="D4951" t="s">
        <v>34</v>
      </c>
      <c r="E4951" t="s">
        <v>228</v>
      </c>
      <c r="F4951" t="s">
        <v>24</v>
      </c>
      <c r="G4951" t="s">
        <v>25</v>
      </c>
      <c r="H4951" s="3">
        <v>5</v>
      </c>
      <c r="I4951" s="3">
        <v>3050</v>
      </c>
      <c r="J4951" s="3">
        <v>15250</v>
      </c>
      <c r="K4951" s="3">
        <v>2500</v>
      </c>
      <c r="L4951" s="3">
        <v>12500</v>
      </c>
      <c r="M4951" s="3">
        <v>2750</v>
      </c>
      <c r="N4951" s="4">
        <v>0.18032786885245902</v>
      </c>
    </row>
    <row r="4952" spans="1:14" x14ac:dyDescent="0.3">
      <c r="A4952" s="6">
        <v>46011</v>
      </c>
      <c r="B4952" s="1" t="s">
        <v>5136</v>
      </c>
      <c r="C4952" s="1" t="s">
        <v>29</v>
      </c>
      <c r="D4952" t="s">
        <v>30</v>
      </c>
      <c r="E4952" t="s">
        <v>83</v>
      </c>
      <c r="F4952" t="s">
        <v>21</v>
      </c>
      <c r="G4952" t="s">
        <v>20</v>
      </c>
      <c r="H4952" s="3">
        <v>5</v>
      </c>
      <c r="I4952" s="3">
        <v>780</v>
      </c>
      <c r="J4952" s="3">
        <v>3900</v>
      </c>
      <c r="K4952" s="3">
        <v>600</v>
      </c>
      <c r="L4952" s="3">
        <v>3000</v>
      </c>
      <c r="M4952" s="3">
        <v>900</v>
      </c>
      <c r="N4952" s="4">
        <v>0.23076923076923078</v>
      </c>
    </row>
    <row r="4953" spans="1:14" x14ac:dyDescent="0.3">
      <c r="A4953" s="6">
        <v>46011</v>
      </c>
      <c r="B4953" s="1" t="s">
        <v>5137</v>
      </c>
      <c r="C4953" s="1" t="s">
        <v>26</v>
      </c>
      <c r="D4953" t="s">
        <v>35</v>
      </c>
      <c r="E4953" t="s">
        <v>45</v>
      </c>
      <c r="F4953" t="s">
        <v>24</v>
      </c>
      <c r="G4953" t="s">
        <v>25</v>
      </c>
      <c r="H4953" s="3">
        <v>6</v>
      </c>
      <c r="I4953" s="3">
        <v>3025</v>
      </c>
      <c r="J4953" s="3">
        <v>18150</v>
      </c>
      <c r="K4953" s="3">
        <v>2500</v>
      </c>
      <c r="L4953" s="3">
        <v>15000</v>
      </c>
      <c r="M4953" s="3">
        <v>3150</v>
      </c>
      <c r="N4953" s="4">
        <v>0.17355371900826447</v>
      </c>
    </row>
    <row r="4954" spans="1:14" x14ac:dyDescent="0.3">
      <c r="A4954" s="6">
        <v>46011</v>
      </c>
      <c r="B4954" s="1" t="s">
        <v>5138</v>
      </c>
      <c r="C4954" s="1" t="s">
        <v>26</v>
      </c>
      <c r="D4954" t="s">
        <v>34</v>
      </c>
      <c r="E4954" t="s">
        <v>124</v>
      </c>
      <c r="F4954" t="s">
        <v>17</v>
      </c>
      <c r="G4954" t="s">
        <v>18</v>
      </c>
      <c r="H4954" s="3">
        <v>6</v>
      </c>
      <c r="I4954" s="3">
        <v>11645</v>
      </c>
      <c r="J4954" s="3">
        <v>69870</v>
      </c>
      <c r="K4954" s="3">
        <v>8500</v>
      </c>
      <c r="L4954" s="3">
        <v>51000</v>
      </c>
      <c r="M4954" s="3">
        <v>18870</v>
      </c>
      <c r="N4954" s="4">
        <v>0.27007299270072993</v>
      </c>
    </row>
    <row r="4955" spans="1:14" x14ac:dyDescent="0.3">
      <c r="A4955" s="6">
        <v>46011</v>
      </c>
      <c r="B4955" s="1" t="s">
        <v>5139</v>
      </c>
      <c r="C4955" s="1" t="s">
        <v>28</v>
      </c>
      <c r="D4955" t="s">
        <v>30</v>
      </c>
      <c r="E4955" t="s">
        <v>216</v>
      </c>
      <c r="F4955" t="s">
        <v>24</v>
      </c>
      <c r="G4955" t="s">
        <v>25</v>
      </c>
      <c r="H4955" s="3">
        <v>5</v>
      </c>
      <c r="I4955" s="3">
        <v>3425.0000000000005</v>
      </c>
      <c r="J4955" s="3">
        <v>17125.000000000004</v>
      </c>
      <c r="K4955" s="3">
        <v>2500</v>
      </c>
      <c r="L4955" s="3">
        <v>12500</v>
      </c>
      <c r="M4955" s="3">
        <v>4625.0000000000036</v>
      </c>
      <c r="N4955" s="4">
        <v>0.2700729927007301</v>
      </c>
    </row>
    <row r="4956" spans="1:14" x14ac:dyDescent="0.3">
      <c r="A4956" s="6">
        <v>46012</v>
      </c>
      <c r="B4956" s="1" t="s">
        <v>5140</v>
      </c>
      <c r="C4956" s="1" t="s">
        <v>29</v>
      </c>
      <c r="D4956" t="s">
        <v>30</v>
      </c>
      <c r="E4956" t="s">
        <v>100</v>
      </c>
      <c r="F4956" t="s">
        <v>22</v>
      </c>
      <c r="G4956" t="s">
        <v>18</v>
      </c>
      <c r="H4956" s="3">
        <v>1</v>
      </c>
      <c r="I4956" s="3">
        <v>10010</v>
      </c>
      <c r="J4956" s="3">
        <v>10010</v>
      </c>
      <c r="K4956" s="3">
        <v>7000</v>
      </c>
      <c r="L4956" s="3">
        <v>7000</v>
      </c>
      <c r="M4956" s="3">
        <v>3010</v>
      </c>
      <c r="N4956" s="4">
        <v>0.30069930069930068</v>
      </c>
    </row>
    <row r="4957" spans="1:14" x14ac:dyDescent="0.3">
      <c r="A4957" s="6">
        <v>46012</v>
      </c>
      <c r="B4957" s="1" t="s">
        <v>5141</v>
      </c>
      <c r="C4957" s="1" t="s">
        <v>29</v>
      </c>
      <c r="D4957" t="s">
        <v>35</v>
      </c>
      <c r="E4957" t="s">
        <v>114</v>
      </c>
      <c r="F4957" t="s">
        <v>24</v>
      </c>
      <c r="G4957" t="s">
        <v>25</v>
      </c>
      <c r="H4957" s="3">
        <v>3</v>
      </c>
      <c r="I4957" s="3">
        <v>3350</v>
      </c>
      <c r="J4957" s="3">
        <v>10050</v>
      </c>
      <c r="K4957" s="3">
        <v>2500</v>
      </c>
      <c r="L4957" s="3">
        <v>7500</v>
      </c>
      <c r="M4957" s="3">
        <v>2550</v>
      </c>
      <c r="N4957" s="4">
        <v>0.2537313432835821</v>
      </c>
    </row>
    <row r="4958" spans="1:14" x14ac:dyDescent="0.3">
      <c r="A4958" s="6">
        <v>46012</v>
      </c>
      <c r="B4958" s="1" t="s">
        <v>5142</v>
      </c>
      <c r="C4958" s="1" t="s">
        <v>28</v>
      </c>
      <c r="D4958" t="s">
        <v>33</v>
      </c>
      <c r="E4958" t="s">
        <v>228</v>
      </c>
      <c r="F4958" t="s">
        <v>23</v>
      </c>
      <c r="G4958" t="s">
        <v>25</v>
      </c>
      <c r="H4958" s="3">
        <v>8</v>
      </c>
      <c r="I4958" s="3">
        <v>4416</v>
      </c>
      <c r="J4958" s="3">
        <v>35328</v>
      </c>
      <c r="K4958" s="3">
        <v>3200</v>
      </c>
      <c r="L4958" s="3">
        <v>25600</v>
      </c>
      <c r="M4958" s="3">
        <v>9728</v>
      </c>
      <c r="N4958" s="4">
        <v>0.27536231884057971</v>
      </c>
    </row>
    <row r="4959" spans="1:14" x14ac:dyDescent="0.3">
      <c r="A4959" s="6">
        <v>46012</v>
      </c>
      <c r="B4959" s="1" t="s">
        <v>5143</v>
      </c>
      <c r="C4959" s="1" t="s">
        <v>29</v>
      </c>
      <c r="D4959" t="s">
        <v>31</v>
      </c>
      <c r="E4959" t="s">
        <v>145</v>
      </c>
      <c r="F4959" t="s">
        <v>21</v>
      </c>
      <c r="G4959" t="s">
        <v>20</v>
      </c>
      <c r="H4959" s="3">
        <v>3</v>
      </c>
      <c r="I4959" s="3">
        <v>744</v>
      </c>
      <c r="J4959" s="3">
        <v>2232</v>
      </c>
      <c r="K4959" s="3">
        <v>600</v>
      </c>
      <c r="L4959" s="3">
        <v>1800</v>
      </c>
      <c r="M4959" s="3">
        <v>432</v>
      </c>
      <c r="N4959" s="4">
        <v>0.19354838709677419</v>
      </c>
    </row>
    <row r="4960" spans="1:14" x14ac:dyDescent="0.3">
      <c r="A4960" s="6">
        <v>46012</v>
      </c>
      <c r="B4960" s="1" t="s">
        <v>5144</v>
      </c>
      <c r="C4960" s="1" t="s">
        <v>29</v>
      </c>
      <c r="D4960" t="s">
        <v>34</v>
      </c>
      <c r="E4960" t="s">
        <v>321</v>
      </c>
      <c r="F4960" t="s">
        <v>22</v>
      </c>
      <c r="G4960" t="s">
        <v>18</v>
      </c>
      <c r="H4960" s="3">
        <v>6</v>
      </c>
      <c r="I4960" s="3">
        <v>8680</v>
      </c>
      <c r="J4960" s="3">
        <v>52080</v>
      </c>
      <c r="K4960" s="3">
        <v>7000</v>
      </c>
      <c r="L4960" s="3">
        <v>42000</v>
      </c>
      <c r="M4960" s="3">
        <v>10080</v>
      </c>
      <c r="N4960" s="4">
        <v>0.19354838709677419</v>
      </c>
    </row>
    <row r="4961" spans="1:14" x14ac:dyDescent="0.3">
      <c r="A4961" s="6">
        <v>46012</v>
      </c>
      <c r="B4961" s="1" t="s">
        <v>5145</v>
      </c>
      <c r="C4961" s="1" t="s">
        <v>28</v>
      </c>
      <c r="D4961" t="s">
        <v>31</v>
      </c>
      <c r="E4961" t="s">
        <v>427</v>
      </c>
      <c r="F4961" t="s">
        <v>19</v>
      </c>
      <c r="G4961" t="s">
        <v>20</v>
      </c>
      <c r="H4961" s="3">
        <v>1</v>
      </c>
      <c r="I4961" s="3">
        <v>1134</v>
      </c>
      <c r="J4961" s="3">
        <v>1134</v>
      </c>
      <c r="K4961" s="3">
        <v>900</v>
      </c>
      <c r="L4961" s="3">
        <v>900</v>
      </c>
      <c r="M4961" s="3">
        <v>234</v>
      </c>
      <c r="N4961" s="4">
        <v>0.20634920634920634</v>
      </c>
    </row>
    <row r="4962" spans="1:14" x14ac:dyDescent="0.3">
      <c r="A4962" s="6">
        <v>46012</v>
      </c>
      <c r="B4962" s="1" t="s">
        <v>5146</v>
      </c>
      <c r="C4962" s="1" t="s">
        <v>29</v>
      </c>
      <c r="D4962" t="s">
        <v>32</v>
      </c>
      <c r="E4962" t="s">
        <v>124</v>
      </c>
      <c r="F4962" t="s">
        <v>16</v>
      </c>
      <c r="G4962" t="s">
        <v>15</v>
      </c>
      <c r="H4962" s="3">
        <v>9</v>
      </c>
      <c r="I4962" s="3">
        <v>47120</v>
      </c>
      <c r="J4962" s="3">
        <v>424080</v>
      </c>
      <c r="K4962" s="3">
        <v>38000</v>
      </c>
      <c r="L4962" s="3">
        <v>342000</v>
      </c>
      <c r="M4962" s="3">
        <v>82080</v>
      </c>
      <c r="N4962" s="4">
        <v>0.19354838709677419</v>
      </c>
    </row>
    <row r="4963" spans="1:14" x14ac:dyDescent="0.3">
      <c r="A4963" s="6">
        <v>46012</v>
      </c>
      <c r="B4963" s="1" t="s">
        <v>5147</v>
      </c>
      <c r="C4963" s="1" t="s">
        <v>27</v>
      </c>
      <c r="D4963" t="s">
        <v>31</v>
      </c>
      <c r="E4963" t="s">
        <v>151</v>
      </c>
      <c r="F4963" t="s">
        <v>21</v>
      </c>
      <c r="G4963" t="s">
        <v>20</v>
      </c>
      <c r="H4963" s="3">
        <v>5</v>
      </c>
      <c r="I4963" s="3">
        <v>798</v>
      </c>
      <c r="J4963" s="3">
        <v>3990</v>
      </c>
      <c r="K4963" s="3">
        <v>600</v>
      </c>
      <c r="L4963" s="3">
        <v>3000</v>
      </c>
      <c r="M4963" s="3">
        <v>990</v>
      </c>
      <c r="N4963" s="4">
        <v>0.24812030075187969</v>
      </c>
    </row>
    <row r="4964" spans="1:14" x14ac:dyDescent="0.3">
      <c r="A4964" s="6">
        <v>46012</v>
      </c>
      <c r="B4964" s="1" t="s">
        <v>5148</v>
      </c>
      <c r="C4964" s="1" t="s">
        <v>27</v>
      </c>
      <c r="D4964" t="s">
        <v>32</v>
      </c>
      <c r="E4964" t="s">
        <v>122</v>
      </c>
      <c r="F4964" t="s">
        <v>14</v>
      </c>
      <c r="G4964" t="s">
        <v>15</v>
      </c>
      <c r="H4964" s="3">
        <v>6</v>
      </c>
      <c r="I4964" s="3">
        <v>58500</v>
      </c>
      <c r="J4964" s="3">
        <v>351000</v>
      </c>
      <c r="K4964" s="3">
        <v>45000</v>
      </c>
      <c r="L4964" s="3">
        <v>270000</v>
      </c>
      <c r="M4964" s="3">
        <v>81000</v>
      </c>
      <c r="N4964" s="4">
        <v>0.23076923076923078</v>
      </c>
    </row>
    <row r="4965" spans="1:14" x14ac:dyDescent="0.3">
      <c r="A4965" s="6">
        <v>46012</v>
      </c>
      <c r="B4965" s="1" t="s">
        <v>5149</v>
      </c>
      <c r="C4965" s="1" t="s">
        <v>26</v>
      </c>
      <c r="D4965" t="s">
        <v>33</v>
      </c>
      <c r="E4965" t="s">
        <v>369</v>
      </c>
      <c r="F4965" t="s">
        <v>16</v>
      </c>
      <c r="G4965" t="s">
        <v>15</v>
      </c>
      <c r="H4965" s="3">
        <v>2</v>
      </c>
      <c r="I4965" s="3">
        <v>46740</v>
      </c>
      <c r="J4965" s="3">
        <v>93480</v>
      </c>
      <c r="K4965" s="3">
        <v>38000</v>
      </c>
      <c r="L4965" s="3">
        <v>76000</v>
      </c>
      <c r="M4965" s="3">
        <v>17480</v>
      </c>
      <c r="N4965" s="4">
        <v>0.18699186991869918</v>
      </c>
    </row>
    <row r="4966" spans="1:14" x14ac:dyDescent="0.3">
      <c r="A4966" s="6">
        <v>46012</v>
      </c>
      <c r="B4966" s="1" t="s">
        <v>5150</v>
      </c>
      <c r="C4966" s="1" t="s">
        <v>27</v>
      </c>
      <c r="D4966" t="s">
        <v>30</v>
      </c>
      <c r="E4966" t="s">
        <v>65</v>
      </c>
      <c r="F4966" t="s">
        <v>24</v>
      </c>
      <c r="G4966" t="s">
        <v>25</v>
      </c>
      <c r="H4966" s="3">
        <v>3</v>
      </c>
      <c r="I4966" s="3">
        <v>3075</v>
      </c>
      <c r="J4966" s="3">
        <v>9225</v>
      </c>
      <c r="K4966" s="3">
        <v>2500</v>
      </c>
      <c r="L4966" s="3">
        <v>7500</v>
      </c>
      <c r="M4966" s="3">
        <v>1725</v>
      </c>
      <c r="N4966" s="4">
        <v>0.18699186991869918</v>
      </c>
    </row>
    <row r="4967" spans="1:14" x14ac:dyDescent="0.3">
      <c r="A4967" s="6">
        <v>46012</v>
      </c>
      <c r="B4967" s="1" t="s">
        <v>5151</v>
      </c>
      <c r="C4967" s="1" t="s">
        <v>26</v>
      </c>
      <c r="D4967" t="s">
        <v>30</v>
      </c>
      <c r="E4967" t="s">
        <v>72</v>
      </c>
      <c r="F4967" t="s">
        <v>21</v>
      </c>
      <c r="G4967" t="s">
        <v>20</v>
      </c>
      <c r="H4967" s="3">
        <v>4</v>
      </c>
      <c r="I4967" s="3">
        <v>846</v>
      </c>
      <c r="J4967" s="3">
        <v>3384</v>
      </c>
      <c r="K4967" s="3">
        <v>600</v>
      </c>
      <c r="L4967" s="3">
        <v>2400</v>
      </c>
      <c r="M4967" s="3">
        <v>984</v>
      </c>
      <c r="N4967" s="4">
        <v>0.29078014184397161</v>
      </c>
    </row>
    <row r="4968" spans="1:14" x14ac:dyDescent="0.3">
      <c r="A4968" s="6">
        <v>46012</v>
      </c>
      <c r="B4968" s="1" t="s">
        <v>5152</v>
      </c>
      <c r="C4968" s="1" t="s">
        <v>29</v>
      </c>
      <c r="D4968" t="s">
        <v>30</v>
      </c>
      <c r="E4968" t="s">
        <v>214</v>
      </c>
      <c r="F4968" t="s">
        <v>17</v>
      </c>
      <c r="G4968" t="s">
        <v>18</v>
      </c>
      <c r="H4968" s="3">
        <v>7</v>
      </c>
      <c r="I4968" s="3">
        <v>12155</v>
      </c>
      <c r="J4968" s="3">
        <v>85085</v>
      </c>
      <c r="K4968" s="3">
        <v>8500</v>
      </c>
      <c r="L4968" s="3">
        <v>59500</v>
      </c>
      <c r="M4968" s="3">
        <v>25585</v>
      </c>
      <c r="N4968" s="4">
        <v>0.30069930069930068</v>
      </c>
    </row>
    <row r="4969" spans="1:14" x14ac:dyDescent="0.3">
      <c r="A4969" s="6">
        <v>46012</v>
      </c>
      <c r="B4969" s="1" t="s">
        <v>5153</v>
      </c>
      <c r="C4969" s="1" t="s">
        <v>26</v>
      </c>
      <c r="D4969" t="s">
        <v>35</v>
      </c>
      <c r="E4969" t="s">
        <v>359</v>
      </c>
      <c r="F4969" t="s">
        <v>21</v>
      </c>
      <c r="G4969" t="s">
        <v>20</v>
      </c>
      <c r="H4969" s="3">
        <v>1</v>
      </c>
      <c r="I4969" s="3">
        <v>768</v>
      </c>
      <c r="J4969" s="3">
        <v>768</v>
      </c>
      <c r="K4969" s="3">
        <v>600</v>
      </c>
      <c r="L4969" s="3">
        <v>600</v>
      </c>
      <c r="M4969" s="3">
        <v>168</v>
      </c>
      <c r="N4969" s="4">
        <v>0.21875</v>
      </c>
    </row>
    <row r="4970" spans="1:14" x14ac:dyDescent="0.3">
      <c r="A4970" s="6">
        <v>46013</v>
      </c>
      <c r="B4970" s="1" t="s">
        <v>5154</v>
      </c>
      <c r="C4970" s="1" t="s">
        <v>29</v>
      </c>
      <c r="D4970" t="s">
        <v>30</v>
      </c>
      <c r="E4970" t="s">
        <v>935</v>
      </c>
      <c r="F4970" t="s">
        <v>14</v>
      </c>
      <c r="G4970" t="s">
        <v>15</v>
      </c>
      <c r="H4970" s="3">
        <v>10</v>
      </c>
      <c r="I4970" s="3">
        <v>56250</v>
      </c>
      <c r="J4970" s="3">
        <v>562500</v>
      </c>
      <c r="K4970" s="3">
        <v>45000</v>
      </c>
      <c r="L4970" s="3">
        <v>450000</v>
      </c>
      <c r="M4970" s="3">
        <v>112500</v>
      </c>
      <c r="N4970" s="4">
        <v>0.2</v>
      </c>
    </row>
    <row r="4971" spans="1:14" x14ac:dyDescent="0.3">
      <c r="A4971" s="6">
        <v>46013</v>
      </c>
      <c r="B4971" s="1" t="s">
        <v>5155</v>
      </c>
      <c r="C4971" s="1" t="s">
        <v>27</v>
      </c>
      <c r="D4971" t="s">
        <v>31</v>
      </c>
      <c r="E4971" t="s">
        <v>292</v>
      </c>
      <c r="F4971" t="s">
        <v>23</v>
      </c>
      <c r="G4971" t="s">
        <v>25</v>
      </c>
      <c r="H4971" s="3">
        <v>6</v>
      </c>
      <c r="I4971" s="3">
        <v>4096</v>
      </c>
      <c r="J4971" s="3">
        <v>24576</v>
      </c>
      <c r="K4971" s="3">
        <v>3200</v>
      </c>
      <c r="L4971" s="3">
        <v>19200</v>
      </c>
      <c r="M4971" s="3">
        <v>5376</v>
      </c>
      <c r="N4971" s="4">
        <v>0.21875</v>
      </c>
    </row>
    <row r="4972" spans="1:14" x14ac:dyDescent="0.3">
      <c r="A4972" s="6">
        <v>46013</v>
      </c>
      <c r="B4972" s="1" t="s">
        <v>5156</v>
      </c>
      <c r="C4972" s="1" t="s">
        <v>28</v>
      </c>
      <c r="D4972" t="s">
        <v>33</v>
      </c>
      <c r="E4972" t="s">
        <v>283</v>
      </c>
      <c r="F4972" t="s">
        <v>21</v>
      </c>
      <c r="G4972" t="s">
        <v>20</v>
      </c>
      <c r="H4972" s="3">
        <v>5</v>
      </c>
      <c r="I4972" s="3">
        <v>738</v>
      </c>
      <c r="J4972" s="3">
        <v>3690</v>
      </c>
      <c r="K4972" s="3">
        <v>600</v>
      </c>
      <c r="L4972" s="3">
        <v>3000</v>
      </c>
      <c r="M4972" s="3">
        <v>690</v>
      </c>
      <c r="N4972" s="4">
        <v>0.18699186991869918</v>
      </c>
    </row>
    <row r="4973" spans="1:14" x14ac:dyDescent="0.3">
      <c r="A4973" s="6">
        <v>46013</v>
      </c>
      <c r="B4973" s="1" t="s">
        <v>5157</v>
      </c>
      <c r="C4973" s="1" t="s">
        <v>27</v>
      </c>
      <c r="D4973" t="s">
        <v>34</v>
      </c>
      <c r="E4973" t="s">
        <v>226</v>
      </c>
      <c r="F4973" t="s">
        <v>16</v>
      </c>
      <c r="G4973" t="s">
        <v>15</v>
      </c>
      <c r="H4973" s="3">
        <v>1</v>
      </c>
      <c r="I4973" s="3">
        <v>51300</v>
      </c>
      <c r="J4973" s="3">
        <v>51300</v>
      </c>
      <c r="K4973" s="3">
        <v>38000</v>
      </c>
      <c r="L4973" s="3">
        <v>38000</v>
      </c>
      <c r="M4973" s="3">
        <v>13300</v>
      </c>
      <c r="N4973" s="4">
        <v>0.25925925925925924</v>
      </c>
    </row>
    <row r="4974" spans="1:14" x14ac:dyDescent="0.3">
      <c r="A4974" s="6">
        <v>46013</v>
      </c>
      <c r="B4974" s="1" t="s">
        <v>5158</v>
      </c>
      <c r="C4974" s="1" t="s">
        <v>27</v>
      </c>
      <c r="D4974" t="s">
        <v>30</v>
      </c>
      <c r="E4974" t="s">
        <v>67</v>
      </c>
      <c r="F4974" t="s">
        <v>17</v>
      </c>
      <c r="G4974" t="s">
        <v>18</v>
      </c>
      <c r="H4974" s="3">
        <v>4</v>
      </c>
      <c r="I4974" s="3">
        <v>11900</v>
      </c>
      <c r="J4974" s="3">
        <v>47600</v>
      </c>
      <c r="K4974" s="3">
        <v>8500</v>
      </c>
      <c r="L4974" s="3">
        <v>34000</v>
      </c>
      <c r="M4974" s="3">
        <v>13600</v>
      </c>
      <c r="N4974" s="4">
        <v>0.2857142857142857</v>
      </c>
    </row>
    <row r="4975" spans="1:14" x14ac:dyDescent="0.3">
      <c r="A4975" s="6">
        <v>46013</v>
      </c>
      <c r="B4975" s="1" t="s">
        <v>5159</v>
      </c>
      <c r="C4975" s="1" t="s">
        <v>29</v>
      </c>
      <c r="D4975" t="s">
        <v>31</v>
      </c>
      <c r="E4975" t="s">
        <v>72</v>
      </c>
      <c r="F4975" t="s">
        <v>24</v>
      </c>
      <c r="G4975" t="s">
        <v>25</v>
      </c>
      <c r="H4975" s="3">
        <v>2</v>
      </c>
      <c r="I4975" s="3">
        <v>3425.0000000000005</v>
      </c>
      <c r="J4975" s="3">
        <v>6850.0000000000009</v>
      </c>
      <c r="K4975" s="3">
        <v>2500</v>
      </c>
      <c r="L4975" s="3">
        <v>5000</v>
      </c>
      <c r="M4975" s="3">
        <v>1850.0000000000009</v>
      </c>
      <c r="N4975" s="4">
        <v>0.27007299270073004</v>
      </c>
    </row>
    <row r="4976" spans="1:14" x14ac:dyDescent="0.3">
      <c r="A4976" s="6">
        <v>46013</v>
      </c>
      <c r="B4976" s="1" t="s">
        <v>5160</v>
      </c>
      <c r="C4976" s="1" t="s">
        <v>27</v>
      </c>
      <c r="D4976" t="s">
        <v>34</v>
      </c>
      <c r="E4976" t="s">
        <v>239</v>
      </c>
      <c r="F4976" t="s">
        <v>22</v>
      </c>
      <c r="G4976" t="s">
        <v>18</v>
      </c>
      <c r="H4976" s="3">
        <v>9</v>
      </c>
      <c r="I4976" s="3">
        <v>8680</v>
      </c>
      <c r="J4976" s="3">
        <v>78120</v>
      </c>
      <c r="K4976" s="3">
        <v>7000</v>
      </c>
      <c r="L4976" s="3">
        <v>63000</v>
      </c>
      <c r="M4976" s="3">
        <v>15120</v>
      </c>
      <c r="N4976" s="4">
        <v>0.19354838709677419</v>
      </c>
    </row>
    <row r="4977" spans="1:14" x14ac:dyDescent="0.3">
      <c r="A4977" s="6">
        <v>46013</v>
      </c>
      <c r="B4977" s="1" t="s">
        <v>5161</v>
      </c>
      <c r="C4977" s="1" t="s">
        <v>29</v>
      </c>
      <c r="D4977" t="s">
        <v>30</v>
      </c>
      <c r="E4977" t="s">
        <v>69</v>
      </c>
      <c r="F4977" t="s">
        <v>16</v>
      </c>
      <c r="G4977" t="s">
        <v>15</v>
      </c>
      <c r="H4977" s="3">
        <v>8</v>
      </c>
      <c r="I4977" s="3">
        <v>45600</v>
      </c>
      <c r="J4977" s="3">
        <v>364800</v>
      </c>
      <c r="K4977" s="3">
        <v>38000</v>
      </c>
      <c r="L4977" s="3">
        <v>304000</v>
      </c>
      <c r="M4977" s="3">
        <v>60800</v>
      </c>
      <c r="N4977" s="4">
        <v>0.16666666666666666</v>
      </c>
    </row>
    <row r="4978" spans="1:14" x14ac:dyDescent="0.3">
      <c r="A4978" s="6">
        <v>46013</v>
      </c>
      <c r="B4978" s="1" t="s">
        <v>5162</v>
      </c>
      <c r="C4978" s="1" t="s">
        <v>27</v>
      </c>
      <c r="D4978" t="s">
        <v>34</v>
      </c>
      <c r="E4978" t="s">
        <v>236</v>
      </c>
      <c r="F4978" t="s">
        <v>19</v>
      </c>
      <c r="G4978" t="s">
        <v>20</v>
      </c>
      <c r="H4978" s="3">
        <v>10</v>
      </c>
      <c r="I4978" s="3">
        <v>1179</v>
      </c>
      <c r="J4978" s="3">
        <v>11790</v>
      </c>
      <c r="K4978" s="3">
        <v>900</v>
      </c>
      <c r="L4978" s="3">
        <v>9000</v>
      </c>
      <c r="M4978" s="3">
        <v>2790</v>
      </c>
      <c r="N4978" s="4">
        <v>0.23664122137404581</v>
      </c>
    </row>
    <row r="4979" spans="1:14" x14ac:dyDescent="0.3">
      <c r="A4979" s="6">
        <v>46013</v>
      </c>
      <c r="B4979" s="1" t="s">
        <v>5163</v>
      </c>
      <c r="C4979" s="1" t="s">
        <v>28</v>
      </c>
      <c r="D4979" t="s">
        <v>35</v>
      </c>
      <c r="E4979" t="s">
        <v>72</v>
      </c>
      <c r="F4979" t="s">
        <v>16</v>
      </c>
      <c r="G4979" t="s">
        <v>15</v>
      </c>
      <c r="H4979" s="3">
        <v>7</v>
      </c>
      <c r="I4979" s="3">
        <v>50540</v>
      </c>
      <c r="J4979" s="3">
        <v>353780</v>
      </c>
      <c r="K4979" s="3">
        <v>38000</v>
      </c>
      <c r="L4979" s="3">
        <v>266000</v>
      </c>
      <c r="M4979" s="3">
        <v>87780</v>
      </c>
      <c r="N4979" s="4">
        <v>0.24812030075187969</v>
      </c>
    </row>
    <row r="4980" spans="1:14" x14ac:dyDescent="0.3">
      <c r="A4980" s="6">
        <v>46013</v>
      </c>
      <c r="B4980" s="1" t="s">
        <v>5164</v>
      </c>
      <c r="C4980" s="1" t="s">
        <v>29</v>
      </c>
      <c r="D4980" t="s">
        <v>32</v>
      </c>
      <c r="E4980" t="s">
        <v>273</v>
      </c>
      <c r="F4980" t="s">
        <v>22</v>
      </c>
      <c r="G4980" t="s">
        <v>18</v>
      </c>
      <c r="H4980" s="3">
        <v>8</v>
      </c>
      <c r="I4980" s="3">
        <v>9310</v>
      </c>
      <c r="J4980" s="3">
        <v>74480</v>
      </c>
      <c r="K4980" s="3">
        <v>7000</v>
      </c>
      <c r="L4980" s="3">
        <v>56000</v>
      </c>
      <c r="M4980" s="3">
        <v>18480</v>
      </c>
      <c r="N4980" s="4">
        <v>0.24812030075187969</v>
      </c>
    </row>
    <row r="4981" spans="1:14" x14ac:dyDescent="0.3">
      <c r="A4981" s="6">
        <v>46013</v>
      </c>
      <c r="B4981" s="1" t="s">
        <v>5165</v>
      </c>
      <c r="C4981" s="1" t="s">
        <v>29</v>
      </c>
      <c r="D4981" t="s">
        <v>32</v>
      </c>
      <c r="E4981" t="s">
        <v>576</v>
      </c>
      <c r="F4981" t="s">
        <v>17</v>
      </c>
      <c r="G4981" t="s">
        <v>18</v>
      </c>
      <c r="H4981" s="3">
        <v>5</v>
      </c>
      <c r="I4981" s="3">
        <v>11815.000000000002</v>
      </c>
      <c r="J4981" s="3">
        <v>59075.000000000007</v>
      </c>
      <c r="K4981" s="3">
        <v>8500</v>
      </c>
      <c r="L4981" s="3">
        <v>42500</v>
      </c>
      <c r="M4981" s="3">
        <v>16575.000000000007</v>
      </c>
      <c r="N4981" s="4">
        <v>0.28057553956834541</v>
      </c>
    </row>
    <row r="4982" spans="1:14" x14ac:dyDescent="0.3">
      <c r="A4982" s="6">
        <v>46013</v>
      </c>
      <c r="B4982" s="1" t="s">
        <v>5166</v>
      </c>
      <c r="C4982" s="1" t="s">
        <v>29</v>
      </c>
      <c r="D4982" t="s">
        <v>31</v>
      </c>
      <c r="E4982" t="s">
        <v>351</v>
      </c>
      <c r="F4982" t="s">
        <v>19</v>
      </c>
      <c r="G4982" t="s">
        <v>20</v>
      </c>
      <c r="H4982" s="3">
        <v>3</v>
      </c>
      <c r="I4982" s="3">
        <v>1197</v>
      </c>
      <c r="J4982" s="3">
        <v>3591</v>
      </c>
      <c r="K4982" s="3">
        <v>900</v>
      </c>
      <c r="L4982" s="3">
        <v>2700</v>
      </c>
      <c r="M4982" s="3">
        <v>891</v>
      </c>
      <c r="N4982" s="4">
        <v>0.24812030075187969</v>
      </c>
    </row>
    <row r="4983" spans="1:14" x14ac:dyDescent="0.3">
      <c r="A4983" s="6">
        <v>46013</v>
      </c>
      <c r="B4983" s="1" t="s">
        <v>5167</v>
      </c>
      <c r="C4983" s="1" t="s">
        <v>27</v>
      </c>
      <c r="D4983" t="s">
        <v>33</v>
      </c>
      <c r="E4983" t="s">
        <v>94</v>
      </c>
      <c r="F4983" t="s">
        <v>16</v>
      </c>
      <c r="G4983" t="s">
        <v>15</v>
      </c>
      <c r="H4983" s="3">
        <v>8</v>
      </c>
      <c r="I4983" s="3">
        <v>50160</v>
      </c>
      <c r="J4983" s="3">
        <v>401280</v>
      </c>
      <c r="K4983" s="3">
        <v>38000</v>
      </c>
      <c r="L4983" s="3">
        <v>304000</v>
      </c>
      <c r="M4983" s="3">
        <v>97280</v>
      </c>
      <c r="N4983" s="4">
        <v>0.24242424242424243</v>
      </c>
    </row>
    <row r="4984" spans="1:14" x14ac:dyDescent="0.3">
      <c r="A4984" s="6">
        <v>46014</v>
      </c>
      <c r="B4984" s="1" t="s">
        <v>5168</v>
      </c>
      <c r="C4984" s="1" t="s">
        <v>28</v>
      </c>
      <c r="D4984" t="s">
        <v>31</v>
      </c>
      <c r="E4984" t="s">
        <v>427</v>
      </c>
      <c r="F4984" t="s">
        <v>19</v>
      </c>
      <c r="G4984" t="s">
        <v>20</v>
      </c>
      <c r="H4984" s="3">
        <v>9</v>
      </c>
      <c r="I4984" s="3">
        <v>1107</v>
      </c>
      <c r="J4984" s="3">
        <v>9963</v>
      </c>
      <c r="K4984" s="3">
        <v>900</v>
      </c>
      <c r="L4984" s="3">
        <v>8100</v>
      </c>
      <c r="M4984" s="3">
        <v>1863</v>
      </c>
      <c r="N4984" s="4">
        <v>0.18699186991869918</v>
      </c>
    </row>
    <row r="4985" spans="1:14" x14ac:dyDescent="0.3">
      <c r="A4985" s="6">
        <v>46014</v>
      </c>
      <c r="B4985" s="1" t="s">
        <v>5169</v>
      </c>
      <c r="C4985" s="1" t="s">
        <v>28</v>
      </c>
      <c r="D4985" t="s">
        <v>35</v>
      </c>
      <c r="E4985" t="s">
        <v>751</v>
      </c>
      <c r="F4985" t="s">
        <v>23</v>
      </c>
      <c r="G4985" t="s">
        <v>25</v>
      </c>
      <c r="H4985" s="3">
        <v>8</v>
      </c>
      <c r="I4985" s="3">
        <v>4640</v>
      </c>
      <c r="J4985" s="3">
        <v>37120</v>
      </c>
      <c r="K4985" s="3">
        <v>3200</v>
      </c>
      <c r="L4985" s="3">
        <v>25600</v>
      </c>
      <c r="M4985" s="3">
        <v>11520</v>
      </c>
      <c r="N4985" s="4">
        <v>0.31034482758620691</v>
      </c>
    </row>
    <row r="4986" spans="1:14" x14ac:dyDescent="0.3">
      <c r="A4986" s="6">
        <v>46014</v>
      </c>
      <c r="B4986" s="1" t="s">
        <v>5170</v>
      </c>
      <c r="C4986" s="1" t="s">
        <v>28</v>
      </c>
      <c r="D4986" t="s">
        <v>34</v>
      </c>
      <c r="E4986" t="s">
        <v>153</v>
      </c>
      <c r="F4986" t="s">
        <v>19</v>
      </c>
      <c r="G4986" t="s">
        <v>20</v>
      </c>
      <c r="H4986" s="3">
        <v>8</v>
      </c>
      <c r="I4986" s="3">
        <v>1242</v>
      </c>
      <c r="J4986" s="3">
        <v>9936</v>
      </c>
      <c r="K4986" s="3">
        <v>900</v>
      </c>
      <c r="L4986" s="3">
        <v>7200</v>
      </c>
      <c r="M4986" s="3">
        <v>2736</v>
      </c>
      <c r="N4986" s="4">
        <v>0.27536231884057971</v>
      </c>
    </row>
    <row r="4987" spans="1:14" x14ac:dyDescent="0.3">
      <c r="A4987" s="6">
        <v>46014</v>
      </c>
      <c r="B4987" s="1" t="s">
        <v>5171</v>
      </c>
      <c r="C4987" s="1" t="s">
        <v>27</v>
      </c>
      <c r="D4987" t="s">
        <v>32</v>
      </c>
      <c r="E4987" t="s">
        <v>81</v>
      </c>
      <c r="F4987" t="s">
        <v>21</v>
      </c>
      <c r="G4987" t="s">
        <v>20</v>
      </c>
      <c r="H4987" s="3">
        <v>10</v>
      </c>
      <c r="I4987" s="3">
        <v>815.99999999999989</v>
      </c>
      <c r="J4987" s="3">
        <v>8159.9999999999991</v>
      </c>
      <c r="K4987" s="3">
        <v>600</v>
      </c>
      <c r="L4987" s="3">
        <v>6000</v>
      </c>
      <c r="M4987" s="3">
        <v>2159.9999999999991</v>
      </c>
      <c r="N4987" s="4">
        <v>0.26470588235294107</v>
      </c>
    </row>
    <row r="4988" spans="1:14" x14ac:dyDescent="0.3">
      <c r="A4988" s="6">
        <v>46014</v>
      </c>
      <c r="B4988" s="1" t="s">
        <v>5172</v>
      </c>
      <c r="C4988" s="1" t="s">
        <v>27</v>
      </c>
      <c r="D4988" t="s">
        <v>30</v>
      </c>
      <c r="E4988" t="s">
        <v>186</v>
      </c>
      <c r="F4988" t="s">
        <v>16</v>
      </c>
      <c r="G4988" t="s">
        <v>15</v>
      </c>
      <c r="H4988" s="3">
        <v>4</v>
      </c>
      <c r="I4988" s="3">
        <v>52820.000000000007</v>
      </c>
      <c r="J4988" s="3">
        <v>211280.00000000003</v>
      </c>
      <c r="K4988" s="3">
        <v>38000</v>
      </c>
      <c r="L4988" s="3">
        <v>152000</v>
      </c>
      <c r="M4988" s="3">
        <v>59280.000000000029</v>
      </c>
      <c r="N4988" s="4">
        <v>0.28057553956834541</v>
      </c>
    </row>
    <row r="4989" spans="1:14" x14ac:dyDescent="0.3">
      <c r="A4989" s="6">
        <v>46014</v>
      </c>
      <c r="B4989" s="1" t="s">
        <v>5173</v>
      </c>
      <c r="C4989" s="1" t="s">
        <v>29</v>
      </c>
      <c r="D4989" t="s">
        <v>34</v>
      </c>
      <c r="E4989" t="s">
        <v>76</v>
      </c>
      <c r="F4989" t="s">
        <v>22</v>
      </c>
      <c r="G4989" t="s">
        <v>18</v>
      </c>
      <c r="H4989" s="3">
        <v>1</v>
      </c>
      <c r="I4989" s="3">
        <v>9520</v>
      </c>
      <c r="J4989" s="3">
        <v>9520</v>
      </c>
      <c r="K4989" s="3">
        <v>7000</v>
      </c>
      <c r="L4989" s="3">
        <v>7000</v>
      </c>
      <c r="M4989" s="3">
        <v>2520</v>
      </c>
      <c r="N4989" s="4">
        <v>0.26470588235294118</v>
      </c>
    </row>
    <row r="4990" spans="1:14" x14ac:dyDescent="0.3">
      <c r="A4990" s="6">
        <v>46014</v>
      </c>
      <c r="B4990" s="1" t="s">
        <v>5174</v>
      </c>
      <c r="C4990" s="1" t="s">
        <v>29</v>
      </c>
      <c r="D4990" t="s">
        <v>31</v>
      </c>
      <c r="E4990" t="s">
        <v>268</v>
      </c>
      <c r="F4990" t="s">
        <v>19</v>
      </c>
      <c r="G4990" t="s">
        <v>20</v>
      </c>
      <c r="H4990" s="3">
        <v>10</v>
      </c>
      <c r="I4990" s="3">
        <v>1179</v>
      </c>
      <c r="J4990" s="3">
        <v>11790</v>
      </c>
      <c r="K4990" s="3">
        <v>900</v>
      </c>
      <c r="L4990" s="3">
        <v>9000</v>
      </c>
      <c r="M4990" s="3">
        <v>2790</v>
      </c>
      <c r="N4990" s="4">
        <v>0.23664122137404581</v>
      </c>
    </row>
    <row r="4991" spans="1:14" x14ac:dyDescent="0.3">
      <c r="A4991" s="6">
        <v>46014</v>
      </c>
      <c r="B4991" s="1" t="s">
        <v>5175</v>
      </c>
      <c r="C4991" s="1" t="s">
        <v>28</v>
      </c>
      <c r="D4991" t="s">
        <v>35</v>
      </c>
      <c r="E4991" t="s">
        <v>114</v>
      </c>
      <c r="F4991" t="s">
        <v>14</v>
      </c>
      <c r="G4991" t="s">
        <v>15</v>
      </c>
      <c r="H4991" s="3">
        <v>8</v>
      </c>
      <c r="I4991" s="3">
        <v>63900</v>
      </c>
      <c r="J4991" s="3">
        <v>511200</v>
      </c>
      <c r="K4991" s="3">
        <v>45000</v>
      </c>
      <c r="L4991" s="3">
        <v>360000</v>
      </c>
      <c r="M4991" s="3">
        <v>151200</v>
      </c>
      <c r="N4991" s="4">
        <v>0.29577464788732394</v>
      </c>
    </row>
    <row r="4992" spans="1:14" x14ac:dyDescent="0.3">
      <c r="A4992" s="6">
        <v>46014</v>
      </c>
      <c r="B4992" s="1" t="s">
        <v>5176</v>
      </c>
      <c r="C4992" s="1" t="s">
        <v>28</v>
      </c>
      <c r="D4992" t="s">
        <v>31</v>
      </c>
      <c r="E4992" t="s">
        <v>65</v>
      </c>
      <c r="F4992" t="s">
        <v>14</v>
      </c>
      <c r="G4992" t="s">
        <v>15</v>
      </c>
      <c r="H4992" s="3">
        <v>3</v>
      </c>
      <c r="I4992" s="3">
        <v>62099.999999999993</v>
      </c>
      <c r="J4992" s="3">
        <v>186299.99999999997</v>
      </c>
      <c r="K4992" s="3">
        <v>45000</v>
      </c>
      <c r="L4992" s="3">
        <v>135000</v>
      </c>
      <c r="M4992" s="3">
        <v>51299.999999999971</v>
      </c>
      <c r="N4992" s="4">
        <v>0.2753623188405796</v>
      </c>
    </row>
    <row r="4993" spans="1:14" x14ac:dyDescent="0.3">
      <c r="A4993" s="6">
        <v>46014</v>
      </c>
      <c r="B4993" s="1" t="s">
        <v>5177</v>
      </c>
      <c r="C4993" s="1" t="s">
        <v>28</v>
      </c>
      <c r="D4993" t="s">
        <v>35</v>
      </c>
      <c r="E4993" t="s">
        <v>265</v>
      </c>
      <c r="F4993" t="s">
        <v>14</v>
      </c>
      <c r="G4993" t="s">
        <v>15</v>
      </c>
      <c r="H4993" s="3">
        <v>3</v>
      </c>
      <c r="I4993" s="3">
        <v>62999.999999999993</v>
      </c>
      <c r="J4993" s="3">
        <v>188999.99999999997</v>
      </c>
      <c r="K4993" s="3">
        <v>45000</v>
      </c>
      <c r="L4993" s="3">
        <v>135000</v>
      </c>
      <c r="M4993" s="3">
        <v>53999.999999999971</v>
      </c>
      <c r="N4993" s="4">
        <v>0.28571428571428559</v>
      </c>
    </row>
    <row r="4994" spans="1:14" x14ac:dyDescent="0.3">
      <c r="A4994" s="6">
        <v>46014</v>
      </c>
      <c r="B4994" s="1" t="s">
        <v>5178</v>
      </c>
      <c r="C4994" s="1" t="s">
        <v>29</v>
      </c>
      <c r="D4994" t="s">
        <v>34</v>
      </c>
      <c r="E4994" t="s">
        <v>51</v>
      </c>
      <c r="F4994" t="s">
        <v>22</v>
      </c>
      <c r="G4994" t="s">
        <v>18</v>
      </c>
      <c r="H4994" s="3">
        <v>9</v>
      </c>
      <c r="I4994" s="3">
        <v>8750</v>
      </c>
      <c r="J4994" s="3">
        <v>78750</v>
      </c>
      <c r="K4994" s="3">
        <v>7000</v>
      </c>
      <c r="L4994" s="3">
        <v>63000</v>
      </c>
      <c r="M4994" s="3">
        <v>15750</v>
      </c>
      <c r="N4994" s="4">
        <v>0.2</v>
      </c>
    </row>
    <row r="4995" spans="1:14" x14ac:dyDescent="0.3">
      <c r="A4995" s="6">
        <v>46014</v>
      </c>
      <c r="B4995" s="1" t="s">
        <v>5179</v>
      </c>
      <c r="C4995" s="1" t="s">
        <v>27</v>
      </c>
      <c r="D4995" t="s">
        <v>34</v>
      </c>
      <c r="E4995" t="s">
        <v>548</v>
      </c>
      <c r="F4995" t="s">
        <v>14</v>
      </c>
      <c r="G4995" t="s">
        <v>15</v>
      </c>
      <c r="H4995" s="3">
        <v>6</v>
      </c>
      <c r="I4995" s="3">
        <v>56250</v>
      </c>
      <c r="J4995" s="3">
        <v>337500</v>
      </c>
      <c r="K4995" s="3">
        <v>45000</v>
      </c>
      <c r="L4995" s="3">
        <v>270000</v>
      </c>
      <c r="M4995" s="3">
        <v>67500</v>
      </c>
      <c r="N4995" s="4">
        <v>0.2</v>
      </c>
    </row>
    <row r="4996" spans="1:14" x14ac:dyDescent="0.3">
      <c r="A4996" s="6">
        <v>46014</v>
      </c>
      <c r="B4996" s="1" t="s">
        <v>5180</v>
      </c>
      <c r="C4996" s="1" t="s">
        <v>26</v>
      </c>
      <c r="D4996" t="s">
        <v>33</v>
      </c>
      <c r="E4996" t="s">
        <v>184</v>
      </c>
      <c r="F4996" t="s">
        <v>16</v>
      </c>
      <c r="G4996" t="s">
        <v>15</v>
      </c>
      <c r="H4996" s="3">
        <v>8</v>
      </c>
      <c r="I4996" s="3">
        <v>50160</v>
      </c>
      <c r="J4996" s="3">
        <v>401280</v>
      </c>
      <c r="K4996" s="3">
        <v>38000</v>
      </c>
      <c r="L4996" s="3">
        <v>304000</v>
      </c>
      <c r="M4996" s="3">
        <v>97280</v>
      </c>
      <c r="N4996" s="4">
        <v>0.24242424242424243</v>
      </c>
    </row>
    <row r="4997" spans="1:14" x14ac:dyDescent="0.3">
      <c r="A4997" s="6">
        <v>46014</v>
      </c>
      <c r="B4997" s="1" t="s">
        <v>5181</v>
      </c>
      <c r="C4997" s="1" t="s">
        <v>28</v>
      </c>
      <c r="D4997" t="s">
        <v>32</v>
      </c>
      <c r="E4997" t="s">
        <v>431</v>
      </c>
      <c r="F4997" t="s">
        <v>14</v>
      </c>
      <c r="G4997" t="s">
        <v>15</v>
      </c>
      <c r="H4997" s="3">
        <v>9</v>
      </c>
      <c r="I4997" s="3">
        <v>55800</v>
      </c>
      <c r="J4997" s="3">
        <v>502200</v>
      </c>
      <c r="K4997" s="3">
        <v>45000</v>
      </c>
      <c r="L4997" s="3">
        <v>405000</v>
      </c>
      <c r="M4997" s="3">
        <v>97200</v>
      </c>
      <c r="N4997" s="4">
        <v>0.19354838709677419</v>
      </c>
    </row>
    <row r="4998" spans="1:14" x14ac:dyDescent="0.3">
      <c r="A4998" s="6">
        <v>46015</v>
      </c>
      <c r="B4998" s="1" t="s">
        <v>5182</v>
      </c>
      <c r="C4998" s="1" t="s">
        <v>28</v>
      </c>
      <c r="D4998" t="s">
        <v>34</v>
      </c>
      <c r="E4998" t="s">
        <v>751</v>
      </c>
      <c r="F4998" t="s">
        <v>17</v>
      </c>
      <c r="G4998" t="s">
        <v>18</v>
      </c>
      <c r="H4998" s="3">
        <v>1</v>
      </c>
      <c r="I4998" s="3">
        <v>11305</v>
      </c>
      <c r="J4998" s="3">
        <v>11305</v>
      </c>
      <c r="K4998" s="3">
        <v>8500</v>
      </c>
      <c r="L4998" s="3">
        <v>8500</v>
      </c>
      <c r="M4998" s="3">
        <v>2805</v>
      </c>
      <c r="N4998" s="4">
        <v>0.24812030075187969</v>
      </c>
    </row>
    <row r="4999" spans="1:14" x14ac:dyDescent="0.3">
      <c r="A4999" s="6">
        <v>46015</v>
      </c>
      <c r="B4999" s="1" t="s">
        <v>5183</v>
      </c>
      <c r="C4999" s="1" t="s">
        <v>29</v>
      </c>
      <c r="D4999" t="s">
        <v>35</v>
      </c>
      <c r="E4999" t="s">
        <v>189</v>
      </c>
      <c r="F4999" t="s">
        <v>16</v>
      </c>
      <c r="G4999" t="s">
        <v>15</v>
      </c>
      <c r="H4999" s="3">
        <v>3</v>
      </c>
      <c r="I4999" s="3">
        <v>51300</v>
      </c>
      <c r="J4999" s="3">
        <v>153900</v>
      </c>
      <c r="K4999" s="3">
        <v>38000</v>
      </c>
      <c r="L4999" s="3">
        <v>114000</v>
      </c>
      <c r="M4999" s="3">
        <v>39900</v>
      </c>
      <c r="N4999" s="4">
        <v>0.25925925925925924</v>
      </c>
    </row>
    <row r="5000" spans="1:14" x14ac:dyDescent="0.3">
      <c r="A5000" s="6">
        <v>46015</v>
      </c>
      <c r="B5000" s="1" t="s">
        <v>5184</v>
      </c>
      <c r="C5000" s="1" t="s">
        <v>29</v>
      </c>
      <c r="D5000" t="s">
        <v>33</v>
      </c>
      <c r="E5000" t="s">
        <v>102</v>
      </c>
      <c r="F5000" t="s">
        <v>14</v>
      </c>
      <c r="G5000" t="s">
        <v>15</v>
      </c>
      <c r="H5000" s="3">
        <v>6</v>
      </c>
      <c r="I5000" s="3">
        <v>56250</v>
      </c>
      <c r="J5000" s="3">
        <v>337500</v>
      </c>
      <c r="K5000" s="3">
        <v>45000</v>
      </c>
      <c r="L5000" s="3">
        <v>270000</v>
      </c>
      <c r="M5000" s="3">
        <v>67500</v>
      </c>
      <c r="N5000" s="4">
        <v>0.2</v>
      </c>
    </row>
    <row r="5001" spans="1:14" x14ac:dyDescent="0.3">
      <c r="A5001" s="6">
        <v>46015</v>
      </c>
      <c r="B5001" s="1" t="s">
        <v>5185</v>
      </c>
      <c r="C5001" s="1" t="s">
        <v>27</v>
      </c>
      <c r="D5001" t="s">
        <v>32</v>
      </c>
      <c r="E5001" t="s">
        <v>120</v>
      </c>
      <c r="F5001" t="s">
        <v>19</v>
      </c>
      <c r="G5001" t="s">
        <v>20</v>
      </c>
      <c r="H5001" s="3">
        <v>3</v>
      </c>
      <c r="I5001" s="3">
        <v>1179</v>
      </c>
      <c r="J5001" s="3">
        <v>3537</v>
      </c>
      <c r="K5001" s="3">
        <v>900</v>
      </c>
      <c r="L5001" s="3">
        <v>2700</v>
      </c>
      <c r="M5001" s="3">
        <v>837</v>
      </c>
      <c r="N5001" s="4">
        <v>0.23664122137404581</v>
      </c>
    </row>
    <row r="5002" spans="1:14" x14ac:dyDescent="0.3">
      <c r="A5002" t="s">
        <v>5209</v>
      </c>
      <c r="B5002" s="1"/>
      <c r="C5002" s="1"/>
      <c r="H5002" s="3">
        <f>SUBTOTAL(109,tblSales[Quantity])</f>
        <v>27861</v>
      </c>
      <c r="I5002" s="3"/>
      <c r="J5002" s="3">
        <f>SUBTOTAL(109,tblSales[Sales])</f>
        <v>504336223</v>
      </c>
      <c r="K5002" s="3"/>
      <c r="L5002" s="3">
        <f>SUBTOTAL(109,tblSales[Cost])</f>
        <v>381087000</v>
      </c>
      <c r="M5002" s="3">
        <f>SUBTOTAL(109,tblSales[Profit])</f>
        <v>123249223</v>
      </c>
      <c r="N5002" s="4"/>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Dashboard</vt:lpstr>
      <vt:lpstr>Pivot</vt:lpstr>
      <vt:lpstr>Calculations</vt:lpstr>
      <vt:lpstr>Lookup</vt:lpstr>
      <vt:lpstr>Raw_Data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SHABEEB NS</dc:creator>
  <cp:lastModifiedBy>SHABEEB NS</cp:lastModifiedBy>
  <dcterms:created xsi:type="dcterms:W3CDTF">2026-08-04T20:14:05Z</dcterms:created>
  <dcterms:modified xsi:type="dcterms:W3CDTF">2026-08-05T13:54:46Z</dcterms:modified>
</cp:coreProperties>
</file>