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Finance Portfolio\Project 01 - Personal Budget Dashboard\"/>
    </mc:Choice>
  </mc:AlternateContent>
  <xr:revisionPtr revIDLastSave="0" documentId="13_ncr:1_{36AF1638-6F48-462D-A32C-F80B6950B4BA}" xr6:coauthVersionLast="47" xr6:coauthVersionMax="47" xr10:uidLastSave="{00000000-0000-0000-0000-000000000000}"/>
  <bookViews>
    <workbookView xWindow="-108" yWindow="-108" windowWidth="23256" windowHeight="12456" activeTab="2" xr2:uid="{00000000-000D-0000-FFFF-FFFF00000000}"/>
  </bookViews>
  <sheets>
    <sheet name="Dashboard" sheetId="5" r:id="rId1"/>
    <sheet name="Pivot" sheetId="6" r:id="rId2"/>
    <sheet name="Calculations" sheetId="8" r:id="rId3"/>
    <sheet name="Lookup" sheetId="7" r:id="rId4"/>
    <sheet name="Raw_Data" sheetId="1" r:id="rId5"/>
  </sheets>
  <definedNames>
    <definedName name="Slicer_Category">#N/A</definedName>
    <definedName name="Slicer_Payment_Method">#N/A</definedName>
    <definedName name="Slicer_Type">#N/A</definedName>
  </definedNames>
  <calcPr calcId="191029"/>
  <pivotCaches>
    <pivotCache cacheId="7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c r="C4" i="5" s="1"/>
  <c r="C2" i="8"/>
  <c r="B4" i="5" s="1"/>
  <c r="E1002" i="1"/>
  <c r="D7" i="7"/>
  <c r="D6" i="7"/>
  <c r="D4" i="7"/>
  <c r="D2" i="7"/>
  <c r="D5" i="7"/>
  <c r="D3" i="7"/>
  <c r="D8" i="7" l="1"/>
  <c r="C4" i="8"/>
  <c r="C5" i="8" l="1"/>
  <c r="E4" i="5" s="1"/>
  <c r="D4" i="5"/>
</calcChain>
</file>

<file path=xl/sharedStrings.xml><?xml version="1.0" encoding="utf-8"?>
<sst xmlns="http://schemas.openxmlformats.org/spreadsheetml/2006/main" count="4093" uniqueCount="56">
  <si>
    <t>Date</t>
  </si>
  <si>
    <t>Description</t>
  </si>
  <si>
    <t>Category</t>
  </si>
  <si>
    <t>Payment Method</t>
  </si>
  <si>
    <t>Amount</t>
  </si>
  <si>
    <t>Type</t>
  </si>
  <si>
    <t>Internet Bill</t>
  </si>
  <si>
    <t>Utilities</t>
  </si>
  <si>
    <t>UPI</t>
  </si>
  <si>
    <t>Expense</t>
  </si>
  <si>
    <t>Credit Card</t>
  </si>
  <si>
    <t>Cash</t>
  </si>
  <si>
    <t>Groceries</t>
  </si>
  <si>
    <t>Food</t>
  </si>
  <si>
    <t>Rent</t>
  </si>
  <si>
    <t>Housing</t>
  </si>
  <si>
    <t>Debit Card</t>
  </si>
  <si>
    <t>Restaurant</t>
  </si>
  <si>
    <t>Bank Transfer</t>
  </si>
  <si>
    <t>Salary</t>
  </si>
  <si>
    <t>Income</t>
  </si>
  <si>
    <t>Freelance</t>
  </si>
  <si>
    <t>Movie</t>
  </si>
  <si>
    <t>Entertainment</t>
  </si>
  <si>
    <t>Electricity Bill</t>
  </si>
  <si>
    <t>Fuel</t>
  </si>
  <si>
    <t>Transport</t>
  </si>
  <si>
    <t>Total Income</t>
  </si>
  <si>
    <t>Total Expense</t>
  </si>
  <si>
    <t>Total Savings</t>
  </si>
  <si>
    <t>Savings Rate</t>
  </si>
  <si>
    <t>Group</t>
  </si>
  <si>
    <t xml:space="preserve"> </t>
  </si>
  <si>
    <t>Sum of Amount</t>
  </si>
  <si>
    <t>Grand Total</t>
  </si>
  <si>
    <t>2025</t>
  </si>
  <si>
    <t>Jan</t>
  </si>
  <si>
    <t>Feb</t>
  </si>
  <si>
    <t>Mar</t>
  </si>
  <si>
    <t>Apr</t>
  </si>
  <si>
    <t>May</t>
  </si>
  <si>
    <t>Jun</t>
  </si>
  <si>
    <t>Jul</t>
  </si>
  <si>
    <t>Aug</t>
  </si>
  <si>
    <t>Sep</t>
  </si>
  <si>
    <t>Oct</t>
  </si>
  <si>
    <t>Nov</t>
  </si>
  <si>
    <t>Dec</t>
  </si>
  <si>
    <t>2026</t>
  </si>
  <si>
    <t>2027</t>
  </si>
  <si>
    <t>(All)</t>
  </si>
  <si>
    <t>Saving Rate</t>
  </si>
  <si>
    <t>Personal Budget Dashboard</t>
  </si>
  <si>
    <t>Financial Analysis using Microsoft Excel</t>
  </si>
  <si>
    <t>Lookup</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</si>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</sst>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 #,##0_ ;_ &quot;₹&quot;\ * \-#,##0_ ;_ &quot;₹&quot;\ * &quot;-&quot;_ ;_ @_ "/>
    <numFmt numFmtId="166" formatCode="&quot;₹&quot;\ #,##0"/>
  </numFmts>
  <fonts count="4" x14ac:knownFonts="1">
    <font>
      <sz val="11"/>
      <color theme="1"/>
      <name val="Calibri"/>
      <family val="2"/>
      <scheme val="minor"/>
    </font>
    <font>
      <b/>
      <sz val="11"/>
      <color theme="0"/>
      <name val="Calibri"/>
      <family val="2"/>
      <scheme val="minor"/>
    </font>
    <font>
      <b/>
      <sz val="18"/>
      <color theme="1"/>
      <name val="Calibri"/>
      <family val="2"/>
      <scheme val="minor"/>
    </font>
    <font>
      <b/>
      <sz val="22"/>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8" tint="0.39997558519241921"/>
        <bgColor indexed="64"/>
      </patternFill>
    </fill>
    <fill>
      <patternFill patternType="solid">
        <fgColor theme="3" tint="-0.499984740745262"/>
        <bgColor indexed="64"/>
      </patternFill>
    </fill>
    <fill>
      <patternFill patternType="solid">
        <fgColor theme="0"/>
        <bgColor indexed="64"/>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0"/>
      </left>
      <right style="thin">
        <color theme="4" tint="0.39997558519241921"/>
      </right>
      <top/>
      <bottom style="thin">
        <color theme="4" tint="0.39997558519241921"/>
      </bottom>
      <diagonal/>
    </border>
  </borders>
  <cellStyleXfs count="1">
    <xf numFmtId="0" fontId="0" fillId="0" borderId="0"/>
  </cellStyleXfs>
  <cellXfs count="19">
    <xf numFmtId="0" fontId="0" fillId="0" borderId="0" xfId="0"/>
    <xf numFmtId="0" fontId="0" fillId="0" borderId="1" xfId="0" applyFont="1" applyBorder="1"/>
    <xf numFmtId="0" fontId="0" fillId="2" borderId="1" xfId="0" applyFont="1" applyFill="1" applyBorder="1"/>
    <xf numFmtId="14" fontId="0" fillId="0" borderId="0" xfId="0" applyNumberFormat="1"/>
    <xf numFmtId="0" fontId="1" fillId="3" borderId="2" xfId="0" applyFont="1" applyFill="1" applyBorder="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2" fontId="0" fillId="0" borderId="0" xfId="0" applyNumberFormat="1"/>
    <xf numFmtId="0" fontId="2" fillId="4" borderId="3" xfId="0" applyFont="1" applyFill="1" applyBorder="1" applyAlignment="1">
      <alignment horizontal="center"/>
    </xf>
    <xf numFmtId="0" fontId="3" fillId="5" borderId="0" xfId="0" applyFont="1" applyFill="1" applyAlignment="1">
      <alignment horizontal="center"/>
    </xf>
    <xf numFmtId="166" fontId="2" fillId="4" borderId="3" xfId="0" applyNumberFormat="1" applyFont="1" applyFill="1" applyBorder="1" applyAlignment="1">
      <alignment horizontal="left" indent="12"/>
    </xf>
    <xf numFmtId="10" fontId="2" fillId="4" borderId="3" xfId="0" applyNumberFormat="1" applyFont="1" applyFill="1" applyBorder="1" applyAlignment="1">
      <alignment horizontal="left" indent="12"/>
    </xf>
    <xf numFmtId="0" fontId="3" fillId="6" borderId="0" xfId="0" applyFont="1" applyFill="1" applyAlignment="1">
      <alignment horizontal="center"/>
    </xf>
    <xf numFmtId="0" fontId="0" fillId="0" borderId="3" xfId="0" applyBorder="1"/>
    <xf numFmtId="3" fontId="0" fillId="0" borderId="3" xfId="0" applyNumberFormat="1" applyBorder="1"/>
    <xf numFmtId="10" fontId="0" fillId="0" borderId="3" xfId="0" applyNumberFormat="1" applyBorder="1"/>
    <xf numFmtId="0" fontId="1" fillId="3" borderId="4" xfId="0" applyFont="1" applyFill="1" applyBorder="1"/>
  </cellXfs>
  <cellStyles count="1">
    <cellStyle name="Normal" xfId="0" builtinId="0"/>
  </cellStyles>
  <dxfs count="16">
    <dxf>
      <numFmt numFmtId="3" formatCode="#,##0"/>
    </dxf>
    <dxf>
      <numFmt numFmtId="3" formatCode="#,##0"/>
    </dxf>
    <dxf>
      <numFmt numFmtId="3" formatCode="#,##0"/>
    </dxf>
    <dxf>
      <numFmt numFmtId="3" formatCode="#,##0"/>
    </dxf>
    <dxf>
      <numFmt numFmtId="19" formatCode="dd/mm/yyyy"/>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border outline="0">
        <top style="thin">
          <color theme="4" tint="0.39997558519241921"/>
        </top>
      </border>
    </dxf>
    <dxf>
      <numFmt numFmtId="19" formatCode="dd/mm/yyyy"/>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[Project_1_Personal_Budget_Dashboard.xlsx]Pivot!Monthly Income vs Expense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Income vs Expense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Expense</c:v>
                </c:pt>
              </c:strCache>
            </c:strRef>
          </c:tx>
          <c:spPr>
            <a:solidFill>
              <a:schemeClr val="accent1"/>
            </a:solidFill>
            <a:ln>
              <a:noFill/>
            </a:ln>
            <a:effectLst/>
          </c:spPr>
          <c:invertIfNegative val="0"/>
          <c:cat>
            <c:multiLvlStrRef>
              <c:f>Pivot!$A$3:$A$40</c:f>
              <c:multiLvlStrCache>
                <c:ptCount val="3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lvl>
                <c:lvl>
                  <c:pt idx="0">
                    <c:v>2025</c:v>
                  </c:pt>
                  <c:pt idx="12">
                    <c:v>2026</c:v>
                  </c:pt>
                  <c:pt idx="24">
                    <c:v>2027</c:v>
                  </c:pt>
                </c:lvl>
              </c:multiLvlStrCache>
            </c:multiLvlStrRef>
          </c:cat>
          <c:val>
            <c:numRef>
              <c:f>Pivot!$B$3:$B$40</c:f>
              <c:numCache>
                <c:formatCode>_("₹"* #,##0_);_("₹"* \(#,##0\);_("₹"* "-"_);_(@_)</c:formatCode>
                <c:ptCount val="34"/>
                <c:pt idx="0">
                  <c:v>77443</c:v>
                </c:pt>
                <c:pt idx="1">
                  <c:v>61254</c:v>
                </c:pt>
                <c:pt idx="2">
                  <c:v>72884</c:v>
                </c:pt>
                <c:pt idx="3">
                  <c:v>32890</c:v>
                </c:pt>
                <c:pt idx="4">
                  <c:v>45990</c:v>
                </c:pt>
                <c:pt idx="5">
                  <c:v>44241</c:v>
                </c:pt>
                <c:pt idx="6">
                  <c:v>75754</c:v>
                </c:pt>
                <c:pt idx="7">
                  <c:v>75751</c:v>
                </c:pt>
                <c:pt idx="8">
                  <c:v>49213</c:v>
                </c:pt>
                <c:pt idx="9">
                  <c:v>43260</c:v>
                </c:pt>
                <c:pt idx="10">
                  <c:v>41827</c:v>
                </c:pt>
                <c:pt idx="11">
                  <c:v>77293</c:v>
                </c:pt>
                <c:pt idx="12">
                  <c:v>52831</c:v>
                </c:pt>
                <c:pt idx="13">
                  <c:v>58181</c:v>
                </c:pt>
                <c:pt idx="14">
                  <c:v>51305</c:v>
                </c:pt>
                <c:pt idx="15">
                  <c:v>48303</c:v>
                </c:pt>
                <c:pt idx="16">
                  <c:v>54473</c:v>
                </c:pt>
                <c:pt idx="17">
                  <c:v>56830</c:v>
                </c:pt>
                <c:pt idx="18">
                  <c:v>74993</c:v>
                </c:pt>
                <c:pt idx="19">
                  <c:v>52251</c:v>
                </c:pt>
                <c:pt idx="20">
                  <c:v>47291</c:v>
                </c:pt>
                <c:pt idx="21">
                  <c:v>67060</c:v>
                </c:pt>
                <c:pt idx="22">
                  <c:v>74187</c:v>
                </c:pt>
                <c:pt idx="23">
                  <c:v>80260</c:v>
                </c:pt>
                <c:pt idx="24">
                  <c:v>70324</c:v>
                </c:pt>
                <c:pt idx="25">
                  <c:v>59617</c:v>
                </c:pt>
                <c:pt idx="26">
                  <c:v>32439</c:v>
                </c:pt>
                <c:pt idx="27">
                  <c:v>53422</c:v>
                </c:pt>
                <c:pt idx="28">
                  <c:v>66061</c:v>
                </c:pt>
                <c:pt idx="29">
                  <c:v>55561</c:v>
                </c:pt>
                <c:pt idx="30">
                  <c:v>55664</c:v>
                </c:pt>
                <c:pt idx="31">
                  <c:v>81119</c:v>
                </c:pt>
                <c:pt idx="32">
                  <c:v>61174</c:v>
                </c:pt>
                <c:pt idx="33">
                  <c:v>19948</c:v>
                </c:pt>
              </c:numCache>
            </c:numRef>
          </c:val>
          <c:extLst>
            <c:ext xmlns:c16="http://schemas.microsoft.com/office/drawing/2014/chart" uri="{C3380CC4-5D6E-409C-BE32-E72D297353CC}">
              <c16:uniqueId val="{00000000-6394-4918-885E-2E3F41F18BD1}"/>
            </c:ext>
          </c:extLst>
        </c:ser>
        <c:ser>
          <c:idx val="1"/>
          <c:order val="1"/>
          <c:tx>
            <c:strRef>
              <c:f>Pivot!$C$1:$C$2</c:f>
              <c:strCache>
                <c:ptCount val="1"/>
                <c:pt idx="0">
                  <c:v>Income</c:v>
                </c:pt>
              </c:strCache>
            </c:strRef>
          </c:tx>
          <c:spPr>
            <a:solidFill>
              <a:schemeClr val="accent2"/>
            </a:solidFill>
            <a:ln>
              <a:noFill/>
            </a:ln>
            <a:effectLst/>
          </c:spPr>
          <c:invertIfNegative val="0"/>
          <c:cat>
            <c:multiLvlStrRef>
              <c:f>Pivot!$A$3:$A$40</c:f>
              <c:multiLvlStrCache>
                <c:ptCount val="3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lvl>
                <c:lvl>
                  <c:pt idx="0">
                    <c:v>2025</c:v>
                  </c:pt>
                  <c:pt idx="12">
                    <c:v>2026</c:v>
                  </c:pt>
                  <c:pt idx="24">
                    <c:v>2027</c:v>
                  </c:pt>
                </c:lvl>
              </c:multiLvlStrCache>
            </c:multiLvlStrRef>
          </c:cat>
          <c:val>
            <c:numRef>
              <c:f>Pivot!$C$3:$C$40</c:f>
              <c:numCache>
                <c:formatCode>_("₹"* #,##0_);_("₹"* \(#,##0\);_("₹"* "-"_);_(@_)</c:formatCode>
                <c:ptCount val="34"/>
                <c:pt idx="0">
                  <c:v>188943</c:v>
                </c:pt>
                <c:pt idx="1">
                  <c:v>181778</c:v>
                </c:pt>
                <c:pt idx="2">
                  <c:v>242923</c:v>
                </c:pt>
                <c:pt idx="3">
                  <c:v>403896</c:v>
                </c:pt>
                <c:pt idx="4">
                  <c:v>469255</c:v>
                </c:pt>
                <c:pt idx="5">
                  <c:v>265828</c:v>
                </c:pt>
                <c:pt idx="6">
                  <c:v>276276</c:v>
                </c:pt>
                <c:pt idx="7">
                  <c:v>125367</c:v>
                </c:pt>
                <c:pt idx="8">
                  <c:v>257315</c:v>
                </c:pt>
                <c:pt idx="9">
                  <c:v>383441</c:v>
                </c:pt>
                <c:pt idx="10">
                  <c:v>502786</c:v>
                </c:pt>
                <c:pt idx="11">
                  <c:v>384587</c:v>
                </c:pt>
                <c:pt idx="12">
                  <c:v>291546</c:v>
                </c:pt>
                <c:pt idx="13">
                  <c:v>294278</c:v>
                </c:pt>
                <c:pt idx="14">
                  <c:v>315936</c:v>
                </c:pt>
                <c:pt idx="15">
                  <c:v>276783</c:v>
                </c:pt>
                <c:pt idx="16">
                  <c:v>209761</c:v>
                </c:pt>
                <c:pt idx="17">
                  <c:v>272182</c:v>
                </c:pt>
                <c:pt idx="18">
                  <c:v>110078</c:v>
                </c:pt>
                <c:pt idx="19">
                  <c:v>262865</c:v>
                </c:pt>
                <c:pt idx="20">
                  <c:v>290526</c:v>
                </c:pt>
                <c:pt idx="21">
                  <c:v>291002</c:v>
                </c:pt>
                <c:pt idx="22">
                  <c:v>245351</c:v>
                </c:pt>
                <c:pt idx="23">
                  <c:v>286243</c:v>
                </c:pt>
                <c:pt idx="24">
                  <c:v>327173</c:v>
                </c:pt>
                <c:pt idx="25">
                  <c:v>392160</c:v>
                </c:pt>
                <c:pt idx="26">
                  <c:v>288515</c:v>
                </c:pt>
                <c:pt idx="27">
                  <c:v>208041</c:v>
                </c:pt>
                <c:pt idx="28">
                  <c:v>462913</c:v>
                </c:pt>
                <c:pt idx="29">
                  <c:v>358293</c:v>
                </c:pt>
                <c:pt idx="30">
                  <c:v>316032</c:v>
                </c:pt>
                <c:pt idx="31">
                  <c:v>143813</c:v>
                </c:pt>
                <c:pt idx="32">
                  <c:v>243692</c:v>
                </c:pt>
                <c:pt idx="33">
                  <c:v>107296</c:v>
                </c:pt>
              </c:numCache>
            </c:numRef>
          </c:val>
          <c:extLst>
            <c:ext xmlns:c16="http://schemas.microsoft.com/office/drawing/2014/chart" uri="{C3380CC4-5D6E-409C-BE32-E72D297353CC}">
              <c16:uniqueId val="{00000004-6394-4918-885E-2E3F41F18BD1}"/>
            </c:ext>
          </c:extLst>
        </c:ser>
        <c:dLbls>
          <c:showLegendKey val="0"/>
          <c:showVal val="0"/>
          <c:showCatName val="0"/>
          <c:showSerName val="0"/>
          <c:showPercent val="0"/>
          <c:showBubbleSize val="0"/>
        </c:dLbls>
        <c:gapWidth val="219"/>
        <c:overlap val="-27"/>
        <c:axId val="208437520"/>
        <c:axId val="1797477968"/>
      </c:barChart>
      <c:catAx>
        <c:axId val="2084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77968"/>
        <c:crosses val="autoZero"/>
        <c:auto val="1"/>
        <c:lblAlgn val="ctr"/>
        <c:lblOffset val="100"/>
        <c:noMultiLvlLbl val="0"/>
      </c:catAx>
      <c:valAx>
        <c:axId val="17974779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[Project_1_Personal_Budget_Dashboard.xlsx]Pivot!Payment Method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Pivot!$I$4:$I$9</c:f>
              <c:strCache>
                <c:ptCount val="5"/>
                <c:pt idx="0">
                  <c:v>UPI</c:v>
                </c:pt>
                <c:pt idx="1">
                  <c:v>Cash</c:v>
                </c:pt>
                <c:pt idx="2">
                  <c:v>Debit Card</c:v>
                </c:pt>
                <c:pt idx="3">
                  <c:v>Bank Transfer</c:v>
                </c:pt>
                <c:pt idx="4">
                  <c:v>Credit Card</c:v>
                </c:pt>
              </c:strCache>
            </c:strRef>
          </c:cat>
          <c:val>
            <c:numRef>
              <c:f>Pivot!$J$4:$J$9</c:f>
              <c:numCache>
                <c:formatCode>_("₹"* #,##0_);_("₹"* \(#,##0\);_("₹"* "-"_);_(@_)</c:formatCode>
                <c:ptCount val="5"/>
                <c:pt idx="0">
                  <c:v>2602957</c:v>
                </c:pt>
                <c:pt idx="1">
                  <c:v>2542236</c:v>
                </c:pt>
                <c:pt idx="2">
                  <c:v>2289658</c:v>
                </c:pt>
                <c:pt idx="3">
                  <c:v>2180051</c:v>
                </c:pt>
                <c:pt idx="4">
                  <c:v>2033066</c:v>
                </c:pt>
              </c:numCache>
            </c:numRef>
          </c:val>
          <c:extLst>
            <c:ext xmlns:c16="http://schemas.microsoft.com/office/drawing/2014/chart" uri="{C3380CC4-5D6E-409C-BE32-E72D297353CC}">
              <c16:uniqueId val="{00000000-CED9-4745-86FA-ADBED39BF595}"/>
            </c:ext>
          </c:extLst>
        </c:ser>
        <c:dLbls>
          <c:dLblPos val="outEnd"/>
          <c:showLegendKey val="0"/>
          <c:showVal val="0"/>
          <c:showCatName val="0"/>
          <c:showSerName val="0"/>
          <c:showPercent val="0"/>
          <c:showBubbleSize val="0"/>
        </c:dLbls>
        <c:gapWidth val="182"/>
        <c:axId val="225317936"/>
        <c:axId val="1797517328"/>
      </c:barChart>
      <c:catAx>
        <c:axId val="225317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17328"/>
        <c:crosses val="autoZero"/>
        <c:auto val="1"/>
        <c:lblAlgn val="ctr"/>
        <c:lblOffset val="100"/>
        <c:noMultiLvlLbl val="0"/>
      </c:catAx>
      <c:valAx>
        <c:axId val="1797517328"/>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[Project_1_Personal_Budget_Dashboard.xlsx]Pivot!Expense Distribution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Expense</a:t>
            </a:r>
            <a:r>
              <a:rPr lang="en-US" baseline="0"/>
              <a: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A0-41B2-AB1C-C1D2B5C0D4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A0-41B2-AB1C-C1D2B5C0D4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A0-41B2-AB1C-C1D2B5C0D4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A0-41B2-AB1C-C1D2B5C0D4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4A0-41B2-AB1C-C1D2B5C0D4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Pivot!$F$4:$F$9</c:f>
              <c:strCache>
                <c:ptCount val="5"/>
                <c:pt idx="0">
                  <c:v>Entertainment</c:v>
                </c:pt>
                <c:pt idx="1">
                  <c:v>Food</c:v>
                </c:pt>
                <c:pt idx="2">
                  <c:v>Housing</c:v>
                </c:pt>
                <c:pt idx="3">
                  <c:v>Transport</c:v>
                </c:pt>
                <c:pt idx="4">
                  <c:v>Utilities</c:v>
                </c:pt>
              </c:strCache>
            </c:strRef>
          </c:cat>
          <c:val>
            <c:numRef>
              <c:f>Pivot!$G$4:$G$9</c:f>
              <c:numCache>
                <c:formatCode>_("₹"* #,##0_);_("₹"* \(#,##0\);_("₹"* "-"_);_(@_)</c:formatCode>
                <c:ptCount val="5"/>
                <c:pt idx="0">
                  <c:v>283423</c:v>
                </c:pt>
                <c:pt idx="1">
                  <c:v>615341</c:v>
                </c:pt>
                <c:pt idx="2">
                  <c:v>244906</c:v>
                </c:pt>
                <c:pt idx="3">
                  <c:v>257475</c:v>
                </c:pt>
                <c:pt idx="4">
                  <c:v>569949</c:v>
                </c:pt>
              </c:numCache>
            </c:numRef>
          </c:val>
          <c:extLst>
            <c:ext xmlns:c16="http://schemas.microsoft.com/office/drawing/2014/chart" uri="{C3380CC4-5D6E-409C-BE32-E72D297353CC}">
              <c16:uniqueId val="{0000000A-E4A0-41B2-AB1C-C1D2B5C0D46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139700</xdr:colOff>
      <xdr:row>6</xdr:row>
      <xdr:rowOff>0</xdr:rowOff>
    </xdr:from>
    <xdr:to>
      <xdr:col>3</xdr:col>
      <xdr:colOff>431800</xdr:colOff>
      <xdr:row>20</xdr:row>
      <xdr:rowOff>152400</xdr:rowOff>
    </xdr:to>
    <xdr:graphicFrame macro="">
      <xdr:nvGraphicFramePr>
        <xdr:cNvPr id="4" name="Chart 3">
          <a:extLst>
            <a:ext uri="{FF2B5EF4-FFF2-40B4-BE49-F238E27FC236}">
              <a16:creationId xmlns:a16="http://schemas.microsoft.com/office/drawing/2014/main" id="{66101457-D6B8-43BB-B839-F193D4ECF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154940</xdr:colOff>
      <xdr:row>22</xdr:row>
      <xdr:rowOff>63500</xdr:rowOff>
    </xdr:from>
    <xdr:to>
      <xdr:col>3</xdr:col>
      <xdr:colOff>469900</xdr:colOff>
      <xdr:row>37</xdr:row>
      <xdr:rowOff>63500</xdr:rowOff>
    </xdr:to>
    <xdr:graphicFrame macro="">
      <xdr:nvGraphicFramePr>
        <xdr:cNvPr id="5" name="Chart 4">
          <a:extLst>
            <a:ext uri="{FF2B5EF4-FFF2-40B4-BE49-F238E27FC236}">
              <a16:creationId xmlns:a16="http://schemas.microsoft.com/office/drawing/2014/main" id="{15A0053C-909A-4B3B-9840-6DBFDAE63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806451</xdr:colOff>
      <xdr:row>5</xdr:row>
      <xdr:rowOff>165101</xdr:rowOff>
    </xdr:from>
    <xdr:to>
      <xdr:col>6</xdr:col>
      <xdr:colOff>25401</xdr:colOff>
      <xdr:row>20</xdr:row>
      <xdr:rowOff>152401</xdr:rowOff>
    </xdr:to>
    <xdr:graphicFrame macro="">
      <xdr:nvGraphicFramePr>
        <xdr:cNvPr id="6" name="Chart 5">
          <a:extLst>
            <a:ext uri="{FF2B5EF4-FFF2-40B4-BE49-F238E27FC236}">
              <a16:creationId xmlns:a16="http://schemas.microsoft.com/office/drawing/2014/main" id="{B116C461-2815-48C0-86B7-9C90294A7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939800</xdr:colOff>
      <xdr:row>22</xdr:row>
      <xdr:rowOff>152400</xdr:rowOff>
    </xdr:from>
    <xdr:to>
      <xdr:col>4</xdr:col>
      <xdr:colOff>389467</xdr:colOff>
      <xdr:row>33</xdr:row>
      <xdr:rowOff>59267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A3B0D3B-9908-44EF-B303-12B839010C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65340" y="4770120"/>
              <a:ext cx="1827107" cy="1918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508000</xdr:colOff>
      <xdr:row>22</xdr:row>
      <xdr:rowOff>160867</xdr:rowOff>
    </xdr:from>
    <xdr:to>
      <xdr:col>4</xdr:col>
      <xdr:colOff>2336800</xdr:colOff>
      <xdr:row>33</xdr:row>
      <xdr:rowOff>38100</xdr:rowOff>
    </xdr:to>
    <mc:AlternateContent xmlns:mc="http://schemas.openxmlformats.org/markup-compatibility/2006">
      <mc:Choice xmlns:a14="http://schemas.microsoft.com/office/drawing/2010/main" Requires="a14">
        <xdr:graphicFrame macro="">
          <xdr:nvGraphicFramePr>
            <xdr:cNvPr id="8" name="Type">
              <a:extLst>
                <a:ext uri="{FF2B5EF4-FFF2-40B4-BE49-F238E27FC236}">
                  <a16:creationId xmlns:a16="http://schemas.microsoft.com/office/drawing/2014/main" id="{B18A3775-E81D-49FF-8F28-811AC52C37C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9110980" y="4778587"/>
              <a:ext cx="1828800" cy="1888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59267</xdr:colOff>
      <xdr:row>22</xdr:row>
      <xdr:rowOff>152400</xdr:rowOff>
    </xdr:from>
    <xdr:to>
      <xdr:col>7</xdr:col>
      <xdr:colOff>160867</xdr:colOff>
      <xdr:row>33</xdr:row>
      <xdr:rowOff>47624</xdr:rowOff>
    </xdr:to>
    <mc:AlternateContent xmlns:mc="http://schemas.openxmlformats.org/markup-compatibility/2006">
      <mc:Choice xmlns:a14="http://schemas.microsoft.com/office/drawing/2010/main" Requires="a14">
        <xdr:graphicFrame macro="">
          <xdr:nvGraphicFramePr>
            <xdr:cNvPr id="9" name="Payment Method">
              <a:extLst>
                <a:ext uri="{FF2B5EF4-FFF2-40B4-BE49-F238E27FC236}">
                  <a16:creationId xmlns:a16="http://schemas.microsoft.com/office/drawing/2014/main" id="{CC536E94-39E4-4631-988E-D4A426531FB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039687" y="4770120"/>
              <a:ext cx="2212340" cy="1906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eeb" refreshedDate="46239.050927199074" missingItemsLimit="0" createdVersion="8" refreshedVersion="8" minRefreshableVersion="3" recordCount="1000" xr:uid="{E98A8001-6283-415A-8C6C-0263537CC7A8}">
  <cacheSource type="worksheet">
    <worksheetSource name="tblTransactions"/>
  </cacheSource>
  <cacheFields count="8">
    <cacheField name="Date" numFmtId="14">
      <sharedItems containsSemiMixedTypes="0" containsNonDate="0" containsDate="1" containsString="0" minDate="2025-01-02T00:00:00" maxDate="2027-10-12T00:00:00" count="670">
        <d v="2025-01-02T00:00:00"/>
        <d v="2025-01-04T00:00:00"/>
        <d v="2025-01-05T00:00:00"/>
        <d v="2025-01-07T00:00:00"/>
        <d v="2025-01-08T00:00:00"/>
        <d v="2025-01-09T00:00:00"/>
        <d v="2025-01-10T00:00:00"/>
        <d v="2025-01-11T00:00:00"/>
        <d v="2025-01-13T00:00:00"/>
        <d v="2025-01-15T00:00:00"/>
        <d v="2025-01-17T00:00:00"/>
        <d v="2025-01-18T00:00:00"/>
        <d v="2025-01-20T00:00:00"/>
        <d v="2025-01-21T00:00:00"/>
        <d v="2025-01-23T00:00:00"/>
        <d v="2025-01-24T00:00:00"/>
        <d v="2025-01-26T00:00:00"/>
        <d v="2025-01-27T00:00:00"/>
        <d v="2025-01-29T00:00:00"/>
        <d v="2025-01-30T00:00:00"/>
        <d v="2025-01-31T00:00:00"/>
        <d v="2025-02-02T00:00:00"/>
        <d v="2025-02-03T00:00:00"/>
        <d v="2025-02-05T00:00:00"/>
        <d v="2025-02-07T00:00:00"/>
        <d v="2025-02-08T00:00:00"/>
        <d v="2025-02-10T00:00:00"/>
        <d v="2025-02-12T00:00:00"/>
        <d v="2025-02-14T00:00:00"/>
        <d v="2025-02-16T00:00:00"/>
        <d v="2025-02-18T00:00:00"/>
        <d v="2025-02-19T00:00:00"/>
        <d v="2025-02-21T00:00:00"/>
        <d v="2025-02-23T00:00:00"/>
        <d v="2025-02-24T00:00:00"/>
        <d v="2025-02-25T00:00:00"/>
        <d v="2025-02-27T00:00:00"/>
        <d v="2025-02-28T00:00:00"/>
        <d v="2025-03-01T00:00:00"/>
        <d v="2025-03-02T00:00:00"/>
        <d v="2025-03-03T00:00:00"/>
        <d v="2025-03-04T00:00:00"/>
        <d v="2025-03-06T00:00:00"/>
        <d v="2025-03-07T00:00:00"/>
        <d v="2025-03-09T00:00:00"/>
        <d v="2025-03-11T00:00:00"/>
        <d v="2025-03-13T00:00:00"/>
        <d v="2025-03-14T00:00:00"/>
        <d v="2025-03-15T00:00:00"/>
        <d v="2025-03-17T00:00:00"/>
        <d v="2025-03-18T00:00:00"/>
        <d v="2025-03-20T00:00:00"/>
        <d v="2025-03-22T00:00:00"/>
        <d v="2025-03-23T00:00:00"/>
        <d v="2025-03-24T00:00:00"/>
        <d v="2025-03-25T00:00:00"/>
        <d v="2025-03-26T00:00:00"/>
        <d v="2025-03-28T00:00:00"/>
        <d v="2025-03-30T00:00:00"/>
        <d v="2025-03-31T00:00:00"/>
        <d v="2025-04-02T00:00:00"/>
        <d v="2025-04-04T00:00:00"/>
        <d v="2025-04-06T00:00:00"/>
        <d v="2025-04-08T00:00:00"/>
        <d v="2025-04-09T00:00:00"/>
        <d v="2025-04-11T00:00:00"/>
        <d v="2025-04-12T00:00:00"/>
        <d v="2025-04-14T00:00:00"/>
        <d v="2025-04-16T00:00:00"/>
        <d v="2025-04-17T00:00:00"/>
        <d v="2025-04-18T00:00:00"/>
        <d v="2025-04-19T00:00:00"/>
        <d v="2025-04-21T00:00:00"/>
        <d v="2025-04-22T00:00:00"/>
        <d v="2025-04-23T00:00:00"/>
        <d v="2025-04-25T00:00:00"/>
        <d v="2025-04-26T00:00:00"/>
        <d v="2025-04-28T00:00:00"/>
        <d v="2025-04-30T00:00:00"/>
        <d v="2025-05-01T00:00:00"/>
        <d v="2025-05-02T00:00:00"/>
        <d v="2025-05-04T00:00:00"/>
        <d v="2025-05-06T00:00:00"/>
        <d v="2025-05-08T00:00:00"/>
        <d v="2025-05-09T00:00:00"/>
        <d v="2025-05-10T00:00:00"/>
        <d v="2025-05-11T00:00:00"/>
        <d v="2025-05-13T00:00:00"/>
        <d v="2025-05-15T00:00:00"/>
        <d v="2025-05-17T00:00:00"/>
        <d v="2025-05-19T00:00:00"/>
        <d v="2025-05-21T00:00:00"/>
        <d v="2025-05-23T00:00:00"/>
        <d v="2025-05-24T00:00:00"/>
        <d v="2025-05-25T00:00:00"/>
        <d v="2025-05-27T00:00:00"/>
        <d v="2025-05-29T00:00:00"/>
        <d v="2025-05-31T00:00:00"/>
        <d v="2025-06-01T00:00:00"/>
        <d v="2025-06-03T00:00:00"/>
        <d v="2025-06-05T00:00:00"/>
        <d v="2025-06-07T00:00:00"/>
        <d v="2025-06-08T00:00:00"/>
        <d v="2025-06-10T00:00:00"/>
        <d v="2025-06-12T00:00:00"/>
        <d v="2025-06-14T00:00:00"/>
        <d v="2025-06-16T00:00:00"/>
        <d v="2025-06-17T00:00:00"/>
        <d v="2025-06-19T00:00:00"/>
        <d v="2025-06-20T00:00:00"/>
        <d v="2025-06-22T00:00:00"/>
        <d v="2025-06-23T00:00:00"/>
        <d v="2025-06-25T00:00:00"/>
        <d v="2025-06-27T00:00:00"/>
        <d v="2025-06-29T00:00:00"/>
        <d v="2025-06-30T00:00:00"/>
        <d v="2025-07-02T00:00:00"/>
        <d v="2025-07-03T00:00:00"/>
        <d v="2025-07-05T00:00:00"/>
        <d v="2025-07-07T00:00:00"/>
        <d v="2025-07-08T00:00:00"/>
        <d v="2025-07-10T00:00:00"/>
        <d v="2025-07-12T00:00:00"/>
        <d v="2025-07-13T00:00:00"/>
        <d v="2025-07-15T00:00:00"/>
        <d v="2025-07-17T00:00:00"/>
        <d v="2025-07-19T00:00:00"/>
        <d v="2025-07-20T00:00:00"/>
        <d v="2025-07-22T00:00:00"/>
        <d v="2025-07-24T00:00:00"/>
        <d v="2025-07-26T00:00:00"/>
        <d v="2025-07-27T00:00:00"/>
        <d v="2025-07-28T00:00:00"/>
        <d v="2025-07-29T00:00:00"/>
        <d v="2025-07-30T00:00:00"/>
        <d v="2025-07-31T00:00:00"/>
        <d v="2025-08-01T00:00:00"/>
        <d v="2025-08-03T00:00:00"/>
        <d v="2025-08-04T00:00:00"/>
        <d v="2025-08-05T00:00:00"/>
        <d v="2025-08-06T00:00:00"/>
        <d v="2025-08-07T00:00:00"/>
        <d v="2025-08-08T00:00:00"/>
        <d v="2025-08-10T00:00:00"/>
        <d v="2025-08-12T00:00:00"/>
        <d v="2025-08-13T00:00:00"/>
        <d v="2025-08-15T00:00:00"/>
        <d v="2025-08-16T00:00:00"/>
        <d v="2025-08-17T00:00:00"/>
        <d v="2025-08-18T00:00:00"/>
        <d v="2025-08-20T00:00:00"/>
        <d v="2025-08-21T00:00:00"/>
        <d v="2025-08-23T00:00:00"/>
        <d v="2025-08-24T00:00:00"/>
        <d v="2025-08-26T00:00:00"/>
        <d v="2025-08-28T00:00:00"/>
        <d v="2025-08-29T00:00:00"/>
        <d v="2025-08-31T00:00:00"/>
        <d v="2025-09-02T00:00:00"/>
        <d v="2025-09-04T00:00:00"/>
        <d v="2025-09-06T00:00:00"/>
        <d v="2025-09-07T00:00:00"/>
        <d v="2025-09-08T00:00:00"/>
        <d v="2025-09-09T00:00:00"/>
        <d v="2025-09-11T00:00:00"/>
        <d v="2025-09-12T00:00:00"/>
        <d v="2025-09-14T00:00:00"/>
        <d v="2025-09-15T00:00:00"/>
        <d v="2025-09-17T00:00:00"/>
        <d v="2025-09-19T00:00:00"/>
        <d v="2025-09-21T00:00:00"/>
        <d v="2025-09-22T00:00:00"/>
        <d v="2025-09-24T00:00:00"/>
        <d v="2025-09-26T00:00:00"/>
        <d v="2025-09-27T00:00:00"/>
        <d v="2025-09-29T00:00:00"/>
        <d v="2025-10-01T00:00:00"/>
        <d v="2025-10-03T00:00:00"/>
        <d v="2025-10-05T00:00:00"/>
        <d v="2025-10-07T00:00:00"/>
        <d v="2025-10-09T00:00:00"/>
        <d v="2025-10-11T00:00:00"/>
        <d v="2025-10-13T00:00:00"/>
        <d v="2025-10-14T00:00:00"/>
        <d v="2025-10-16T00:00:00"/>
        <d v="2025-10-17T00:00:00"/>
        <d v="2025-10-18T00:00:00"/>
        <d v="2025-10-19T00:00:00"/>
        <d v="2025-10-21T00:00:00"/>
        <d v="2025-10-22T00:00:00"/>
        <d v="2025-10-24T00:00:00"/>
        <d v="2025-10-26T00:00:00"/>
        <d v="2025-10-27T00:00:00"/>
        <d v="2025-10-29T00:00:00"/>
        <d v="2025-10-31T00:00:00"/>
        <d v="2025-11-02T00:00:00"/>
        <d v="2025-11-03T00:00:00"/>
        <d v="2025-11-05T00:00:00"/>
        <d v="2025-11-07T00:00:00"/>
        <d v="2025-11-09T00:00:00"/>
        <d v="2025-11-10T00:00:00"/>
        <d v="2025-11-12T00:00:00"/>
        <d v="2025-11-13T00:00:00"/>
        <d v="2025-11-14T00:00:00"/>
        <d v="2025-11-15T00:00:00"/>
        <d v="2025-11-17T00:00:00"/>
        <d v="2025-11-19T00:00:00"/>
        <d v="2025-11-20T00:00:00"/>
        <d v="2025-11-22T00:00:00"/>
        <d v="2025-11-23T00:00:00"/>
        <d v="2025-11-24T00:00:00"/>
        <d v="2025-11-26T00:00:00"/>
        <d v="2025-11-27T00:00:00"/>
        <d v="2025-11-28T00:00:00"/>
        <d v="2025-11-29T00:00:00"/>
        <d v="2025-11-30T00:00:00"/>
        <d v="2025-12-02T00:00:00"/>
        <d v="2025-12-03T00:00:00"/>
        <d v="2025-12-05T00:00:00"/>
        <d v="2025-12-07T00:00:00"/>
        <d v="2025-12-08T00:00:00"/>
        <d v="2025-12-09T00:00:00"/>
        <d v="2025-12-10T00:00:00"/>
        <d v="2025-12-11T00:00:00"/>
        <d v="2025-12-12T00:00:00"/>
        <d v="2025-12-13T00:00:00"/>
        <d v="2025-12-14T00:00:00"/>
        <d v="2025-12-16T00:00:00"/>
        <d v="2025-12-18T00:00:00"/>
        <d v="2025-12-19T00:00:00"/>
        <d v="2025-12-21T00:00:00"/>
        <d v="2025-12-22T00:00:00"/>
        <d v="2025-12-24T00:00:00"/>
        <d v="2025-12-25T00:00:00"/>
        <d v="2025-12-27T00:00:00"/>
        <d v="2025-12-29T00:00:00"/>
        <d v="2025-12-31T00:00:00"/>
        <d v="2026-01-01T00:00:00"/>
        <d v="2026-01-03T00:00:00"/>
        <d v="2026-01-04T00:00:00"/>
        <d v="2026-01-05T00:00:00"/>
        <d v="2026-01-07T00:00:00"/>
        <d v="2026-01-08T00:00:00"/>
        <d v="2026-01-09T00:00:00"/>
        <d v="2026-01-10T00:00:00"/>
        <d v="2026-01-12T00:00:00"/>
        <d v="2026-01-14T00:00:00"/>
        <d v="2026-01-16T00:00:00"/>
        <d v="2026-01-17T00:00:00"/>
        <d v="2026-01-19T00:00:00"/>
        <d v="2026-01-21T00:00:00"/>
        <d v="2026-01-22T00:00:00"/>
        <d v="2026-01-24T00:00:00"/>
        <d v="2026-01-26T00:00:00"/>
        <d v="2026-01-27T00:00:00"/>
        <d v="2026-01-29T00:00:00"/>
        <d v="2026-01-30T00:00:00"/>
        <d v="2026-01-31T00:00:00"/>
        <d v="2026-02-02T00:00:00"/>
        <d v="2026-02-03T00:00:00"/>
        <d v="2026-02-05T00:00:00"/>
        <d v="2026-02-06T00:00:00"/>
        <d v="2026-02-07T00:00:00"/>
        <d v="2026-02-08T00:00:00"/>
        <d v="2026-02-09T00:00:00"/>
        <d v="2026-02-11T00:00:00"/>
        <d v="2026-02-12T00:00:00"/>
        <d v="2026-02-13T00:00:00"/>
        <d v="2026-02-15T00:00:00"/>
        <d v="2026-02-17T00:00:00"/>
        <d v="2026-02-18T00:00:00"/>
        <d v="2026-02-19T00:00:00"/>
        <d v="2026-02-21T00:00:00"/>
        <d v="2026-02-23T00:00:00"/>
        <d v="2026-02-24T00:00:00"/>
        <d v="2026-02-25T00:00:00"/>
        <d v="2026-02-26T00:00:00"/>
        <d v="2026-02-27T00:00:00"/>
        <d v="2026-02-28T00:00:00"/>
        <d v="2026-03-02T00:00:00"/>
        <d v="2026-03-04T00:00:00"/>
        <d v="2026-03-06T00:00:00"/>
        <d v="2026-03-07T00:00:00"/>
        <d v="2026-03-08T00:00:00"/>
        <d v="2026-03-09T00:00:00"/>
        <d v="2026-03-11T00:00:00"/>
        <d v="2026-03-13T00:00:00"/>
        <d v="2026-03-14T00:00:00"/>
        <d v="2026-03-15T00:00:00"/>
        <d v="2026-03-16T00:00:00"/>
        <d v="2026-03-17T00:00:00"/>
        <d v="2026-03-18T00:00:00"/>
        <d v="2026-03-20T00:00:00"/>
        <d v="2026-03-22T00:00:00"/>
        <d v="2026-03-24T00:00:00"/>
        <d v="2026-03-26T00:00:00"/>
        <d v="2026-03-27T00:00:00"/>
        <d v="2026-03-28T00:00:00"/>
        <d v="2026-03-30T00:00:00"/>
        <d v="2026-03-31T00:00:00"/>
        <d v="2026-04-01T00:00:00"/>
        <d v="2026-04-03T00:00:00"/>
        <d v="2026-04-05T00:00:00"/>
        <d v="2026-04-07T00:00:00"/>
        <d v="2026-04-09T00:00:00"/>
        <d v="2026-04-10T00:00:00"/>
        <d v="2026-04-12T00:00:00"/>
        <d v="2026-04-14T00:00:00"/>
        <d v="2026-04-15T00:00:00"/>
        <d v="2026-04-16T00:00:00"/>
        <d v="2026-04-17T00:00:00"/>
        <d v="2026-04-19T00:00:00"/>
        <d v="2026-04-21T00:00:00"/>
        <d v="2026-04-22T00:00:00"/>
        <d v="2026-04-24T00:00:00"/>
        <d v="2026-04-26T00:00:00"/>
        <d v="2026-04-28T00:00:00"/>
        <d v="2026-04-29T00:00:00"/>
        <d v="2026-05-01T00:00:00"/>
        <d v="2026-05-03T00:00:00"/>
        <d v="2026-05-05T00:00:00"/>
        <d v="2026-05-07T00:00:00"/>
        <d v="2026-05-08T00:00:00"/>
        <d v="2026-05-09T00:00:00"/>
        <d v="2026-05-11T00:00:00"/>
        <d v="2026-05-13T00:00:00"/>
        <d v="2026-05-15T00:00:00"/>
        <d v="2026-05-16T00:00:00"/>
        <d v="2026-05-17T00:00:00"/>
        <d v="2026-05-18T00:00:00"/>
        <d v="2026-05-19T00:00:00"/>
        <d v="2026-05-20T00:00:00"/>
        <d v="2026-05-22T00:00:00"/>
        <d v="2026-05-24T00:00:00"/>
        <d v="2026-05-26T00:00:00"/>
        <d v="2026-05-28T00:00:00"/>
        <d v="2026-05-29T00:00:00"/>
        <d v="2026-05-30T00:00:00"/>
        <d v="2026-05-31T00:00:00"/>
        <d v="2026-06-01T00:00:00"/>
        <d v="2026-06-02T00:00:00"/>
        <d v="2026-06-03T00:00:00"/>
        <d v="2026-06-05T00:00:00"/>
        <d v="2026-06-06T00:00:00"/>
        <d v="2026-06-08T00:00:00"/>
        <d v="2026-06-10T00:00:00"/>
        <d v="2026-06-12T00:00:00"/>
        <d v="2026-06-13T00:00:00"/>
        <d v="2026-06-15T00:00:00"/>
        <d v="2026-06-16T00:00:00"/>
        <d v="2026-06-18T00:00:00"/>
        <d v="2026-06-19T00:00:00"/>
        <d v="2026-06-21T00:00:00"/>
        <d v="2026-06-23T00:00:00"/>
        <d v="2026-06-25T00:00:00"/>
        <d v="2026-06-27T00:00:00"/>
        <d v="2026-06-29T00:00:00"/>
        <d v="2026-06-30T00:00:00"/>
        <d v="2026-07-02T00:00:00"/>
        <d v="2026-07-04T00:00:00"/>
        <d v="2026-07-06T00:00:00"/>
        <d v="2026-07-07T00:00:00"/>
        <d v="2026-07-09T00:00:00"/>
        <d v="2026-07-10T00:00:00"/>
        <d v="2026-07-12T00:00:00"/>
        <d v="2026-07-14T00:00:00"/>
        <d v="2026-07-16T00:00:00"/>
        <d v="2026-07-17T00:00:00"/>
        <d v="2026-07-18T00:00:00"/>
        <d v="2026-07-20T00:00:00"/>
        <d v="2026-07-22T00:00:00"/>
        <d v="2026-07-24T00:00:00"/>
        <d v="2026-07-26T00:00:00"/>
        <d v="2026-07-27T00:00:00"/>
        <d v="2026-07-28T00:00:00"/>
        <d v="2026-07-29T00:00:00"/>
        <d v="2026-07-30T00:00:00"/>
        <d v="2026-08-01T00:00:00"/>
        <d v="2026-08-03T00:00:00"/>
        <d v="2026-08-04T00:00:00"/>
        <d v="2026-08-06T00:00:00"/>
        <d v="2026-08-08T00:00:00"/>
        <d v="2026-08-09T00:00:00"/>
        <d v="2026-08-11T00:00:00"/>
        <d v="2026-08-13T00:00:00"/>
        <d v="2026-08-15T00:00:00"/>
        <d v="2026-08-17T00:00:00"/>
        <d v="2026-08-19T00:00:00"/>
        <d v="2026-08-20T00:00:00"/>
        <d v="2026-08-21T00:00:00"/>
        <d v="2026-08-23T00:00:00"/>
        <d v="2026-08-25T00:00:00"/>
        <d v="2026-08-27T00:00:00"/>
        <d v="2026-08-28T00:00:00"/>
        <d v="2026-08-29T00:00:00"/>
        <d v="2026-08-31T00:00:00"/>
        <d v="2026-09-01T00:00:00"/>
        <d v="2026-09-03T00:00:00"/>
        <d v="2026-09-05T00:00:00"/>
        <d v="2026-09-06T00:00:00"/>
        <d v="2026-09-08T00:00:00"/>
        <d v="2026-09-10T00:00:00"/>
        <d v="2026-09-11T00:00:00"/>
        <d v="2026-09-12T00:00:00"/>
        <d v="2026-09-14T00:00:00"/>
        <d v="2026-09-15T00:00:00"/>
        <d v="2026-09-16T00:00:00"/>
        <d v="2026-09-18T00:00:00"/>
        <d v="2026-09-20T00:00:00"/>
        <d v="2026-09-21T00:00:00"/>
        <d v="2026-09-23T00:00:00"/>
        <d v="2026-09-25T00:00:00"/>
        <d v="2026-09-27T00:00:00"/>
        <d v="2026-09-29T00:00:00"/>
        <d v="2026-09-30T00:00:00"/>
        <d v="2026-10-01T00:00:00"/>
        <d v="2026-10-02T00:00:00"/>
        <d v="2026-10-04T00:00:00"/>
        <d v="2026-10-06T00:00:00"/>
        <d v="2026-10-07T00:00:00"/>
        <d v="2026-10-08T00:00:00"/>
        <d v="2026-10-09T00:00:00"/>
        <d v="2026-10-10T00:00:00"/>
        <d v="2026-10-12T00:00:00"/>
        <d v="2026-10-13T00:00:00"/>
        <d v="2026-10-15T00:00:00"/>
        <d v="2026-10-16T00:00:00"/>
        <d v="2026-10-18T00:00:00"/>
        <d v="2026-10-19T00:00:00"/>
        <d v="2026-10-20T00:00:00"/>
        <d v="2026-10-21T00:00:00"/>
        <d v="2026-10-23T00:00:00"/>
        <d v="2026-10-24T00:00:00"/>
        <d v="2026-10-25T00:00:00"/>
        <d v="2026-10-27T00:00:00"/>
        <d v="2026-10-28T00:00:00"/>
        <d v="2026-10-29T00:00:00"/>
        <d v="2026-10-30T00:00:00"/>
        <d v="2026-10-31T00:00:00"/>
        <d v="2026-11-01T00:00:00"/>
        <d v="2026-11-02T00:00:00"/>
        <d v="2026-11-04T00:00:00"/>
        <d v="2026-11-06T00:00:00"/>
        <d v="2026-11-07T00:00:00"/>
        <d v="2026-11-08T00:00:00"/>
        <d v="2026-11-09T00:00:00"/>
        <d v="2026-11-10T00:00:00"/>
        <d v="2026-11-11T00:00:00"/>
        <d v="2026-11-13T00:00:00"/>
        <d v="2026-11-15T00:00:00"/>
        <d v="2026-11-16T00:00:00"/>
        <d v="2026-11-18T00:00:00"/>
        <d v="2026-11-20T00:00:00"/>
        <d v="2026-11-22T00:00:00"/>
        <d v="2026-11-23T00:00:00"/>
        <d v="2026-11-25T00:00:00"/>
        <d v="2026-11-26T00:00:00"/>
        <d v="2026-11-28T00:00:00"/>
        <d v="2026-11-29T00:00:00"/>
        <d v="2026-11-30T00:00:00"/>
        <d v="2026-12-02T00:00:00"/>
        <d v="2026-12-03T00:00:00"/>
        <d v="2026-12-05T00:00:00"/>
        <d v="2026-12-06T00:00:00"/>
        <d v="2026-12-07T00:00:00"/>
        <d v="2026-12-08T00:00:00"/>
        <d v="2026-12-10T00:00:00"/>
        <d v="2026-12-11T00:00:00"/>
        <d v="2026-12-13T00:00:00"/>
        <d v="2026-12-14T00:00:00"/>
        <d v="2026-12-16T00:00:00"/>
        <d v="2026-12-18T00:00:00"/>
        <d v="2026-12-19T00:00:00"/>
        <d v="2026-12-20T00:00:00"/>
        <d v="2026-12-22T00:00:00"/>
        <d v="2026-12-24T00:00:00"/>
        <d v="2026-12-25T00:00:00"/>
        <d v="2026-12-26T00:00:00"/>
        <d v="2026-12-28T00:00:00"/>
        <d v="2026-12-30T00:00:00"/>
        <d v="2027-01-01T00:00:00"/>
        <d v="2027-01-03T00:00:00"/>
        <d v="2027-01-04T00:00:00"/>
        <d v="2027-01-05T00:00:00"/>
        <d v="2027-01-06T00:00:00"/>
        <d v="2027-01-08T00:00:00"/>
        <d v="2027-01-09T00:00:00"/>
        <d v="2027-01-10T00:00:00"/>
        <d v="2027-01-12T00:00:00"/>
        <d v="2027-01-14T00:00:00"/>
        <d v="2027-01-16T00:00:00"/>
        <d v="2027-01-17T00:00:00"/>
        <d v="2027-01-18T00:00:00"/>
        <d v="2027-01-19T00:00:00"/>
        <d v="2027-01-21T00:00:00"/>
        <d v="2027-01-22T00:00:00"/>
        <d v="2027-01-24T00:00:00"/>
        <d v="2027-01-26T00:00:00"/>
        <d v="2027-01-27T00:00:00"/>
        <d v="2027-01-29T00:00:00"/>
        <d v="2027-01-30T00:00:00"/>
        <d v="2027-02-01T00:00:00"/>
        <d v="2027-02-03T00:00:00"/>
        <d v="2027-02-04T00:00:00"/>
        <d v="2027-02-05T00:00:00"/>
        <d v="2027-02-06T00:00:00"/>
        <d v="2027-02-08T00:00:00"/>
        <d v="2027-02-10T00:00:00"/>
        <d v="2027-02-12T00:00:00"/>
        <d v="2027-02-14T00:00:00"/>
        <d v="2027-02-16T00:00:00"/>
        <d v="2027-02-18T00:00:00"/>
        <d v="2027-02-19T00:00:00"/>
        <d v="2027-02-21T00:00:00"/>
        <d v="2027-02-22T00:00:00"/>
        <d v="2027-02-24T00:00:00"/>
        <d v="2027-02-26T00:00:00"/>
        <d v="2027-02-28T00:00:00"/>
        <d v="2027-03-02T00:00:00"/>
        <d v="2027-03-04T00:00:00"/>
        <d v="2027-03-06T00:00:00"/>
        <d v="2027-03-08T00:00:00"/>
        <d v="2027-03-10T00:00:00"/>
        <d v="2027-03-12T00:00:00"/>
        <d v="2027-03-13T00:00:00"/>
        <d v="2027-03-14T00:00:00"/>
        <d v="2027-03-15T00:00:00"/>
        <d v="2027-03-17T00:00:00"/>
        <d v="2027-03-18T00:00:00"/>
        <d v="2027-03-20T00:00:00"/>
        <d v="2027-03-21T00:00:00"/>
        <d v="2027-03-23T00:00:00"/>
        <d v="2027-03-24T00:00:00"/>
        <d v="2027-03-26T00:00:00"/>
        <d v="2027-03-28T00:00:00"/>
        <d v="2027-03-29T00:00:00"/>
        <d v="2027-03-30T00:00:00"/>
        <d v="2027-04-01T00:00:00"/>
        <d v="2027-04-03T00:00:00"/>
        <d v="2027-04-04T00:00:00"/>
        <d v="2027-04-05T00:00:00"/>
        <d v="2027-04-07T00:00:00"/>
        <d v="2027-04-09T00:00:00"/>
        <d v="2027-04-11T00:00:00"/>
        <d v="2027-04-13T00:00:00"/>
        <d v="2027-04-14T00:00:00"/>
        <d v="2027-04-16T00:00:00"/>
        <d v="2027-04-18T00:00:00"/>
        <d v="2027-04-19T00:00:00"/>
        <d v="2027-04-20T00:00:00"/>
        <d v="2027-04-22T00:00:00"/>
        <d v="2027-04-23T00:00:00"/>
        <d v="2027-04-24T00:00:00"/>
        <d v="2027-04-25T00:00:00"/>
        <d v="2027-04-27T00:00:00"/>
        <d v="2027-04-28T00:00:00"/>
        <d v="2027-04-29T00:00:00"/>
        <d v="2027-05-01T00:00:00"/>
        <d v="2027-05-03T00:00:00"/>
        <d v="2027-05-04T00:00:00"/>
        <d v="2027-05-05T00:00:00"/>
        <d v="2027-05-06T00:00:00"/>
        <d v="2027-05-07T00:00:00"/>
        <d v="2027-05-08T00:00:00"/>
        <d v="2027-05-10T00:00:00"/>
        <d v="2027-05-11T00:00:00"/>
        <d v="2027-05-12T00:00:00"/>
        <d v="2027-05-13T00:00:00"/>
        <d v="2027-05-14T00:00:00"/>
        <d v="2027-05-16T00:00:00"/>
        <d v="2027-05-17T00:00:00"/>
        <d v="2027-05-19T00:00:00"/>
        <d v="2027-05-20T00:00:00"/>
        <d v="2027-05-22T00:00:00"/>
        <d v="2027-05-23T00:00:00"/>
        <d v="2027-05-24T00:00:00"/>
        <d v="2027-05-25T00:00:00"/>
        <d v="2027-05-27T00:00:00"/>
        <d v="2027-05-29T00:00:00"/>
        <d v="2027-05-30T00:00:00"/>
        <d v="2027-05-31T00:00:00"/>
        <d v="2027-06-02T00:00:00"/>
        <d v="2027-06-04T00:00:00"/>
        <d v="2027-06-06T00:00:00"/>
        <d v="2027-06-07T00:00:00"/>
        <d v="2027-06-08T00:00:00"/>
        <d v="2027-06-10T00:00:00"/>
        <d v="2027-06-12T00:00:00"/>
        <d v="2027-06-14T00:00:00"/>
        <d v="2027-06-16T00:00:00"/>
        <d v="2027-06-18T00:00:00"/>
        <d v="2027-06-19T00:00:00"/>
        <d v="2027-06-21T00:00:00"/>
        <d v="2027-06-22T00:00:00"/>
        <d v="2027-06-23T00:00:00"/>
        <d v="2027-06-24T00:00:00"/>
        <d v="2027-06-25T00:00:00"/>
        <d v="2027-06-26T00:00:00"/>
        <d v="2027-06-28T00:00:00"/>
        <d v="2027-06-30T00:00:00"/>
        <d v="2027-07-01T00:00:00"/>
        <d v="2027-07-03T00:00:00"/>
        <d v="2027-07-05T00:00:00"/>
        <d v="2027-07-06T00:00:00"/>
        <d v="2027-07-08T00:00:00"/>
        <d v="2027-07-10T00:00:00"/>
        <d v="2027-07-12T00:00:00"/>
        <d v="2027-07-14T00:00:00"/>
        <d v="2027-07-15T00:00:00"/>
        <d v="2027-07-17T00:00:00"/>
        <d v="2027-07-19T00:00:00"/>
        <d v="2027-07-20T00:00:00"/>
        <d v="2027-07-21T00:00:00"/>
        <d v="2027-07-23T00:00:00"/>
        <d v="2027-07-25T00:00:00"/>
        <d v="2027-07-27T00:00:00"/>
        <d v="2027-07-28T00:00:00"/>
        <d v="2027-07-29T00:00:00"/>
        <d v="2027-07-31T00:00:00"/>
        <d v="2027-08-01T00:00:00"/>
        <d v="2027-08-03T00:00:00"/>
        <d v="2027-08-04T00:00:00"/>
        <d v="2027-08-05T00:00:00"/>
        <d v="2027-08-06T00:00:00"/>
        <d v="2027-08-07T00:00:00"/>
        <d v="2027-08-08T00:00:00"/>
        <d v="2027-08-10T00:00:00"/>
        <d v="2027-08-11T00:00:00"/>
        <d v="2027-08-12T00:00:00"/>
        <d v="2027-08-13T00:00:00"/>
        <d v="2027-08-15T00:00:00"/>
        <d v="2027-08-16T00:00:00"/>
        <d v="2027-08-18T00:00:00"/>
        <d v="2027-08-19T00:00:00"/>
        <d v="2027-08-21T00:00:00"/>
        <d v="2027-08-22T00:00:00"/>
        <d v="2027-08-23T00:00:00"/>
        <d v="2027-08-24T00:00:00"/>
        <d v="2027-08-25T00:00:00"/>
        <d v="2027-08-27T00:00:00"/>
        <d v="2027-08-29T00:00:00"/>
        <d v="2027-08-31T00:00:00"/>
        <d v="2027-09-01T00:00:00"/>
        <d v="2027-09-02T00:00:00"/>
        <d v="2027-09-04T00:00:00"/>
        <d v="2027-09-06T00:00:00"/>
        <d v="2027-09-07T00:00:00"/>
        <d v="2027-09-08T00:00:00"/>
        <d v="2027-09-10T00:00:00"/>
        <d v="2027-09-11T00:00:00"/>
        <d v="2027-09-13T00:00:00"/>
        <d v="2027-09-14T00:00:00"/>
        <d v="2027-09-16T00:00:00"/>
        <d v="2027-09-18T00:00:00"/>
        <d v="2027-09-19T00:00:00"/>
        <d v="2027-09-21T00:00:00"/>
        <d v="2027-09-22T00:00:00"/>
        <d v="2027-09-24T00:00:00"/>
        <d v="2027-09-25T00:00:00"/>
        <d v="2027-09-26T00:00:00"/>
        <d v="2027-09-28T00:00:00"/>
        <d v="2027-09-30T00:00:00"/>
        <d v="2027-10-01T00:00:00"/>
        <d v="2027-10-03T00:00:00"/>
        <d v="2027-10-04T00:00:00"/>
        <d v="2027-10-06T00:00:00"/>
        <d v="2027-10-07T00:00:00"/>
        <d v="2027-10-08T00:00:00"/>
        <d v="2027-10-10T00:00:00"/>
        <d v="2027-10-11T00:00:00"/>
      </sharedItems>
      <fieldGroup par="7"/>
    </cacheField>
    <cacheField name="Description" numFmtId="0">
      <sharedItems/>
    </cacheField>
    <cacheField name="Category" numFmtId="0">
      <sharedItems count="6">
        <s v="Utilities"/>
        <s v="Food"/>
        <s v="Housing"/>
        <s v="Salary"/>
        <s v="Entertainment"/>
        <s v="Transport"/>
      </sharedItems>
    </cacheField>
    <cacheField name="Payment Method" numFmtId="0">
      <sharedItems count="5">
        <s v="UPI"/>
        <s v="Credit Card"/>
        <s v="Cash"/>
        <s v="Debit Card"/>
        <s v="Bank Transfer"/>
      </sharedItems>
    </cacheField>
    <cacheField name="Amount" numFmtId="3">
      <sharedItems containsSemiMixedTypes="0" containsString="0" containsNumber="1" containsInteger="1" minValue="106" maxValue="59829"/>
    </cacheField>
    <cacheField name="Type" numFmtId="0">
      <sharedItems count="2">
        <s v="Expense"/>
        <s v="Income"/>
      </sharedItems>
    </cacheField>
    <cacheField name="Months (Date)" numFmtId="0" databaseField="0">
      <fieldGroup base="0">
        <rangePr groupBy="months" startDate="2025-01-02T00:00:00" endDate="2027-10-12T00:00:00"/>
        <groupItems count="14">
          <s v="&lt;02-01-2025"/>
          <s v="Jan"/>
          <s v="Feb"/>
          <s v="Mar"/>
          <s v="Apr"/>
          <s v="May"/>
          <s v="Jun"/>
          <s v="Jul"/>
          <s v="Aug"/>
          <s v="Sep"/>
          <s v="Oct"/>
          <s v="Nov"/>
          <s v="Dec"/>
          <s v="&gt;12-10-2027"/>
        </groupItems>
      </fieldGroup>
    </cacheField>
    <cacheField name="Years (Date)" numFmtId="0" databaseField="0">
      <fieldGroup base="0">
        <rangePr groupBy="years" startDate="2025-01-02T00:00:00" endDate="2027-10-12T00:00:00"/>
        <groupItems count="5">
          <s v="&lt;02-01-2025"/>
          <s v="2025"/>
          <s v="2026"/>
          <s v="2027"/>
          <s v="&gt;12-10-2027"/>
        </groupItems>
      </fieldGroup>
    </cacheField>
  </cacheFields>
  <extLst>
    <ext xmlns:x14="http://schemas.microsoft.com/office/spreadsheetml/2009/9/main" uri="{725AE2AE-9491-48be-B2B4-4EB974FC3084}">
      <x14:pivotCacheDefinition pivotCacheId="1875743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Internet Bill"/>
    <x v="0"/>
    <x v="0"/>
    <n v="588"/>
    <x v="0"/>
  </r>
  <r>
    <x v="1"/>
    <s v="Internet Bill"/>
    <x v="0"/>
    <x v="1"/>
    <n v="2199"/>
    <x v="0"/>
  </r>
  <r>
    <x v="2"/>
    <s v="Internet Bill"/>
    <x v="0"/>
    <x v="2"/>
    <n v="1380"/>
    <x v="0"/>
  </r>
  <r>
    <x v="3"/>
    <s v="Groceries"/>
    <x v="1"/>
    <x v="1"/>
    <n v="4916"/>
    <x v="0"/>
  </r>
  <r>
    <x v="4"/>
    <s v="Rent"/>
    <x v="2"/>
    <x v="3"/>
    <n v="917"/>
    <x v="0"/>
  </r>
  <r>
    <x v="4"/>
    <s v="Restaurant"/>
    <x v="1"/>
    <x v="2"/>
    <n v="3657"/>
    <x v="0"/>
  </r>
  <r>
    <x v="5"/>
    <s v="Restaurant"/>
    <x v="1"/>
    <x v="2"/>
    <n v="2648"/>
    <x v="0"/>
  </r>
  <r>
    <x v="5"/>
    <s v="Internet Bill"/>
    <x v="0"/>
    <x v="3"/>
    <n v="3084"/>
    <x v="0"/>
  </r>
  <r>
    <x v="6"/>
    <s v="Restaurant"/>
    <x v="1"/>
    <x v="4"/>
    <n v="2588"/>
    <x v="0"/>
  </r>
  <r>
    <x v="6"/>
    <s v="Groceries"/>
    <x v="1"/>
    <x v="2"/>
    <n v="3011"/>
    <x v="0"/>
  </r>
  <r>
    <x v="7"/>
    <s v="Internet Bill"/>
    <x v="0"/>
    <x v="4"/>
    <n v="4902"/>
    <x v="0"/>
  </r>
  <r>
    <x v="7"/>
    <s v="Salary"/>
    <x v="3"/>
    <x v="0"/>
    <n v="34867"/>
    <x v="1"/>
  </r>
  <r>
    <x v="7"/>
    <s v="Salary"/>
    <x v="3"/>
    <x v="1"/>
    <n v="30956"/>
    <x v="1"/>
  </r>
  <r>
    <x v="7"/>
    <s v="Rent"/>
    <x v="2"/>
    <x v="3"/>
    <n v="2799"/>
    <x v="0"/>
  </r>
  <r>
    <x v="8"/>
    <s v="Freelance"/>
    <x v="3"/>
    <x v="2"/>
    <n v="44770"/>
    <x v="1"/>
  </r>
  <r>
    <x v="9"/>
    <s v="Internet Bill"/>
    <x v="0"/>
    <x v="0"/>
    <n v="3714"/>
    <x v="0"/>
  </r>
  <r>
    <x v="10"/>
    <s v="Groceries"/>
    <x v="1"/>
    <x v="3"/>
    <n v="1390"/>
    <x v="0"/>
  </r>
  <r>
    <x v="10"/>
    <s v="Restaurant"/>
    <x v="1"/>
    <x v="1"/>
    <n v="1299"/>
    <x v="0"/>
  </r>
  <r>
    <x v="11"/>
    <s v="Movie"/>
    <x v="4"/>
    <x v="0"/>
    <n v="581"/>
    <x v="0"/>
  </r>
  <r>
    <x v="11"/>
    <s v="Restaurant"/>
    <x v="1"/>
    <x v="1"/>
    <n v="962"/>
    <x v="0"/>
  </r>
  <r>
    <x v="11"/>
    <s v="Electricity Bill"/>
    <x v="0"/>
    <x v="3"/>
    <n v="1294"/>
    <x v="0"/>
  </r>
  <r>
    <x v="12"/>
    <s v="Rent"/>
    <x v="2"/>
    <x v="1"/>
    <n v="4801"/>
    <x v="0"/>
  </r>
  <r>
    <x v="13"/>
    <s v="Movie"/>
    <x v="4"/>
    <x v="0"/>
    <n v="2271"/>
    <x v="0"/>
  </r>
  <r>
    <x v="14"/>
    <s v="Electricity Bill"/>
    <x v="0"/>
    <x v="2"/>
    <n v="4242"/>
    <x v="0"/>
  </r>
  <r>
    <x v="14"/>
    <s v="Fuel"/>
    <x v="5"/>
    <x v="3"/>
    <n v="1492"/>
    <x v="0"/>
  </r>
  <r>
    <x v="15"/>
    <s v="Freelance"/>
    <x v="3"/>
    <x v="4"/>
    <n v="36225"/>
    <x v="1"/>
  </r>
  <r>
    <x v="15"/>
    <s v="Freelance"/>
    <x v="3"/>
    <x v="4"/>
    <n v="42125"/>
    <x v="1"/>
  </r>
  <r>
    <x v="16"/>
    <s v="Restaurant"/>
    <x v="1"/>
    <x v="1"/>
    <n v="3736"/>
    <x v="0"/>
  </r>
  <r>
    <x v="17"/>
    <s v="Movie"/>
    <x v="4"/>
    <x v="2"/>
    <n v="1315"/>
    <x v="0"/>
  </r>
  <r>
    <x v="17"/>
    <s v="Movie"/>
    <x v="4"/>
    <x v="0"/>
    <n v="4994"/>
    <x v="0"/>
  </r>
  <r>
    <x v="17"/>
    <s v="Fuel"/>
    <x v="5"/>
    <x v="3"/>
    <n v="2207"/>
    <x v="0"/>
  </r>
  <r>
    <x v="18"/>
    <s v="Internet Bill"/>
    <x v="0"/>
    <x v="4"/>
    <n v="4383"/>
    <x v="0"/>
  </r>
  <r>
    <x v="19"/>
    <s v="Electricity Bill"/>
    <x v="0"/>
    <x v="2"/>
    <n v="243"/>
    <x v="0"/>
  </r>
  <r>
    <x v="20"/>
    <s v="Restaurant"/>
    <x v="1"/>
    <x v="3"/>
    <n v="4010"/>
    <x v="0"/>
  </r>
  <r>
    <x v="20"/>
    <s v="Fuel"/>
    <x v="5"/>
    <x v="2"/>
    <n v="1820"/>
    <x v="0"/>
  </r>
  <r>
    <x v="21"/>
    <s v="Internet Bill"/>
    <x v="0"/>
    <x v="1"/>
    <n v="3476"/>
    <x v="0"/>
  </r>
  <r>
    <x v="22"/>
    <s v="Salary"/>
    <x v="3"/>
    <x v="3"/>
    <n v="46111"/>
    <x v="1"/>
  </r>
  <r>
    <x v="23"/>
    <s v="Internet Bill"/>
    <x v="0"/>
    <x v="3"/>
    <n v="2595"/>
    <x v="0"/>
  </r>
  <r>
    <x v="23"/>
    <s v="Fuel"/>
    <x v="5"/>
    <x v="1"/>
    <n v="526"/>
    <x v="0"/>
  </r>
  <r>
    <x v="23"/>
    <s v="Freelance"/>
    <x v="3"/>
    <x v="3"/>
    <n v="50897"/>
    <x v="1"/>
  </r>
  <r>
    <x v="23"/>
    <s v="Salary"/>
    <x v="3"/>
    <x v="1"/>
    <n v="30530"/>
    <x v="1"/>
  </r>
  <r>
    <x v="24"/>
    <s v="Salary"/>
    <x v="3"/>
    <x v="4"/>
    <n v="54240"/>
    <x v="1"/>
  </r>
  <r>
    <x v="24"/>
    <s v="Internet Bill"/>
    <x v="0"/>
    <x v="3"/>
    <n v="2563"/>
    <x v="0"/>
  </r>
  <r>
    <x v="24"/>
    <s v="Rent"/>
    <x v="2"/>
    <x v="0"/>
    <n v="3773"/>
    <x v="0"/>
  </r>
  <r>
    <x v="25"/>
    <s v="Groceries"/>
    <x v="1"/>
    <x v="2"/>
    <n v="1162"/>
    <x v="0"/>
  </r>
  <r>
    <x v="25"/>
    <s v="Rent"/>
    <x v="2"/>
    <x v="1"/>
    <n v="3857"/>
    <x v="0"/>
  </r>
  <r>
    <x v="26"/>
    <s v="Fuel"/>
    <x v="5"/>
    <x v="0"/>
    <n v="143"/>
    <x v="0"/>
  </r>
  <r>
    <x v="26"/>
    <s v="Electricity Bill"/>
    <x v="0"/>
    <x v="4"/>
    <n v="3960"/>
    <x v="0"/>
  </r>
  <r>
    <x v="27"/>
    <s v="Rent"/>
    <x v="2"/>
    <x v="4"/>
    <n v="288"/>
    <x v="0"/>
  </r>
  <r>
    <x v="28"/>
    <s v="Internet Bill"/>
    <x v="0"/>
    <x v="3"/>
    <n v="596"/>
    <x v="0"/>
  </r>
  <r>
    <x v="29"/>
    <s v="Movie"/>
    <x v="4"/>
    <x v="0"/>
    <n v="683"/>
    <x v="0"/>
  </r>
  <r>
    <x v="29"/>
    <s v="Fuel"/>
    <x v="5"/>
    <x v="4"/>
    <n v="2971"/>
    <x v="0"/>
  </r>
  <r>
    <x v="30"/>
    <s v="Groceries"/>
    <x v="1"/>
    <x v="0"/>
    <n v="2883"/>
    <x v="0"/>
  </r>
  <r>
    <x v="31"/>
    <s v="Movie"/>
    <x v="4"/>
    <x v="3"/>
    <n v="4752"/>
    <x v="0"/>
  </r>
  <r>
    <x v="32"/>
    <s v="Groceries"/>
    <x v="1"/>
    <x v="2"/>
    <n v="1812"/>
    <x v="0"/>
  </r>
  <r>
    <x v="33"/>
    <s v="Restaurant"/>
    <x v="1"/>
    <x v="2"/>
    <n v="3457"/>
    <x v="0"/>
  </r>
  <r>
    <x v="34"/>
    <s v="Fuel"/>
    <x v="5"/>
    <x v="4"/>
    <n v="2838"/>
    <x v="0"/>
  </r>
  <r>
    <x v="34"/>
    <s v="Rent"/>
    <x v="2"/>
    <x v="1"/>
    <n v="4915"/>
    <x v="0"/>
  </r>
  <r>
    <x v="34"/>
    <s v="Rent"/>
    <x v="2"/>
    <x v="3"/>
    <n v="4601"/>
    <x v="0"/>
  </r>
  <r>
    <x v="35"/>
    <s v="Movie"/>
    <x v="4"/>
    <x v="4"/>
    <n v="1636"/>
    <x v="0"/>
  </r>
  <r>
    <x v="36"/>
    <s v="Fuel"/>
    <x v="5"/>
    <x v="3"/>
    <n v="1484"/>
    <x v="0"/>
  </r>
  <r>
    <x v="37"/>
    <s v="Electricity Bill"/>
    <x v="0"/>
    <x v="4"/>
    <n v="3616"/>
    <x v="0"/>
  </r>
  <r>
    <x v="37"/>
    <s v="Restaurant"/>
    <x v="1"/>
    <x v="3"/>
    <n v="2667"/>
    <x v="0"/>
  </r>
  <r>
    <x v="38"/>
    <s v="Internet Bill"/>
    <x v="0"/>
    <x v="3"/>
    <n v="2283"/>
    <x v="0"/>
  </r>
  <r>
    <x v="38"/>
    <s v="Salary"/>
    <x v="3"/>
    <x v="2"/>
    <n v="51681"/>
    <x v="1"/>
  </r>
  <r>
    <x v="39"/>
    <s v="Movie"/>
    <x v="4"/>
    <x v="4"/>
    <n v="903"/>
    <x v="0"/>
  </r>
  <r>
    <x v="40"/>
    <s v="Fuel"/>
    <x v="5"/>
    <x v="2"/>
    <n v="3782"/>
    <x v="0"/>
  </r>
  <r>
    <x v="40"/>
    <s v="Rent"/>
    <x v="2"/>
    <x v="4"/>
    <n v="135"/>
    <x v="0"/>
  </r>
  <r>
    <x v="41"/>
    <s v="Electricity Bill"/>
    <x v="0"/>
    <x v="3"/>
    <n v="3038"/>
    <x v="0"/>
  </r>
  <r>
    <x v="42"/>
    <s v="Restaurant"/>
    <x v="1"/>
    <x v="2"/>
    <n v="385"/>
    <x v="0"/>
  </r>
  <r>
    <x v="43"/>
    <s v="Movie"/>
    <x v="4"/>
    <x v="3"/>
    <n v="1040"/>
    <x v="0"/>
  </r>
  <r>
    <x v="43"/>
    <s v="Electricity Bill"/>
    <x v="0"/>
    <x v="4"/>
    <n v="1196"/>
    <x v="0"/>
  </r>
  <r>
    <x v="44"/>
    <s v="Movie"/>
    <x v="4"/>
    <x v="3"/>
    <n v="178"/>
    <x v="0"/>
  </r>
  <r>
    <x v="44"/>
    <s v="Internet Bill"/>
    <x v="0"/>
    <x v="1"/>
    <n v="3004"/>
    <x v="0"/>
  </r>
  <r>
    <x v="44"/>
    <s v="Rent"/>
    <x v="2"/>
    <x v="4"/>
    <n v="4211"/>
    <x v="0"/>
  </r>
  <r>
    <x v="45"/>
    <s v="Rent"/>
    <x v="2"/>
    <x v="0"/>
    <n v="2417"/>
    <x v="0"/>
  </r>
  <r>
    <x v="45"/>
    <s v="Internet Bill"/>
    <x v="0"/>
    <x v="2"/>
    <n v="3102"/>
    <x v="0"/>
  </r>
  <r>
    <x v="46"/>
    <s v="Movie"/>
    <x v="4"/>
    <x v="4"/>
    <n v="3776"/>
    <x v="0"/>
  </r>
  <r>
    <x v="46"/>
    <s v="Groceries"/>
    <x v="1"/>
    <x v="0"/>
    <n v="1062"/>
    <x v="0"/>
  </r>
  <r>
    <x v="47"/>
    <s v="Restaurant"/>
    <x v="1"/>
    <x v="0"/>
    <n v="4867"/>
    <x v="0"/>
  </r>
  <r>
    <x v="47"/>
    <s v="Groceries"/>
    <x v="1"/>
    <x v="3"/>
    <n v="3479"/>
    <x v="0"/>
  </r>
  <r>
    <x v="47"/>
    <s v="Rent"/>
    <x v="2"/>
    <x v="4"/>
    <n v="628"/>
    <x v="0"/>
  </r>
  <r>
    <x v="47"/>
    <s v="Internet Bill"/>
    <x v="0"/>
    <x v="1"/>
    <n v="3909"/>
    <x v="0"/>
  </r>
  <r>
    <x v="48"/>
    <s v="Fuel"/>
    <x v="5"/>
    <x v="1"/>
    <n v="4239"/>
    <x v="0"/>
  </r>
  <r>
    <x v="49"/>
    <s v="Internet Bill"/>
    <x v="0"/>
    <x v="3"/>
    <n v="860"/>
    <x v="0"/>
  </r>
  <r>
    <x v="50"/>
    <s v="Fuel"/>
    <x v="5"/>
    <x v="2"/>
    <n v="856"/>
    <x v="0"/>
  </r>
  <r>
    <x v="51"/>
    <s v="Salary"/>
    <x v="3"/>
    <x v="4"/>
    <n v="49596"/>
    <x v="1"/>
  </r>
  <r>
    <x v="51"/>
    <s v="Fuel"/>
    <x v="5"/>
    <x v="2"/>
    <n v="2169"/>
    <x v="0"/>
  </r>
  <r>
    <x v="52"/>
    <s v="Freelance"/>
    <x v="3"/>
    <x v="4"/>
    <n v="47992"/>
    <x v="1"/>
  </r>
  <r>
    <x v="53"/>
    <s v="Groceries"/>
    <x v="1"/>
    <x v="4"/>
    <n v="1412"/>
    <x v="0"/>
  </r>
  <r>
    <x v="53"/>
    <s v="Restaurant"/>
    <x v="1"/>
    <x v="3"/>
    <n v="4561"/>
    <x v="0"/>
  </r>
  <r>
    <x v="54"/>
    <s v="Electricity Bill"/>
    <x v="0"/>
    <x v="1"/>
    <n v="733"/>
    <x v="0"/>
  </r>
  <r>
    <x v="55"/>
    <s v="Internet Bill"/>
    <x v="0"/>
    <x v="3"/>
    <n v="2582"/>
    <x v="0"/>
  </r>
  <r>
    <x v="55"/>
    <s v="Movie"/>
    <x v="4"/>
    <x v="0"/>
    <n v="4048"/>
    <x v="0"/>
  </r>
  <r>
    <x v="55"/>
    <s v="Groceries"/>
    <x v="1"/>
    <x v="4"/>
    <n v="3884"/>
    <x v="0"/>
  </r>
  <r>
    <x v="56"/>
    <s v="Fuel"/>
    <x v="5"/>
    <x v="4"/>
    <n v="821"/>
    <x v="0"/>
  </r>
  <r>
    <x v="57"/>
    <s v="Internet Bill"/>
    <x v="0"/>
    <x v="1"/>
    <n v="3324"/>
    <x v="0"/>
  </r>
  <r>
    <x v="58"/>
    <s v="Freelance"/>
    <x v="3"/>
    <x v="1"/>
    <n v="35099"/>
    <x v="1"/>
  </r>
  <r>
    <x v="59"/>
    <s v="Freelance"/>
    <x v="3"/>
    <x v="2"/>
    <n v="58555"/>
    <x v="1"/>
  </r>
  <r>
    <x v="60"/>
    <s v="Fuel"/>
    <x v="5"/>
    <x v="0"/>
    <n v="4180"/>
    <x v="0"/>
  </r>
  <r>
    <x v="61"/>
    <s v="Electricity Bill"/>
    <x v="0"/>
    <x v="1"/>
    <n v="3021"/>
    <x v="0"/>
  </r>
  <r>
    <x v="62"/>
    <s v="Groceries"/>
    <x v="1"/>
    <x v="4"/>
    <n v="1761"/>
    <x v="0"/>
  </r>
  <r>
    <x v="63"/>
    <s v="Restaurant"/>
    <x v="1"/>
    <x v="4"/>
    <n v="3705"/>
    <x v="0"/>
  </r>
  <r>
    <x v="64"/>
    <s v="Groceries"/>
    <x v="1"/>
    <x v="4"/>
    <n v="751"/>
    <x v="0"/>
  </r>
  <r>
    <x v="65"/>
    <s v="Freelance"/>
    <x v="3"/>
    <x v="3"/>
    <n v="48565"/>
    <x v="1"/>
  </r>
  <r>
    <x v="66"/>
    <s v="Electricity Bill"/>
    <x v="0"/>
    <x v="2"/>
    <n v="1434"/>
    <x v="0"/>
  </r>
  <r>
    <x v="67"/>
    <s v="Internet Bill"/>
    <x v="0"/>
    <x v="2"/>
    <n v="4856"/>
    <x v="0"/>
  </r>
  <r>
    <x v="67"/>
    <s v="Groceries"/>
    <x v="1"/>
    <x v="2"/>
    <n v="4189"/>
    <x v="0"/>
  </r>
  <r>
    <x v="67"/>
    <s v="Electricity Bill"/>
    <x v="0"/>
    <x v="4"/>
    <n v="1251"/>
    <x v="0"/>
  </r>
  <r>
    <x v="68"/>
    <s v="Rent"/>
    <x v="2"/>
    <x v="0"/>
    <n v="663"/>
    <x v="0"/>
  </r>
  <r>
    <x v="69"/>
    <s v="Electricity Bill"/>
    <x v="0"/>
    <x v="0"/>
    <n v="2448"/>
    <x v="0"/>
  </r>
  <r>
    <x v="69"/>
    <s v="Internet Bill"/>
    <x v="0"/>
    <x v="3"/>
    <n v="1215"/>
    <x v="0"/>
  </r>
  <r>
    <x v="69"/>
    <s v="Freelance"/>
    <x v="3"/>
    <x v="3"/>
    <n v="52571"/>
    <x v="1"/>
  </r>
  <r>
    <x v="70"/>
    <s v="Salary"/>
    <x v="3"/>
    <x v="3"/>
    <n v="34939"/>
    <x v="1"/>
  </r>
  <r>
    <x v="71"/>
    <s v="Restaurant"/>
    <x v="1"/>
    <x v="4"/>
    <n v="236"/>
    <x v="0"/>
  </r>
  <r>
    <x v="72"/>
    <s v="Groceries"/>
    <x v="1"/>
    <x v="2"/>
    <n v="1977"/>
    <x v="0"/>
  </r>
  <r>
    <x v="73"/>
    <s v="Freelance"/>
    <x v="3"/>
    <x v="1"/>
    <n v="45238"/>
    <x v="1"/>
  </r>
  <r>
    <x v="74"/>
    <s v="Salary"/>
    <x v="3"/>
    <x v="2"/>
    <n v="57281"/>
    <x v="1"/>
  </r>
  <r>
    <x v="75"/>
    <s v="Salary"/>
    <x v="3"/>
    <x v="0"/>
    <n v="54649"/>
    <x v="1"/>
  </r>
  <r>
    <x v="76"/>
    <s v="Freelance"/>
    <x v="3"/>
    <x v="1"/>
    <n v="55213"/>
    <x v="1"/>
  </r>
  <r>
    <x v="77"/>
    <s v="Freelance"/>
    <x v="3"/>
    <x v="1"/>
    <n v="55440"/>
    <x v="1"/>
  </r>
  <r>
    <x v="78"/>
    <s v="Groceries"/>
    <x v="1"/>
    <x v="0"/>
    <n v="1203"/>
    <x v="0"/>
  </r>
  <r>
    <x v="79"/>
    <s v="Fuel"/>
    <x v="5"/>
    <x v="4"/>
    <n v="4590"/>
    <x v="0"/>
  </r>
  <r>
    <x v="80"/>
    <s v="Freelance"/>
    <x v="3"/>
    <x v="0"/>
    <n v="36080"/>
    <x v="1"/>
  </r>
  <r>
    <x v="80"/>
    <s v="Salary"/>
    <x v="3"/>
    <x v="2"/>
    <n v="44847"/>
    <x v="1"/>
  </r>
  <r>
    <x v="80"/>
    <s v="Salary"/>
    <x v="3"/>
    <x v="4"/>
    <n v="58787"/>
    <x v="1"/>
  </r>
  <r>
    <x v="81"/>
    <s v="Groceries"/>
    <x v="1"/>
    <x v="4"/>
    <n v="4312"/>
    <x v="0"/>
  </r>
  <r>
    <x v="82"/>
    <s v="Groceries"/>
    <x v="1"/>
    <x v="3"/>
    <n v="3811"/>
    <x v="0"/>
  </r>
  <r>
    <x v="82"/>
    <s v="Internet Bill"/>
    <x v="0"/>
    <x v="0"/>
    <n v="106"/>
    <x v="0"/>
  </r>
  <r>
    <x v="83"/>
    <s v="Fuel"/>
    <x v="5"/>
    <x v="2"/>
    <n v="3075"/>
    <x v="0"/>
  </r>
  <r>
    <x v="83"/>
    <s v="Freelance"/>
    <x v="3"/>
    <x v="2"/>
    <n v="44224"/>
    <x v="1"/>
  </r>
  <r>
    <x v="83"/>
    <s v="Salary"/>
    <x v="3"/>
    <x v="3"/>
    <n v="31341"/>
    <x v="1"/>
  </r>
  <r>
    <x v="84"/>
    <s v="Rent"/>
    <x v="2"/>
    <x v="1"/>
    <n v="1890"/>
    <x v="0"/>
  </r>
  <r>
    <x v="84"/>
    <s v="Salary"/>
    <x v="3"/>
    <x v="1"/>
    <n v="37417"/>
    <x v="1"/>
  </r>
  <r>
    <x v="85"/>
    <s v="Movie"/>
    <x v="4"/>
    <x v="0"/>
    <n v="3913"/>
    <x v="0"/>
  </r>
  <r>
    <x v="86"/>
    <s v="Groceries"/>
    <x v="1"/>
    <x v="0"/>
    <n v="554"/>
    <x v="0"/>
  </r>
  <r>
    <x v="87"/>
    <s v="Groceries"/>
    <x v="1"/>
    <x v="2"/>
    <n v="1914"/>
    <x v="0"/>
  </r>
  <r>
    <x v="88"/>
    <s v="Movie"/>
    <x v="4"/>
    <x v="3"/>
    <n v="1233"/>
    <x v="0"/>
  </r>
  <r>
    <x v="89"/>
    <s v="Fuel"/>
    <x v="5"/>
    <x v="2"/>
    <n v="2315"/>
    <x v="0"/>
  </r>
  <r>
    <x v="90"/>
    <s v="Groceries"/>
    <x v="1"/>
    <x v="1"/>
    <n v="4904"/>
    <x v="0"/>
  </r>
  <r>
    <x v="90"/>
    <s v="Freelance"/>
    <x v="3"/>
    <x v="1"/>
    <n v="30131"/>
    <x v="1"/>
  </r>
  <r>
    <x v="91"/>
    <s v="Movie"/>
    <x v="4"/>
    <x v="4"/>
    <n v="4771"/>
    <x v="0"/>
  </r>
  <r>
    <x v="92"/>
    <s v="Fuel"/>
    <x v="5"/>
    <x v="4"/>
    <n v="3621"/>
    <x v="0"/>
  </r>
  <r>
    <x v="92"/>
    <s v="Freelance"/>
    <x v="3"/>
    <x v="2"/>
    <n v="41412"/>
    <x v="1"/>
  </r>
  <r>
    <x v="93"/>
    <s v="Freelance"/>
    <x v="3"/>
    <x v="3"/>
    <n v="51583"/>
    <x v="1"/>
  </r>
  <r>
    <x v="94"/>
    <s v="Movie"/>
    <x v="4"/>
    <x v="0"/>
    <n v="2294"/>
    <x v="0"/>
  </r>
  <r>
    <x v="95"/>
    <s v="Freelance"/>
    <x v="3"/>
    <x v="3"/>
    <n v="52723"/>
    <x v="1"/>
  </r>
  <r>
    <x v="96"/>
    <s v="Restaurant"/>
    <x v="1"/>
    <x v="1"/>
    <n v="2687"/>
    <x v="0"/>
  </r>
  <r>
    <x v="97"/>
    <s v="Freelance"/>
    <x v="3"/>
    <x v="2"/>
    <n v="40710"/>
    <x v="1"/>
  </r>
  <r>
    <x v="98"/>
    <s v="Salary"/>
    <x v="3"/>
    <x v="3"/>
    <n v="53269"/>
    <x v="1"/>
  </r>
  <r>
    <x v="99"/>
    <s v="Salary"/>
    <x v="3"/>
    <x v="2"/>
    <n v="38918"/>
    <x v="1"/>
  </r>
  <r>
    <x v="99"/>
    <s v="Rent"/>
    <x v="2"/>
    <x v="3"/>
    <n v="1000"/>
    <x v="0"/>
  </r>
  <r>
    <x v="99"/>
    <s v="Restaurant"/>
    <x v="1"/>
    <x v="1"/>
    <n v="1087"/>
    <x v="0"/>
  </r>
  <r>
    <x v="100"/>
    <s v="Rent"/>
    <x v="2"/>
    <x v="2"/>
    <n v="4948"/>
    <x v="0"/>
  </r>
  <r>
    <x v="100"/>
    <s v="Groceries"/>
    <x v="1"/>
    <x v="2"/>
    <n v="1258"/>
    <x v="0"/>
  </r>
  <r>
    <x v="101"/>
    <s v="Fuel"/>
    <x v="5"/>
    <x v="0"/>
    <n v="599"/>
    <x v="0"/>
  </r>
  <r>
    <x v="102"/>
    <s v="Groceries"/>
    <x v="1"/>
    <x v="0"/>
    <n v="3526"/>
    <x v="0"/>
  </r>
  <r>
    <x v="103"/>
    <s v="Salary"/>
    <x v="3"/>
    <x v="0"/>
    <n v="47458"/>
    <x v="1"/>
  </r>
  <r>
    <x v="103"/>
    <s v="Salary"/>
    <x v="3"/>
    <x v="4"/>
    <n v="37409"/>
    <x v="1"/>
  </r>
  <r>
    <x v="104"/>
    <s v="Movie"/>
    <x v="4"/>
    <x v="3"/>
    <n v="4134"/>
    <x v="0"/>
  </r>
  <r>
    <x v="105"/>
    <s v="Electricity Bill"/>
    <x v="0"/>
    <x v="4"/>
    <n v="3020"/>
    <x v="0"/>
  </r>
  <r>
    <x v="106"/>
    <s v="Groceries"/>
    <x v="1"/>
    <x v="0"/>
    <n v="2392"/>
    <x v="0"/>
  </r>
  <r>
    <x v="106"/>
    <s v="Freelance"/>
    <x v="3"/>
    <x v="2"/>
    <n v="39914"/>
    <x v="1"/>
  </r>
  <r>
    <x v="107"/>
    <s v="Movie"/>
    <x v="4"/>
    <x v="1"/>
    <n v="4594"/>
    <x v="0"/>
  </r>
  <r>
    <x v="108"/>
    <s v="Groceries"/>
    <x v="1"/>
    <x v="0"/>
    <n v="1572"/>
    <x v="0"/>
  </r>
  <r>
    <x v="109"/>
    <s v="Freelance"/>
    <x v="3"/>
    <x v="0"/>
    <n v="48860"/>
    <x v="1"/>
  </r>
  <r>
    <x v="110"/>
    <s v="Groceries"/>
    <x v="1"/>
    <x v="4"/>
    <n v="1029"/>
    <x v="0"/>
  </r>
  <r>
    <x v="111"/>
    <s v="Groceries"/>
    <x v="1"/>
    <x v="0"/>
    <n v="2995"/>
    <x v="0"/>
  </r>
  <r>
    <x v="112"/>
    <s v="Fuel"/>
    <x v="5"/>
    <x v="2"/>
    <n v="3208"/>
    <x v="0"/>
  </r>
  <r>
    <x v="113"/>
    <s v="Restaurant"/>
    <x v="1"/>
    <x v="2"/>
    <n v="2240"/>
    <x v="0"/>
  </r>
  <r>
    <x v="114"/>
    <s v="Movie"/>
    <x v="4"/>
    <x v="2"/>
    <n v="1865"/>
    <x v="0"/>
  </r>
  <r>
    <x v="115"/>
    <s v="Groceries"/>
    <x v="1"/>
    <x v="4"/>
    <n v="4774"/>
    <x v="0"/>
  </r>
  <r>
    <x v="116"/>
    <s v="Groceries"/>
    <x v="1"/>
    <x v="4"/>
    <n v="3799"/>
    <x v="0"/>
  </r>
  <r>
    <x v="117"/>
    <s v="Restaurant"/>
    <x v="1"/>
    <x v="2"/>
    <n v="4580"/>
    <x v="0"/>
  </r>
  <r>
    <x v="118"/>
    <s v="Fuel"/>
    <x v="5"/>
    <x v="3"/>
    <n v="1432"/>
    <x v="0"/>
  </r>
  <r>
    <x v="119"/>
    <s v="Fuel"/>
    <x v="5"/>
    <x v="1"/>
    <n v="1273"/>
    <x v="0"/>
  </r>
  <r>
    <x v="119"/>
    <s v="Groceries"/>
    <x v="1"/>
    <x v="1"/>
    <n v="2719"/>
    <x v="0"/>
  </r>
  <r>
    <x v="119"/>
    <s v="Freelance"/>
    <x v="3"/>
    <x v="2"/>
    <n v="40405"/>
    <x v="1"/>
  </r>
  <r>
    <x v="120"/>
    <s v="Groceries"/>
    <x v="1"/>
    <x v="0"/>
    <n v="1672"/>
    <x v="0"/>
  </r>
  <r>
    <x v="120"/>
    <s v="Rent"/>
    <x v="2"/>
    <x v="0"/>
    <n v="1989"/>
    <x v="0"/>
  </r>
  <r>
    <x v="120"/>
    <s v="Salary"/>
    <x v="3"/>
    <x v="1"/>
    <n v="33915"/>
    <x v="1"/>
  </r>
  <r>
    <x v="120"/>
    <s v="Fuel"/>
    <x v="5"/>
    <x v="0"/>
    <n v="3303"/>
    <x v="0"/>
  </r>
  <r>
    <x v="120"/>
    <s v="Restaurant"/>
    <x v="1"/>
    <x v="1"/>
    <n v="1962"/>
    <x v="0"/>
  </r>
  <r>
    <x v="120"/>
    <s v="Freelance"/>
    <x v="3"/>
    <x v="2"/>
    <n v="34357"/>
    <x v="1"/>
  </r>
  <r>
    <x v="120"/>
    <s v="Restaurant"/>
    <x v="1"/>
    <x v="0"/>
    <n v="4042"/>
    <x v="0"/>
  </r>
  <r>
    <x v="121"/>
    <s v="Internet Bill"/>
    <x v="0"/>
    <x v="1"/>
    <n v="907"/>
    <x v="0"/>
  </r>
  <r>
    <x v="122"/>
    <s v="Internet Bill"/>
    <x v="0"/>
    <x v="4"/>
    <n v="228"/>
    <x v="0"/>
  </r>
  <r>
    <x v="122"/>
    <s v="Rent"/>
    <x v="2"/>
    <x v="1"/>
    <n v="350"/>
    <x v="0"/>
  </r>
  <r>
    <x v="123"/>
    <s v="Movie"/>
    <x v="4"/>
    <x v="0"/>
    <n v="3830"/>
    <x v="0"/>
  </r>
  <r>
    <x v="123"/>
    <s v="Rent"/>
    <x v="2"/>
    <x v="0"/>
    <n v="584"/>
    <x v="0"/>
  </r>
  <r>
    <x v="124"/>
    <s v="Groceries"/>
    <x v="1"/>
    <x v="1"/>
    <n v="3656"/>
    <x v="0"/>
  </r>
  <r>
    <x v="124"/>
    <s v="Groceries"/>
    <x v="1"/>
    <x v="3"/>
    <n v="1094"/>
    <x v="0"/>
  </r>
  <r>
    <x v="124"/>
    <s v="Freelance"/>
    <x v="3"/>
    <x v="3"/>
    <n v="40215"/>
    <x v="1"/>
  </r>
  <r>
    <x v="125"/>
    <s v="Rent"/>
    <x v="2"/>
    <x v="3"/>
    <n v="4604"/>
    <x v="0"/>
  </r>
  <r>
    <x v="125"/>
    <s v="Electricity Bill"/>
    <x v="0"/>
    <x v="1"/>
    <n v="4954"/>
    <x v="0"/>
  </r>
  <r>
    <x v="126"/>
    <s v="Fuel"/>
    <x v="5"/>
    <x v="4"/>
    <n v="1581"/>
    <x v="0"/>
  </r>
  <r>
    <x v="127"/>
    <s v="Rent"/>
    <x v="2"/>
    <x v="0"/>
    <n v="231"/>
    <x v="0"/>
  </r>
  <r>
    <x v="128"/>
    <s v="Groceries"/>
    <x v="1"/>
    <x v="4"/>
    <n v="3617"/>
    <x v="0"/>
  </r>
  <r>
    <x v="128"/>
    <s v="Salary"/>
    <x v="3"/>
    <x v="3"/>
    <n v="36555"/>
    <x v="1"/>
  </r>
  <r>
    <x v="128"/>
    <s v="Internet Bill"/>
    <x v="0"/>
    <x v="0"/>
    <n v="3021"/>
    <x v="0"/>
  </r>
  <r>
    <x v="128"/>
    <s v="Movie"/>
    <x v="4"/>
    <x v="3"/>
    <n v="3797"/>
    <x v="0"/>
  </r>
  <r>
    <x v="129"/>
    <s v="Restaurant"/>
    <x v="1"/>
    <x v="4"/>
    <n v="726"/>
    <x v="0"/>
  </r>
  <r>
    <x v="130"/>
    <s v="Groceries"/>
    <x v="1"/>
    <x v="3"/>
    <n v="3961"/>
    <x v="0"/>
  </r>
  <r>
    <x v="130"/>
    <s v="Freelance"/>
    <x v="3"/>
    <x v="0"/>
    <n v="53682"/>
    <x v="1"/>
  </r>
  <r>
    <x v="131"/>
    <s v="Electricity Bill"/>
    <x v="0"/>
    <x v="4"/>
    <n v="1304"/>
    <x v="0"/>
  </r>
  <r>
    <x v="132"/>
    <s v="Internet Bill"/>
    <x v="0"/>
    <x v="2"/>
    <n v="4429"/>
    <x v="0"/>
  </r>
  <r>
    <x v="133"/>
    <s v="Electricity Bill"/>
    <x v="0"/>
    <x v="4"/>
    <n v="2863"/>
    <x v="0"/>
  </r>
  <r>
    <x v="134"/>
    <s v="Fuel"/>
    <x v="5"/>
    <x v="1"/>
    <n v="3246"/>
    <x v="0"/>
  </r>
  <r>
    <x v="135"/>
    <s v="Freelance"/>
    <x v="3"/>
    <x v="1"/>
    <n v="37147"/>
    <x v="1"/>
  </r>
  <r>
    <x v="136"/>
    <s v="Groceries"/>
    <x v="1"/>
    <x v="2"/>
    <n v="241"/>
    <x v="0"/>
  </r>
  <r>
    <x v="137"/>
    <s v="Freelance"/>
    <x v="3"/>
    <x v="0"/>
    <n v="56713"/>
    <x v="1"/>
  </r>
  <r>
    <x v="138"/>
    <s v="Groceries"/>
    <x v="1"/>
    <x v="3"/>
    <n v="1729"/>
    <x v="0"/>
  </r>
  <r>
    <x v="138"/>
    <s v="Restaurant"/>
    <x v="1"/>
    <x v="4"/>
    <n v="3046"/>
    <x v="0"/>
  </r>
  <r>
    <x v="139"/>
    <s v="Rent"/>
    <x v="2"/>
    <x v="0"/>
    <n v="3462"/>
    <x v="0"/>
  </r>
  <r>
    <x v="139"/>
    <s v="Rent"/>
    <x v="2"/>
    <x v="3"/>
    <n v="3683"/>
    <x v="0"/>
  </r>
  <r>
    <x v="140"/>
    <s v="Rent"/>
    <x v="2"/>
    <x v="1"/>
    <n v="1706"/>
    <x v="0"/>
  </r>
  <r>
    <x v="140"/>
    <s v="Fuel"/>
    <x v="5"/>
    <x v="0"/>
    <n v="2448"/>
    <x v="0"/>
  </r>
  <r>
    <x v="141"/>
    <s v="Rent"/>
    <x v="2"/>
    <x v="0"/>
    <n v="4016"/>
    <x v="0"/>
  </r>
  <r>
    <x v="141"/>
    <s v="Movie"/>
    <x v="4"/>
    <x v="4"/>
    <n v="3635"/>
    <x v="0"/>
  </r>
  <r>
    <x v="142"/>
    <s v="Fuel"/>
    <x v="5"/>
    <x v="2"/>
    <n v="2430"/>
    <x v="0"/>
  </r>
  <r>
    <x v="143"/>
    <s v="Restaurant"/>
    <x v="1"/>
    <x v="1"/>
    <n v="2934"/>
    <x v="0"/>
  </r>
  <r>
    <x v="144"/>
    <s v="Freelance"/>
    <x v="3"/>
    <x v="1"/>
    <n v="35377"/>
    <x v="1"/>
  </r>
  <r>
    <x v="144"/>
    <s v="Internet Bill"/>
    <x v="0"/>
    <x v="3"/>
    <n v="2685"/>
    <x v="0"/>
  </r>
  <r>
    <x v="145"/>
    <s v="Fuel"/>
    <x v="5"/>
    <x v="4"/>
    <n v="2031"/>
    <x v="0"/>
  </r>
  <r>
    <x v="146"/>
    <s v="Movie"/>
    <x v="4"/>
    <x v="3"/>
    <n v="4786"/>
    <x v="0"/>
  </r>
  <r>
    <x v="146"/>
    <s v="Internet Bill"/>
    <x v="0"/>
    <x v="3"/>
    <n v="2090"/>
    <x v="0"/>
  </r>
  <r>
    <x v="147"/>
    <s v="Electricity Bill"/>
    <x v="0"/>
    <x v="2"/>
    <n v="427"/>
    <x v="0"/>
  </r>
  <r>
    <x v="148"/>
    <s v="Movie"/>
    <x v="4"/>
    <x v="2"/>
    <n v="1217"/>
    <x v="0"/>
  </r>
  <r>
    <x v="148"/>
    <s v="Electricity Bill"/>
    <x v="0"/>
    <x v="1"/>
    <n v="975"/>
    <x v="0"/>
  </r>
  <r>
    <x v="149"/>
    <s v="Groceries"/>
    <x v="1"/>
    <x v="4"/>
    <n v="2762"/>
    <x v="0"/>
  </r>
  <r>
    <x v="149"/>
    <s v="Movie"/>
    <x v="4"/>
    <x v="4"/>
    <n v="3021"/>
    <x v="0"/>
  </r>
  <r>
    <x v="149"/>
    <s v="Freelance"/>
    <x v="3"/>
    <x v="3"/>
    <n v="33277"/>
    <x v="1"/>
  </r>
  <r>
    <x v="150"/>
    <s v="Restaurant"/>
    <x v="1"/>
    <x v="2"/>
    <n v="2394"/>
    <x v="0"/>
  </r>
  <r>
    <x v="151"/>
    <s v="Fuel"/>
    <x v="5"/>
    <x v="2"/>
    <n v="2020"/>
    <x v="0"/>
  </r>
  <r>
    <x v="152"/>
    <s v="Electricity Bill"/>
    <x v="0"/>
    <x v="0"/>
    <n v="2899"/>
    <x v="0"/>
  </r>
  <r>
    <x v="153"/>
    <s v="Movie"/>
    <x v="4"/>
    <x v="0"/>
    <n v="1773"/>
    <x v="0"/>
  </r>
  <r>
    <x v="153"/>
    <s v="Fuel"/>
    <x v="5"/>
    <x v="1"/>
    <n v="4269"/>
    <x v="0"/>
  </r>
  <r>
    <x v="154"/>
    <s v="Electricity Bill"/>
    <x v="0"/>
    <x v="0"/>
    <n v="2129"/>
    <x v="0"/>
  </r>
  <r>
    <x v="155"/>
    <s v="Electricity Bill"/>
    <x v="0"/>
    <x v="4"/>
    <n v="2459"/>
    <x v="0"/>
  </r>
  <r>
    <x v="156"/>
    <s v="Fuel"/>
    <x v="5"/>
    <x v="0"/>
    <n v="1993"/>
    <x v="0"/>
  </r>
  <r>
    <x v="157"/>
    <s v="Fuel"/>
    <x v="5"/>
    <x v="3"/>
    <n v="2998"/>
    <x v="0"/>
  </r>
  <r>
    <x v="157"/>
    <s v="Fuel"/>
    <x v="5"/>
    <x v="0"/>
    <n v="3493"/>
    <x v="0"/>
  </r>
  <r>
    <x v="158"/>
    <s v="Groceries"/>
    <x v="1"/>
    <x v="4"/>
    <n v="3494"/>
    <x v="0"/>
  </r>
  <r>
    <x v="158"/>
    <s v="Rent"/>
    <x v="2"/>
    <x v="1"/>
    <n v="1683"/>
    <x v="0"/>
  </r>
  <r>
    <x v="159"/>
    <s v="Electricity Bill"/>
    <x v="0"/>
    <x v="2"/>
    <n v="4601"/>
    <x v="0"/>
  </r>
  <r>
    <x v="160"/>
    <s v="Restaurant"/>
    <x v="1"/>
    <x v="4"/>
    <n v="3116"/>
    <x v="0"/>
  </r>
  <r>
    <x v="160"/>
    <s v="Groceries"/>
    <x v="1"/>
    <x v="1"/>
    <n v="2794"/>
    <x v="0"/>
  </r>
  <r>
    <x v="161"/>
    <s v="Fuel"/>
    <x v="5"/>
    <x v="1"/>
    <n v="653"/>
    <x v="0"/>
  </r>
  <r>
    <x v="162"/>
    <s v="Freelance"/>
    <x v="3"/>
    <x v="3"/>
    <n v="56781"/>
    <x v="1"/>
  </r>
  <r>
    <x v="162"/>
    <s v="Freelance"/>
    <x v="3"/>
    <x v="4"/>
    <n v="56724"/>
    <x v="1"/>
  </r>
  <r>
    <x v="163"/>
    <s v="Freelance"/>
    <x v="3"/>
    <x v="0"/>
    <n v="59827"/>
    <x v="1"/>
  </r>
  <r>
    <x v="164"/>
    <s v="Internet Bill"/>
    <x v="0"/>
    <x v="4"/>
    <n v="3246"/>
    <x v="0"/>
  </r>
  <r>
    <x v="164"/>
    <s v="Fuel"/>
    <x v="5"/>
    <x v="4"/>
    <n v="2893"/>
    <x v="0"/>
  </r>
  <r>
    <x v="165"/>
    <s v="Restaurant"/>
    <x v="1"/>
    <x v="0"/>
    <n v="897"/>
    <x v="0"/>
  </r>
  <r>
    <x v="166"/>
    <s v="Restaurant"/>
    <x v="1"/>
    <x v="4"/>
    <n v="3695"/>
    <x v="0"/>
  </r>
  <r>
    <x v="167"/>
    <s v="Salary"/>
    <x v="3"/>
    <x v="3"/>
    <n v="36090"/>
    <x v="1"/>
  </r>
  <r>
    <x v="167"/>
    <s v="Freelance"/>
    <x v="3"/>
    <x v="0"/>
    <n v="47893"/>
    <x v="1"/>
  </r>
  <r>
    <x v="168"/>
    <s v="Restaurant"/>
    <x v="1"/>
    <x v="2"/>
    <n v="3199"/>
    <x v="0"/>
  </r>
  <r>
    <x v="169"/>
    <s v="Groceries"/>
    <x v="1"/>
    <x v="2"/>
    <n v="879"/>
    <x v="0"/>
  </r>
  <r>
    <x v="169"/>
    <s v="Movie"/>
    <x v="4"/>
    <x v="4"/>
    <n v="265"/>
    <x v="0"/>
  </r>
  <r>
    <x v="170"/>
    <s v="Internet Bill"/>
    <x v="0"/>
    <x v="1"/>
    <n v="1670"/>
    <x v="0"/>
  </r>
  <r>
    <x v="171"/>
    <s v="Restaurant"/>
    <x v="1"/>
    <x v="2"/>
    <n v="4519"/>
    <x v="0"/>
  </r>
  <r>
    <x v="172"/>
    <s v="Electricity Bill"/>
    <x v="0"/>
    <x v="2"/>
    <n v="187"/>
    <x v="0"/>
  </r>
  <r>
    <x v="173"/>
    <s v="Groceries"/>
    <x v="1"/>
    <x v="2"/>
    <n v="849"/>
    <x v="0"/>
  </r>
  <r>
    <x v="173"/>
    <s v="Fuel"/>
    <x v="5"/>
    <x v="0"/>
    <n v="3563"/>
    <x v="0"/>
  </r>
  <r>
    <x v="174"/>
    <s v="Groceries"/>
    <x v="1"/>
    <x v="3"/>
    <n v="3975"/>
    <x v="0"/>
  </r>
  <r>
    <x v="175"/>
    <s v="Groceries"/>
    <x v="1"/>
    <x v="0"/>
    <n v="3035"/>
    <x v="0"/>
  </r>
  <r>
    <x v="176"/>
    <s v="Restaurant"/>
    <x v="1"/>
    <x v="0"/>
    <n v="4534"/>
    <x v="0"/>
  </r>
  <r>
    <x v="177"/>
    <s v="Fuel"/>
    <x v="5"/>
    <x v="0"/>
    <n v="493"/>
    <x v="0"/>
  </r>
  <r>
    <x v="178"/>
    <s v="Fuel"/>
    <x v="5"/>
    <x v="2"/>
    <n v="1836"/>
    <x v="0"/>
  </r>
  <r>
    <x v="179"/>
    <s v="Restaurant"/>
    <x v="1"/>
    <x v="3"/>
    <n v="587"/>
    <x v="0"/>
  </r>
  <r>
    <x v="180"/>
    <s v="Salary"/>
    <x v="3"/>
    <x v="0"/>
    <n v="53859"/>
    <x v="1"/>
  </r>
  <r>
    <x v="181"/>
    <s v="Fuel"/>
    <x v="5"/>
    <x v="0"/>
    <n v="3251"/>
    <x v="0"/>
  </r>
  <r>
    <x v="181"/>
    <s v="Fuel"/>
    <x v="5"/>
    <x v="4"/>
    <n v="2133"/>
    <x v="0"/>
  </r>
  <r>
    <x v="182"/>
    <s v="Salary"/>
    <x v="3"/>
    <x v="1"/>
    <n v="59186"/>
    <x v="1"/>
  </r>
  <r>
    <x v="182"/>
    <s v="Electricity Bill"/>
    <x v="0"/>
    <x v="0"/>
    <n v="586"/>
    <x v="0"/>
  </r>
  <r>
    <x v="183"/>
    <s v="Freelance"/>
    <x v="3"/>
    <x v="0"/>
    <n v="30783"/>
    <x v="1"/>
  </r>
  <r>
    <x v="183"/>
    <s v="Electricity Bill"/>
    <x v="0"/>
    <x v="3"/>
    <n v="3069"/>
    <x v="0"/>
  </r>
  <r>
    <x v="183"/>
    <s v="Freelance"/>
    <x v="3"/>
    <x v="0"/>
    <n v="54992"/>
    <x v="1"/>
  </r>
  <r>
    <x v="183"/>
    <s v="Salary"/>
    <x v="3"/>
    <x v="1"/>
    <n v="32897"/>
    <x v="1"/>
  </r>
  <r>
    <x v="183"/>
    <s v="Movie"/>
    <x v="4"/>
    <x v="4"/>
    <n v="130"/>
    <x v="0"/>
  </r>
  <r>
    <x v="184"/>
    <s v="Movie"/>
    <x v="4"/>
    <x v="2"/>
    <n v="3740"/>
    <x v="0"/>
  </r>
  <r>
    <x v="185"/>
    <s v="Groceries"/>
    <x v="1"/>
    <x v="1"/>
    <n v="1677"/>
    <x v="0"/>
  </r>
  <r>
    <x v="185"/>
    <s v="Salary"/>
    <x v="3"/>
    <x v="3"/>
    <n v="54495"/>
    <x v="1"/>
  </r>
  <r>
    <x v="186"/>
    <s v="Internet Bill"/>
    <x v="0"/>
    <x v="3"/>
    <n v="2562"/>
    <x v="0"/>
  </r>
  <r>
    <x v="187"/>
    <s v="Rent"/>
    <x v="2"/>
    <x v="3"/>
    <n v="3016"/>
    <x v="0"/>
  </r>
  <r>
    <x v="188"/>
    <s v="Fuel"/>
    <x v="5"/>
    <x v="2"/>
    <n v="2888"/>
    <x v="0"/>
  </r>
  <r>
    <x v="189"/>
    <s v="Internet Bill"/>
    <x v="0"/>
    <x v="0"/>
    <n v="3382"/>
    <x v="0"/>
  </r>
  <r>
    <x v="189"/>
    <s v="Rent"/>
    <x v="2"/>
    <x v="2"/>
    <n v="1225"/>
    <x v="0"/>
  </r>
  <r>
    <x v="189"/>
    <s v="Restaurant"/>
    <x v="1"/>
    <x v="4"/>
    <n v="367"/>
    <x v="0"/>
  </r>
  <r>
    <x v="190"/>
    <s v="Movie"/>
    <x v="4"/>
    <x v="0"/>
    <n v="643"/>
    <x v="0"/>
  </r>
  <r>
    <x v="191"/>
    <s v="Freelance"/>
    <x v="3"/>
    <x v="0"/>
    <n v="44074"/>
    <x v="1"/>
  </r>
  <r>
    <x v="192"/>
    <s v="Salary"/>
    <x v="3"/>
    <x v="0"/>
    <n v="53155"/>
    <x v="1"/>
  </r>
  <r>
    <x v="192"/>
    <s v="Electricity Bill"/>
    <x v="0"/>
    <x v="0"/>
    <n v="4393"/>
    <x v="0"/>
  </r>
  <r>
    <x v="193"/>
    <s v="Movie"/>
    <x v="4"/>
    <x v="3"/>
    <n v="2618"/>
    <x v="0"/>
  </r>
  <r>
    <x v="194"/>
    <s v="Groceries"/>
    <x v="1"/>
    <x v="4"/>
    <n v="130"/>
    <x v="0"/>
  </r>
  <r>
    <x v="195"/>
    <s v="Groceries"/>
    <x v="1"/>
    <x v="4"/>
    <n v="945"/>
    <x v="0"/>
  </r>
  <r>
    <x v="196"/>
    <s v="Electricity Bill"/>
    <x v="0"/>
    <x v="0"/>
    <n v="1510"/>
    <x v="0"/>
  </r>
  <r>
    <x v="196"/>
    <s v="Salary"/>
    <x v="3"/>
    <x v="3"/>
    <n v="35113"/>
    <x v="1"/>
  </r>
  <r>
    <x v="197"/>
    <s v="Restaurant"/>
    <x v="1"/>
    <x v="2"/>
    <n v="4031"/>
    <x v="0"/>
  </r>
  <r>
    <x v="197"/>
    <s v="Restaurant"/>
    <x v="1"/>
    <x v="3"/>
    <n v="1197"/>
    <x v="0"/>
  </r>
  <r>
    <x v="197"/>
    <s v="Freelance"/>
    <x v="3"/>
    <x v="2"/>
    <n v="59829"/>
    <x v="1"/>
  </r>
  <r>
    <x v="198"/>
    <s v="Electricity Bill"/>
    <x v="0"/>
    <x v="1"/>
    <n v="1487"/>
    <x v="0"/>
  </r>
  <r>
    <x v="199"/>
    <s v="Salary"/>
    <x v="3"/>
    <x v="1"/>
    <n v="56972"/>
    <x v="1"/>
  </r>
  <r>
    <x v="199"/>
    <s v="Movie"/>
    <x v="4"/>
    <x v="1"/>
    <n v="2206"/>
    <x v="0"/>
  </r>
  <r>
    <x v="200"/>
    <s v="Electricity Bill"/>
    <x v="0"/>
    <x v="0"/>
    <n v="3289"/>
    <x v="0"/>
  </r>
  <r>
    <x v="201"/>
    <s v="Groceries"/>
    <x v="1"/>
    <x v="3"/>
    <n v="3225"/>
    <x v="0"/>
  </r>
  <r>
    <x v="201"/>
    <s v="Salary"/>
    <x v="3"/>
    <x v="3"/>
    <n v="54944"/>
    <x v="1"/>
  </r>
  <r>
    <x v="202"/>
    <s v="Internet Bill"/>
    <x v="0"/>
    <x v="2"/>
    <n v="196"/>
    <x v="0"/>
  </r>
  <r>
    <x v="203"/>
    <s v="Salary"/>
    <x v="3"/>
    <x v="4"/>
    <n v="48542"/>
    <x v="1"/>
  </r>
  <r>
    <x v="204"/>
    <s v="Freelance"/>
    <x v="3"/>
    <x v="3"/>
    <n v="53200"/>
    <x v="1"/>
  </r>
  <r>
    <x v="205"/>
    <s v="Fuel"/>
    <x v="5"/>
    <x v="1"/>
    <n v="4939"/>
    <x v="0"/>
  </r>
  <r>
    <x v="205"/>
    <s v="Movie"/>
    <x v="4"/>
    <x v="2"/>
    <n v="286"/>
    <x v="0"/>
  </r>
  <r>
    <x v="206"/>
    <s v="Freelance"/>
    <x v="3"/>
    <x v="4"/>
    <n v="49428"/>
    <x v="1"/>
  </r>
  <r>
    <x v="207"/>
    <s v="Groceries"/>
    <x v="1"/>
    <x v="3"/>
    <n v="828"/>
    <x v="0"/>
  </r>
  <r>
    <x v="207"/>
    <s v="Restaurant"/>
    <x v="1"/>
    <x v="2"/>
    <n v="545"/>
    <x v="0"/>
  </r>
  <r>
    <x v="208"/>
    <s v="Electricity Bill"/>
    <x v="0"/>
    <x v="3"/>
    <n v="3333"/>
    <x v="0"/>
  </r>
  <r>
    <x v="209"/>
    <s v="Electricity Bill"/>
    <x v="0"/>
    <x v="0"/>
    <n v="370"/>
    <x v="0"/>
  </r>
  <r>
    <x v="210"/>
    <s v="Rent"/>
    <x v="2"/>
    <x v="4"/>
    <n v="861"/>
    <x v="0"/>
  </r>
  <r>
    <x v="211"/>
    <s v="Freelance"/>
    <x v="3"/>
    <x v="1"/>
    <n v="52424"/>
    <x v="1"/>
  </r>
  <r>
    <x v="211"/>
    <s v="Salary"/>
    <x v="3"/>
    <x v="1"/>
    <n v="44819"/>
    <x v="1"/>
  </r>
  <r>
    <x v="212"/>
    <s v="Salary"/>
    <x v="3"/>
    <x v="3"/>
    <n v="47515"/>
    <x v="1"/>
  </r>
  <r>
    <x v="213"/>
    <s v="Rent"/>
    <x v="2"/>
    <x v="4"/>
    <n v="3926"/>
    <x v="0"/>
  </r>
  <r>
    <x v="214"/>
    <s v="Groceries"/>
    <x v="1"/>
    <x v="3"/>
    <n v="3298"/>
    <x v="0"/>
  </r>
  <r>
    <x v="214"/>
    <s v="Electricity Bill"/>
    <x v="0"/>
    <x v="0"/>
    <n v="3772"/>
    <x v="0"/>
  </r>
  <r>
    <x v="215"/>
    <s v="Restaurant"/>
    <x v="1"/>
    <x v="1"/>
    <n v="1583"/>
    <x v="0"/>
  </r>
  <r>
    <x v="216"/>
    <s v="Freelance"/>
    <x v="3"/>
    <x v="3"/>
    <n v="49928"/>
    <x v="1"/>
  </r>
  <r>
    <x v="216"/>
    <s v="Fuel"/>
    <x v="5"/>
    <x v="2"/>
    <n v="2936"/>
    <x v="0"/>
  </r>
  <r>
    <x v="216"/>
    <s v="Internet Bill"/>
    <x v="0"/>
    <x v="0"/>
    <n v="2121"/>
    <x v="0"/>
  </r>
  <r>
    <x v="217"/>
    <s v="Electricity Bill"/>
    <x v="0"/>
    <x v="3"/>
    <n v="4811"/>
    <x v="0"/>
  </r>
  <r>
    <x v="218"/>
    <s v="Freelance"/>
    <x v="3"/>
    <x v="2"/>
    <n v="39445"/>
    <x v="1"/>
  </r>
  <r>
    <x v="218"/>
    <s v="Freelance"/>
    <x v="3"/>
    <x v="1"/>
    <n v="51000"/>
    <x v="1"/>
  </r>
  <r>
    <x v="219"/>
    <s v="Internet Bill"/>
    <x v="0"/>
    <x v="4"/>
    <n v="4627"/>
    <x v="0"/>
  </r>
  <r>
    <x v="220"/>
    <s v="Movie"/>
    <x v="4"/>
    <x v="1"/>
    <n v="2835"/>
    <x v="0"/>
  </r>
  <r>
    <x v="221"/>
    <s v="Groceries"/>
    <x v="1"/>
    <x v="4"/>
    <n v="4721"/>
    <x v="0"/>
  </r>
  <r>
    <x v="222"/>
    <s v="Restaurant"/>
    <x v="1"/>
    <x v="1"/>
    <n v="3775"/>
    <x v="0"/>
  </r>
  <r>
    <x v="222"/>
    <s v="Movie"/>
    <x v="4"/>
    <x v="2"/>
    <n v="2776"/>
    <x v="0"/>
  </r>
  <r>
    <x v="223"/>
    <s v="Fuel"/>
    <x v="5"/>
    <x v="1"/>
    <n v="3554"/>
    <x v="0"/>
  </r>
  <r>
    <x v="223"/>
    <s v="Electricity Bill"/>
    <x v="0"/>
    <x v="1"/>
    <n v="339"/>
    <x v="0"/>
  </r>
  <r>
    <x v="224"/>
    <s v="Rent"/>
    <x v="2"/>
    <x v="3"/>
    <n v="723"/>
    <x v="0"/>
  </r>
  <r>
    <x v="225"/>
    <s v="Fuel"/>
    <x v="5"/>
    <x v="4"/>
    <n v="3171"/>
    <x v="0"/>
  </r>
  <r>
    <x v="226"/>
    <s v="Groceries"/>
    <x v="1"/>
    <x v="2"/>
    <n v="1903"/>
    <x v="0"/>
  </r>
  <r>
    <x v="226"/>
    <s v="Internet Bill"/>
    <x v="0"/>
    <x v="1"/>
    <n v="3715"/>
    <x v="0"/>
  </r>
  <r>
    <x v="227"/>
    <s v="Salary"/>
    <x v="3"/>
    <x v="2"/>
    <n v="45580"/>
    <x v="1"/>
  </r>
  <r>
    <x v="228"/>
    <s v="Salary"/>
    <x v="3"/>
    <x v="4"/>
    <n v="45114"/>
    <x v="1"/>
  </r>
  <r>
    <x v="229"/>
    <s v="Groceries"/>
    <x v="1"/>
    <x v="1"/>
    <n v="136"/>
    <x v="0"/>
  </r>
  <r>
    <x v="229"/>
    <s v="Internet Bill"/>
    <x v="0"/>
    <x v="3"/>
    <n v="2313"/>
    <x v="0"/>
  </r>
  <r>
    <x v="229"/>
    <s v="Rent"/>
    <x v="2"/>
    <x v="2"/>
    <n v="4625"/>
    <x v="0"/>
  </r>
  <r>
    <x v="229"/>
    <s v="Fuel"/>
    <x v="5"/>
    <x v="0"/>
    <n v="1007"/>
    <x v="0"/>
  </r>
  <r>
    <x v="230"/>
    <s v="Rent"/>
    <x v="2"/>
    <x v="0"/>
    <n v="3710"/>
    <x v="0"/>
  </r>
  <r>
    <x v="231"/>
    <s v="Fuel"/>
    <x v="5"/>
    <x v="4"/>
    <n v="2978"/>
    <x v="0"/>
  </r>
  <r>
    <x v="231"/>
    <s v="Rent"/>
    <x v="2"/>
    <x v="1"/>
    <n v="4142"/>
    <x v="0"/>
  </r>
  <r>
    <x v="232"/>
    <s v="Freelance"/>
    <x v="3"/>
    <x v="3"/>
    <n v="38447"/>
    <x v="1"/>
  </r>
  <r>
    <x v="232"/>
    <s v="Internet Bill"/>
    <x v="0"/>
    <x v="0"/>
    <n v="4233"/>
    <x v="0"/>
  </r>
  <r>
    <x v="232"/>
    <s v="Rent"/>
    <x v="2"/>
    <x v="0"/>
    <n v="968"/>
    <x v="0"/>
  </r>
  <r>
    <x v="232"/>
    <s v="Rent"/>
    <x v="2"/>
    <x v="2"/>
    <n v="573"/>
    <x v="0"/>
  </r>
  <r>
    <x v="232"/>
    <s v="Freelance"/>
    <x v="3"/>
    <x v="4"/>
    <n v="31367"/>
    <x v="1"/>
  </r>
  <r>
    <x v="233"/>
    <s v="Freelance"/>
    <x v="3"/>
    <x v="0"/>
    <n v="46564"/>
    <x v="1"/>
  </r>
  <r>
    <x v="233"/>
    <s v="Salary"/>
    <x v="3"/>
    <x v="0"/>
    <n v="37142"/>
    <x v="1"/>
  </r>
  <r>
    <x v="234"/>
    <s v="Movie"/>
    <x v="4"/>
    <x v="4"/>
    <n v="4974"/>
    <x v="0"/>
  </r>
  <r>
    <x v="235"/>
    <s v="Rent"/>
    <x v="2"/>
    <x v="2"/>
    <n v="1414"/>
    <x v="0"/>
  </r>
  <r>
    <x v="236"/>
    <s v="Restaurant"/>
    <x v="1"/>
    <x v="1"/>
    <n v="4213"/>
    <x v="0"/>
  </r>
  <r>
    <x v="237"/>
    <s v="Salary"/>
    <x v="3"/>
    <x v="3"/>
    <n v="35909"/>
    <x v="1"/>
  </r>
  <r>
    <x v="238"/>
    <s v="Freelance"/>
    <x v="3"/>
    <x v="1"/>
    <n v="36142"/>
    <x v="1"/>
  </r>
  <r>
    <x v="239"/>
    <s v="Restaurant"/>
    <x v="1"/>
    <x v="3"/>
    <n v="2193"/>
    <x v="0"/>
  </r>
  <r>
    <x v="239"/>
    <s v="Restaurant"/>
    <x v="1"/>
    <x v="0"/>
    <n v="4330"/>
    <x v="0"/>
  </r>
  <r>
    <x v="240"/>
    <s v="Restaurant"/>
    <x v="1"/>
    <x v="1"/>
    <n v="4880"/>
    <x v="0"/>
  </r>
  <r>
    <x v="241"/>
    <s v="Salary"/>
    <x v="3"/>
    <x v="4"/>
    <n v="48614"/>
    <x v="1"/>
  </r>
  <r>
    <x v="241"/>
    <s v="Groceries"/>
    <x v="1"/>
    <x v="1"/>
    <n v="2232"/>
    <x v="0"/>
  </r>
  <r>
    <x v="241"/>
    <s v="Restaurant"/>
    <x v="1"/>
    <x v="0"/>
    <n v="1760"/>
    <x v="0"/>
  </r>
  <r>
    <x v="242"/>
    <s v="Freelance"/>
    <x v="3"/>
    <x v="4"/>
    <n v="33371"/>
    <x v="1"/>
  </r>
  <r>
    <x v="243"/>
    <s v="Rent"/>
    <x v="2"/>
    <x v="2"/>
    <n v="2497"/>
    <x v="0"/>
  </r>
  <r>
    <x v="244"/>
    <s v="Rent"/>
    <x v="2"/>
    <x v="1"/>
    <n v="290"/>
    <x v="0"/>
  </r>
  <r>
    <x v="245"/>
    <s v="Freelance"/>
    <x v="3"/>
    <x v="0"/>
    <n v="32243"/>
    <x v="1"/>
  </r>
  <r>
    <x v="245"/>
    <s v="Fuel"/>
    <x v="5"/>
    <x v="2"/>
    <n v="2584"/>
    <x v="0"/>
  </r>
  <r>
    <x v="246"/>
    <s v="Electricity Bill"/>
    <x v="0"/>
    <x v="4"/>
    <n v="2755"/>
    <x v="0"/>
  </r>
  <r>
    <x v="247"/>
    <s v="Groceries"/>
    <x v="1"/>
    <x v="0"/>
    <n v="3863"/>
    <x v="0"/>
  </r>
  <r>
    <x v="247"/>
    <s v="Rent"/>
    <x v="2"/>
    <x v="3"/>
    <n v="1184"/>
    <x v="0"/>
  </r>
  <r>
    <x v="248"/>
    <s v="Internet Bill"/>
    <x v="0"/>
    <x v="2"/>
    <n v="3530"/>
    <x v="0"/>
  </r>
  <r>
    <x v="249"/>
    <s v="Salary"/>
    <x v="3"/>
    <x v="3"/>
    <n v="41159"/>
    <x v="1"/>
  </r>
  <r>
    <x v="249"/>
    <s v="Internet Bill"/>
    <x v="0"/>
    <x v="0"/>
    <n v="3845"/>
    <x v="0"/>
  </r>
  <r>
    <x v="250"/>
    <s v="Rent"/>
    <x v="2"/>
    <x v="3"/>
    <n v="814"/>
    <x v="0"/>
  </r>
  <r>
    <x v="251"/>
    <s v="Internet Bill"/>
    <x v="0"/>
    <x v="2"/>
    <n v="3508"/>
    <x v="0"/>
  </r>
  <r>
    <x v="251"/>
    <s v="Restaurant"/>
    <x v="1"/>
    <x v="3"/>
    <n v="161"/>
    <x v="0"/>
  </r>
  <r>
    <x v="251"/>
    <s v="Electricity Bill"/>
    <x v="0"/>
    <x v="4"/>
    <n v="730"/>
    <x v="0"/>
  </r>
  <r>
    <x v="252"/>
    <s v="Salary"/>
    <x v="3"/>
    <x v="2"/>
    <n v="31524"/>
    <x v="1"/>
  </r>
  <r>
    <x v="253"/>
    <s v="Freelance"/>
    <x v="3"/>
    <x v="3"/>
    <n v="32584"/>
    <x v="1"/>
  </r>
  <r>
    <x v="254"/>
    <s v="Groceries"/>
    <x v="1"/>
    <x v="0"/>
    <n v="2809"/>
    <x v="0"/>
  </r>
  <r>
    <x v="255"/>
    <s v="Groceries"/>
    <x v="1"/>
    <x v="0"/>
    <n v="926"/>
    <x v="0"/>
  </r>
  <r>
    <x v="256"/>
    <s v="Movie"/>
    <x v="4"/>
    <x v="3"/>
    <n v="1779"/>
    <x v="0"/>
  </r>
  <r>
    <x v="257"/>
    <s v="Groceries"/>
    <x v="1"/>
    <x v="2"/>
    <n v="3298"/>
    <x v="0"/>
  </r>
  <r>
    <x v="257"/>
    <s v="Rent"/>
    <x v="2"/>
    <x v="1"/>
    <n v="2863"/>
    <x v="0"/>
  </r>
  <r>
    <x v="258"/>
    <s v="Internet Bill"/>
    <x v="0"/>
    <x v="3"/>
    <n v="1384"/>
    <x v="0"/>
  </r>
  <r>
    <x v="259"/>
    <s v="Salary"/>
    <x v="3"/>
    <x v="3"/>
    <n v="38534"/>
    <x v="1"/>
  </r>
  <r>
    <x v="260"/>
    <s v="Groceries"/>
    <x v="1"/>
    <x v="2"/>
    <n v="937"/>
    <x v="0"/>
  </r>
  <r>
    <x v="261"/>
    <s v="Fuel"/>
    <x v="5"/>
    <x v="2"/>
    <n v="1686"/>
    <x v="0"/>
  </r>
  <r>
    <x v="261"/>
    <s v="Internet Bill"/>
    <x v="0"/>
    <x v="1"/>
    <n v="832"/>
    <x v="0"/>
  </r>
  <r>
    <x v="262"/>
    <s v="Movie"/>
    <x v="4"/>
    <x v="4"/>
    <n v="3971"/>
    <x v="0"/>
  </r>
  <r>
    <x v="262"/>
    <s v="Salary"/>
    <x v="3"/>
    <x v="4"/>
    <n v="48806"/>
    <x v="1"/>
  </r>
  <r>
    <x v="262"/>
    <s v="Groceries"/>
    <x v="1"/>
    <x v="0"/>
    <n v="2715"/>
    <x v="0"/>
  </r>
  <r>
    <x v="263"/>
    <s v="Freelance"/>
    <x v="3"/>
    <x v="1"/>
    <n v="54678"/>
    <x v="1"/>
  </r>
  <r>
    <x v="263"/>
    <s v="Groceries"/>
    <x v="1"/>
    <x v="0"/>
    <n v="743"/>
    <x v="0"/>
  </r>
  <r>
    <x v="264"/>
    <s v="Rent"/>
    <x v="2"/>
    <x v="3"/>
    <n v="4149"/>
    <x v="0"/>
  </r>
  <r>
    <x v="264"/>
    <s v="Movie"/>
    <x v="4"/>
    <x v="4"/>
    <n v="3299"/>
    <x v="0"/>
  </r>
  <r>
    <x v="265"/>
    <s v="Freelance"/>
    <x v="3"/>
    <x v="0"/>
    <n v="54491"/>
    <x v="1"/>
  </r>
  <r>
    <x v="265"/>
    <s v="Internet Bill"/>
    <x v="0"/>
    <x v="1"/>
    <n v="1555"/>
    <x v="0"/>
  </r>
  <r>
    <x v="266"/>
    <s v="Electricity Bill"/>
    <x v="0"/>
    <x v="3"/>
    <n v="2994"/>
    <x v="0"/>
  </r>
  <r>
    <x v="266"/>
    <s v="Movie"/>
    <x v="4"/>
    <x v="3"/>
    <n v="3943"/>
    <x v="0"/>
  </r>
  <r>
    <x v="267"/>
    <s v="Restaurant"/>
    <x v="1"/>
    <x v="1"/>
    <n v="1335"/>
    <x v="0"/>
  </r>
  <r>
    <x v="268"/>
    <s v="Electricity Bill"/>
    <x v="0"/>
    <x v="3"/>
    <n v="1009"/>
    <x v="0"/>
  </r>
  <r>
    <x v="269"/>
    <s v="Rent"/>
    <x v="2"/>
    <x v="4"/>
    <n v="2251"/>
    <x v="0"/>
  </r>
  <r>
    <x v="270"/>
    <s v="Movie"/>
    <x v="4"/>
    <x v="3"/>
    <n v="3800"/>
    <x v="0"/>
  </r>
  <r>
    <x v="271"/>
    <s v="Rent"/>
    <x v="2"/>
    <x v="3"/>
    <n v="4586"/>
    <x v="0"/>
  </r>
  <r>
    <x v="272"/>
    <s v="Freelance"/>
    <x v="3"/>
    <x v="4"/>
    <n v="51190"/>
    <x v="1"/>
  </r>
  <r>
    <x v="273"/>
    <s v="Salary"/>
    <x v="3"/>
    <x v="0"/>
    <n v="46579"/>
    <x v="1"/>
  </r>
  <r>
    <x v="274"/>
    <s v="Internet Bill"/>
    <x v="0"/>
    <x v="2"/>
    <n v="869"/>
    <x v="0"/>
  </r>
  <r>
    <x v="275"/>
    <s v="Fuel"/>
    <x v="5"/>
    <x v="0"/>
    <n v="2647"/>
    <x v="0"/>
  </r>
  <r>
    <x v="276"/>
    <s v="Restaurant"/>
    <x v="1"/>
    <x v="1"/>
    <n v="752"/>
    <x v="0"/>
  </r>
  <r>
    <x v="277"/>
    <s v="Internet Bill"/>
    <x v="0"/>
    <x v="4"/>
    <n v="4566"/>
    <x v="0"/>
  </r>
  <r>
    <x v="278"/>
    <s v="Groceries"/>
    <x v="1"/>
    <x v="0"/>
    <n v="3533"/>
    <x v="0"/>
  </r>
  <r>
    <x v="278"/>
    <s v="Rent"/>
    <x v="2"/>
    <x v="4"/>
    <n v="1202"/>
    <x v="0"/>
  </r>
  <r>
    <x v="278"/>
    <s v="Electricity Bill"/>
    <x v="0"/>
    <x v="3"/>
    <n v="3423"/>
    <x v="0"/>
  </r>
  <r>
    <x v="279"/>
    <s v="Internet Bill"/>
    <x v="0"/>
    <x v="0"/>
    <n v="4595"/>
    <x v="0"/>
  </r>
  <r>
    <x v="280"/>
    <s v="Groceries"/>
    <x v="1"/>
    <x v="2"/>
    <n v="4965"/>
    <x v="0"/>
  </r>
  <r>
    <x v="281"/>
    <s v="Groceries"/>
    <x v="1"/>
    <x v="1"/>
    <n v="1961"/>
    <x v="0"/>
  </r>
  <r>
    <x v="282"/>
    <s v="Restaurant"/>
    <x v="1"/>
    <x v="3"/>
    <n v="4681"/>
    <x v="0"/>
  </r>
  <r>
    <x v="283"/>
    <s v="Electricity Bill"/>
    <x v="0"/>
    <x v="0"/>
    <n v="1685"/>
    <x v="0"/>
  </r>
  <r>
    <x v="284"/>
    <s v="Rent"/>
    <x v="2"/>
    <x v="1"/>
    <n v="538"/>
    <x v="0"/>
  </r>
  <r>
    <x v="285"/>
    <s v="Rent"/>
    <x v="2"/>
    <x v="2"/>
    <n v="316"/>
    <x v="0"/>
  </r>
  <r>
    <x v="286"/>
    <s v="Salary"/>
    <x v="3"/>
    <x v="1"/>
    <n v="40662"/>
    <x v="1"/>
  </r>
  <r>
    <x v="287"/>
    <s v="Groceries"/>
    <x v="1"/>
    <x v="3"/>
    <n v="3201"/>
    <x v="0"/>
  </r>
  <r>
    <x v="288"/>
    <s v="Rent"/>
    <x v="2"/>
    <x v="2"/>
    <n v="2623"/>
    <x v="0"/>
  </r>
  <r>
    <x v="289"/>
    <s v="Freelance"/>
    <x v="3"/>
    <x v="4"/>
    <n v="41988"/>
    <x v="1"/>
  </r>
  <r>
    <x v="290"/>
    <s v="Groceries"/>
    <x v="1"/>
    <x v="2"/>
    <n v="857"/>
    <x v="0"/>
  </r>
  <r>
    <x v="290"/>
    <s v="Movie"/>
    <x v="4"/>
    <x v="1"/>
    <n v="635"/>
    <x v="0"/>
  </r>
  <r>
    <x v="291"/>
    <s v="Electricity Bill"/>
    <x v="0"/>
    <x v="2"/>
    <n v="3741"/>
    <x v="0"/>
  </r>
  <r>
    <x v="292"/>
    <s v="Salary"/>
    <x v="3"/>
    <x v="3"/>
    <n v="54719"/>
    <x v="1"/>
  </r>
  <r>
    <x v="292"/>
    <s v="Movie"/>
    <x v="4"/>
    <x v="2"/>
    <n v="423"/>
    <x v="0"/>
  </r>
  <r>
    <x v="292"/>
    <s v="Fuel"/>
    <x v="5"/>
    <x v="3"/>
    <n v="135"/>
    <x v="0"/>
  </r>
  <r>
    <x v="292"/>
    <s v="Rent"/>
    <x v="2"/>
    <x v="1"/>
    <n v="1961"/>
    <x v="0"/>
  </r>
  <r>
    <x v="293"/>
    <s v="Movie"/>
    <x v="4"/>
    <x v="1"/>
    <n v="2859"/>
    <x v="0"/>
  </r>
  <r>
    <x v="293"/>
    <s v="Groceries"/>
    <x v="1"/>
    <x v="0"/>
    <n v="4614"/>
    <x v="0"/>
  </r>
  <r>
    <x v="293"/>
    <s v="Fuel"/>
    <x v="5"/>
    <x v="3"/>
    <n v="2377"/>
    <x v="0"/>
  </r>
  <r>
    <x v="294"/>
    <s v="Movie"/>
    <x v="4"/>
    <x v="0"/>
    <n v="196"/>
    <x v="0"/>
  </r>
  <r>
    <x v="295"/>
    <s v="Salary"/>
    <x v="3"/>
    <x v="2"/>
    <n v="44236"/>
    <x v="1"/>
  </r>
  <r>
    <x v="296"/>
    <s v="Rent"/>
    <x v="2"/>
    <x v="1"/>
    <n v="3591"/>
    <x v="0"/>
  </r>
  <r>
    <x v="296"/>
    <s v="Salary"/>
    <x v="3"/>
    <x v="0"/>
    <n v="56620"/>
    <x v="1"/>
  </r>
  <r>
    <x v="297"/>
    <s v="Internet Bill"/>
    <x v="0"/>
    <x v="4"/>
    <n v="498"/>
    <x v="0"/>
  </r>
  <r>
    <x v="297"/>
    <s v="Movie"/>
    <x v="4"/>
    <x v="3"/>
    <n v="2314"/>
    <x v="0"/>
  </r>
  <r>
    <x v="298"/>
    <s v="Salary"/>
    <x v="3"/>
    <x v="1"/>
    <n v="33073"/>
    <x v="1"/>
  </r>
  <r>
    <x v="299"/>
    <s v="Internet Bill"/>
    <x v="0"/>
    <x v="1"/>
    <n v="2539"/>
    <x v="0"/>
  </r>
  <r>
    <x v="299"/>
    <s v="Salary"/>
    <x v="3"/>
    <x v="2"/>
    <n v="44638"/>
    <x v="1"/>
  </r>
  <r>
    <x v="300"/>
    <s v="Internet Bill"/>
    <x v="0"/>
    <x v="4"/>
    <n v="2796"/>
    <x v="0"/>
  </r>
  <r>
    <x v="300"/>
    <s v="Restaurant"/>
    <x v="1"/>
    <x v="1"/>
    <n v="4387"/>
    <x v="0"/>
  </r>
  <r>
    <x v="301"/>
    <s v="Groceries"/>
    <x v="1"/>
    <x v="1"/>
    <n v="923"/>
    <x v="0"/>
  </r>
  <r>
    <x v="302"/>
    <s v="Restaurant"/>
    <x v="1"/>
    <x v="3"/>
    <n v="3270"/>
    <x v="0"/>
  </r>
  <r>
    <x v="303"/>
    <s v="Groceries"/>
    <x v="1"/>
    <x v="3"/>
    <n v="464"/>
    <x v="0"/>
  </r>
  <r>
    <x v="304"/>
    <s v="Internet Bill"/>
    <x v="0"/>
    <x v="1"/>
    <n v="1103"/>
    <x v="0"/>
  </r>
  <r>
    <x v="305"/>
    <s v="Freelance"/>
    <x v="3"/>
    <x v="4"/>
    <n v="31929"/>
    <x v="1"/>
  </r>
  <r>
    <x v="306"/>
    <s v="Salary"/>
    <x v="3"/>
    <x v="1"/>
    <n v="39680"/>
    <x v="1"/>
  </r>
  <r>
    <x v="306"/>
    <s v="Groceries"/>
    <x v="1"/>
    <x v="4"/>
    <n v="3445"/>
    <x v="0"/>
  </r>
  <r>
    <x v="307"/>
    <s v="Rent"/>
    <x v="2"/>
    <x v="4"/>
    <n v="788"/>
    <x v="0"/>
  </r>
  <r>
    <x v="308"/>
    <s v="Fuel"/>
    <x v="5"/>
    <x v="3"/>
    <n v="418"/>
    <x v="0"/>
  </r>
  <r>
    <x v="309"/>
    <s v="Salary"/>
    <x v="3"/>
    <x v="3"/>
    <n v="56803"/>
    <x v="1"/>
  </r>
  <r>
    <x v="309"/>
    <s v="Groceries"/>
    <x v="1"/>
    <x v="2"/>
    <n v="3632"/>
    <x v="0"/>
  </r>
  <r>
    <x v="310"/>
    <s v="Groceries"/>
    <x v="1"/>
    <x v="3"/>
    <n v="4512"/>
    <x v="0"/>
  </r>
  <r>
    <x v="311"/>
    <s v="Freelance"/>
    <x v="3"/>
    <x v="1"/>
    <n v="31584"/>
    <x v="1"/>
  </r>
  <r>
    <x v="311"/>
    <s v="Salary"/>
    <x v="3"/>
    <x v="4"/>
    <n v="46381"/>
    <x v="1"/>
  </r>
  <r>
    <x v="312"/>
    <s v="Groceries"/>
    <x v="1"/>
    <x v="1"/>
    <n v="2870"/>
    <x v="0"/>
  </r>
  <r>
    <x v="313"/>
    <s v="Salary"/>
    <x v="3"/>
    <x v="3"/>
    <n v="40385"/>
    <x v="1"/>
  </r>
  <r>
    <x v="314"/>
    <s v="Freelance"/>
    <x v="3"/>
    <x v="1"/>
    <n v="30021"/>
    <x v="1"/>
  </r>
  <r>
    <x v="314"/>
    <s v="Electricity Bill"/>
    <x v="0"/>
    <x v="2"/>
    <n v="4951"/>
    <x v="0"/>
  </r>
  <r>
    <x v="315"/>
    <s v="Electricity Bill"/>
    <x v="0"/>
    <x v="3"/>
    <n v="4829"/>
    <x v="0"/>
  </r>
  <r>
    <x v="316"/>
    <s v="Rent"/>
    <x v="2"/>
    <x v="4"/>
    <n v="1620"/>
    <x v="0"/>
  </r>
  <r>
    <x v="316"/>
    <s v="Internet Bill"/>
    <x v="0"/>
    <x v="4"/>
    <n v="4972"/>
    <x v="0"/>
  </r>
  <r>
    <x v="317"/>
    <s v="Groceries"/>
    <x v="1"/>
    <x v="1"/>
    <n v="3323"/>
    <x v="0"/>
  </r>
  <r>
    <x v="318"/>
    <s v="Restaurant"/>
    <x v="1"/>
    <x v="1"/>
    <n v="2392"/>
    <x v="0"/>
  </r>
  <r>
    <x v="319"/>
    <s v="Fuel"/>
    <x v="5"/>
    <x v="2"/>
    <n v="1522"/>
    <x v="0"/>
  </r>
  <r>
    <x v="320"/>
    <s v="Salary"/>
    <x v="3"/>
    <x v="0"/>
    <n v="31388"/>
    <x v="1"/>
  </r>
  <r>
    <x v="321"/>
    <s v="Freelance"/>
    <x v="3"/>
    <x v="4"/>
    <n v="36182"/>
    <x v="1"/>
  </r>
  <r>
    <x v="322"/>
    <s v="Freelance"/>
    <x v="3"/>
    <x v="3"/>
    <n v="54988"/>
    <x v="1"/>
  </r>
  <r>
    <x v="323"/>
    <s v="Groceries"/>
    <x v="1"/>
    <x v="3"/>
    <n v="4159"/>
    <x v="0"/>
  </r>
  <r>
    <x v="324"/>
    <s v="Freelance"/>
    <x v="3"/>
    <x v="2"/>
    <n v="53638"/>
    <x v="1"/>
  </r>
  <r>
    <x v="324"/>
    <s v="Restaurant"/>
    <x v="1"/>
    <x v="4"/>
    <n v="204"/>
    <x v="0"/>
  </r>
  <r>
    <x v="325"/>
    <s v="Internet Bill"/>
    <x v="0"/>
    <x v="4"/>
    <n v="3049"/>
    <x v="0"/>
  </r>
  <r>
    <x v="326"/>
    <s v="Groceries"/>
    <x v="1"/>
    <x v="4"/>
    <n v="931"/>
    <x v="0"/>
  </r>
  <r>
    <x v="326"/>
    <s v="Fuel"/>
    <x v="5"/>
    <x v="2"/>
    <n v="1397"/>
    <x v="0"/>
  </r>
  <r>
    <x v="326"/>
    <s v="Movie"/>
    <x v="4"/>
    <x v="3"/>
    <n v="4222"/>
    <x v="0"/>
  </r>
  <r>
    <x v="327"/>
    <s v="Freelance"/>
    <x v="3"/>
    <x v="2"/>
    <n v="33565"/>
    <x v="1"/>
  </r>
  <r>
    <x v="328"/>
    <s v="Movie"/>
    <x v="4"/>
    <x v="3"/>
    <n v="286"/>
    <x v="0"/>
  </r>
  <r>
    <x v="329"/>
    <s v="Electricity Bill"/>
    <x v="0"/>
    <x v="4"/>
    <n v="4996"/>
    <x v="0"/>
  </r>
  <r>
    <x v="330"/>
    <s v="Movie"/>
    <x v="4"/>
    <x v="1"/>
    <n v="168"/>
    <x v="0"/>
  </r>
  <r>
    <x v="331"/>
    <s v="Restaurant"/>
    <x v="1"/>
    <x v="3"/>
    <n v="1120"/>
    <x v="0"/>
  </r>
  <r>
    <x v="331"/>
    <s v="Electricity Bill"/>
    <x v="0"/>
    <x v="3"/>
    <n v="1562"/>
    <x v="0"/>
  </r>
  <r>
    <x v="332"/>
    <s v="Fuel"/>
    <x v="5"/>
    <x v="1"/>
    <n v="3457"/>
    <x v="0"/>
  </r>
  <r>
    <x v="333"/>
    <s v="Fuel"/>
    <x v="5"/>
    <x v="0"/>
    <n v="596"/>
    <x v="0"/>
  </r>
  <r>
    <x v="333"/>
    <s v="Fuel"/>
    <x v="5"/>
    <x v="4"/>
    <n v="2753"/>
    <x v="0"/>
  </r>
  <r>
    <x v="334"/>
    <s v="Rent"/>
    <x v="2"/>
    <x v="2"/>
    <n v="3236"/>
    <x v="0"/>
  </r>
  <r>
    <x v="334"/>
    <s v="Restaurant"/>
    <x v="1"/>
    <x v="4"/>
    <n v="2676"/>
    <x v="0"/>
  </r>
  <r>
    <x v="335"/>
    <s v="Groceries"/>
    <x v="1"/>
    <x v="1"/>
    <n v="1283"/>
    <x v="0"/>
  </r>
  <r>
    <x v="336"/>
    <s v="Groceries"/>
    <x v="1"/>
    <x v="1"/>
    <n v="2807"/>
    <x v="0"/>
  </r>
  <r>
    <x v="337"/>
    <s v="Groceries"/>
    <x v="1"/>
    <x v="0"/>
    <n v="2311"/>
    <x v="0"/>
  </r>
  <r>
    <x v="338"/>
    <s v="Internet Bill"/>
    <x v="0"/>
    <x v="1"/>
    <n v="4736"/>
    <x v="0"/>
  </r>
  <r>
    <x v="338"/>
    <s v="Movie"/>
    <x v="4"/>
    <x v="4"/>
    <n v="4610"/>
    <x v="0"/>
  </r>
  <r>
    <x v="339"/>
    <s v="Salary"/>
    <x v="3"/>
    <x v="4"/>
    <n v="40513"/>
    <x v="1"/>
  </r>
  <r>
    <x v="340"/>
    <s v="Restaurant"/>
    <x v="1"/>
    <x v="1"/>
    <n v="4122"/>
    <x v="0"/>
  </r>
  <r>
    <x v="341"/>
    <s v="Rent"/>
    <x v="2"/>
    <x v="4"/>
    <n v="3968"/>
    <x v="0"/>
  </r>
  <r>
    <x v="342"/>
    <s v="Restaurant"/>
    <x v="1"/>
    <x v="4"/>
    <n v="2603"/>
    <x v="0"/>
  </r>
  <r>
    <x v="343"/>
    <s v="Freelance"/>
    <x v="3"/>
    <x v="0"/>
    <n v="47241"/>
    <x v="1"/>
  </r>
  <r>
    <x v="343"/>
    <s v="Rent"/>
    <x v="2"/>
    <x v="3"/>
    <n v="1827"/>
    <x v="0"/>
  </r>
  <r>
    <x v="344"/>
    <s v="Internet Bill"/>
    <x v="0"/>
    <x v="2"/>
    <n v="3918"/>
    <x v="0"/>
  </r>
  <r>
    <x v="344"/>
    <s v="Internet Bill"/>
    <x v="0"/>
    <x v="2"/>
    <n v="2873"/>
    <x v="0"/>
  </r>
  <r>
    <x v="344"/>
    <s v="Internet Bill"/>
    <x v="0"/>
    <x v="2"/>
    <n v="823"/>
    <x v="0"/>
  </r>
  <r>
    <x v="345"/>
    <s v="Freelance"/>
    <x v="3"/>
    <x v="1"/>
    <n v="55389"/>
    <x v="1"/>
  </r>
  <r>
    <x v="346"/>
    <s v="Movie"/>
    <x v="4"/>
    <x v="4"/>
    <n v="4633"/>
    <x v="0"/>
  </r>
  <r>
    <x v="347"/>
    <s v="Movie"/>
    <x v="4"/>
    <x v="4"/>
    <n v="1842"/>
    <x v="0"/>
  </r>
  <r>
    <x v="348"/>
    <s v="Rent"/>
    <x v="2"/>
    <x v="2"/>
    <n v="3417"/>
    <x v="0"/>
  </r>
  <r>
    <x v="349"/>
    <s v="Salary"/>
    <x v="3"/>
    <x v="3"/>
    <n v="42372"/>
    <x v="1"/>
  </r>
  <r>
    <x v="349"/>
    <s v="Internet Bill"/>
    <x v="0"/>
    <x v="4"/>
    <n v="292"/>
    <x v="0"/>
  </r>
  <r>
    <x v="349"/>
    <s v="Electricity Bill"/>
    <x v="0"/>
    <x v="1"/>
    <n v="2734"/>
    <x v="0"/>
  </r>
  <r>
    <x v="350"/>
    <s v="Electricity Bill"/>
    <x v="0"/>
    <x v="4"/>
    <n v="3130"/>
    <x v="0"/>
  </r>
  <r>
    <x v="350"/>
    <s v="Freelance"/>
    <x v="3"/>
    <x v="2"/>
    <n v="46644"/>
    <x v="1"/>
  </r>
  <r>
    <x v="351"/>
    <s v="Restaurant"/>
    <x v="1"/>
    <x v="4"/>
    <n v="4831"/>
    <x v="0"/>
  </r>
  <r>
    <x v="352"/>
    <s v="Movie"/>
    <x v="4"/>
    <x v="1"/>
    <n v="3203"/>
    <x v="0"/>
  </r>
  <r>
    <x v="353"/>
    <s v="Electricity Bill"/>
    <x v="0"/>
    <x v="2"/>
    <n v="1806"/>
    <x v="0"/>
  </r>
  <r>
    <x v="354"/>
    <s v="Movie"/>
    <x v="4"/>
    <x v="0"/>
    <n v="953"/>
    <x v="0"/>
  </r>
  <r>
    <x v="354"/>
    <s v="Salary"/>
    <x v="3"/>
    <x v="3"/>
    <n v="40023"/>
    <x v="1"/>
  </r>
  <r>
    <x v="354"/>
    <s v="Restaurant"/>
    <x v="1"/>
    <x v="3"/>
    <n v="1438"/>
    <x v="0"/>
  </r>
  <r>
    <x v="355"/>
    <s v="Groceries"/>
    <x v="1"/>
    <x v="2"/>
    <n v="324"/>
    <x v="0"/>
  </r>
  <r>
    <x v="355"/>
    <s v="Fuel"/>
    <x v="5"/>
    <x v="2"/>
    <n v="4469"/>
    <x v="0"/>
  </r>
  <r>
    <x v="356"/>
    <s v="Movie"/>
    <x v="4"/>
    <x v="0"/>
    <n v="3061"/>
    <x v="0"/>
  </r>
  <r>
    <x v="357"/>
    <s v="Rent"/>
    <x v="2"/>
    <x v="3"/>
    <n v="563"/>
    <x v="0"/>
  </r>
  <r>
    <x v="358"/>
    <s v="Internet Bill"/>
    <x v="0"/>
    <x v="3"/>
    <n v="123"/>
    <x v="0"/>
  </r>
  <r>
    <x v="359"/>
    <s v="Electricity Bill"/>
    <x v="0"/>
    <x v="1"/>
    <n v="1727"/>
    <x v="0"/>
  </r>
  <r>
    <x v="359"/>
    <s v="Fuel"/>
    <x v="5"/>
    <x v="0"/>
    <n v="1699"/>
    <x v="0"/>
  </r>
  <r>
    <x v="359"/>
    <s v="Rent"/>
    <x v="2"/>
    <x v="0"/>
    <n v="3644"/>
    <x v="0"/>
  </r>
  <r>
    <x v="360"/>
    <s v="Fuel"/>
    <x v="5"/>
    <x v="4"/>
    <n v="4002"/>
    <x v="0"/>
  </r>
  <r>
    <x v="361"/>
    <s v="Restaurant"/>
    <x v="1"/>
    <x v="0"/>
    <n v="2266"/>
    <x v="0"/>
  </r>
  <r>
    <x v="362"/>
    <s v="Electricity Bill"/>
    <x v="0"/>
    <x v="4"/>
    <n v="2821"/>
    <x v="0"/>
  </r>
  <r>
    <x v="362"/>
    <s v="Fuel"/>
    <x v="5"/>
    <x v="1"/>
    <n v="4475"/>
    <x v="0"/>
  </r>
  <r>
    <x v="363"/>
    <s v="Internet Bill"/>
    <x v="0"/>
    <x v="4"/>
    <n v="4220"/>
    <x v="0"/>
  </r>
  <r>
    <x v="364"/>
    <s v="Electricity Bill"/>
    <x v="0"/>
    <x v="1"/>
    <n v="4402"/>
    <x v="0"/>
  </r>
  <r>
    <x v="364"/>
    <s v="Groceries"/>
    <x v="1"/>
    <x v="2"/>
    <n v="4299"/>
    <x v="0"/>
  </r>
  <r>
    <x v="364"/>
    <s v="Movie"/>
    <x v="4"/>
    <x v="0"/>
    <n v="1192"/>
    <x v="0"/>
  </r>
  <r>
    <x v="365"/>
    <s v="Electricity Bill"/>
    <x v="0"/>
    <x v="0"/>
    <n v="4806"/>
    <x v="0"/>
  </r>
  <r>
    <x v="366"/>
    <s v="Restaurant"/>
    <x v="1"/>
    <x v="1"/>
    <n v="3612"/>
    <x v="0"/>
  </r>
  <r>
    <x v="366"/>
    <s v="Salary"/>
    <x v="3"/>
    <x v="2"/>
    <n v="32330"/>
    <x v="1"/>
  </r>
  <r>
    <x v="367"/>
    <s v="Fuel"/>
    <x v="5"/>
    <x v="0"/>
    <n v="1556"/>
    <x v="0"/>
  </r>
  <r>
    <x v="368"/>
    <s v="Salary"/>
    <x v="3"/>
    <x v="0"/>
    <n v="38978"/>
    <x v="1"/>
  </r>
  <r>
    <x v="368"/>
    <s v="Groceries"/>
    <x v="1"/>
    <x v="1"/>
    <n v="3542"/>
    <x v="0"/>
  </r>
  <r>
    <x v="369"/>
    <s v="Internet Bill"/>
    <x v="0"/>
    <x v="4"/>
    <n v="3635"/>
    <x v="0"/>
  </r>
  <r>
    <x v="370"/>
    <s v="Electricity Bill"/>
    <x v="0"/>
    <x v="3"/>
    <n v="3244"/>
    <x v="0"/>
  </r>
  <r>
    <x v="371"/>
    <s v="Restaurant"/>
    <x v="1"/>
    <x v="0"/>
    <n v="2330"/>
    <x v="0"/>
  </r>
  <r>
    <x v="372"/>
    <s v="Fuel"/>
    <x v="5"/>
    <x v="0"/>
    <n v="1460"/>
    <x v="0"/>
  </r>
  <r>
    <x v="372"/>
    <s v="Internet Bill"/>
    <x v="0"/>
    <x v="1"/>
    <n v="4224"/>
    <x v="0"/>
  </r>
  <r>
    <x v="373"/>
    <s v="Groceries"/>
    <x v="1"/>
    <x v="0"/>
    <n v="4603"/>
    <x v="0"/>
  </r>
  <r>
    <x v="374"/>
    <s v="Electricity Bill"/>
    <x v="0"/>
    <x v="0"/>
    <n v="142"/>
    <x v="0"/>
  </r>
  <r>
    <x v="374"/>
    <s v="Electricity Bill"/>
    <x v="0"/>
    <x v="4"/>
    <n v="2942"/>
    <x v="0"/>
  </r>
  <r>
    <x v="375"/>
    <s v="Salary"/>
    <x v="3"/>
    <x v="3"/>
    <n v="38770"/>
    <x v="1"/>
  </r>
  <r>
    <x v="376"/>
    <s v="Restaurant"/>
    <x v="1"/>
    <x v="4"/>
    <n v="4027"/>
    <x v="0"/>
  </r>
  <r>
    <x v="377"/>
    <s v="Salary"/>
    <x v="3"/>
    <x v="4"/>
    <n v="38940"/>
    <x v="1"/>
  </r>
  <r>
    <x v="378"/>
    <s v="Rent"/>
    <x v="2"/>
    <x v="0"/>
    <n v="1816"/>
    <x v="0"/>
  </r>
  <r>
    <x v="378"/>
    <s v="Restaurant"/>
    <x v="1"/>
    <x v="0"/>
    <n v="4767"/>
    <x v="0"/>
  </r>
  <r>
    <x v="379"/>
    <s v="Movie"/>
    <x v="4"/>
    <x v="2"/>
    <n v="1224"/>
    <x v="0"/>
  </r>
  <r>
    <x v="380"/>
    <s v="Fuel"/>
    <x v="5"/>
    <x v="4"/>
    <n v="2647"/>
    <x v="0"/>
  </r>
  <r>
    <x v="381"/>
    <s v="Groceries"/>
    <x v="1"/>
    <x v="2"/>
    <n v="1085"/>
    <x v="0"/>
  </r>
  <r>
    <x v="382"/>
    <s v="Freelance"/>
    <x v="3"/>
    <x v="2"/>
    <n v="44811"/>
    <x v="1"/>
  </r>
  <r>
    <x v="383"/>
    <s v="Groceries"/>
    <x v="1"/>
    <x v="3"/>
    <n v="1428"/>
    <x v="0"/>
  </r>
  <r>
    <x v="384"/>
    <s v="Rent"/>
    <x v="2"/>
    <x v="4"/>
    <n v="798"/>
    <x v="0"/>
  </r>
  <r>
    <x v="384"/>
    <s v="Internet Bill"/>
    <x v="0"/>
    <x v="2"/>
    <n v="3984"/>
    <x v="0"/>
  </r>
  <r>
    <x v="384"/>
    <s v="Electricity Bill"/>
    <x v="0"/>
    <x v="0"/>
    <n v="1942"/>
    <x v="0"/>
  </r>
  <r>
    <x v="385"/>
    <s v="Freelance"/>
    <x v="3"/>
    <x v="3"/>
    <n v="39253"/>
    <x v="1"/>
  </r>
  <r>
    <x v="386"/>
    <s v="Groceries"/>
    <x v="1"/>
    <x v="3"/>
    <n v="420"/>
    <x v="0"/>
  </r>
  <r>
    <x v="386"/>
    <s v="Electricity Bill"/>
    <x v="0"/>
    <x v="0"/>
    <n v="881"/>
    <x v="0"/>
  </r>
  <r>
    <x v="386"/>
    <s v="Rent"/>
    <x v="2"/>
    <x v="2"/>
    <n v="4982"/>
    <x v="0"/>
  </r>
  <r>
    <x v="387"/>
    <s v="Salary"/>
    <x v="3"/>
    <x v="0"/>
    <n v="33946"/>
    <x v="1"/>
  </r>
  <r>
    <x v="388"/>
    <s v="Rent"/>
    <x v="2"/>
    <x v="4"/>
    <n v="638"/>
    <x v="0"/>
  </r>
  <r>
    <x v="389"/>
    <s v="Electricity Bill"/>
    <x v="0"/>
    <x v="4"/>
    <n v="2215"/>
    <x v="0"/>
  </r>
  <r>
    <x v="390"/>
    <s v="Restaurant"/>
    <x v="1"/>
    <x v="2"/>
    <n v="4274"/>
    <x v="0"/>
  </r>
  <r>
    <x v="391"/>
    <s v="Freelance"/>
    <x v="3"/>
    <x v="4"/>
    <n v="48547"/>
    <x v="1"/>
  </r>
  <r>
    <x v="391"/>
    <s v="Fuel"/>
    <x v="5"/>
    <x v="0"/>
    <n v="3834"/>
    <x v="0"/>
  </r>
  <r>
    <x v="392"/>
    <s v="Rent"/>
    <x v="2"/>
    <x v="2"/>
    <n v="4846"/>
    <x v="0"/>
  </r>
  <r>
    <x v="393"/>
    <s v="Rent"/>
    <x v="2"/>
    <x v="4"/>
    <n v="2343"/>
    <x v="0"/>
  </r>
  <r>
    <x v="393"/>
    <s v="Restaurant"/>
    <x v="1"/>
    <x v="4"/>
    <n v="1591"/>
    <x v="0"/>
  </r>
  <r>
    <x v="394"/>
    <s v="Restaurant"/>
    <x v="1"/>
    <x v="2"/>
    <n v="1761"/>
    <x v="0"/>
  </r>
  <r>
    <x v="394"/>
    <s v="Salary"/>
    <x v="3"/>
    <x v="1"/>
    <n v="57368"/>
    <x v="1"/>
  </r>
  <r>
    <x v="395"/>
    <s v="Electricity Bill"/>
    <x v="0"/>
    <x v="1"/>
    <n v="3411"/>
    <x v="0"/>
  </r>
  <r>
    <x v="395"/>
    <s v="Electricity Bill"/>
    <x v="0"/>
    <x v="2"/>
    <n v="1364"/>
    <x v="0"/>
  </r>
  <r>
    <x v="396"/>
    <s v="Movie"/>
    <x v="4"/>
    <x v="2"/>
    <n v="4089"/>
    <x v="0"/>
  </r>
  <r>
    <x v="396"/>
    <s v="Restaurant"/>
    <x v="1"/>
    <x v="4"/>
    <n v="542"/>
    <x v="0"/>
  </r>
  <r>
    <x v="396"/>
    <s v="Groceries"/>
    <x v="1"/>
    <x v="0"/>
    <n v="4087"/>
    <x v="0"/>
  </r>
  <r>
    <x v="397"/>
    <s v="Movie"/>
    <x v="4"/>
    <x v="4"/>
    <n v="4843"/>
    <x v="0"/>
  </r>
  <r>
    <x v="398"/>
    <s v="Salary"/>
    <x v="3"/>
    <x v="0"/>
    <n v="30644"/>
    <x v="1"/>
  </r>
  <r>
    <x v="399"/>
    <s v="Electricity Bill"/>
    <x v="0"/>
    <x v="4"/>
    <n v="4997"/>
    <x v="0"/>
  </r>
  <r>
    <x v="399"/>
    <s v="Restaurant"/>
    <x v="1"/>
    <x v="2"/>
    <n v="2710"/>
    <x v="0"/>
  </r>
  <r>
    <x v="399"/>
    <s v="Electricity Bill"/>
    <x v="0"/>
    <x v="4"/>
    <n v="3205"/>
    <x v="0"/>
  </r>
  <r>
    <x v="400"/>
    <s v="Groceries"/>
    <x v="1"/>
    <x v="2"/>
    <n v="1281"/>
    <x v="0"/>
  </r>
  <r>
    <x v="401"/>
    <s v="Movie"/>
    <x v="4"/>
    <x v="0"/>
    <n v="4462"/>
    <x v="0"/>
  </r>
  <r>
    <x v="402"/>
    <s v="Freelance"/>
    <x v="3"/>
    <x v="2"/>
    <n v="46739"/>
    <x v="1"/>
  </r>
  <r>
    <x v="403"/>
    <s v="Fuel"/>
    <x v="5"/>
    <x v="0"/>
    <n v="936"/>
    <x v="0"/>
  </r>
  <r>
    <x v="404"/>
    <s v="Freelance"/>
    <x v="3"/>
    <x v="2"/>
    <n v="46428"/>
    <x v="1"/>
  </r>
  <r>
    <x v="405"/>
    <s v="Restaurant"/>
    <x v="1"/>
    <x v="2"/>
    <n v="959"/>
    <x v="0"/>
  </r>
  <r>
    <x v="405"/>
    <s v="Freelance"/>
    <x v="3"/>
    <x v="2"/>
    <n v="50181"/>
    <x v="1"/>
  </r>
  <r>
    <x v="406"/>
    <s v="Rent"/>
    <x v="2"/>
    <x v="2"/>
    <n v="2846"/>
    <x v="0"/>
  </r>
  <r>
    <x v="407"/>
    <s v="Movie"/>
    <x v="4"/>
    <x v="3"/>
    <n v="1958"/>
    <x v="0"/>
  </r>
  <r>
    <x v="407"/>
    <s v="Internet Bill"/>
    <x v="0"/>
    <x v="2"/>
    <n v="2403"/>
    <x v="0"/>
  </r>
  <r>
    <x v="408"/>
    <s v="Salary"/>
    <x v="3"/>
    <x v="1"/>
    <n v="41684"/>
    <x v="1"/>
  </r>
  <r>
    <x v="409"/>
    <s v="Restaurant"/>
    <x v="1"/>
    <x v="3"/>
    <n v="1382"/>
    <x v="0"/>
  </r>
  <r>
    <x v="410"/>
    <s v="Movie"/>
    <x v="4"/>
    <x v="2"/>
    <n v="802"/>
    <x v="0"/>
  </r>
  <r>
    <x v="411"/>
    <s v="Restaurant"/>
    <x v="1"/>
    <x v="1"/>
    <n v="2572"/>
    <x v="0"/>
  </r>
  <r>
    <x v="412"/>
    <s v="Freelance"/>
    <x v="3"/>
    <x v="0"/>
    <n v="43750"/>
    <x v="1"/>
  </r>
  <r>
    <x v="413"/>
    <s v="Freelance"/>
    <x v="3"/>
    <x v="3"/>
    <n v="31100"/>
    <x v="1"/>
  </r>
  <r>
    <x v="414"/>
    <s v="Electricity Bill"/>
    <x v="0"/>
    <x v="0"/>
    <n v="1260"/>
    <x v="0"/>
  </r>
  <r>
    <x v="414"/>
    <s v="Fuel"/>
    <x v="5"/>
    <x v="2"/>
    <n v="1957"/>
    <x v="0"/>
  </r>
  <r>
    <x v="415"/>
    <s v="Groceries"/>
    <x v="1"/>
    <x v="2"/>
    <n v="1910"/>
    <x v="0"/>
  </r>
  <r>
    <x v="416"/>
    <s v="Electricity Bill"/>
    <x v="0"/>
    <x v="4"/>
    <n v="3955"/>
    <x v="0"/>
  </r>
  <r>
    <x v="417"/>
    <s v="Internet Bill"/>
    <x v="0"/>
    <x v="2"/>
    <n v="4891"/>
    <x v="0"/>
  </r>
  <r>
    <x v="418"/>
    <s v="Fuel"/>
    <x v="5"/>
    <x v="2"/>
    <n v="4877"/>
    <x v="0"/>
  </r>
  <r>
    <x v="419"/>
    <s v="Internet Bill"/>
    <x v="0"/>
    <x v="1"/>
    <n v="2628"/>
    <x v="0"/>
  </r>
  <r>
    <x v="419"/>
    <s v="Movie"/>
    <x v="4"/>
    <x v="3"/>
    <n v="3878"/>
    <x v="0"/>
  </r>
  <r>
    <x v="420"/>
    <s v="Restaurant"/>
    <x v="1"/>
    <x v="2"/>
    <n v="1247"/>
    <x v="0"/>
  </r>
  <r>
    <x v="421"/>
    <s v="Electricity Bill"/>
    <x v="0"/>
    <x v="3"/>
    <n v="323"/>
    <x v="0"/>
  </r>
  <r>
    <x v="422"/>
    <s v="Rent"/>
    <x v="2"/>
    <x v="1"/>
    <n v="2381"/>
    <x v="0"/>
  </r>
  <r>
    <x v="423"/>
    <s v="Restaurant"/>
    <x v="1"/>
    <x v="3"/>
    <n v="3880"/>
    <x v="0"/>
  </r>
  <r>
    <x v="424"/>
    <s v="Salary"/>
    <x v="3"/>
    <x v="1"/>
    <n v="42291"/>
    <x v="1"/>
  </r>
  <r>
    <x v="425"/>
    <s v="Fuel"/>
    <x v="5"/>
    <x v="2"/>
    <n v="2508"/>
    <x v="0"/>
  </r>
  <r>
    <x v="426"/>
    <s v="Restaurant"/>
    <x v="1"/>
    <x v="2"/>
    <n v="3427"/>
    <x v="0"/>
  </r>
  <r>
    <x v="426"/>
    <s v="Freelance"/>
    <x v="3"/>
    <x v="0"/>
    <n v="44969"/>
    <x v="1"/>
  </r>
  <r>
    <x v="426"/>
    <s v="Electricity Bill"/>
    <x v="0"/>
    <x v="2"/>
    <n v="2064"/>
    <x v="0"/>
  </r>
  <r>
    <x v="426"/>
    <s v="Salary"/>
    <x v="3"/>
    <x v="0"/>
    <n v="32932"/>
    <x v="1"/>
  </r>
  <r>
    <x v="427"/>
    <s v="Movie"/>
    <x v="4"/>
    <x v="1"/>
    <n v="2513"/>
    <x v="0"/>
  </r>
  <r>
    <x v="428"/>
    <s v="Freelance"/>
    <x v="3"/>
    <x v="0"/>
    <n v="57940"/>
    <x v="1"/>
  </r>
  <r>
    <x v="429"/>
    <s v="Internet Bill"/>
    <x v="0"/>
    <x v="4"/>
    <n v="1451"/>
    <x v="0"/>
  </r>
  <r>
    <x v="430"/>
    <s v="Freelance"/>
    <x v="3"/>
    <x v="1"/>
    <n v="36323"/>
    <x v="1"/>
  </r>
  <r>
    <x v="431"/>
    <s v="Groceries"/>
    <x v="1"/>
    <x v="4"/>
    <n v="1804"/>
    <x v="0"/>
  </r>
  <r>
    <x v="432"/>
    <s v="Rent"/>
    <x v="2"/>
    <x v="2"/>
    <n v="3746"/>
    <x v="0"/>
  </r>
  <r>
    <x v="433"/>
    <s v="Movie"/>
    <x v="4"/>
    <x v="3"/>
    <n v="3783"/>
    <x v="0"/>
  </r>
  <r>
    <x v="434"/>
    <s v="Internet Bill"/>
    <x v="0"/>
    <x v="2"/>
    <n v="2080"/>
    <x v="0"/>
  </r>
  <r>
    <x v="435"/>
    <s v="Freelance"/>
    <x v="3"/>
    <x v="1"/>
    <n v="40129"/>
    <x v="1"/>
  </r>
  <r>
    <x v="436"/>
    <s v="Freelance"/>
    <x v="3"/>
    <x v="2"/>
    <n v="36418"/>
    <x v="1"/>
  </r>
  <r>
    <x v="437"/>
    <s v="Electricity Bill"/>
    <x v="0"/>
    <x v="2"/>
    <n v="3246"/>
    <x v="0"/>
  </r>
  <r>
    <x v="437"/>
    <s v="Electricity Bill"/>
    <x v="0"/>
    <x v="4"/>
    <n v="3132"/>
    <x v="0"/>
  </r>
  <r>
    <x v="437"/>
    <s v="Groceries"/>
    <x v="1"/>
    <x v="0"/>
    <n v="3916"/>
    <x v="0"/>
  </r>
  <r>
    <x v="438"/>
    <s v="Internet Bill"/>
    <x v="0"/>
    <x v="3"/>
    <n v="3420"/>
    <x v="0"/>
  </r>
  <r>
    <x v="439"/>
    <s v="Electricity Bill"/>
    <x v="0"/>
    <x v="1"/>
    <n v="3862"/>
    <x v="0"/>
  </r>
  <r>
    <x v="439"/>
    <s v="Salary"/>
    <x v="3"/>
    <x v="2"/>
    <n v="52926"/>
    <x v="1"/>
  </r>
  <r>
    <x v="439"/>
    <s v="Groceries"/>
    <x v="1"/>
    <x v="2"/>
    <n v="3149"/>
    <x v="0"/>
  </r>
  <r>
    <x v="440"/>
    <s v="Restaurant"/>
    <x v="1"/>
    <x v="2"/>
    <n v="4481"/>
    <x v="0"/>
  </r>
  <r>
    <x v="441"/>
    <s v="Groceries"/>
    <x v="1"/>
    <x v="0"/>
    <n v="4969"/>
    <x v="0"/>
  </r>
  <r>
    <x v="442"/>
    <s v="Movie"/>
    <x v="4"/>
    <x v="0"/>
    <n v="1245"/>
    <x v="0"/>
  </r>
  <r>
    <x v="443"/>
    <s v="Movie"/>
    <x v="4"/>
    <x v="3"/>
    <n v="3207"/>
    <x v="0"/>
  </r>
  <r>
    <x v="444"/>
    <s v="Movie"/>
    <x v="4"/>
    <x v="1"/>
    <n v="4023"/>
    <x v="0"/>
  </r>
  <r>
    <x v="445"/>
    <s v="Movie"/>
    <x v="4"/>
    <x v="0"/>
    <n v="1350"/>
    <x v="0"/>
  </r>
  <r>
    <x v="445"/>
    <s v="Restaurant"/>
    <x v="1"/>
    <x v="4"/>
    <n v="2057"/>
    <x v="0"/>
  </r>
  <r>
    <x v="445"/>
    <s v="Movie"/>
    <x v="4"/>
    <x v="4"/>
    <n v="371"/>
    <x v="0"/>
  </r>
  <r>
    <x v="445"/>
    <s v="Electricity Bill"/>
    <x v="0"/>
    <x v="4"/>
    <n v="303"/>
    <x v="0"/>
  </r>
  <r>
    <x v="445"/>
    <s v="Movie"/>
    <x v="4"/>
    <x v="1"/>
    <n v="912"/>
    <x v="0"/>
  </r>
  <r>
    <x v="446"/>
    <s v="Freelance"/>
    <x v="3"/>
    <x v="3"/>
    <n v="35832"/>
    <x v="1"/>
  </r>
  <r>
    <x v="446"/>
    <s v="Internet Bill"/>
    <x v="0"/>
    <x v="0"/>
    <n v="4251"/>
    <x v="0"/>
  </r>
  <r>
    <x v="446"/>
    <s v="Salary"/>
    <x v="3"/>
    <x v="4"/>
    <n v="30099"/>
    <x v="1"/>
  </r>
  <r>
    <x v="447"/>
    <s v="Rent"/>
    <x v="2"/>
    <x v="1"/>
    <n v="4271"/>
    <x v="0"/>
  </r>
  <r>
    <x v="448"/>
    <s v="Movie"/>
    <x v="4"/>
    <x v="0"/>
    <n v="512"/>
    <x v="0"/>
  </r>
  <r>
    <x v="449"/>
    <s v="Electricity Bill"/>
    <x v="0"/>
    <x v="3"/>
    <n v="1663"/>
    <x v="0"/>
  </r>
  <r>
    <x v="449"/>
    <s v="Internet Bill"/>
    <x v="0"/>
    <x v="4"/>
    <n v="4704"/>
    <x v="0"/>
  </r>
  <r>
    <x v="450"/>
    <s v="Electricity Bill"/>
    <x v="0"/>
    <x v="0"/>
    <n v="1312"/>
    <x v="0"/>
  </r>
  <r>
    <x v="451"/>
    <s v="Groceries"/>
    <x v="1"/>
    <x v="3"/>
    <n v="725"/>
    <x v="0"/>
  </r>
  <r>
    <x v="452"/>
    <s v="Salary"/>
    <x v="3"/>
    <x v="0"/>
    <n v="30337"/>
    <x v="1"/>
  </r>
  <r>
    <x v="453"/>
    <s v="Restaurant"/>
    <x v="1"/>
    <x v="3"/>
    <n v="1776"/>
    <x v="0"/>
  </r>
  <r>
    <x v="453"/>
    <s v="Groceries"/>
    <x v="1"/>
    <x v="1"/>
    <n v="3359"/>
    <x v="0"/>
  </r>
  <r>
    <x v="454"/>
    <s v="Groceries"/>
    <x v="1"/>
    <x v="3"/>
    <n v="4459"/>
    <x v="0"/>
  </r>
  <r>
    <x v="455"/>
    <s v="Salary"/>
    <x v="3"/>
    <x v="0"/>
    <n v="38643"/>
    <x v="1"/>
  </r>
  <r>
    <x v="456"/>
    <s v="Rent"/>
    <x v="2"/>
    <x v="2"/>
    <n v="4979"/>
    <x v="0"/>
  </r>
  <r>
    <x v="456"/>
    <s v="Fuel"/>
    <x v="5"/>
    <x v="4"/>
    <n v="1007"/>
    <x v="0"/>
  </r>
  <r>
    <x v="456"/>
    <s v="Movie"/>
    <x v="4"/>
    <x v="3"/>
    <n v="632"/>
    <x v="0"/>
  </r>
  <r>
    <x v="457"/>
    <s v="Fuel"/>
    <x v="5"/>
    <x v="1"/>
    <n v="3971"/>
    <x v="0"/>
  </r>
  <r>
    <x v="458"/>
    <s v="Salary"/>
    <x v="3"/>
    <x v="1"/>
    <n v="57514"/>
    <x v="1"/>
  </r>
  <r>
    <x v="459"/>
    <s v="Fuel"/>
    <x v="5"/>
    <x v="0"/>
    <n v="3083"/>
    <x v="0"/>
  </r>
  <r>
    <x v="459"/>
    <s v="Internet Bill"/>
    <x v="0"/>
    <x v="3"/>
    <n v="3554"/>
    <x v="0"/>
  </r>
  <r>
    <x v="460"/>
    <s v="Freelance"/>
    <x v="3"/>
    <x v="0"/>
    <n v="32215"/>
    <x v="1"/>
  </r>
  <r>
    <x v="461"/>
    <s v="Movie"/>
    <x v="4"/>
    <x v="2"/>
    <n v="1069"/>
    <x v="0"/>
  </r>
  <r>
    <x v="462"/>
    <s v="Groceries"/>
    <x v="1"/>
    <x v="2"/>
    <n v="3490"/>
    <x v="0"/>
  </r>
  <r>
    <x v="462"/>
    <s v="Salary"/>
    <x v="3"/>
    <x v="0"/>
    <n v="37103"/>
    <x v="1"/>
  </r>
  <r>
    <x v="462"/>
    <s v="Movie"/>
    <x v="4"/>
    <x v="4"/>
    <n v="4983"/>
    <x v="0"/>
  </r>
  <r>
    <x v="463"/>
    <s v="Electricity Bill"/>
    <x v="0"/>
    <x v="4"/>
    <n v="1589"/>
    <x v="0"/>
  </r>
  <r>
    <x v="464"/>
    <s v="Freelance"/>
    <x v="3"/>
    <x v="3"/>
    <n v="51110"/>
    <x v="1"/>
  </r>
  <r>
    <x v="465"/>
    <s v="Rent"/>
    <x v="2"/>
    <x v="3"/>
    <n v="1498"/>
    <x v="0"/>
  </r>
  <r>
    <x v="466"/>
    <s v="Salary"/>
    <x v="3"/>
    <x v="0"/>
    <n v="49202"/>
    <x v="1"/>
  </r>
  <r>
    <x v="466"/>
    <s v="Electricity Bill"/>
    <x v="0"/>
    <x v="4"/>
    <n v="3919"/>
    <x v="0"/>
  </r>
  <r>
    <x v="467"/>
    <s v="Fuel"/>
    <x v="5"/>
    <x v="0"/>
    <n v="4462"/>
    <x v="0"/>
  </r>
  <r>
    <x v="468"/>
    <s v="Internet Bill"/>
    <x v="0"/>
    <x v="4"/>
    <n v="1589"/>
    <x v="0"/>
  </r>
  <r>
    <x v="468"/>
    <s v="Restaurant"/>
    <x v="1"/>
    <x v="4"/>
    <n v="3639"/>
    <x v="0"/>
  </r>
  <r>
    <x v="468"/>
    <s v="Internet Bill"/>
    <x v="0"/>
    <x v="3"/>
    <n v="3418"/>
    <x v="0"/>
  </r>
  <r>
    <x v="469"/>
    <s v="Groceries"/>
    <x v="1"/>
    <x v="2"/>
    <n v="4556"/>
    <x v="0"/>
  </r>
  <r>
    <x v="469"/>
    <s v="Movie"/>
    <x v="4"/>
    <x v="2"/>
    <n v="985"/>
    <x v="0"/>
  </r>
  <r>
    <x v="469"/>
    <s v="Movie"/>
    <x v="4"/>
    <x v="0"/>
    <n v="3616"/>
    <x v="0"/>
  </r>
  <r>
    <x v="469"/>
    <s v="Fuel"/>
    <x v="5"/>
    <x v="4"/>
    <n v="4530"/>
    <x v="0"/>
  </r>
  <r>
    <x v="469"/>
    <s v="Rent"/>
    <x v="2"/>
    <x v="1"/>
    <n v="2492"/>
    <x v="0"/>
  </r>
  <r>
    <x v="469"/>
    <s v="Groceries"/>
    <x v="1"/>
    <x v="1"/>
    <n v="3418"/>
    <x v="0"/>
  </r>
  <r>
    <x v="470"/>
    <s v="Movie"/>
    <x v="4"/>
    <x v="3"/>
    <n v="2723"/>
    <x v="0"/>
  </r>
  <r>
    <x v="471"/>
    <s v="Internet Bill"/>
    <x v="0"/>
    <x v="2"/>
    <n v="4832"/>
    <x v="0"/>
  </r>
  <r>
    <x v="471"/>
    <s v="Movie"/>
    <x v="4"/>
    <x v="3"/>
    <n v="1389"/>
    <x v="0"/>
  </r>
  <r>
    <x v="472"/>
    <s v="Freelance"/>
    <x v="3"/>
    <x v="2"/>
    <n v="32013"/>
    <x v="1"/>
  </r>
  <r>
    <x v="472"/>
    <s v="Movie"/>
    <x v="4"/>
    <x v="2"/>
    <n v="782"/>
    <x v="0"/>
  </r>
  <r>
    <x v="473"/>
    <s v="Freelance"/>
    <x v="3"/>
    <x v="4"/>
    <n v="38986"/>
    <x v="1"/>
  </r>
  <r>
    <x v="474"/>
    <s v="Fuel"/>
    <x v="5"/>
    <x v="3"/>
    <n v="226"/>
    <x v="0"/>
  </r>
  <r>
    <x v="475"/>
    <s v="Groceries"/>
    <x v="1"/>
    <x v="3"/>
    <n v="1209"/>
    <x v="0"/>
  </r>
  <r>
    <x v="475"/>
    <s v="Groceries"/>
    <x v="1"/>
    <x v="2"/>
    <n v="3841"/>
    <x v="0"/>
  </r>
  <r>
    <x v="476"/>
    <s v="Internet Bill"/>
    <x v="0"/>
    <x v="4"/>
    <n v="167"/>
    <x v="0"/>
  </r>
  <r>
    <x v="476"/>
    <s v="Groceries"/>
    <x v="1"/>
    <x v="3"/>
    <n v="3558"/>
    <x v="0"/>
  </r>
  <r>
    <x v="477"/>
    <s v="Fuel"/>
    <x v="5"/>
    <x v="0"/>
    <n v="3770"/>
    <x v="0"/>
  </r>
  <r>
    <x v="478"/>
    <s v="Movie"/>
    <x v="4"/>
    <x v="1"/>
    <n v="513"/>
    <x v="0"/>
  </r>
  <r>
    <x v="478"/>
    <s v="Salary"/>
    <x v="3"/>
    <x v="0"/>
    <n v="45614"/>
    <x v="1"/>
  </r>
  <r>
    <x v="479"/>
    <s v="Fuel"/>
    <x v="5"/>
    <x v="3"/>
    <n v="2165"/>
    <x v="0"/>
  </r>
  <r>
    <x v="479"/>
    <s v="Electricity Bill"/>
    <x v="0"/>
    <x v="3"/>
    <n v="3254"/>
    <x v="0"/>
  </r>
  <r>
    <x v="479"/>
    <s v="Electricity Bill"/>
    <x v="0"/>
    <x v="0"/>
    <n v="2578"/>
    <x v="0"/>
  </r>
  <r>
    <x v="480"/>
    <s v="Freelance"/>
    <x v="3"/>
    <x v="2"/>
    <n v="30849"/>
    <x v="1"/>
  </r>
  <r>
    <x v="481"/>
    <s v="Freelance"/>
    <x v="3"/>
    <x v="4"/>
    <n v="50512"/>
    <x v="1"/>
  </r>
  <r>
    <x v="481"/>
    <s v="Restaurant"/>
    <x v="1"/>
    <x v="2"/>
    <n v="1821"/>
    <x v="0"/>
  </r>
  <r>
    <x v="482"/>
    <s v="Groceries"/>
    <x v="1"/>
    <x v="3"/>
    <n v="3130"/>
    <x v="0"/>
  </r>
  <r>
    <x v="482"/>
    <s v="Movie"/>
    <x v="4"/>
    <x v="4"/>
    <n v="1304"/>
    <x v="0"/>
  </r>
  <r>
    <x v="483"/>
    <s v="Internet Bill"/>
    <x v="0"/>
    <x v="2"/>
    <n v="3089"/>
    <x v="0"/>
  </r>
  <r>
    <x v="484"/>
    <s v="Internet Bill"/>
    <x v="0"/>
    <x v="2"/>
    <n v="1625"/>
    <x v="0"/>
  </r>
  <r>
    <x v="485"/>
    <s v="Rent"/>
    <x v="2"/>
    <x v="3"/>
    <n v="1747"/>
    <x v="0"/>
  </r>
  <r>
    <x v="485"/>
    <s v="Fuel"/>
    <x v="5"/>
    <x v="4"/>
    <n v="1111"/>
    <x v="0"/>
  </r>
  <r>
    <x v="485"/>
    <s v="Freelance"/>
    <x v="3"/>
    <x v="1"/>
    <n v="56981"/>
    <x v="1"/>
  </r>
  <r>
    <x v="486"/>
    <s v="Movie"/>
    <x v="4"/>
    <x v="1"/>
    <n v="4620"/>
    <x v="0"/>
  </r>
  <r>
    <x v="487"/>
    <s v="Fuel"/>
    <x v="5"/>
    <x v="1"/>
    <n v="4148"/>
    <x v="0"/>
  </r>
  <r>
    <x v="487"/>
    <s v="Groceries"/>
    <x v="1"/>
    <x v="4"/>
    <n v="4778"/>
    <x v="0"/>
  </r>
  <r>
    <x v="488"/>
    <s v="Movie"/>
    <x v="4"/>
    <x v="1"/>
    <n v="2029"/>
    <x v="0"/>
  </r>
  <r>
    <x v="488"/>
    <s v="Freelance"/>
    <x v="3"/>
    <x v="3"/>
    <n v="52850"/>
    <x v="1"/>
  </r>
  <r>
    <x v="488"/>
    <s v="Movie"/>
    <x v="4"/>
    <x v="4"/>
    <n v="3233"/>
    <x v="0"/>
  </r>
  <r>
    <x v="489"/>
    <s v="Fuel"/>
    <x v="5"/>
    <x v="4"/>
    <n v="498"/>
    <x v="0"/>
  </r>
  <r>
    <x v="490"/>
    <s v="Salary"/>
    <x v="3"/>
    <x v="3"/>
    <n v="43890"/>
    <x v="1"/>
  </r>
  <r>
    <x v="490"/>
    <s v="Electricity Bill"/>
    <x v="0"/>
    <x v="4"/>
    <n v="2525"/>
    <x v="0"/>
  </r>
  <r>
    <x v="491"/>
    <s v="Rent"/>
    <x v="2"/>
    <x v="3"/>
    <n v="763"/>
    <x v="0"/>
  </r>
  <r>
    <x v="491"/>
    <s v="Internet Bill"/>
    <x v="0"/>
    <x v="4"/>
    <n v="1926"/>
    <x v="0"/>
  </r>
  <r>
    <x v="491"/>
    <s v="Freelance"/>
    <x v="3"/>
    <x v="2"/>
    <n v="40958"/>
    <x v="1"/>
  </r>
  <r>
    <x v="492"/>
    <s v="Fuel"/>
    <x v="5"/>
    <x v="2"/>
    <n v="3366"/>
    <x v="0"/>
  </r>
  <r>
    <x v="493"/>
    <s v="Movie"/>
    <x v="4"/>
    <x v="1"/>
    <n v="1035"/>
    <x v="0"/>
  </r>
  <r>
    <x v="494"/>
    <s v="Electricity Bill"/>
    <x v="0"/>
    <x v="2"/>
    <n v="1579"/>
    <x v="0"/>
  </r>
  <r>
    <x v="495"/>
    <s v="Fuel"/>
    <x v="5"/>
    <x v="3"/>
    <n v="3016"/>
    <x v="0"/>
  </r>
  <r>
    <x v="496"/>
    <s v="Fuel"/>
    <x v="5"/>
    <x v="0"/>
    <n v="1323"/>
    <x v="0"/>
  </r>
  <r>
    <x v="497"/>
    <s v="Fuel"/>
    <x v="5"/>
    <x v="3"/>
    <n v="1553"/>
    <x v="0"/>
  </r>
  <r>
    <x v="497"/>
    <s v="Restaurant"/>
    <x v="1"/>
    <x v="3"/>
    <n v="3247"/>
    <x v="0"/>
  </r>
  <r>
    <x v="498"/>
    <s v="Electricity Bill"/>
    <x v="0"/>
    <x v="2"/>
    <n v="182"/>
    <x v="0"/>
  </r>
  <r>
    <x v="499"/>
    <s v="Salary"/>
    <x v="3"/>
    <x v="0"/>
    <n v="51133"/>
    <x v="1"/>
  </r>
  <r>
    <x v="499"/>
    <s v="Movie"/>
    <x v="4"/>
    <x v="0"/>
    <n v="4559"/>
    <x v="0"/>
  </r>
  <r>
    <x v="499"/>
    <s v="Internet Bill"/>
    <x v="0"/>
    <x v="2"/>
    <n v="3365"/>
    <x v="0"/>
  </r>
  <r>
    <x v="500"/>
    <s v="Groceries"/>
    <x v="1"/>
    <x v="3"/>
    <n v="1857"/>
    <x v="0"/>
  </r>
  <r>
    <x v="500"/>
    <s v="Electricity Bill"/>
    <x v="0"/>
    <x v="3"/>
    <n v="4306"/>
    <x v="0"/>
  </r>
  <r>
    <x v="500"/>
    <s v="Groceries"/>
    <x v="1"/>
    <x v="1"/>
    <n v="2589"/>
    <x v="0"/>
  </r>
  <r>
    <x v="501"/>
    <s v="Freelance"/>
    <x v="3"/>
    <x v="2"/>
    <n v="39872"/>
    <x v="1"/>
  </r>
  <r>
    <x v="501"/>
    <s v="Freelance"/>
    <x v="3"/>
    <x v="4"/>
    <n v="55463"/>
    <x v="1"/>
  </r>
  <r>
    <x v="501"/>
    <s v="Fuel"/>
    <x v="5"/>
    <x v="3"/>
    <n v="4435"/>
    <x v="0"/>
  </r>
  <r>
    <x v="502"/>
    <s v="Rent"/>
    <x v="2"/>
    <x v="1"/>
    <n v="2452"/>
    <x v="0"/>
  </r>
  <r>
    <x v="502"/>
    <s v="Freelance"/>
    <x v="3"/>
    <x v="3"/>
    <n v="35041"/>
    <x v="1"/>
  </r>
  <r>
    <x v="503"/>
    <s v="Electricity Bill"/>
    <x v="0"/>
    <x v="4"/>
    <n v="353"/>
    <x v="0"/>
  </r>
  <r>
    <x v="503"/>
    <s v="Electricity Bill"/>
    <x v="0"/>
    <x v="3"/>
    <n v="3747"/>
    <x v="0"/>
  </r>
  <r>
    <x v="504"/>
    <s v="Salary"/>
    <x v="3"/>
    <x v="2"/>
    <n v="32338"/>
    <x v="1"/>
  </r>
  <r>
    <x v="505"/>
    <s v="Movie"/>
    <x v="4"/>
    <x v="0"/>
    <n v="3047"/>
    <x v="0"/>
  </r>
  <r>
    <x v="505"/>
    <s v="Movie"/>
    <x v="4"/>
    <x v="4"/>
    <n v="4868"/>
    <x v="0"/>
  </r>
  <r>
    <x v="506"/>
    <s v="Groceries"/>
    <x v="1"/>
    <x v="1"/>
    <n v="401"/>
    <x v="0"/>
  </r>
  <r>
    <x v="507"/>
    <s v="Restaurant"/>
    <x v="1"/>
    <x v="3"/>
    <n v="1270"/>
    <x v="0"/>
  </r>
  <r>
    <x v="507"/>
    <s v="Movie"/>
    <x v="4"/>
    <x v="4"/>
    <n v="4111"/>
    <x v="0"/>
  </r>
  <r>
    <x v="507"/>
    <s v="Internet Bill"/>
    <x v="0"/>
    <x v="3"/>
    <n v="4373"/>
    <x v="0"/>
  </r>
  <r>
    <x v="508"/>
    <s v="Restaurant"/>
    <x v="1"/>
    <x v="1"/>
    <n v="1342"/>
    <x v="0"/>
  </r>
  <r>
    <x v="509"/>
    <s v="Salary"/>
    <x v="3"/>
    <x v="0"/>
    <n v="46604"/>
    <x v="1"/>
  </r>
  <r>
    <x v="509"/>
    <s v="Restaurant"/>
    <x v="1"/>
    <x v="2"/>
    <n v="4652"/>
    <x v="0"/>
  </r>
  <r>
    <x v="510"/>
    <s v="Salary"/>
    <x v="3"/>
    <x v="0"/>
    <n v="39217"/>
    <x v="1"/>
  </r>
  <r>
    <x v="511"/>
    <s v="Restaurant"/>
    <x v="1"/>
    <x v="1"/>
    <n v="3370"/>
    <x v="0"/>
  </r>
  <r>
    <x v="512"/>
    <s v="Freelance"/>
    <x v="3"/>
    <x v="2"/>
    <n v="37000"/>
    <x v="1"/>
  </r>
  <r>
    <x v="513"/>
    <s v="Salary"/>
    <x v="3"/>
    <x v="3"/>
    <n v="32452"/>
    <x v="1"/>
  </r>
  <r>
    <x v="514"/>
    <s v="Freelance"/>
    <x v="3"/>
    <x v="2"/>
    <n v="40350"/>
    <x v="1"/>
  </r>
  <r>
    <x v="515"/>
    <s v="Salary"/>
    <x v="3"/>
    <x v="4"/>
    <n v="33823"/>
    <x v="1"/>
  </r>
  <r>
    <x v="515"/>
    <s v="Rent"/>
    <x v="2"/>
    <x v="4"/>
    <n v="3518"/>
    <x v="0"/>
  </r>
  <r>
    <x v="516"/>
    <s v="Electricity Bill"/>
    <x v="0"/>
    <x v="1"/>
    <n v="2931"/>
    <x v="0"/>
  </r>
  <r>
    <x v="516"/>
    <s v="Restaurant"/>
    <x v="1"/>
    <x v="2"/>
    <n v="4436"/>
    <x v="0"/>
  </r>
  <r>
    <x v="516"/>
    <s v="Electricity Bill"/>
    <x v="0"/>
    <x v="4"/>
    <n v="1171"/>
    <x v="0"/>
  </r>
  <r>
    <x v="517"/>
    <s v="Internet Bill"/>
    <x v="0"/>
    <x v="1"/>
    <n v="4649"/>
    <x v="0"/>
  </r>
  <r>
    <x v="517"/>
    <s v="Rent"/>
    <x v="2"/>
    <x v="1"/>
    <n v="4491"/>
    <x v="0"/>
  </r>
  <r>
    <x v="518"/>
    <s v="Salary"/>
    <x v="3"/>
    <x v="0"/>
    <n v="39051"/>
    <x v="1"/>
  </r>
  <r>
    <x v="518"/>
    <s v="Internet Bill"/>
    <x v="0"/>
    <x v="3"/>
    <n v="379"/>
    <x v="0"/>
  </r>
  <r>
    <x v="519"/>
    <s v="Salary"/>
    <x v="3"/>
    <x v="3"/>
    <n v="31736"/>
    <x v="1"/>
  </r>
  <r>
    <x v="520"/>
    <s v="Freelance"/>
    <x v="3"/>
    <x v="2"/>
    <n v="45563"/>
    <x v="1"/>
  </r>
  <r>
    <x v="521"/>
    <s v="Fuel"/>
    <x v="5"/>
    <x v="1"/>
    <n v="1018"/>
    <x v="0"/>
  </r>
  <r>
    <x v="522"/>
    <s v="Internet Bill"/>
    <x v="0"/>
    <x v="0"/>
    <n v="1200"/>
    <x v="0"/>
  </r>
  <r>
    <x v="523"/>
    <s v="Fuel"/>
    <x v="5"/>
    <x v="2"/>
    <n v="3618"/>
    <x v="0"/>
  </r>
  <r>
    <x v="523"/>
    <s v="Groceries"/>
    <x v="1"/>
    <x v="0"/>
    <n v="788"/>
    <x v="0"/>
  </r>
  <r>
    <x v="524"/>
    <s v="Restaurant"/>
    <x v="1"/>
    <x v="3"/>
    <n v="1521"/>
    <x v="0"/>
  </r>
  <r>
    <x v="525"/>
    <s v="Fuel"/>
    <x v="5"/>
    <x v="0"/>
    <n v="3610"/>
    <x v="0"/>
  </r>
  <r>
    <x v="526"/>
    <s v="Movie"/>
    <x v="4"/>
    <x v="3"/>
    <n v="4574"/>
    <x v="0"/>
  </r>
  <r>
    <x v="527"/>
    <s v="Restaurant"/>
    <x v="1"/>
    <x v="4"/>
    <n v="183"/>
    <x v="0"/>
  </r>
  <r>
    <x v="528"/>
    <s v="Freelance"/>
    <x v="3"/>
    <x v="3"/>
    <n v="43888"/>
    <x v="1"/>
  </r>
  <r>
    <x v="528"/>
    <s v="Freelance"/>
    <x v="3"/>
    <x v="0"/>
    <n v="58246"/>
    <x v="1"/>
  </r>
  <r>
    <x v="529"/>
    <s v="Movie"/>
    <x v="4"/>
    <x v="3"/>
    <n v="531"/>
    <x v="0"/>
  </r>
  <r>
    <x v="529"/>
    <s v="Internet Bill"/>
    <x v="0"/>
    <x v="4"/>
    <n v="3261"/>
    <x v="0"/>
  </r>
  <r>
    <x v="530"/>
    <s v="Rent"/>
    <x v="2"/>
    <x v="3"/>
    <n v="3568"/>
    <x v="0"/>
  </r>
  <r>
    <x v="531"/>
    <s v="Freelance"/>
    <x v="3"/>
    <x v="2"/>
    <n v="30973"/>
    <x v="1"/>
  </r>
  <r>
    <x v="532"/>
    <s v="Restaurant"/>
    <x v="1"/>
    <x v="0"/>
    <n v="394"/>
    <x v="0"/>
  </r>
  <r>
    <x v="533"/>
    <s v="Groceries"/>
    <x v="1"/>
    <x v="3"/>
    <n v="3048"/>
    <x v="0"/>
  </r>
  <r>
    <x v="534"/>
    <s v="Salary"/>
    <x v="3"/>
    <x v="2"/>
    <n v="39058"/>
    <x v="1"/>
  </r>
  <r>
    <x v="535"/>
    <s v="Restaurant"/>
    <x v="1"/>
    <x v="3"/>
    <n v="4108"/>
    <x v="0"/>
  </r>
  <r>
    <x v="536"/>
    <s v="Groceries"/>
    <x v="1"/>
    <x v="2"/>
    <n v="638"/>
    <x v="0"/>
  </r>
  <r>
    <x v="537"/>
    <s v="Movie"/>
    <x v="4"/>
    <x v="2"/>
    <n v="4404"/>
    <x v="0"/>
  </r>
  <r>
    <x v="537"/>
    <s v="Electricity Bill"/>
    <x v="0"/>
    <x v="0"/>
    <n v="2791"/>
    <x v="0"/>
  </r>
  <r>
    <x v="538"/>
    <s v="Movie"/>
    <x v="4"/>
    <x v="0"/>
    <n v="2281"/>
    <x v="0"/>
  </r>
  <r>
    <x v="539"/>
    <s v="Electricity Bill"/>
    <x v="0"/>
    <x v="4"/>
    <n v="1016"/>
    <x v="0"/>
  </r>
  <r>
    <x v="540"/>
    <s v="Restaurant"/>
    <x v="1"/>
    <x v="3"/>
    <n v="3511"/>
    <x v="0"/>
  </r>
  <r>
    <x v="541"/>
    <s v="Electricity Bill"/>
    <x v="0"/>
    <x v="4"/>
    <n v="1313"/>
    <x v="0"/>
  </r>
  <r>
    <x v="542"/>
    <s v="Movie"/>
    <x v="4"/>
    <x v="2"/>
    <n v="793"/>
    <x v="0"/>
  </r>
  <r>
    <x v="542"/>
    <s v="Salary"/>
    <x v="3"/>
    <x v="2"/>
    <n v="36342"/>
    <x v="1"/>
  </r>
  <r>
    <x v="542"/>
    <s v="Internet Bill"/>
    <x v="0"/>
    <x v="3"/>
    <n v="3953"/>
    <x v="0"/>
  </r>
  <r>
    <x v="542"/>
    <s v="Internet Bill"/>
    <x v="0"/>
    <x v="2"/>
    <n v="4087"/>
    <x v="0"/>
  </r>
  <r>
    <x v="542"/>
    <s v="Groceries"/>
    <x v="1"/>
    <x v="2"/>
    <n v="3063"/>
    <x v="0"/>
  </r>
  <r>
    <x v="543"/>
    <s v="Freelance"/>
    <x v="3"/>
    <x v="1"/>
    <n v="34689"/>
    <x v="1"/>
  </r>
  <r>
    <x v="544"/>
    <s v="Freelance"/>
    <x v="3"/>
    <x v="1"/>
    <n v="36933"/>
    <x v="1"/>
  </r>
  <r>
    <x v="544"/>
    <s v="Salary"/>
    <x v="3"/>
    <x v="2"/>
    <n v="52949"/>
    <x v="1"/>
  </r>
  <r>
    <x v="545"/>
    <s v="Rent"/>
    <x v="2"/>
    <x v="3"/>
    <n v="2441"/>
    <x v="0"/>
  </r>
  <r>
    <x v="545"/>
    <s v="Electricity Bill"/>
    <x v="0"/>
    <x v="2"/>
    <n v="4205"/>
    <x v="0"/>
  </r>
  <r>
    <x v="545"/>
    <s v="Movie"/>
    <x v="4"/>
    <x v="4"/>
    <n v="4635"/>
    <x v="0"/>
  </r>
  <r>
    <x v="546"/>
    <s v="Fuel"/>
    <x v="5"/>
    <x v="3"/>
    <n v="3646"/>
    <x v="0"/>
  </r>
  <r>
    <x v="547"/>
    <s v="Freelance"/>
    <x v="3"/>
    <x v="2"/>
    <n v="47128"/>
    <x v="1"/>
  </r>
  <r>
    <x v="548"/>
    <s v="Movie"/>
    <x v="4"/>
    <x v="2"/>
    <n v="581"/>
    <x v="0"/>
  </r>
  <r>
    <x v="549"/>
    <s v="Rent"/>
    <x v="2"/>
    <x v="0"/>
    <n v="187"/>
    <x v="0"/>
  </r>
  <r>
    <x v="549"/>
    <s v="Groceries"/>
    <x v="1"/>
    <x v="1"/>
    <n v="870"/>
    <x v="0"/>
  </r>
  <r>
    <x v="550"/>
    <s v="Restaurant"/>
    <x v="1"/>
    <x v="4"/>
    <n v="1509"/>
    <x v="0"/>
  </r>
  <r>
    <x v="550"/>
    <s v="Movie"/>
    <x v="4"/>
    <x v="1"/>
    <n v="148"/>
    <x v="0"/>
  </r>
  <r>
    <x v="550"/>
    <s v="Rent"/>
    <x v="2"/>
    <x v="1"/>
    <n v="585"/>
    <x v="0"/>
  </r>
  <r>
    <x v="551"/>
    <s v="Rent"/>
    <x v="2"/>
    <x v="2"/>
    <n v="222"/>
    <x v="0"/>
  </r>
  <r>
    <x v="552"/>
    <s v="Internet Bill"/>
    <x v="0"/>
    <x v="2"/>
    <n v="1288"/>
    <x v="0"/>
  </r>
  <r>
    <x v="553"/>
    <s v="Electricity Bill"/>
    <x v="0"/>
    <x v="3"/>
    <n v="736"/>
    <x v="0"/>
  </r>
  <r>
    <x v="554"/>
    <s v="Internet Bill"/>
    <x v="0"/>
    <x v="1"/>
    <n v="1243"/>
    <x v="0"/>
  </r>
  <r>
    <x v="555"/>
    <s v="Movie"/>
    <x v="4"/>
    <x v="3"/>
    <n v="1590"/>
    <x v="0"/>
  </r>
  <r>
    <x v="556"/>
    <s v="Electricity Bill"/>
    <x v="0"/>
    <x v="2"/>
    <n v="2324"/>
    <x v="0"/>
  </r>
  <r>
    <x v="557"/>
    <s v="Salary"/>
    <x v="3"/>
    <x v="0"/>
    <n v="30093"/>
    <x v="1"/>
  </r>
  <r>
    <x v="558"/>
    <s v="Salary"/>
    <x v="3"/>
    <x v="1"/>
    <n v="30022"/>
    <x v="1"/>
  </r>
  <r>
    <x v="558"/>
    <s v="Restaurant"/>
    <x v="1"/>
    <x v="2"/>
    <n v="204"/>
    <x v="0"/>
  </r>
  <r>
    <x v="558"/>
    <s v="Salary"/>
    <x v="3"/>
    <x v="0"/>
    <n v="38307"/>
    <x v="1"/>
  </r>
  <r>
    <x v="558"/>
    <s v="Movie"/>
    <x v="4"/>
    <x v="1"/>
    <n v="3897"/>
    <x v="0"/>
  </r>
  <r>
    <x v="559"/>
    <s v="Internet Bill"/>
    <x v="0"/>
    <x v="4"/>
    <n v="3795"/>
    <x v="0"/>
  </r>
  <r>
    <x v="560"/>
    <s v="Internet Bill"/>
    <x v="0"/>
    <x v="4"/>
    <n v="2706"/>
    <x v="0"/>
  </r>
  <r>
    <x v="561"/>
    <s v="Restaurant"/>
    <x v="1"/>
    <x v="4"/>
    <n v="284"/>
    <x v="0"/>
  </r>
  <r>
    <x v="561"/>
    <s v="Groceries"/>
    <x v="1"/>
    <x v="4"/>
    <n v="3499"/>
    <x v="0"/>
  </r>
  <r>
    <x v="561"/>
    <s v="Salary"/>
    <x v="3"/>
    <x v="0"/>
    <n v="34598"/>
    <x v="1"/>
  </r>
  <r>
    <x v="561"/>
    <s v="Movie"/>
    <x v="4"/>
    <x v="2"/>
    <n v="344"/>
    <x v="0"/>
  </r>
  <r>
    <x v="562"/>
    <s v="Groceries"/>
    <x v="1"/>
    <x v="2"/>
    <n v="4240"/>
    <x v="0"/>
  </r>
  <r>
    <x v="563"/>
    <s v="Freelance"/>
    <x v="3"/>
    <x v="4"/>
    <n v="44188"/>
    <x v="1"/>
  </r>
  <r>
    <x v="563"/>
    <s v="Salary"/>
    <x v="3"/>
    <x v="4"/>
    <n v="49652"/>
    <x v="1"/>
  </r>
  <r>
    <x v="564"/>
    <s v="Freelance"/>
    <x v="3"/>
    <x v="4"/>
    <n v="58795"/>
    <x v="1"/>
  </r>
  <r>
    <x v="564"/>
    <s v="Restaurant"/>
    <x v="1"/>
    <x v="1"/>
    <n v="3046"/>
    <x v="0"/>
  </r>
  <r>
    <x v="565"/>
    <s v="Freelance"/>
    <x v="3"/>
    <x v="0"/>
    <n v="40460"/>
    <x v="1"/>
  </r>
  <r>
    <x v="566"/>
    <s v="Freelance"/>
    <x v="3"/>
    <x v="0"/>
    <n v="56017"/>
    <x v="1"/>
  </r>
  <r>
    <x v="567"/>
    <s v="Electricity Bill"/>
    <x v="0"/>
    <x v="0"/>
    <n v="3686"/>
    <x v="0"/>
  </r>
  <r>
    <x v="568"/>
    <s v="Electricity Bill"/>
    <x v="0"/>
    <x v="0"/>
    <n v="4897"/>
    <x v="0"/>
  </r>
  <r>
    <x v="569"/>
    <s v="Groceries"/>
    <x v="1"/>
    <x v="4"/>
    <n v="2242"/>
    <x v="0"/>
  </r>
  <r>
    <x v="570"/>
    <s v="Restaurant"/>
    <x v="1"/>
    <x v="4"/>
    <n v="688"/>
    <x v="0"/>
  </r>
  <r>
    <x v="571"/>
    <s v="Internet Bill"/>
    <x v="0"/>
    <x v="2"/>
    <n v="3216"/>
    <x v="0"/>
  </r>
  <r>
    <x v="572"/>
    <s v="Rent"/>
    <x v="2"/>
    <x v="2"/>
    <n v="3578"/>
    <x v="0"/>
  </r>
  <r>
    <x v="573"/>
    <s v="Internet Bill"/>
    <x v="0"/>
    <x v="3"/>
    <n v="4451"/>
    <x v="0"/>
  </r>
  <r>
    <x v="573"/>
    <s v="Movie"/>
    <x v="4"/>
    <x v="0"/>
    <n v="2638"/>
    <x v="0"/>
  </r>
  <r>
    <x v="573"/>
    <s v="Electricity Bill"/>
    <x v="0"/>
    <x v="0"/>
    <n v="4835"/>
    <x v="0"/>
  </r>
  <r>
    <x v="574"/>
    <s v="Movie"/>
    <x v="4"/>
    <x v="2"/>
    <n v="2358"/>
    <x v="0"/>
  </r>
  <r>
    <x v="575"/>
    <s v="Freelance"/>
    <x v="3"/>
    <x v="4"/>
    <n v="34252"/>
    <x v="1"/>
  </r>
  <r>
    <x v="576"/>
    <s v="Salary"/>
    <x v="3"/>
    <x v="1"/>
    <n v="46529"/>
    <x v="1"/>
  </r>
  <r>
    <x v="577"/>
    <s v="Fuel"/>
    <x v="5"/>
    <x v="4"/>
    <n v="914"/>
    <x v="0"/>
  </r>
  <r>
    <x v="578"/>
    <s v="Internet Bill"/>
    <x v="0"/>
    <x v="2"/>
    <n v="1671"/>
    <x v="0"/>
  </r>
  <r>
    <x v="579"/>
    <s v="Restaurant"/>
    <x v="1"/>
    <x v="0"/>
    <n v="4988"/>
    <x v="0"/>
  </r>
  <r>
    <x v="579"/>
    <s v="Internet Bill"/>
    <x v="0"/>
    <x v="0"/>
    <n v="886"/>
    <x v="0"/>
  </r>
  <r>
    <x v="580"/>
    <s v="Groceries"/>
    <x v="1"/>
    <x v="4"/>
    <n v="2998"/>
    <x v="0"/>
  </r>
  <r>
    <x v="581"/>
    <s v="Rent"/>
    <x v="2"/>
    <x v="0"/>
    <n v="2614"/>
    <x v="0"/>
  </r>
  <r>
    <x v="582"/>
    <s v="Rent"/>
    <x v="2"/>
    <x v="2"/>
    <n v="2869"/>
    <x v="0"/>
  </r>
  <r>
    <x v="583"/>
    <s v="Fuel"/>
    <x v="5"/>
    <x v="3"/>
    <n v="1773"/>
    <x v="0"/>
  </r>
  <r>
    <x v="583"/>
    <s v="Electricity Bill"/>
    <x v="0"/>
    <x v="4"/>
    <n v="1978"/>
    <x v="0"/>
  </r>
  <r>
    <x v="584"/>
    <s v="Movie"/>
    <x v="4"/>
    <x v="4"/>
    <n v="4507"/>
    <x v="0"/>
  </r>
  <r>
    <x v="585"/>
    <s v="Electricity Bill"/>
    <x v="0"/>
    <x v="4"/>
    <n v="737"/>
    <x v="0"/>
  </r>
  <r>
    <x v="586"/>
    <s v="Electricity Bill"/>
    <x v="0"/>
    <x v="2"/>
    <n v="2386"/>
    <x v="0"/>
  </r>
  <r>
    <x v="586"/>
    <s v="Restaurant"/>
    <x v="1"/>
    <x v="2"/>
    <n v="3220"/>
    <x v="0"/>
  </r>
  <r>
    <x v="586"/>
    <s v="Salary"/>
    <x v="3"/>
    <x v="2"/>
    <n v="48540"/>
    <x v="1"/>
  </r>
  <r>
    <x v="586"/>
    <s v="Rent"/>
    <x v="2"/>
    <x v="3"/>
    <n v="1285"/>
    <x v="0"/>
  </r>
  <r>
    <x v="587"/>
    <s v="Freelance"/>
    <x v="3"/>
    <x v="0"/>
    <n v="38469"/>
    <x v="1"/>
  </r>
  <r>
    <x v="587"/>
    <s v="Restaurant"/>
    <x v="1"/>
    <x v="1"/>
    <n v="1158"/>
    <x v="0"/>
  </r>
  <r>
    <x v="587"/>
    <s v="Salary"/>
    <x v="3"/>
    <x v="1"/>
    <n v="53021"/>
    <x v="1"/>
  </r>
  <r>
    <x v="588"/>
    <s v="Movie"/>
    <x v="4"/>
    <x v="3"/>
    <n v="3529"/>
    <x v="0"/>
  </r>
  <r>
    <x v="589"/>
    <s v="Rent"/>
    <x v="2"/>
    <x v="1"/>
    <n v="2317"/>
    <x v="0"/>
  </r>
  <r>
    <x v="590"/>
    <s v="Rent"/>
    <x v="2"/>
    <x v="2"/>
    <n v="1241"/>
    <x v="0"/>
  </r>
  <r>
    <x v="591"/>
    <s v="Fuel"/>
    <x v="5"/>
    <x v="4"/>
    <n v="3246"/>
    <x v="0"/>
  </r>
  <r>
    <x v="592"/>
    <s v="Fuel"/>
    <x v="5"/>
    <x v="3"/>
    <n v="1717"/>
    <x v="0"/>
  </r>
  <r>
    <x v="592"/>
    <s v="Freelance"/>
    <x v="3"/>
    <x v="1"/>
    <n v="41223"/>
    <x v="1"/>
  </r>
  <r>
    <x v="593"/>
    <s v="Freelance"/>
    <x v="3"/>
    <x v="1"/>
    <n v="50763"/>
    <x v="1"/>
  </r>
  <r>
    <x v="593"/>
    <s v="Groceries"/>
    <x v="1"/>
    <x v="4"/>
    <n v="3447"/>
    <x v="0"/>
  </r>
  <r>
    <x v="594"/>
    <s v="Freelance"/>
    <x v="3"/>
    <x v="0"/>
    <n v="44569"/>
    <x v="1"/>
  </r>
  <r>
    <x v="595"/>
    <s v="Electricity Bill"/>
    <x v="0"/>
    <x v="4"/>
    <n v="1326"/>
    <x v="0"/>
  </r>
  <r>
    <x v="595"/>
    <s v="Rent"/>
    <x v="2"/>
    <x v="1"/>
    <n v="3882"/>
    <x v="0"/>
  </r>
  <r>
    <x v="596"/>
    <s v="Salary"/>
    <x v="3"/>
    <x v="4"/>
    <n v="50327"/>
    <x v="1"/>
  </r>
  <r>
    <x v="597"/>
    <s v="Groceries"/>
    <x v="1"/>
    <x v="4"/>
    <n v="2134"/>
    <x v="0"/>
  </r>
  <r>
    <x v="598"/>
    <s v="Salary"/>
    <x v="3"/>
    <x v="2"/>
    <n v="31381"/>
    <x v="1"/>
  </r>
  <r>
    <x v="598"/>
    <s v="Electricity Bill"/>
    <x v="0"/>
    <x v="3"/>
    <n v="2839"/>
    <x v="0"/>
  </r>
  <r>
    <x v="599"/>
    <s v="Restaurant"/>
    <x v="1"/>
    <x v="3"/>
    <n v="4343"/>
    <x v="0"/>
  </r>
  <r>
    <x v="599"/>
    <s v="Movie"/>
    <x v="4"/>
    <x v="2"/>
    <n v="3013"/>
    <x v="0"/>
  </r>
  <r>
    <x v="600"/>
    <s v="Internet Bill"/>
    <x v="0"/>
    <x v="3"/>
    <n v="3299"/>
    <x v="0"/>
  </r>
  <r>
    <x v="600"/>
    <s v="Restaurant"/>
    <x v="1"/>
    <x v="2"/>
    <n v="2769"/>
    <x v="0"/>
  </r>
  <r>
    <x v="601"/>
    <s v="Salary"/>
    <x v="3"/>
    <x v="3"/>
    <n v="48382"/>
    <x v="1"/>
  </r>
  <r>
    <x v="602"/>
    <s v="Internet Bill"/>
    <x v="0"/>
    <x v="1"/>
    <n v="1636"/>
    <x v="0"/>
  </r>
  <r>
    <x v="603"/>
    <s v="Rent"/>
    <x v="2"/>
    <x v="3"/>
    <n v="1325"/>
    <x v="0"/>
  </r>
  <r>
    <x v="604"/>
    <s v="Groceries"/>
    <x v="1"/>
    <x v="0"/>
    <n v="1693"/>
    <x v="0"/>
  </r>
  <r>
    <x v="605"/>
    <s v="Salary"/>
    <x v="3"/>
    <x v="0"/>
    <n v="37961"/>
    <x v="1"/>
  </r>
  <r>
    <x v="605"/>
    <s v="Rent"/>
    <x v="2"/>
    <x v="3"/>
    <n v="2897"/>
    <x v="0"/>
  </r>
  <r>
    <x v="606"/>
    <s v="Internet Bill"/>
    <x v="0"/>
    <x v="1"/>
    <n v="3752"/>
    <x v="0"/>
  </r>
  <r>
    <x v="606"/>
    <s v="Groceries"/>
    <x v="1"/>
    <x v="2"/>
    <n v="4562"/>
    <x v="0"/>
  </r>
  <r>
    <x v="606"/>
    <s v="Restaurant"/>
    <x v="1"/>
    <x v="1"/>
    <n v="3674"/>
    <x v="0"/>
  </r>
  <r>
    <x v="607"/>
    <s v="Salary"/>
    <x v="3"/>
    <x v="4"/>
    <n v="32929"/>
    <x v="1"/>
  </r>
  <r>
    <x v="608"/>
    <s v="Groceries"/>
    <x v="1"/>
    <x v="1"/>
    <n v="1950"/>
    <x v="0"/>
  </r>
  <r>
    <x v="609"/>
    <s v="Fuel"/>
    <x v="5"/>
    <x v="3"/>
    <n v="109"/>
    <x v="0"/>
  </r>
  <r>
    <x v="609"/>
    <s v="Internet Bill"/>
    <x v="0"/>
    <x v="0"/>
    <n v="1754"/>
    <x v="0"/>
  </r>
  <r>
    <x v="610"/>
    <s v="Rent"/>
    <x v="2"/>
    <x v="0"/>
    <n v="3997"/>
    <x v="0"/>
  </r>
  <r>
    <x v="610"/>
    <s v="Electricity Bill"/>
    <x v="0"/>
    <x v="2"/>
    <n v="4480"/>
    <x v="0"/>
  </r>
  <r>
    <x v="611"/>
    <s v="Freelance"/>
    <x v="3"/>
    <x v="4"/>
    <n v="55384"/>
    <x v="1"/>
  </r>
  <r>
    <x v="611"/>
    <s v="Freelance"/>
    <x v="3"/>
    <x v="0"/>
    <n v="59321"/>
    <x v="1"/>
  </r>
  <r>
    <x v="612"/>
    <s v="Internet Bill"/>
    <x v="0"/>
    <x v="0"/>
    <n v="693"/>
    <x v="0"/>
  </r>
  <r>
    <x v="613"/>
    <s v="Rent"/>
    <x v="2"/>
    <x v="2"/>
    <n v="2581"/>
    <x v="0"/>
  </r>
  <r>
    <x v="614"/>
    <s v="Movie"/>
    <x v="4"/>
    <x v="2"/>
    <n v="4466"/>
    <x v="0"/>
  </r>
  <r>
    <x v="615"/>
    <s v="Fuel"/>
    <x v="5"/>
    <x v="4"/>
    <n v="1715"/>
    <x v="0"/>
  </r>
  <r>
    <x v="616"/>
    <s v="Freelance"/>
    <x v="3"/>
    <x v="4"/>
    <n v="46450"/>
    <x v="1"/>
  </r>
  <r>
    <x v="617"/>
    <s v="Groceries"/>
    <x v="1"/>
    <x v="2"/>
    <n v="312"/>
    <x v="0"/>
  </r>
  <r>
    <x v="617"/>
    <s v="Freelance"/>
    <x v="3"/>
    <x v="2"/>
    <n v="35605"/>
    <x v="1"/>
  </r>
  <r>
    <x v="617"/>
    <s v="Groceries"/>
    <x v="1"/>
    <x v="2"/>
    <n v="1509"/>
    <x v="0"/>
  </r>
  <r>
    <x v="617"/>
    <s v="Fuel"/>
    <x v="5"/>
    <x v="2"/>
    <n v="2626"/>
    <x v="0"/>
  </r>
  <r>
    <x v="618"/>
    <s v="Internet Bill"/>
    <x v="0"/>
    <x v="0"/>
    <n v="3865"/>
    <x v="0"/>
  </r>
  <r>
    <x v="619"/>
    <s v="Groceries"/>
    <x v="1"/>
    <x v="0"/>
    <n v="453"/>
    <x v="0"/>
  </r>
  <r>
    <x v="620"/>
    <s v="Electricity Bill"/>
    <x v="0"/>
    <x v="0"/>
    <n v="3055"/>
    <x v="0"/>
  </r>
  <r>
    <x v="620"/>
    <s v="Movie"/>
    <x v="4"/>
    <x v="3"/>
    <n v="3614"/>
    <x v="0"/>
  </r>
  <r>
    <x v="621"/>
    <s v="Groceries"/>
    <x v="1"/>
    <x v="1"/>
    <n v="743"/>
    <x v="0"/>
  </r>
  <r>
    <x v="622"/>
    <s v="Electricity Bill"/>
    <x v="0"/>
    <x v="1"/>
    <n v="1534"/>
    <x v="0"/>
  </r>
  <r>
    <x v="623"/>
    <s v="Internet Bill"/>
    <x v="0"/>
    <x v="3"/>
    <n v="517"/>
    <x v="0"/>
  </r>
  <r>
    <x v="624"/>
    <s v="Salary"/>
    <x v="3"/>
    <x v="2"/>
    <n v="32173"/>
    <x v="1"/>
  </r>
  <r>
    <x v="625"/>
    <s v="Electricity Bill"/>
    <x v="0"/>
    <x v="0"/>
    <n v="3351"/>
    <x v="0"/>
  </r>
  <r>
    <x v="625"/>
    <s v="Rent"/>
    <x v="2"/>
    <x v="0"/>
    <n v="2968"/>
    <x v="0"/>
  </r>
  <r>
    <x v="626"/>
    <s v="Groceries"/>
    <x v="1"/>
    <x v="0"/>
    <n v="1398"/>
    <x v="0"/>
  </r>
  <r>
    <x v="627"/>
    <s v="Fuel"/>
    <x v="5"/>
    <x v="4"/>
    <n v="3957"/>
    <x v="0"/>
  </r>
  <r>
    <x v="627"/>
    <s v="Freelance"/>
    <x v="3"/>
    <x v="4"/>
    <n v="43105"/>
    <x v="1"/>
  </r>
  <r>
    <x v="628"/>
    <s v="Rent"/>
    <x v="2"/>
    <x v="1"/>
    <n v="4245"/>
    <x v="0"/>
  </r>
  <r>
    <x v="628"/>
    <s v="Rent"/>
    <x v="2"/>
    <x v="3"/>
    <n v="1843"/>
    <x v="0"/>
  </r>
  <r>
    <x v="628"/>
    <s v="Restaurant"/>
    <x v="1"/>
    <x v="3"/>
    <n v="312"/>
    <x v="0"/>
  </r>
  <r>
    <x v="629"/>
    <s v="Movie"/>
    <x v="4"/>
    <x v="0"/>
    <n v="1963"/>
    <x v="0"/>
  </r>
  <r>
    <x v="630"/>
    <s v="Fuel"/>
    <x v="5"/>
    <x v="2"/>
    <n v="3253"/>
    <x v="0"/>
  </r>
  <r>
    <x v="630"/>
    <s v="Salary"/>
    <x v="3"/>
    <x v="2"/>
    <n v="32034"/>
    <x v="1"/>
  </r>
  <r>
    <x v="630"/>
    <s v="Salary"/>
    <x v="3"/>
    <x v="2"/>
    <n v="36501"/>
    <x v="1"/>
  </r>
  <r>
    <x v="630"/>
    <s v="Fuel"/>
    <x v="5"/>
    <x v="3"/>
    <n v="2450"/>
    <x v="0"/>
  </r>
  <r>
    <x v="631"/>
    <s v="Internet Bill"/>
    <x v="0"/>
    <x v="2"/>
    <n v="186"/>
    <x v="0"/>
  </r>
  <r>
    <x v="632"/>
    <s v="Fuel"/>
    <x v="5"/>
    <x v="4"/>
    <n v="4796"/>
    <x v="0"/>
  </r>
  <r>
    <x v="632"/>
    <s v="Electricity Bill"/>
    <x v="0"/>
    <x v="1"/>
    <n v="666"/>
    <x v="0"/>
  </r>
  <r>
    <x v="632"/>
    <s v="Groceries"/>
    <x v="1"/>
    <x v="1"/>
    <n v="1403"/>
    <x v="0"/>
  </r>
  <r>
    <x v="633"/>
    <s v="Electricity Bill"/>
    <x v="0"/>
    <x v="0"/>
    <n v="4459"/>
    <x v="0"/>
  </r>
  <r>
    <x v="634"/>
    <s v="Groceries"/>
    <x v="1"/>
    <x v="1"/>
    <n v="3535"/>
    <x v="0"/>
  </r>
  <r>
    <x v="635"/>
    <s v="Movie"/>
    <x v="4"/>
    <x v="1"/>
    <n v="1934"/>
    <x v="0"/>
  </r>
  <r>
    <x v="636"/>
    <s v="Groceries"/>
    <x v="1"/>
    <x v="1"/>
    <n v="1472"/>
    <x v="0"/>
  </r>
  <r>
    <x v="636"/>
    <s v="Movie"/>
    <x v="4"/>
    <x v="1"/>
    <n v="4974"/>
    <x v="0"/>
  </r>
  <r>
    <x v="636"/>
    <s v="Internet Bill"/>
    <x v="0"/>
    <x v="0"/>
    <n v="4459"/>
    <x v="0"/>
  </r>
  <r>
    <x v="637"/>
    <s v="Restaurant"/>
    <x v="1"/>
    <x v="2"/>
    <n v="3711"/>
    <x v="0"/>
  </r>
  <r>
    <x v="638"/>
    <s v="Electricity Bill"/>
    <x v="0"/>
    <x v="4"/>
    <n v="165"/>
    <x v="0"/>
  </r>
  <r>
    <x v="639"/>
    <s v="Fuel"/>
    <x v="5"/>
    <x v="1"/>
    <n v="4035"/>
    <x v="0"/>
  </r>
  <r>
    <x v="640"/>
    <s v="Restaurant"/>
    <x v="1"/>
    <x v="2"/>
    <n v="2054"/>
    <x v="0"/>
  </r>
  <r>
    <x v="640"/>
    <s v="Internet Bill"/>
    <x v="0"/>
    <x v="3"/>
    <n v="3591"/>
    <x v="0"/>
  </r>
  <r>
    <x v="641"/>
    <s v="Restaurant"/>
    <x v="1"/>
    <x v="4"/>
    <n v="1885"/>
    <x v="0"/>
  </r>
  <r>
    <x v="641"/>
    <s v="Restaurant"/>
    <x v="1"/>
    <x v="2"/>
    <n v="2138"/>
    <x v="0"/>
  </r>
  <r>
    <x v="642"/>
    <s v="Salary"/>
    <x v="3"/>
    <x v="0"/>
    <n v="58924"/>
    <x v="1"/>
  </r>
  <r>
    <x v="643"/>
    <s v="Electricity Bill"/>
    <x v="0"/>
    <x v="4"/>
    <n v="3777"/>
    <x v="0"/>
  </r>
  <r>
    <x v="643"/>
    <s v="Internet Bill"/>
    <x v="0"/>
    <x v="0"/>
    <n v="2728"/>
    <x v="0"/>
  </r>
  <r>
    <x v="644"/>
    <s v="Salary"/>
    <x v="3"/>
    <x v="3"/>
    <n v="35128"/>
    <x v="1"/>
  </r>
  <r>
    <x v="645"/>
    <s v="Movie"/>
    <x v="4"/>
    <x v="2"/>
    <n v="2596"/>
    <x v="0"/>
  </r>
  <r>
    <x v="646"/>
    <s v="Rent"/>
    <x v="2"/>
    <x v="1"/>
    <n v="4532"/>
    <x v="0"/>
  </r>
  <r>
    <x v="647"/>
    <s v="Restaurant"/>
    <x v="1"/>
    <x v="4"/>
    <n v="4729"/>
    <x v="0"/>
  </r>
  <r>
    <x v="648"/>
    <s v="Electricity Bill"/>
    <x v="0"/>
    <x v="1"/>
    <n v="2700"/>
    <x v="0"/>
  </r>
  <r>
    <x v="649"/>
    <s v="Salary"/>
    <x v="3"/>
    <x v="4"/>
    <n v="56189"/>
    <x v="1"/>
  </r>
  <r>
    <x v="650"/>
    <s v="Restaurant"/>
    <x v="1"/>
    <x v="0"/>
    <n v="2183"/>
    <x v="0"/>
  </r>
  <r>
    <x v="650"/>
    <s v="Rent"/>
    <x v="2"/>
    <x v="4"/>
    <n v="482"/>
    <x v="0"/>
  </r>
  <r>
    <x v="651"/>
    <s v="Rent"/>
    <x v="2"/>
    <x v="0"/>
    <n v="4619"/>
    <x v="0"/>
  </r>
  <r>
    <x v="651"/>
    <s v="Internet Bill"/>
    <x v="0"/>
    <x v="4"/>
    <n v="4475"/>
    <x v="0"/>
  </r>
  <r>
    <x v="651"/>
    <s v="Rent"/>
    <x v="2"/>
    <x v="2"/>
    <n v="1962"/>
    <x v="0"/>
  </r>
  <r>
    <x v="652"/>
    <s v="Groceries"/>
    <x v="1"/>
    <x v="0"/>
    <n v="3216"/>
    <x v="0"/>
  </r>
  <r>
    <x v="653"/>
    <s v="Electricity Bill"/>
    <x v="0"/>
    <x v="1"/>
    <n v="474"/>
    <x v="0"/>
  </r>
  <r>
    <x v="653"/>
    <s v="Internet Bill"/>
    <x v="0"/>
    <x v="0"/>
    <n v="1482"/>
    <x v="0"/>
  </r>
  <r>
    <x v="654"/>
    <s v="Restaurant"/>
    <x v="1"/>
    <x v="1"/>
    <n v="4056"/>
    <x v="0"/>
  </r>
  <r>
    <x v="654"/>
    <s v="Salary"/>
    <x v="3"/>
    <x v="2"/>
    <n v="37667"/>
    <x v="1"/>
  </r>
  <r>
    <x v="655"/>
    <s v="Groceries"/>
    <x v="1"/>
    <x v="3"/>
    <n v="876"/>
    <x v="0"/>
  </r>
  <r>
    <x v="656"/>
    <s v="Restaurant"/>
    <x v="1"/>
    <x v="4"/>
    <n v="2913"/>
    <x v="0"/>
  </r>
  <r>
    <x v="657"/>
    <s v="Rent"/>
    <x v="2"/>
    <x v="2"/>
    <n v="797"/>
    <x v="0"/>
  </r>
  <r>
    <x v="658"/>
    <s v="Restaurant"/>
    <x v="1"/>
    <x v="0"/>
    <n v="2546"/>
    <x v="0"/>
  </r>
  <r>
    <x v="658"/>
    <s v="Electricity Bill"/>
    <x v="0"/>
    <x v="0"/>
    <n v="4915"/>
    <x v="0"/>
  </r>
  <r>
    <x v="659"/>
    <s v="Movie"/>
    <x v="4"/>
    <x v="0"/>
    <n v="481"/>
    <x v="0"/>
  </r>
  <r>
    <x v="660"/>
    <s v="Salary"/>
    <x v="3"/>
    <x v="2"/>
    <n v="55784"/>
    <x v="1"/>
  </r>
  <r>
    <x v="661"/>
    <s v="Electricity Bill"/>
    <x v="0"/>
    <x v="2"/>
    <n v="4635"/>
    <x v="0"/>
  </r>
  <r>
    <x v="662"/>
    <s v="Restaurant"/>
    <x v="1"/>
    <x v="4"/>
    <n v="3321"/>
    <x v="0"/>
  </r>
  <r>
    <x v="663"/>
    <s v="Fuel"/>
    <x v="5"/>
    <x v="0"/>
    <n v="2588"/>
    <x v="0"/>
  </r>
  <r>
    <x v="664"/>
    <s v="Internet Bill"/>
    <x v="0"/>
    <x v="4"/>
    <n v="1894"/>
    <x v="0"/>
  </r>
  <r>
    <x v="665"/>
    <s v="Salary"/>
    <x v="3"/>
    <x v="2"/>
    <n v="58343"/>
    <x v="1"/>
  </r>
  <r>
    <x v="666"/>
    <s v="Restaurant"/>
    <x v="1"/>
    <x v="0"/>
    <n v="3304"/>
    <x v="0"/>
  </r>
  <r>
    <x v="667"/>
    <s v="Groceries"/>
    <x v="1"/>
    <x v="0"/>
    <n v="4620"/>
    <x v="0"/>
  </r>
  <r>
    <x v="668"/>
    <s v="Electricity Bill"/>
    <x v="0"/>
    <x v="4"/>
    <n v="4221"/>
    <x v="0"/>
  </r>
  <r>
    <x v="669"/>
    <s v="Freelance"/>
    <x v="3"/>
    <x v="4"/>
    <n v="489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10503-2B39-4266-AC51-41175D6F3E71}" name="Payment Method Analysis" cacheId="74"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6" rowHeaderCaption="Payment Method">
  <location ref="I3:J9" firstHeaderRow="1" firstDataRow="1" firstDataCol="1" rowPageCount="1" colPageCount="1"/>
  <pivotFields count="8">
    <pivotField numFmtId="14" showAll="0">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dataField="1" showAll="0"/>
    <pivotField axis="axisPage" showAll="0">
      <items count="3">
        <item x="0"/>
        <item x="1"/>
        <item t="default"/>
      </items>
    </pivotField>
    <pivotField showAll="0" defaultSubtotal="0"/>
    <pivotField showAll="0" defaultSubtotal="0">
      <items count="5">
        <item x="0"/>
        <item x="1"/>
        <item x="2"/>
        <item x="3"/>
        <item x="4"/>
      </items>
    </pivotField>
  </pivotFields>
  <rowFields count="1">
    <field x="3"/>
  </rowFields>
  <rowItems count="6">
    <i>
      <x v="4"/>
    </i>
    <i>
      <x v="1"/>
    </i>
    <i>
      <x v="3"/>
    </i>
    <i>
      <x/>
    </i>
    <i>
      <x v="2"/>
    </i>
    <i t="grand">
      <x/>
    </i>
  </rowItems>
  <colItems count="1">
    <i/>
  </colItems>
  <pageFields count="1">
    <pageField fld="5" hier="-1"/>
  </pageFields>
  <dataFields count="1">
    <dataField name="Sum of Amount" fld="4" baseField="0" baseItem="0" numFmtId="4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D974A-1260-40E6-A5E1-2CF47C88F2B8}" name="Expense Distribution" cacheId="74"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6" rowHeaderCaption="Category">
  <location ref="F3:G9" firstHeaderRow="1" firstDataRow="1" firstDataCol="1" rowPageCount="1" colPageCount="1"/>
  <pivotFields count="8">
    <pivotField numFmtId="14" showAll="0">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showAll="0"/>
    <pivotField axis="axisRow" showAll="0">
      <items count="7">
        <item x="4"/>
        <item x="1"/>
        <item x="2"/>
        <item x="3"/>
        <item x="5"/>
        <item x="0"/>
        <item t="default"/>
      </items>
    </pivotField>
    <pivotField showAll="0"/>
    <pivotField dataField="1" showAll="0"/>
    <pivotField axis="axisPage" showAll="0">
      <items count="3">
        <item x="0"/>
        <item x="1"/>
        <item t="default"/>
      </items>
    </pivotField>
    <pivotField showAll="0" defaultSubtotal="0"/>
    <pivotField showAll="0" defaultSubtotal="0">
      <items count="5">
        <item x="0"/>
        <item x="1"/>
        <item x="2"/>
        <item x="3"/>
        <item x="4"/>
      </items>
    </pivotField>
  </pivotFields>
  <rowFields count="1">
    <field x="2"/>
  </rowFields>
  <rowItems count="6">
    <i>
      <x/>
    </i>
    <i>
      <x v="1"/>
    </i>
    <i>
      <x v="2"/>
    </i>
    <i>
      <x v="4"/>
    </i>
    <i>
      <x v="5"/>
    </i>
    <i t="grand">
      <x/>
    </i>
  </rowItems>
  <colItems count="1">
    <i/>
  </colItems>
  <pageFields count="1">
    <pageField fld="5" item="0" hier="-1"/>
  </pageFields>
  <dataFields count="1">
    <dataField name="Sum of Amount" fld="4" baseField="0" baseItem="0" numFmtId="42"/>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4"/>
          </reference>
        </references>
      </pivotArea>
    </chartFormat>
    <chartFormat chart="2" format="12">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9EE78-9435-41BE-AF8C-FD47B51F16A5}" name="Monthly Income vs Expense" cacheId="74"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4">
  <location ref="A1:D40" firstHeaderRow="1" firstDataRow="2" firstDataCol="1"/>
  <pivotFields count="8">
    <pivotField showAll="0">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t="default"/>
      </items>
    </pivotField>
    <pivotField showAll="0"/>
    <pivotField showAll="0">
      <items count="7">
        <item x="4"/>
        <item x="1"/>
        <item x="2"/>
        <item x="3"/>
        <item x="5"/>
        <item x="0"/>
        <item t="default"/>
      </items>
    </pivotField>
    <pivotField showAll="0"/>
    <pivotField dataField="1" showAll="0"/>
    <pivotField axis="axisCol" showAll="0">
      <items count="3">
        <item x="0"/>
        <item x="1"/>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7"/>
    <field x="6"/>
  </rowFields>
  <rowItems count="3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Fields count="1">
    <field x="5"/>
  </colFields>
  <colItems count="3">
    <i>
      <x/>
    </i>
    <i>
      <x v="1"/>
    </i>
    <i t="grand">
      <x/>
    </i>
  </colItems>
  <dataFields count="1">
    <dataField name="Sum of Amount" fld="4" baseField="0" baseItem="0" numFmtId="42"/>
  </dataFields>
  <chartFormats count="2">
    <chartFormat chart="11" format="4" series="1">
      <pivotArea type="data" outline="0" fieldPosition="0">
        <references count="2">
          <reference field="4294967294" count="1" selected="0">
            <x v="0"/>
          </reference>
          <reference field="5" count="1" selected="0">
            <x v="0"/>
          </reference>
        </references>
      </pivotArea>
    </chartFormat>
    <chartFormat chart="11"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D36FC8-D7A4-4C2D-8812-9EEB99A5F84B}" sourceName="Category">
  <pivotTables>
    <pivotTable tabId="6" name="Monthly Income vs Expense"/>
  </pivotTables>
  <data>
    <tabular pivotCacheId="1875743721">
      <items count="6">
        <i x="4" s="1"/>
        <i x="1" s="1"/>
        <i x="2" s="1"/>
        <i x="3"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1450F17-397F-46F8-B42C-1ABBD9EC7E6F}" sourceName="Type">
  <pivotTables>
    <pivotTable tabId="6" name="Expense Distribution"/>
  </pivotTables>
  <data>
    <tabular pivotCacheId="187574372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3153DE9-6A1C-4549-A0C8-982632505CDA}" sourceName="Payment Method">
  <pivotTables>
    <pivotTable tabId="6" name="Payment Method Analysis"/>
  </pivotTables>
  <data>
    <tabular pivotCacheId="1875743721">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7F8F90-9A98-4857-8B0A-B9CAED4CCA66}" cache="Slicer_Category" caption="Category" rowHeight="234950"/>
  <slicer name="Type" xr10:uid="{19D401BF-B08A-4369-ACB6-D6FEFDB20195}" cache="Slicer_Type" caption="Type" rowHeight="234950"/>
  <slicer name="Payment Method" xr10:uid="{4436F14F-3843-4D2A-A81E-483DA4B84C14}"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DB0367-FA9A-466B-960C-B50361817C16}" name="Table2" displayName="Table2" ref="A1:B7" totalsRowShown="0" headerRowDxfId="15" dataDxfId="14" headerRowBorderDxfId="12" tableBorderDxfId="13" totalsRowBorderDxfId="11">
  <autoFilter ref="A1:B7" xr:uid="{1FDB0367-FA9A-466B-960C-B50361817C16}"/>
  <tableColumns count="2">
    <tableColumn id="3" xr3:uid="{EDF520D9-16D0-40F0-8E38-82AD2CDDF1B7}" name="Category" dataDxfId="10"/>
    <tableColumn id="6" xr3:uid="{51857F7B-1267-472D-B891-811489A645CB}" name="Group"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F1E7B8-F8E3-45AD-87C3-FA86CEF8C570}" name="Table3" displayName="Table3" ref="D1:D8" totalsRowCount="1" headerRowDxfId="5" headerRowBorderDxfId="6" tableBorderDxfId="7">
  <autoFilter ref="D1:D7" xr:uid="{1EF1E7B8-F8E3-45AD-87C3-FA86CEF8C570}"/>
  <tableColumns count="1">
    <tableColumn id="1" xr3:uid="{03357B39-41DA-47D5-8E18-3519B2860D55}" name="Lookup" totalsRowFunction="sum" dataDxfId="1" totalsRowDxfId="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695CE1-407C-45B0-85B6-48150CC6D2D1}" name="tblTransactions" displayName="tblTransactions" ref="A1:F1002" totalsRowCount="1">
  <autoFilter ref="A1:F1001" xr:uid="{98695CE1-407C-45B0-85B6-48150CC6D2D1}"/>
  <tableColumns count="6">
    <tableColumn id="1" xr3:uid="{BF175F1B-F6C2-439D-82B9-B2ADDB01E5B2}" name="Date" totalsRowLabel="Total" dataDxfId="8" totalsRowDxfId="4"/>
    <tableColumn id="2" xr3:uid="{B5C5152F-5E20-4193-BA13-A1236DBB8BE2}" name="Description"/>
    <tableColumn id="3" xr3:uid="{7FE88222-64DA-45E6-99D2-F2AA63C5E346}" name="Category"/>
    <tableColumn id="4" xr3:uid="{11D61F46-1EA4-4DC0-9674-A5C2BE6BFC5B}" name="Payment Method"/>
    <tableColumn id="5" xr3:uid="{BECF8A4D-E4DE-4CF0-B981-3E81A10D16D4}" name="Amount" totalsRowFunction="sum" dataDxfId="2" totalsRowDxfId="3"/>
    <tableColumn id="6" xr3:uid="{4934A9C0-CCAA-4D09-A2D2-A5EC937D9B4A}" name="Type"/>
  </tableColumns>
  <tableStyleInfo name="TableStyleMedium2"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DFB0-4301-4E3E-9160-4D5CBCD39975}">
  <dimension ref="A1:J4"/>
  <sheetViews>
    <sheetView showGridLines="0" showRowColHeaders="0" topLeftCell="A13" zoomScaleNormal="100" workbookViewId="0">
      <selection activeCell="H16" sqref="H16"/>
    </sheetView>
  </sheetViews>
  <sheetFormatPr defaultRowHeight="14.4" x14ac:dyDescent="0.3"/>
  <cols>
    <col min="1" max="1" width="21.88671875" customWidth="1"/>
    <col min="2" max="3" width="34.44140625" bestFit="1" customWidth="1"/>
    <col min="4" max="5" width="34.6640625" bestFit="1" customWidth="1"/>
    <col min="6" max="6" width="21.88671875" customWidth="1"/>
  </cols>
  <sheetData>
    <row r="1" spans="1:10" ht="28.8" x14ac:dyDescent="0.55000000000000004">
      <c r="A1" s="11" t="s">
        <v>52</v>
      </c>
      <c r="B1" s="11"/>
      <c r="C1" s="11"/>
      <c r="D1" s="11"/>
      <c r="E1" s="11"/>
      <c r="F1" s="11"/>
      <c r="G1" s="14"/>
      <c r="H1" s="14"/>
      <c r="I1" s="14"/>
      <c r="J1" s="14"/>
    </row>
    <row r="2" spans="1:10" ht="28.8" x14ac:dyDescent="0.55000000000000004">
      <c r="A2" s="11" t="s">
        <v>53</v>
      </c>
      <c r="B2" s="11"/>
      <c r="C2" s="11"/>
      <c r="D2" s="11"/>
      <c r="E2" s="11"/>
      <c r="F2" s="11"/>
      <c r="G2" s="14"/>
      <c r="H2" s="14"/>
      <c r="I2" s="14"/>
      <c r="J2" s="14"/>
    </row>
    <row r="3" spans="1:10" ht="23.4" x14ac:dyDescent="0.45">
      <c r="B3" s="10" t="s">
        <v>27</v>
      </c>
      <c r="C3" s="10" t="s">
        <v>28</v>
      </c>
      <c r="D3" s="10" t="s">
        <v>29</v>
      </c>
      <c r="E3" s="10" t="s">
        <v>51</v>
      </c>
    </row>
    <row r="4" spans="1:10" ht="23.4" x14ac:dyDescent="0.45">
      <c r="B4" s="12">
        <f>Calculations!C2</f>
        <v>9676874</v>
      </c>
      <c r="C4" s="12">
        <f>Calculations!C3</f>
        <v>1971094</v>
      </c>
      <c r="D4" s="12">
        <f>Calculations!C4</f>
        <v>7705780</v>
      </c>
      <c r="E4" s="13">
        <f>Calculations!C5</f>
        <v>0.79630880798902626</v>
      </c>
    </row>
  </sheetData>
  <mergeCells count="2">
    <mergeCell ref="A1:F1"/>
    <mergeCell ref="A2: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A01B-1881-4E6E-BAEF-89CED3695324}">
  <dimension ref="A1:J40"/>
  <sheetViews>
    <sheetView workbookViewId="0">
      <selection activeCell="H20" sqref="H20"/>
    </sheetView>
  </sheetViews>
  <sheetFormatPr defaultRowHeight="14.4" x14ac:dyDescent="0.3"/>
  <cols>
    <col min="1" max="1" width="14.44140625" bestFit="1" customWidth="1"/>
    <col min="2" max="3" width="11.44140625" bestFit="1" customWidth="1"/>
    <col min="4" max="4" width="13.109375" bestFit="1" customWidth="1"/>
    <col min="5" max="5" width="10.77734375" bestFit="1" customWidth="1"/>
    <col min="6" max="6" width="12.6640625" bestFit="1" customWidth="1"/>
    <col min="7" max="7" width="14.44140625" bestFit="1" customWidth="1"/>
    <col min="9" max="9" width="12.21875" bestFit="1" customWidth="1"/>
    <col min="10" max="10" width="14.44140625" bestFit="1" customWidth="1"/>
  </cols>
  <sheetData>
    <row r="1" spans="1:10" x14ac:dyDescent="0.3">
      <c r="A1" s="6" t="s">
        <v>33</v>
      </c>
      <c r="F1" s="6" t="s">
        <v>5</v>
      </c>
      <c r="G1" t="s">
        <v>9</v>
      </c>
      <c r="I1" s="6" t="s">
        <v>5</v>
      </c>
      <c r="J1" t="s">
        <v>50</v>
      </c>
    </row>
    <row r="2" spans="1:10" x14ac:dyDescent="0.3">
      <c r="B2" t="s">
        <v>9</v>
      </c>
      <c r="C2" t="s">
        <v>20</v>
      </c>
      <c r="D2" t="s">
        <v>34</v>
      </c>
    </row>
    <row r="3" spans="1:10" x14ac:dyDescent="0.3">
      <c r="A3" s="7" t="s">
        <v>35</v>
      </c>
      <c r="B3" s="9">
        <v>697800</v>
      </c>
      <c r="C3" s="9">
        <v>3682395</v>
      </c>
      <c r="D3" s="9">
        <v>4380195</v>
      </c>
      <c r="G3" t="s">
        <v>33</v>
      </c>
      <c r="J3" t="s">
        <v>33</v>
      </c>
    </row>
    <row r="4" spans="1:10" x14ac:dyDescent="0.3">
      <c r="A4" s="8" t="s">
        <v>36</v>
      </c>
      <c r="B4" s="9">
        <v>77443</v>
      </c>
      <c r="C4" s="9">
        <v>188943</v>
      </c>
      <c r="D4" s="9">
        <v>266386</v>
      </c>
      <c r="F4" s="7" t="s">
        <v>23</v>
      </c>
      <c r="G4" s="9">
        <v>283423</v>
      </c>
      <c r="I4" s="7" t="s">
        <v>8</v>
      </c>
      <c r="J4" s="9">
        <v>2602957</v>
      </c>
    </row>
    <row r="5" spans="1:10" x14ac:dyDescent="0.3">
      <c r="A5" s="8" t="s">
        <v>37</v>
      </c>
      <c r="B5" s="9">
        <v>61254</v>
      </c>
      <c r="C5" s="9">
        <v>181778</v>
      </c>
      <c r="D5" s="9">
        <v>243032</v>
      </c>
      <c r="F5" s="7" t="s">
        <v>13</v>
      </c>
      <c r="G5" s="9">
        <v>615341</v>
      </c>
      <c r="I5" s="7" t="s">
        <v>11</v>
      </c>
      <c r="J5" s="9">
        <v>2542236</v>
      </c>
    </row>
    <row r="6" spans="1:10" x14ac:dyDescent="0.3">
      <c r="A6" s="8" t="s">
        <v>38</v>
      </c>
      <c r="B6" s="9">
        <v>72884</v>
      </c>
      <c r="C6" s="9">
        <v>242923</v>
      </c>
      <c r="D6" s="9">
        <v>315807</v>
      </c>
      <c r="F6" s="7" t="s">
        <v>15</v>
      </c>
      <c r="G6" s="9">
        <v>244906</v>
      </c>
      <c r="I6" s="7" t="s">
        <v>16</v>
      </c>
      <c r="J6" s="9">
        <v>2289658</v>
      </c>
    </row>
    <row r="7" spans="1:10" x14ac:dyDescent="0.3">
      <c r="A7" s="8" t="s">
        <v>39</v>
      </c>
      <c r="B7" s="9">
        <v>32890</v>
      </c>
      <c r="C7" s="9">
        <v>403896</v>
      </c>
      <c r="D7" s="9">
        <v>436786</v>
      </c>
      <c r="F7" s="7" t="s">
        <v>26</v>
      </c>
      <c r="G7" s="9">
        <v>257475</v>
      </c>
      <c r="I7" s="7" t="s">
        <v>18</v>
      </c>
      <c r="J7" s="9">
        <v>2180051</v>
      </c>
    </row>
    <row r="8" spans="1:10" x14ac:dyDescent="0.3">
      <c r="A8" s="8" t="s">
        <v>40</v>
      </c>
      <c r="B8" s="9">
        <v>45990</v>
      </c>
      <c r="C8" s="9">
        <v>469255</v>
      </c>
      <c r="D8" s="9">
        <v>515245</v>
      </c>
      <c r="F8" s="7" t="s">
        <v>7</v>
      </c>
      <c r="G8" s="9">
        <v>569949</v>
      </c>
      <c r="I8" s="7" t="s">
        <v>10</v>
      </c>
      <c r="J8" s="9">
        <v>2033066</v>
      </c>
    </row>
    <row r="9" spans="1:10" x14ac:dyDescent="0.3">
      <c r="A9" s="8" t="s">
        <v>41</v>
      </c>
      <c r="B9" s="9">
        <v>44241</v>
      </c>
      <c r="C9" s="9">
        <v>265828</v>
      </c>
      <c r="D9" s="9">
        <v>310069</v>
      </c>
      <c r="F9" s="7" t="s">
        <v>34</v>
      </c>
      <c r="G9" s="9">
        <v>1971094</v>
      </c>
      <c r="I9" s="7" t="s">
        <v>34</v>
      </c>
      <c r="J9" s="9">
        <v>11647968</v>
      </c>
    </row>
    <row r="10" spans="1:10" x14ac:dyDescent="0.3">
      <c r="A10" s="8" t="s">
        <v>42</v>
      </c>
      <c r="B10" s="9">
        <v>75754</v>
      </c>
      <c r="C10" s="9">
        <v>276276</v>
      </c>
      <c r="D10" s="9">
        <v>352030</v>
      </c>
    </row>
    <row r="11" spans="1:10" x14ac:dyDescent="0.3">
      <c r="A11" s="8" t="s">
        <v>43</v>
      </c>
      <c r="B11" s="9">
        <v>75751</v>
      </c>
      <c r="C11" s="9">
        <v>125367</v>
      </c>
      <c r="D11" s="9">
        <v>201118</v>
      </c>
    </row>
    <row r="12" spans="1:10" x14ac:dyDescent="0.3">
      <c r="A12" s="8" t="s">
        <v>44</v>
      </c>
      <c r="B12" s="9">
        <v>49213</v>
      </c>
      <c r="C12" s="9">
        <v>257315</v>
      </c>
      <c r="D12" s="9">
        <v>306528</v>
      </c>
    </row>
    <row r="13" spans="1:10" x14ac:dyDescent="0.3">
      <c r="A13" s="8" t="s">
        <v>45</v>
      </c>
      <c r="B13" s="9">
        <v>43260</v>
      </c>
      <c r="C13" s="9">
        <v>383441</v>
      </c>
      <c r="D13" s="9">
        <v>426701</v>
      </c>
    </row>
    <row r="14" spans="1:10" x14ac:dyDescent="0.3">
      <c r="A14" s="8" t="s">
        <v>46</v>
      </c>
      <c r="B14" s="9">
        <v>41827</v>
      </c>
      <c r="C14" s="9">
        <v>502786</v>
      </c>
      <c r="D14" s="9">
        <v>544613</v>
      </c>
    </row>
    <row r="15" spans="1:10" x14ac:dyDescent="0.3">
      <c r="A15" s="8" t="s">
        <v>47</v>
      </c>
      <c r="B15" s="9">
        <v>77293</v>
      </c>
      <c r="C15" s="9">
        <v>384587</v>
      </c>
      <c r="D15" s="9">
        <v>461880</v>
      </c>
    </row>
    <row r="16" spans="1:10" x14ac:dyDescent="0.3">
      <c r="A16" s="7" t="s">
        <v>48</v>
      </c>
      <c r="B16" s="9">
        <v>717965</v>
      </c>
      <c r="C16" s="9">
        <v>3146551</v>
      </c>
      <c r="D16" s="9">
        <v>3864516</v>
      </c>
    </row>
    <row r="17" spans="1:4" x14ac:dyDescent="0.3">
      <c r="A17" s="8" t="s">
        <v>36</v>
      </c>
      <c r="B17" s="9">
        <v>52831</v>
      </c>
      <c r="C17" s="9">
        <v>291546</v>
      </c>
      <c r="D17" s="9">
        <v>344377</v>
      </c>
    </row>
    <row r="18" spans="1:4" x14ac:dyDescent="0.3">
      <c r="A18" s="8" t="s">
        <v>37</v>
      </c>
      <c r="B18" s="9">
        <v>58181</v>
      </c>
      <c r="C18" s="9">
        <v>294278</v>
      </c>
      <c r="D18" s="9">
        <v>352459</v>
      </c>
    </row>
    <row r="19" spans="1:4" x14ac:dyDescent="0.3">
      <c r="A19" s="8" t="s">
        <v>38</v>
      </c>
      <c r="B19" s="9">
        <v>51305</v>
      </c>
      <c r="C19" s="9">
        <v>315936</v>
      </c>
      <c r="D19" s="9">
        <v>367241</v>
      </c>
    </row>
    <row r="20" spans="1:4" x14ac:dyDescent="0.3">
      <c r="A20" s="8" t="s">
        <v>39</v>
      </c>
      <c r="B20" s="9">
        <v>48303</v>
      </c>
      <c r="C20" s="9">
        <v>276783</v>
      </c>
      <c r="D20" s="9">
        <v>325086</v>
      </c>
    </row>
    <row r="21" spans="1:4" x14ac:dyDescent="0.3">
      <c r="A21" s="8" t="s">
        <v>40</v>
      </c>
      <c r="B21" s="9">
        <v>54473</v>
      </c>
      <c r="C21" s="9">
        <v>209761</v>
      </c>
      <c r="D21" s="9">
        <v>264234</v>
      </c>
    </row>
    <row r="22" spans="1:4" x14ac:dyDescent="0.3">
      <c r="A22" s="8" t="s">
        <v>41</v>
      </c>
      <c r="B22" s="9">
        <v>56830</v>
      </c>
      <c r="C22" s="9">
        <v>272182</v>
      </c>
      <c r="D22" s="9">
        <v>329012</v>
      </c>
    </row>
    <row r="23" spans="1:4" x14ac:dyDescent="0.3">
      <c r="A23" s="8" t="s">
        <v>42</v>
      </c>
      <c r="B23" s="9">
        <v>74993</v>
      </c>
      <c r="C23" s="9">
        <v>110078</v>
      </c>
      <c r="D23" s="9">
        <v>185071</v>
      </c>
    </row>
    <row r="24" spans="1:4" x14ac:dyDescent="0.3">
      <c r="A24" s="8" t="s">
        <v>43</v>
      </c>
      <c r="B24" s="9">
        <v>52251</v>
      </c>
      <c r="C24" s="9">
        <v>262865</v>
      </c>
      <c r="D24" s="9">
        <v>315116</v>
      </c>
    </row>
    <row r="25" spans="1:4" x14ac:dyDescent="0.3">
      <c r="A25" s="8" t="s">
        <v>44</v>
      </c>
      <c r="B25" s="9">
        <v>47291</v>
      </c>
      <c r="C25" s="9">
        <v>290526</v>
      </c>
      <c r="D25" s="9">
        <v>337817</v>
      </c>
    </row>
    <row r="26" spans="1:4" x14ac:dyDescent="0.3">
      <c r="A26" s="8" t="s">
        <v>45</v>
      </c>
      <c r="B26" s="9">
        <v>67060</v>
      </c>
      <c r="C26" s="9">
        <v>291002</v>
      </c>
      <c r="D26" s="9">
        <v>358062</v>
      </c>
    </row>
    <row r="27" spans="1:4" x14ac:dyDescent="0.3">
      <c r="A27" s="8" t="s">
        <v>46</v>
      </c>
      <c r="B27" s="9">
        <v>74187</v>
      </c>
      <c r="C27" s="9">
        <v>245351</v>
      </c>
      <c r="D27" s="9">
        <v>319538</v>
      </c>
    </row>
    <row r="28" spans="1:4" x14ac:dyDescent="0.3">
      <c r="A28" s="8" t="s">
        <v>47</v>
      </c>
      <c r="B28" s="9">
        <v>80260</v>
      </c>
      <c r="C28" s="9">
        <v>286243</v>
      </c>
      <c r="D28" s="9">
        <v>366503</v>
      </c>
    </row>
    <row r="29" spans="1:4" x14ac:dyDescent="0.3">
      <c r="A29" s="7" t="s">
        <v>49</v>
      </c>
      <c r="B29" s="9">
        <v>555329</v>
      </c>
      <c r="C29" s="9">
        <v>2847928</v>
      </c>
      <c r="D29" s="9">
        <v>3403257</v>
      </c>
    </row>
    <row r="30" spans="1:4" x14ac:dyDescent="0.3">
      <c r="A30" s="8" t="s">
        <v>36</v>
      </c>
      <c r="B30" s="9">
        <v>70324</v>
      </c>
      <c r="C30" s="9">
        <v>327173</v>
      </c>
      <c r="D30" s="9">
        <v>397497</v>
      </c>
    </row>
    <row r="31" spans="1:4" x14ac:dyDescent="0.3">
      <c r="A31" s="8" t="s">
        <v>37</v>
      </c>
      <c r="B31" s="9">
        <v>59617</v>
      </c>
      <c r="C31" s="9">
        <v>392160</v>
      </c>
      <c r="D31" s="9">
        <v>451777</v>
      </c>
    </row>
    <row r="32" spans="1:4" x14ac:dyDescent="0.3">
      <c r="A32" s="8" t="s">
        <v>38</v>
      </c>
      <c r="B32" s="9">
        <v>32439</v>
      </c>
      <c r="C32" s="9">
        <v>288515</v>
      </c>
      <c r="D32" s="9">
        <v>320954</v>
      </c>
    </row>
    <row r="33" spans="1:4" x14ac:dyDescent="0.3">
      <c r="A33" s="8" t="s">
        <v>39</v>
      </c>
      <c r="B33" s="9">
        <v>53422</v>
      </c>
      <c r="C33" s="9">
        <v>208041</v>
      </c>
      <c r="D33" s="9">
        <v>261463</v>
      </c>
    </row>
    <row r="34" spans="1:4" x14ac:dyDescent="0.3">
      <c r="A34" s="8" t="s">
        <v>40</v>
      </c>
      <c r="B34" s="9">
        <v>66061</v>
      </c>
      <c r="C34" s="9">
        <v>462913</v>
      </c>
      <c r="D34" s="9">
        <v>528974</v>
      </c>
    </row>
    <row r="35" spans="1:4" x14ac:dyDescent="0.3">
      <c r="A35" s="8" t="s">
        <v>41</v>
      </c>
      <c r="B35" s="9">
        <v>55561</v>
      </c>
      <c r="C35" s="9">
        <v>358293</v>
      </c>
      <c r="D35" s="9">
        <v>413854</v>
      </c>
    </row>
    <row r="36" spans="1:4" x14ac:dyDescent="0.3">
      <c r="A36" s="8" t="s">
        <v>42</v>
      </c>
      <c r="B36" s="9">
        <v>55664</v>
      </c>
      <c r="C36" s="9">
        <v>316032</v>
      </c>
      <c r="D36" s="9">
        <v>371696</v>
      </c>
    </row>
    <row r="37" spans="1:4" x14ac:dyDescent="0.3">
      <c r="A37" s="8" t="s">
        <v>43</v>
      </c>
      <c r="B37" s="9">
        <v>81119</v>
      </c>
      <c r="C37" s="9">
        <v>143813</v>
      </c>
      <c r="D37" s="9">
        <v>224932</v>
      </c>
    </row>
    <row r="38" spans="1:4" x14ac:dyDescent="0.3">
      <c r="A38" s="8" t="s">
        <v>44</v>
      </c>
      <c r="B38" s="9">
        <v>61174</v>
      </c>
      <c r="C38" s="9">
        <v>243692</v>
      </c>
      <c r="D38" s="9">
        <v>304866</v>
      </c>
    </row>
    <row r="39" spans="1:4" x14ac:dyDescent="0.3">
      <c r="A39" s="8" t="s">
        <v>45</v>
      </c>
      <c r="B39" s="9">
        <v>19948</v>
      </c>
      <c r="C39" s="9">
        <v>107296</v>
      </c>
      <c r="D39" s="9">
        <v>127244</v>
      </c>
    </row>
    <row r="40" spans="1:4" x14ac:dyDescent="0.3">
      <c r="A40" s="7" t="s">
        <v>34</v>
      </c>
      <c r="B40" s="9">
        <v>1971094</v>
      </c>
      <c r="C40" s="9">
        <v>9676874</v>
      </c>
      <c r="D40" s="9">
        <v>11647968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074B-42A4-49D9-A957-96B65E3FF87B}">
  <dimension ref="B2:C6"/>
  <sheetViews>
    <sheetView tabSelected="1" workbookViewId="0">
      <selection activeCell="C2" sqref="C2"/>
    </sheetView>
  </sheetViews>
  <sheetFormatPr defaultRowHeight="14.4" x14ac:dyDescent="0.3"/>
  <cols>
    <col min="2" max="2" width="12.33203125" bestFit="1" customWidth="1"/>
  </cols>
  <sheetData>
    <row r="2" spans="2:3" x14ac:dyDescent="0.3">
      <c r="B2" s="15" t="s">
        <v>27</v>
      </c>
      <c r="C2" s="16">
        <f>SUMIFS(tblTransactions[Amount],tblTransactions[Type],"Income")</f>
        <v>9676874</v>
      </c>
    </row>
    <row r="3" spans="2:3" x14ac:dyDescent="0.3">
      <c r="B3" s="15" t="s">
        <v>28</v>
      </c>
      <c r="C3" s="16">
        <f>SUMIFS(tblTransactions[Amount],tblTransactions[Type],"Expense")</f>
        <v>1971094</v>
      </c>
    </row>
    <row r="4" spans="2:3" x14ac:dyDescent="0.3">
      <c r="B4" s="15" t="s">
        <v>29</v>
      </c>
      <c r="C4" s="16">
        <f>C2-C3</f>
        <v>7705780</v>
      </c>
    </row>
    <row r="5" spans="2:3" x14ac:dyDescent="0.3">
      <c r="B5" s="15" t="s">
        <v>30</v>
      </c>
      <c r="C5" s="17">
        <f>IF(C2=0,0,C4/C2)</f>
        <v>0.79630880798902626</v>
      </c>
    </row>
    <row r="6" spans="2:3" x14ac:dyDescent="0.3">
      <c r="C6"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CE8D-A065-43AD-A451-692B7DDECCD6}">
  <dimension ref="A1:D8"/>
  <sheetViews>
    <sheetView workbookViewId="0">
      <selection activeCell="D5" sqref="D5"/>
    </sheetView>
  </sheetViews>
  <sheetFormatPr defaultRowHeight="14.4" x14ac:dyDescent="0.3"/>
  <cols>
    <col min="1" max="1" width="10.44140625" customWidth="1"/>
    <col min="4" max="4" width="10.6640625" bestFit="1" customWidth="1"/>
  </cols>
  <sheetData>
    <row r="1" spans="1:4" x14ac:dyDescent="0.3">
      <c r="A1" s="4" t="s">
        <v>2</v>
      </c>
      <c r="B1" s="4" t="s">
        <v>31</v>
      </c>
      <c r="D1" s="18" t="s">
        <v>54</v>
      </c>
    </row>
    <row r="2" spans="1:4" x14ac:dyDescent="0.3">
      <c r="A2" s="2" t="s">
        <v>7</v>
      </c>
      <c r="B2" s="2" t="s">
        <v>9</v>
      </c>
      <c r="D2" s="5">
        <f>SUMIFS(Raw_Data!E2:E1001,Raw_Data!C2:C1001,"Utilities",Raw_Data!F2:F1001,"Expense")</f>
        <v>569949</v>
      </c>
    </row>
    <row r="3" spans="1:4" x14ac:dyDescent="0.3">
      <c r="A3" s="1" t="s">
        <v>13</v>
      </c>
      <c r="B3" s="1" t="s">
        <v>9</v>
      </c>
      <c r="D3" s="5">
        <f>SUMIFS(Raw_Data!E2:E1001,Raw_Data!C2:C1001,"Food",Raw_Data!F2:F1001,"Expense")</f>
        <v>615341</v>
      </c>
    </row>
    <row r="4" spans="1:4" x14ac:dyDescent="0.3">
      <c r="A4" s="2" t="s">
        <v>15</v>
      </c>
      <c r="B4" s="2" t="s">
        <v>9</v>
      </c>
      <c r="D4" s="5">
        <f>SUMIFS(tblTransactions[Amount],tblTransactions[Category],"Housing",tblTransactions[Type],"Expense")</f>
        <v>244906</v>
      </c>
    </row>
    <row r="5" spans="1:4" x14ac:dyDescent="0.3">
      <c r="A5" s="1" t="s">
        <v>19</v>
      </c>
      <c r="B5" s="1" t="s">
        <v>20</v>
      </c>
      <c r="D5" s="5">
        <f>SUMIFS(Raw_Data!E2:E1001,Raw_Data!C2:C1001,"Salary",Raw_Data!F2:F1001,"Income")</f>
        <v>9676874</v>
      </c>
    </row>
    <row r="6" spans="1:4" x14ac:dyDescent="0.3">
      <c r="A6" s="2" t="s">
        <v>23</v>
      </c>
      <c r="B6" s="2" t="s">
        <v>9</v>
      </c>
      <c r="D6" s="5">
        <f>SUMIFS(tblTransactions[Amount],tblTransactions[Category],"Entertainment",tblTransactions[Type],"Expense")</f>
        <v>283423</v>
      </c>
    </row>
    <row r="7" spans="1:4" x14ac:dyDescent="0.3">
      <c r="A7" s="2" t="s">
        <v>26</v>
      </c>
      <c r="B7" s="2" t="s">
        <v>9</v>
      </c>
      <c r="D7" s="5">
        <f>SUMIFS(tblTransactions[Amount],tblTransactions[Category],"Transport",tblTransactions[Type],"Expense")</f>
        <v>257475</v>
      </c>
    </row>
    <row r="8" spans="1:4" x14ac:dyDescent="0.3">
      <c r="D8" s="5">
        <f>SUBTOTAL(109,Table3[Lookup])</f>
        <v>11647968</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workbookViewId="0"/>
  </sheetViews>
  <sheetFormatPr defaultRowHeight="14.4" x14ac:dyDescent="0.3"/>
  <cols>
    <col min="1" max="1" width="10.33203125" bestFit="1" customWidth="1"/>
    <col min="2" max="2" width="12.109375" customWidth="1"/>
    <col min="3" max="3" width="10.21875" customWidth="1"/>
    <col min="4" max="4" width="16.88671875" customWidth="1"/>
    <col min="5" max="5" width="12.5546875" bestFit="1" customWidth="1"/>
  </cols>
  <sheetData>
    <row r="1" spans="1:6" x14ac:dyDescent="0.3">
      <c r="A1" t="s">
        <v>0</v>
      </c>
      <c r="B1" t="s">
        <v>1</v>
      </c>
      <c r="C1" t="s">
        <v>2</v>
      </c>
      <c r="D1" t="s">
        <v>3</v>
      </c>
      <c r="E1" t="s">
        <v>4</v>
      </c>
      <c r="F1" t="s">
        <v>5</v>
      </c>
    </row>
    <row r="2" spans="1:6" x14ac:dyDescent="0.3">
      <c r="A2" s="3">
        <v>45659</v>
      </c>
      <c r="B2" t="s">
        <v>6</v>
      </c>
      <c r="C2" t="s">
        <v>7</v>
      </c>
      <c r="D2" t="s">
        <v>8</v>
      </c>
      <c r="E2" s="5">
        <v>588</v>
      </c>
      <c r="F2" t="s">
        <v>9</v>
      </c>
    </row>
    <row r="3" spans="1:6" x14ac:dyDescent="0.3">
      <c r="A3" s="3">
        <v>45661</v>
      </c>
      <c r="B3" t="s">
        <v>6</v>
      </c>
      <c r="C3" t="s">
        <v>7</v>
      </c>
      <c r="D3" t="s">
        <v>10</v>
      </c>
      <c r="E3" s="5">
        <v>2199</v>
      </c>
      <c r="F3" t="s">
        <v>9</v>
      </c>
    </row>
    <row r="4" spans="1:6" x14ac:dyDescent="0.3">
      <c r="A4" s="3">
        <v>45662</v>
      </c>
      <c r="B4" t="s">
        <v>6</v>
      </c>
      <c r="C4" t="s">
        <v>7</v>
      </c>
      <c r="D4" t="s">
        <v>11</v>
      </c>
      <c r="E4" s="5">
        <v>1380</v>
      </c>
      <c r="F4" t="s">
        <v>9</v>
      </c>
    </row>
    <row r="5" spans="1:6" x14ac:dyDescent="0.3">
      <c r="A5" s="3">
        <v>45664</v>
      </c>
      <c r="B5" t="s">
        <v>12</v>
      </c>
      <c r="C5" t="s">
        <v>13</v>
      </c>
      <c r="D5" t="s">
        <v>10</v>
      </c>
      <c r="E5" s="5">
        <v>4916</v>
      </c>
      <c r="F5" t="s">
        <v>9</v>
      </c>
    </row>
    <row r="6" spans="1:6" x14ac:dyDescent="0.3">
      <c r="A6" s="3">
        <v>45665</v>
      </c>
      <c r="B6" t="s">
        <v>14</v>
      </c>
      <c r="C6" t="s">
        <v>15</v>
      </c>
      <c r="D6" t="s">
        <v>16</v>
      </c>
      <c r="E6" s="5">
        <v>917</v>
      </c>
      <c r="F6" t="s">
        <v>9</v>
      </c>
    </row>
    <row r="7" spans="1:6" x14ac:dyDescent="0.3">
      <c r="A7" s="3">
        <v>45665</v>
      </c>
      <c r="B7" t="s">
        <v>17</v>
      </c>
      <c r="C7" t="s">
        <v>13</v>
      </c>
      <c r="D7" t="s">
        <v>11</v>
      </c>
      <c r="E7" s="5">
        <v>3657</v>
      </c>
      <c r="F7" t="s">
        <v>9</v>
      </c>
    </row>
    <row r="8" spans="1:6" x14ac:dyDescent="0.3">
      <c r="A8" s="3">
        <v>45666</v>
      </c>
      <c r="B8" t="s">
        <v>17</v>
      </c>
      <c r="C8" t="s">
        <v>13</v>
      </c>
      <c r="D8" t="s">
        <v>11</v>
      </c>
      <c r="E8" s="5">
        <v>2648</v>
      </c>
      <c r="F8" t="s">
        <v>9</v>
      </c>
    </row>
    <row r="9" spans="1:6" x14ac:dyDescent="0.3">
      <c r="A9" s="3">
        <v>45666</v>
      </c>
      <c r="B9" t="s">
        <v>6</v>
      </c>
      <c r="C9" t="s">
        <v>7</v>
      </c>
      <c r="D9" t="s">
        <v>16</v>
      </c>
      <c r="E9" s="5">
        <v>3084</v>
      </c>
      <c r="F9" t="s">
        <v>9</v>
      </c>
    </row>
    <row r="10" spans="1:6" x14ac:dyDescent="0.3">
      <c r="A10" s="3">
        <v>45667</v>
      </c>
      <c r="B10" t="s">
        <v>17</v>
      </c>
      <c r="C10" t="s">
        <v>13</v>
      </c>
      <c r="D10" t="s">
        <v>18</v>
      </c>
      <c r="E10" s="5">
        <v>2588</v>
      </c>
      <c r="F10" t="s">
        <v>9</v>
      </c>
    </row>
    <row r="11" spans="1:6" x14ac:dyDescent="0.3">
      <c r="A11" s="3">
        <v>45667</v>
      </c>
      <c r="B11" t="s">
        <v>12</v>
      </c>
      <c r="C11" t="s">
        <v>13</v>
      </c>
      <c r="D11" t="s">
        <v>11</v>
      </c>
      <c r="E11" s="5">
        <v>3011</v>
      </c>
      <c r="F11" t="s">
        <v>9</v>
      </c>
    </row>
    <row r="12" spans="1:6" x14ac:dyDescent="0.3">
      <c r="A12" s="3">
        <v>45668</v>
      </c>
      <c r="B12" t="s">
        <v>6</v>
      </c>
      <c r="C12" t="s">
        <v>7</v>
      </c>
      <c r="D12" t="s">
        <v>18</v>
      </c>
      <c r="E12" s="5">
        <v>4902</v>
      </c>
      <c r="F12" t="s">
        <v>9</v>
      </c>
    </row>
    <row r="13" spans="1:6" x14ac:dyDescent="0.3">
      <c r="A13" s="3">
        <v>45668</v>
      </c>
      <c r="B13" t="s">
        <v>19</v>
      </c>
      <c r="C13" t="s">
        <v>19</v>
      </c>
      <c r="D13" t="s">
        <v>8</v>
      </c>
      <c r="E13" s="5">
        <v>34867</v>
      </c>
      <c r="F13" t="s">
        <v>20</v>
      </c>
    </row>
    <row r="14" spans="1:6" x14ac:dyDescent="0.3">
      <c r="A14" s="3">
        <v>45668</v>
      </c>
      <c r="B14" t="s">
        <v>19</v>
      </c>
      <c r="C14" t="s">
        <v>19</v>
      </c>
      <c r="D14" t="s">
        <v>10</v>
      </c>
      <c r="E14" s="5">
        <v>30956</v>
      </c>
      <c r="F14" t="s">
        <v>20</v>
      </c>
    </row>
    <row r="15" spans="1:6" x14ac:dyDescent="0.3">
      <c r="A15" s="3">
        <v>45668</v>
      </c>
      <c r="B15" t="s">
        <v>14</v>
      </c>
      <c r="C15" t="s">
        <v>15</v>
      </c>
      <c r="D15" t="s">
        <v>16</v>
      </c>
      <c r="E15" s="5">
        <v>2799</v>
      </c>
      <c r="F15" t="s">
        <v>9</v>
      </c>
    </row>
    <row r="16" spans="1:6" x14ac:dyDescent="0.3">
      <c r="A16" s="3">
        <v>45670</v>
      </c>
      <c r="B16" t="s">
        <v>21</v>
      </c>
      <c r="C16" t="s">
        <v>19</v>
      </c>
      <c r="D16" t="s">
        <v>11</v>
      </c>
      <c r="E16" s="5">
        <v>44770</v>
      </c>
      <c r="F16" t="s">
        <v>20</v>
      </c>
    </row>
    <row r="17" spans="1:6" x14ac:dyDescent="0.3">
      <c r="A17" s="3">
        <v>45672</v>
      </c>
      <c r="B17" t="s">
        <v>6</v>
      </c>
      <c r="C17" t="s">
        <v>7</v>
      </c>
      <c r="D17" t="s">
        <v>8</v>
      </c>
      <c r="E17" s="5">
        <v>3714</v>
      </c>
      <c r="F17" t="s">
        <v>9</v>
      </c>
    </row>
    <row r="18" spans="1:6" x14ac:dyDescent="0.3">
      <c r="A18" s="3">
        <v>45674</v>
      </c>
      <c r="B18" t="s">
        <v>12</v>
      </c>
      <c r="C18" t="s">
        <v>13</v>
      </c>
      <c r="D18" t="s">
        <v>16</v>
      </c>
      <c r="E18" s="5">
        <v>1390</v>
      </c>
      <c r="F18" t="s">
        <v>9</v>
      </c>
    </row>
    <row r="19" spans="1:6" x14ac:dyDescent="0.3">
      <c r="A19" s="3">
        <v>45674</v>
      </c>
      <c r="B19" t="s">
        <v>17</v>
      </c>
      <c r="C19" t="s">
        <v>13</v>
      </c>
      <c r="D19" t="s">
        <v>10</v>
      </c>
      <c r="E19" s="5">
        <v>1299</v>
      </c>
      <c r="F19" t="s">
        <v>9</v>
      </c>
    </row>
    <row r="20" spans="1:6" x14ac:dyDescent="0.3">
      <c r="A20" s="3">
        <v>45675</v>
      </c>
      <c r="B20" t="s">
        <v>22</v>
      </c>
      <c r="C20" t="s">
        <v>23</v>
      </c>
      <c r="D20" t="s">
        <v>8</v>
      </c>
      <c r="E20" s="5">
        <v>581</v>
      </c>
      <c r="F20" t="s">
        <v>9</v>
      </c>
    </row>
    <row r="21" spans="1:6" x14ac:dyDescent="0.3">
      <c r="A21" s="3">
        <v>45675</v>
      </c>
      <c r="B21" t="s">
        <v>17</v>
      </c>
      <c r="C21" t="s">
        <v>13</v>
      </c>
      <c r="D21" t="s">
        <v>10</v>
      </c>
      <c r="E21" s="5">
        <v>962</v>
      </c>
      <c r="F21" t="s">
        <v>9</v>
      </c>
    </row>
    <row r="22" spans="1:6" x14ac:dyDescent="0.3">
      <c r="A22" s="3">
        <v>45675</v>
      </c>
      <c r="B22" t="s">
        <v>24</v>
      </c>
      <c r="C22" t="s">
        <v>7</v>
      </c>
      <c r="D22" t="s">
        <v>16</v>
      </c>
      <c r="E22" s="5">
        <v>1294</v>
      </c>
      <c r="F22" t="s">
        <v>9</v>
      </c>
    </row>
    <row r="23" spans="1:6" x14ac:dyDescent="0.3">
      <c r="A23" s="3">
        <v>45677</v>
      </c>
      <c r="B23" t="s">
        <v>14</v>
      </c>
      <c r="C23" t="s">
        <v>15</v>
      </c>
      <c r="D23" t="s">
        <v>10</v>
      </c>
      <c r="E23" s="5">
        <v>4801</v>
      </c>
      <c r="F23" t="s">
        <v>9</v>
      </c>
    </row>
    <row r="24" spans="1:6" x14ac:dyDescent="0.3">
      <c r="A24" s="3">
        <v>45678</v>
      </c>
      <c r="B24" t="s">
        <v>22</v>
      </c>
      <c r="C24" t="s">
        <v>23</v>
      </c>
      <c r="D24" t="s">
        <v>8</v>
      </c>
      <c r="E24" s="5">
        <v>2271</v>
      </c>
      <c r="F24" t="s">
        <v>9</v>
      </c>
    </row>
    <row r="25" spans="1:6" x14ac:dyDescent="0.3">
      <c r="A25" s="3">
        <v>45680</v>
      </c>
      <c r="B25" t="s">
        <v>24</v>
      </c>
      <c r="C25" t="s">
        <v>7</v>
      </c>
      <c r="D25" t="s">
        <v>11</v>
      </c>
      <c r="E25" s="5">
        <v>4242</v>
      </c>
      <c r="F25" t="s">
        <v>9</v>
      </c>
    </row>
    <row r="26" spans="1:6" x14ac:dyDescent="0.3">
      <c r="A26" s="3">
        <v>45680</v>
      </c>
      <c r="B26" t="s">
        <v>25</v>
      </c>
      <c r="C26" t="s">
        <v>26</v>
      </c>
      <c r="D26" t="s">
        <v>16</v>
      </c>
      <c r="E26" s="5">
        <v>1492</v>
      </c>
      <c r="F26" t="s">
        <v>9</v>
      </c>
    </row>
    <row r="27" spans="1:6" x14ac:dyDescent="0.3">
      <c r="A27" s="3">
        <v>45681</v>
      </c>
      <c r="B27" t="s">
        <v>21</v>
      </c>
      <c r="C27" t="s">
        <v>19</v>
      </c>
      <c r="D27" t="s">
        <v>18</v>
      </c>
      <c r="E27" s="5">
        <v>36225</v>
      </c>
      <c r="F27" t="s">
        <v>20</v>
      </c>
    </row>
    <row r="28" spans="1:6" x14ac:dyDescent="0.3">
      <c r="A28" s="3">
        <v>45681</v>
      </c>
      <c r="B28" t="s">
        <v>21</v>
      </c>
      <c r="C28" t="s">
        <v>19</v>
      </c>
      <c r="D28" t="s">
        <v>18</v>
      </c>
      <c r="E28" s="5">
        <v>42125</v>
      </c>
      <c r="F28" t="s">
        <v>20</v>
      </c>
    </row>
    <row r="29" spans="1:6" x14ac:dyDescent="0.3">
      <c r="A29" s="3">
        <v>45683</v>
      </c>
      <c r="B29" t="s">
        <v>17</v>
      </c>
      <c r="C29" t="s">
        <v>13</v>
      </c>
      <c r="D29" t="s">
        <v>10</v>
      </c>
      <c r="E29" s="5">
        <v>3736</v>
      </c>
      <c r="F29" t="s">
        <v>9</v>
      </c>
    </row>
    <row r="30" spans="1:6" x14ac:dyDescent="0.3">
      <c r="A30" s="3">
        <v>45684</v>
      </c>
      <c r="B30" t="s">
        <v>22</v>
      </c>
      <c r="C30" t="s">
        <v>23</v>
      </c>
      <c r="D30" t="s">
        <v>11</v>
      </c>
      <c r="E30" s="5">
        <v>1315</v>
      </c>
      <c r="F30" t="s">
        <v>9</v>
      </c>
    </row>
    <row r="31" spans="1:6" x14ac:dyDescent="0.3">
      <c r="A31" s="3">
        <v>45684</v>
      </c>
      <c r="B31" t="s">
        <v>22</v>
      </c>
      <c r="C31" t="s">
        <v>23</v>
      </c>
      <c r="D31" t="s">
        <v>8</v>
      </c>
      <c r="E31" s="5">
        <v>4994</v>
      </c>
      <c r="F31" t="s">
        <v>9</v>
      </c>
    </row>
    <row r="32" spans="1:6" x14ac:dyDescent="0.3">
      <c r="A32" s="3">
        <v>45684</v>
      </c>
      <c r="B32" t="s">
        <v>25</v>
      </c>
      <c r="C32" t="s">
        <v>26</v>
      </c>
      <c r="D32" t="s">
        <v>16</v>
      </c>
      <c r="E32" s="5">
        <v>2207</v>
      </c>
      <c r="F32" t="s">
        <v>9</v>
      </c>
    </row>
    <row r="33" spans="1:6" x14ac:dyDescent="0.3">
      <c r="A33" s="3">
        <v>45686</v>
      </c>
      <c r="B33" t="s">
        <v>6</v>
      </c>
      <c r="C33" t="s">
        <v>7</v>
      </c>
      <c r="D33" t="s">
        <v>18</v>
      </c>
      <c r="E33" s="5">
        <v>4383</v>
      </c>
      <c r="F33" t="s">
        <v>9</v>
      </c>
    </row>
    <row r="34" spans="1:6" x14ac:dyDescent="0.3">
      <c r="A34" s="3">
        <v>45687</v>
      </c>
      <c r="B34" t="s">
        <v>24</v>
      </c>
      <c r="C34" t="s">
        <v>7</v>
      </c>
      <c r="D34" t="s">
        <v>11</v>
      </c>
      <c r="E34" s="5">
        <v>243</v>
      </c>
      <c r="F34" t="s">
        <v>9</v>
      </c>
    </row>
    <row r="35" spans="1:6" x14ac:dyDescent="0.3">
      <c r="A35" s="3">
        <v>45688</v>
      </c>
      <c r="B35" t="s">
        <v>17</v>
      </c>
      <c r="C35" t="s">
        <v>13</v>
      </c>
      <c r="D35" t="s">
        <v>16</v>
      </c>
      <c r="E35" s="5">
        <v>4010</v>
      </c>
      <c r="F35" t="s">
        <v>9</v>
      </c>
    </row>
    <row r="36" spans="1:6" x14ac:dyDescent="0.3">
      <c r="A36" s="3">
        <v>45688</v>
      </c>
      <c r="B36" t="s">
        <v>25</v>
      </c>
      <c r="C36" t="s">
        <v>26</v>
      </c>
      <c r="D36" t="s">
        <v>11</v>
      </c>
      <c r="E36" s="5">
        <v>1820</v>
      </c>
      <c r="F36" t="s">
        <v>9</v>
      </c>
    </row>
    <row r="37" spans="1:6" x14ac:dyDescent="0.3">
      <c r="A37" s="3">
        <v>45690</v>
      </c>
      <c r="B37" t="s">
        <v>6</v>
      </c>
      <c r="C37" t="s">
        <v>7</v>
      </c>
      <c r="D37" t="s">
        <v>10</v>
      </c>
      <c r="E37" s="5">
        <v>3476</v>
      </c>
      <c r="F37" t="s">
        <v>9</v>
      </c>
    </row>
    <row r="38" spans="1:6" x14ac:dyDescent="0.3">
      <c r="A38" s="3">
        <v>45691</v>
      </c>
      <c r="B38" t="s">
        <v>19</v>
      </c>
      <c r="C38" t="s">
        <v>19</v>
      </c>
      <c r="D38" t="s">
        <v>16</v>
      </c>
      <c r="E38" s="5">
        <v>46111</v>
      </c>
      <c r="F38" t="s">
        <v>20</v>
      </c>
    </row>
    <row r="39" spans="1:6" x14ac:dyDescent="0.3">
      <c r="A39" s="3">
        <v>45693</v>
      </c>
      <c r="B39" t="s">
        <v>6</v>
      </c>
      <c r="C39" t="s">
        <v>7</v>
      </c>
      <c r="D39" t="s">
        <v>16</v>
      </c>
      <c r="E39" s="5">
        <v>2595</v>
      </c>
      <c r="F39" t="s">
        <v>9</v>
      </c>
    </row>
    <row r="40" spans="1:6" x14ac:dyDescent="0.3">
      <c r="A40" s="3">
        <v>45693</v>
      </c>
      <c r="B40" t="s">
        <v>25</v>
      </c>
      <c r="C40" t="s">
        <v>26</v>
      </c>
      <c r="D40" t="s">
        <v>10</v>
      </c>
      <c r="E40" s="5">
        <v>526</v>
      </c>
      <c r="F40" t="s">
        <v>9</v>
      </c>
    </row>
    <row r="41" spans="1:6" x14ac:dyDescent="0.3">
      <c r="A41" s="3">
        <v>45693</v>
      </c>
      <c r="B41" t="s">
        <v>21</v>
      </c>
      <c r="C41" t="s">
        <v>19</v>
      </c>
      <c r="D41" t="s">
        <v>16</v>
      </c>
      <c r="E41" s="5">
        <v>50897</v>
      </c>
      <c r="F41" t="s">
        <v>20</v>
      </c>
    </row>
    <row r="42" spans="1:6" x14ac:dyDescent="0.3">
      <c r="A42" s="3">
        <v>45693</v>
      </c>
      <c r="B42" t="s">
        <v>19</v>
      </c>
      <c r="C42" t="s">
        <v>19</v>
      </c>
      <c r="D42" t="s">
        <v>10</v>
      </c>
      <c r="E42" s="5">
        <v>30530</v>
      </c>
      <c r="F42" t="s">
        <v>20</v>
      </c>
    </row>
    <row r="43" spans="1:6" x14ac:dyDescent="0.3">
      <c r="A43" s="3">
        <v>45695</v>
      </c>
      <c r="B43" t="s">
        <v>19</v>
      </c>
      <c r="C43" t="s">
        <v>19</v>
      </c>
      <c r="D43" t="s">
        <v>18</v>
      </c>
      <c r="E43" s="5">
        <v>54240</v>
      </c>
      <c r="F43" t="s">
        <v>20</v>
      </c>
    </row>
    <row r="44" spans="1:6" x14ac:dyDescent="0.3">
      <c r="A44" s="3">
        <v>45695</v>
      </c>
      <c r="B44" t="s">
        <v>6</v>
      </c>
      <c r="C44" t="s">
        <v>7</v>
      </c>
      <c r="D44" t="s">
        <v>16</v>
      </c>
      <c r="E44" s="5">
        <v>2563</v>
      </c>
      <c r="F44" t="s">
        <v>9</v>
      </c>
    </row>
    <row r="45" spans="1:6" x14ac:dyDescent="0.3">
      <c r="A45" s="3">
        <v>45695</v>
      </c>
      <c r="B45" t="s">
        <v>14</v>
      </c>
      <c r="C45" t="s">
        <v>15</v>
      </c>
      <c r="D45" t="s">
        <v>8</v>
      </c>
      <c r="E45" s="5">
        <v>3773</v>
      </c>
      <c r="F45" t="s">
        <v>9</v>
      </c>
    </row>
    <row r="46" spans="1:6" x14ac:dyDescent="0.3">
      <c r="A46" s="3">
        <v>45696</v>
      </c>
      <c r="B46" t="s">
        <v>12</v>
      </c>
      <c r="C46" t="s">
        <v>13</v>
      </c>
      <c r="D46" t="s">
        <v>11</v>
      </c>
      <c r="E46" s="5">
        <v>1162</v>
      </c>
      <c r="F46" t="s">
        <v>9</v>
      </c>
    </row>
    <row r="47" spans="1:6" x14ac:dyDescent="0.3">
      <c r="A47" s="3">
        <v>45696</v>
      </c>
      <c r="B47" t="s">
        <v>14</v>
      </c>
      <c r="C47" t="s">
        <v>15</v>
      </c>
      <c r="D47" t="s">
        <v>10</v>
      </c>
      <c r="E47" s="5">
        <v>3857</v>
      </c>
      <c r="F47" t="s">
        <v>9</v>
      </c>
    </row>
    <row r="48" spans="1:6" x14ac:dyDescent="0.3">
      <c r="A48" s="3">
        <v>45698</v>
      </c>
      <c r="B48" t="s">
        <v>25</v>
      </c>
      <c r="C48" t="s">
        <v>26</v>
      </c>
      <c r="D48" t="s">
        <v>8</v>
      </c>
      <c r="E48" s="5">
        <v>143</v>
      </c>
      <c r="F48" t="s">
        <v>9</v>
      </c>
    </row>
    <row r="49" spans="1:6" x14ac:dyDescent="0.3">
      <c r="A49" s="3">
        <v>45698</v>
      </c>
      <c r="B49" t="s">
        <v>24</v>
      </c>
      <c r="C49" t="s">
        <v>7</v>
      </c>
      <c r="D49" t="s">
        <v>18</v>
      </c>
      <c r="E49" s="5">
        <v>3960</v>
      </c>
      <c r="F49" t="s">
        <v>9</v>
      </c>
    </row>
    <row r="50" spans="1:6" x14ac:dyDescent="0.3">
      <c r="A50" s="3">
        <v>45700</v>
      </c>
      <c r="B50" t="s">
        <v>14</v>
      </c>
      <c r="C50" t="s">
        <v>15</v>
      </c>
      <c r="D50" t="s">
        <v>18</v>
      </c>
      <c r="E50" s="5">
        <v>288</v>
      </c>
      <c r="F50" t="s">
        <v>9</v>
      </c>
    </row>
    <row r="51" spans="1:6" x14ac:dyDescent="0.3">
      <c r="A51" s="3">
        <v>45702</v>
      </c>
      <c r="B51" t="s">
        <v>6</v>
      </c>
      <c r="C51" t="s">
        <v>7</v>
      </c>
      <c r="D51" t="s">
        <v>16</v>
      </c>
      <c r="E51" s="5">
        <v>596</v>
      </c>
      <c r="F51" t="s">
        <v>9</v>
      </c>
    </row>
    <row r="52" spans="1:6" x14ac:dyDescent="0.3">
      <c r="A52" s="3">
        <v>45704</v>
      </c>
      <c r="B52" t="s">
        <v>22</v>
      </c>
      <c r="C52" t="s">
        <v>23</v>
      </c>
      <c r="D52" t="s">
        <v>8</v>
      </c>
      <c r="E52" s="5">
        <v>683</v>
      </c>
      <c r="F52" t="s">
        <v>9</v>
      </c>
    </row>
    <row r="53" spans="1:6" x14ac:dyDescent="0.3">
      <c r="A53" s="3">
        <v>45704</v>
      </c>
      <c r="B53" t="s">
        <v>25</v>
      </c>
      <c r="C53" t="s">
        <v>26</v>
      </c>
      <c r="D53" t="s">
        <v>18</v>
      </c>
      <c r="E53" s="5">
        <v>2971</v>
      </c>
      <c r="F53" t="s">
        <v>9</v>
      </c>
    </row>
    <row r="54" spans="1:6" x14ac:dyDescent="0.3">
      <c r="A54" s="3">
        <v>45706</v>
      </c>
      <c r="B54" t="s">
        <v>12</v>
      </c>
      <c r="C54" t="s">
        <v>13</v>
      </c>
      <c r="D54" t="s">
        <v>8</v>
      </c>
      <c r="E54" s="5">
        <v>2883</v>
      </c>
      <c r="F54" t="s">
        <v>9</v>
      </c>
    </row>
    <row r="55" spans="1:6" x14ac:dyDescent="0.3">
      <c r="A55" s="3">
        <v>45707</v>
      </c>
      <c r="B55" t="s">
        <v>22</v>
      </c>
      <c r="C55" t="s">
        <v>23</v>
      </c>
      <c r="D55" t="s">
        <v>16</v>
      </c>
      <c r="E55" s="5">
        <v>4752</v>
      </c>
      <c r="F55" t="s">
        <v>9</v>
      </c>
    </row>
    <row r="56" spans="1:6" x14ac:dyDescent="0.3">
      <c r="A56" s="3">
        <v>45709</v>
      </c>
      <c r="B56" t="s">
        <v>12</v>
      </c>
      <c r="C56" t="s">
        <v>13</v>
      </c>
      <c r="D56" t="s">
        <v>11</v>
      </c>
      <c r="E56" s="5">
        <v>1812</v>
      </c>
      <c r="F56" t="s">
        <v>9</v>
      </c>
    </row>
    <row r="57" spans="1:6" x14ac:dyDescent="0.3">
      <c r="A57" s="3">
        <v>45711</v>
      </c>
      <c r="B57" t="s">
        <v>17</v>
      </c>
      <c r="C57" t="s">
        <v>13</v>
      </c>
      <c r="D57" t="s">
        <v>11</v>
      </c>
      <c r="E57" s="5">
        <v>3457</v>
      </c>
      <c r="F57" t="s">
        <v>9</v>
      </c>
    </row>
    <row r="58" spans="1:6" x14ac:dyDescent="0.3">
      <c r="A58" s="3">
        <v>45712</v>
      </c>
      <c r="B58" t="s">
        <v>25</v>
      </c>
      <c r="C58" t="s">
        <v>26</v>
      </c>
      <c r="D58" t="s">
        <v>18</v>
      </c>
      <c r="E58" s="5">
        <v>2838</v>
      </c>
      <c r="F58" t="s">
        <v>9</v>
      </c>
    </row>
    <row r="59" spans="1:6" x14ac:dyDescent="0.3">
      <c r="A59" s="3">
        <v>45712</v>
      </c>
      <c r="B59" t="s">
        <v>14</v>
      </c>
      <c r="C59" t="s">
        <v>15</v>
      </c>
      <c r="D59" t="s">
        <v>10</v>
      </c>
      <c r="E59" s="5">
        <v>4915</v>
      </c>
      <c r="F59" t="s">
        <v>9</v>
      </c>
    </row>
    <row r="60" spans="1:6" x14ac:dyDescent="0.3">
      <c r="A60" s="3">
        <v>45712</v>
      </c>
      <c r="B60" t="s">
        <v>14</v>
      </c>
      <c r="C60" t="s">
        <v>15</v>
      </c>
      <c r="D60" t="s">
        <v>16</v>
      </c>
      <c r="E60" s="5">
        <v>4601</v>
      </c>
      <c r="F60" t="s">
        <v>9</v>
      </c>
    </row>
    <row r="61" spans="1:6" x14ac:dyDescent="0.3">
      <c r="A61" s="3">
        <v>45713</v>
      </c>
      <c r="B61" t="s">
        <v>22</v>
      </c>
      <c r="C61" t="s">
        <v>23</v>
      </c>
      <c r="D61" t="s">
        <v>18</v>
      </c>
      <c r="E61" s="5">
        <v>1636</v>
      </c>
      <c r="F61" t="s">
        <v>9</v>
      </c>
    </row>
    <row r="62" spans="1:6" x14ac:dyDescent="0.3">
      <c r="A62" s="3">
        <v>45715</v>
      </c>
      <c r="B62" t="s">
        <v>25</v>
      </c>
      <c r="C62" t="s">
        <v>26</v>
      </c>
      <c r="D62" t="s">
        <v>16</v>
      </c>
      <c r="E62" s="5">
        <v>1484</v>
      </c>
      <c r="F62" t="s">
        <v>9</v>
      </c>
    </row>
    <row r="63" spans="1:6" x14ac:dyDescent="0.3">
      <c r="A63" s="3">
        <v>45716</v>
      </c>
      <c r="B63" t="s">
        <v>24</v>
      </c>
      <c r="C63" t="s">
        <v>7</v>
      </c>
      <c r="D63" t="s">
        <v>18</v>
      </c>
      <c r="E63" s="5">
        <v>3616</v>
      </c>
      <c r="F63" t="s">
        <v>9</v>
      </c>
    </row>
    <row r="64" spans="1:6" x14ac:dyDescent="0.3">
      <c r="A64" s="3">
        <v>45716</v>
      </c>
      <c r="B64" t="s">
        <v>17</v>
      </c>
      <c r="C64" t="s">
        <v>13</v>
      </c>
      <c r="D64" t="s">
        <v>16</v>
      </c>
      <c r="E64" s="5">
        <v>2667</v>
      </c>
      <c r="F64" t="s">
        <v>9</v>
      </c>
    </row>
    <row r="65" spans="1:6" x14ac:dyDescent="0.3">
      <c r="A65" s="3">
        <v>45717</v>
      </c>
      <c r="B65" t="s">
        <v>6</v>
      </c>
      <c r="C65" t="s">
        <v>7</v>
      </c>
      <c r="D65" t="s">
        <v>16</v>
      </c>
      <c r="E65" s="5">
        <v>2283</v>
      </c>
      <c r="F65" t="s">
        <v>9</v>
      </c>
    </row>
    <row r="66" spans="1:6" x14ac:dyDescent="0.3">
      <c r="A66" s="3">
        <v>45717</v>
      </c>
      <c r="B66" t="s">
        <v>19</v>
      </c>
      <c r="C66" t="s">
        <v>19</v>
      </c>
      <c r="D66" t="s">
        <v>11</v>
      </c>
      <c r="E66" s="5">
        <v>51681</v>
      </c>
      <c r="F66" t="s">
        <v>20</v>
      </c>
    </row>
    <row r="67" spans="1:6" x14ac:dyDescent="0.3">
      <c r="A67" s="3">
        <v>45718</v>
      </c>
      <c r="B67" t="s">
        <v>22</v>
      </c>
      <c r="C67" t="s">
        <v>23</v>
      </c>
      <c r="D67" t="s">
        <v>18</v>
      </c>
      <c r="E67" s="5">
        <v>903</v>
      </c>
      <c r="F67" t="s">
        <v>9</v>
      </c>
    </row>
    <row r="68" spans="1:6" x14ac:dyDescent="0.3">
      <c r="A68" s="3">
        <v>45719</v>
      </c>
      <c r="B68" t="s">
        <v>25</v>
      </c>
      <c r="C68" t="s">
        <v>26</v>
      </c>
      <c r="D68" t="s">
        <v>11</v>
      </c>
      <c r="E68" s="5">
        <v>3782</v>
      </c>
      <c r="F68" t="s">
        <v>9</v>
      </c>
    </row>
    <row r="69" spans="1:6" x14ac:dyDescent="0.3">
      <c r="A69" s="3">
        <v>45719</v>
      </c>
      <c r="B69" t="s">
        <v>14</v>
      </c>
      <c r="C69" t="s">
        <v>15</v>
      </c>
      <c r="D69" t="s">
        <v>18</v>
      </c>
      <c r="E69" s="5">
        <v>135</v>
      </c>
      <c r="F69" t="s">
        <v>9</v>
      </c>
    </row>
    <row r="70" spans="1:6" x14ac:dyDescent="0.3">
      <c r="A70" s="3">
        <v>45720</v>
      </c>
      <c r="B70" t="s">
        <v>24</v>
      </c>
      <c r="C70" t="s">
        <v>7</v>
      </c>
      <c r="D70" t="s">
        <v>16</v>
      </c>
      <c r="E70" s="5">
        <v>3038</v>
      </c>
      <c r="F70" t="s">
        <v>9</v>
      </c>
    </row>
    <row r="71" spans="1:6" x14ac:dyDescent="0.3">
      <c r="A71" s="3">
        <v>45722</v>
      </c>
      <c r="B71" t="s">
        <v>17</v>
      </c>
      <c r="C71" t="s">
        <v>13</v>
      </c>
      <c r="D71" t="s">
        <v>11</v>
      </c>
      <c r="E71" s="5">
        <v>385</v>
      </c>
      <c r="F71" t="s">
        <v>9</v>
      </c>
    </row>
    <row r="72" spans="1:6" x14ac:dyDescent="0.3">
      <c r="A72" s="3">
        <v>45723</v>
      </c>
      <c r="B72" t="s">
        <v>22</v>
      </c>
      <c r="C72" t="s">
        <v>23</v>
      </c>
      <c r="D72" t="s">
        <v>16</v>
      </c>
      <c r="E72" s="5">
        <v>1040</v>
      </c>
      <c r="F72" t="s">
        <v>9</v>
      </c>
    </row>
    <row r="73" spans="1:6" x14ac:dyDescent="0.3">
      <c r="A73" s="3">
        <v>45723</v>
      </c>
      <c r="B73" t="s">
        <v>24</v>
      </c>
      <c r="C73" t="s">
        <v>7</v>
      </c>
      <c r="D73" t="s">
        <v>18</v>
      </c>
      <c r="E73" s="5">
        <v>1196</v>
      </c>
      <c r="F73" t="s">
        <v>9</v>
      </c>
    </row>
    <row r="74" spans="1:6" x14ac:dyDescent="0.3">
      <c r="A74" s="3">
        <v>45725</v>
      </c>
      <c r="B74" t="s">
        <v>22</v>
      </c>
      <c r="C74" t="s">
        <v>23</v>
      </c>
      <c r="D74" t="s">
        <v>16</v>
      </c>
      <c r="E74" s="5">
        <v>178</v>
      </c>
      <c r="F74" t="s">
        <v>9</v>
      </c>
    </row>
    <row r="75" spans="1:6" x14ac:dyDescent="0.3">
      <c r="A75" s="3">
        <v>45725</v>
      </c>
      <c r="B75" t="s">
        <v>6</v>
      </c>
      <c r="C75" t="s">
        <v>7</v>
      </c>
      <c r="D75" t="s">
        <v>10</v>
      </c>
      <c r="E75" s="5">
        <v>3004</v>
      </c>
      <c r="F75" t="s">
        <v>9</v>
      </c>
    </row>
    <row r="76" spans="1:6" x14ac:dyDescent="0.3">
      <c r="A76" s="3">
        <v>45725</v>
      </c>
      <c r="B76" t="s">
        <v>14</v>
      </c>
      <c r="C76" t="s">
        <v>15</v>
      </c>
      <c r="D76" t="s">
        <v>18</v>
      </c>
      <c r="E76" s="5">
        <v>4211</v>
      </c>
      <c r="F76" t="s">
        <v>9</v>
      </c>
    </row>
    <row r="77" spans="1:6" x14ac:dyDescent="0.3">
      <c r="A77" s="3">
        <v>45727</v>
      </c>
      <c r="B77" t="s">
        <v>14</v>
      </c>
      <c r="C77" t="s">
        <v>15</v>
      </c>
      <c r="D77" t="s">
        <v>8</v>
      </c>
      <c r="E77" s="5">
        <v>2417</v>
      </c>
      <c r="F77" t="s">
        <v>9</v>
      </c>
    </row>
    <row r="78" spans="1:6" x14ac:dyDescent="0.3">
      <c r="A78" s="3">
        <v>45727</v>
      </c>
      <c r="B78" t="s">
        <v>6</v>
      </c>
      <c r="C78" t="s">
        <v>7</v>
      </c>
      <c r="D78" t="s">
        <v>11</v>
      </c>
      <c r="E78" s="5">
        <v>3102</v>
      </c>
      <c r="F78" t="s">
        <v>9</v>
      </c>
    </row>
    <row r="79" spans="1:6" x14ac:dyDescent="0.3">
      <c r="A79" s="3">
        <v>45729</v>
      </c>
      <c r="B79" t="s">
        <v>22</v>
      </c>
      <c r="C79" t="s">
        <v>23</v>
      </c>
      <c r="D79" t="s">
        <v>18</v>
      </c>
      <c r="E79" s="5">
        <v>3776</v>
      </c>
      <c r="F79" t="s">
        <v>9</v>
      </c>
    </row>
    <row r="80" spans="1:6" x14ac:dyDescent="0.3">
      <c r="A80" s="3">
        <v>45729</v>
      </c>
      <c r="B80" t="s">
        <v>12</v>
      </c>
      <c r="C80" t="s">
        <v>13</v>
      </c>
      <c r="D80" t="s">
        <v>8</v>
      </c>
      <c r="E80" s="5">
        <v>1062</v>
      </c>
      <c r="F80" t="s">
        <v>9</v>
      </c>
    </row>
    <row r="81" spans="1:6" x14ac:dyDescent="0.3">
      <c r="A81" s="3">
        <v>45730</v>
      </c>
      <c r="B81" t="s">
        <v>17</v>
      </c>
      <c r="C81" t="s">
        <v>13</v>
      </c>
      <c r="D81" t="s">
        <v>8</v>
      </c>
      <c r="E81" s="5">
        <v>4867</v>
      </c>
      <c r="F81" t="s">
        <v>9</v>
      </c>
    </row>
    <row r="82" spans="1:6" x14ac:dyDescent="0.3">
      <c r="A82" s="3">
        <v>45730</v>
      </c>
      <c r="B82" t="s">
        <v>12</v>
      </c>
      <c r="C82" t="s">
        <v>13</v>
      </c>
      <c r="D82" t="s">
        <v>16</v>
      </c>
      <c r="E82" s="5">
        <v>3479</v>
      </c>
      <c r="F82" t="s">
        <v>9</v>
      </c>
    </row>
    <row r="83" spans="1:6" x14ac:dyDescent="0.3">
      <c r="A83" s="3">
        <v>45730</v>
      </c>
      <c r="B83" t="s">
        <v>14</v>
      </c>
      <c r="C83" t="s">
        <v>15</v>
      </c>
      <c r="D83" t="s">
        <v>18</v>
      </c>
      <c r="E83" s="5">
        <v>628</v>
      </c>
      <c r="F83" t="s">
        <v>9</v>
      </c>
    </row>
    <row r="84" spans="1:6" x14ac:dyDescent="0.3">
      <c r="A84" s="3">
        <v>45730</v>
      </c>
      <c r="B84" t="s">
        <v>6</v>
      </c>
      <c r="C84" t="s">
        <v>7</v>
      </c>
      <c r="D84" t="s">
        <v>10</v>
      </c>
      <c r="E84" s="5">
        <v>3909</v>
      </c>
      <c r="F84" t="s">
        <v>9</v>
      </c>
    </row>
    <row r="85" spans="1:6" x14ac:dyDescent="0.3">
      <c r="A85" s="3">
        <v>45731</v>
      </c>
      <c r="B85" t="s">
        <v>25</v>
      </c>
      <c r="C85" t="s">
        <v>26</v>
      </c>
      <c r="D85" t="s">
        <v>10</v>
      </c>
      <c r="E85" s="5">
        <v>4239</v>
      </c>
      <c r="F85" t="s">
        <v>9</v>
      </c>
    </row>
    <row r="86" spans="1:6" x14ac:dyDescent="0.3">
      <c r="A86" s="3">
        <v>45733</v>
      </c>
      <c r="B86" t="s">
        <v>6</v>
      </c>
      <c r="C86" t="s">
        <v>7</v>
      </c>
      <c r="D86" t="s">
        <v>16</v>
      </c>
      <c r="E86" s="5">
        <v>860</v>
      </c>
      <c r="F86" t="s">
        <v>9</v>
      </c>
    </row>
    <row r="87" spans="1:6" x14ac:dyDescent="0.3">
      <c r="A87" s="3">
        <v>45734</v>
      </c>
      <c r="B87" t="s">
        <v>25</v>
      </c>
      <c r="C87" t="s">
        <v>26</v>
      </c>
      <c r="D87" t="s">
        <v>11</v>
      </c>
      <c r="E87" s="5">
        <v>856</v>
      </c>
      <c r="F87" t="s">
        <v>9</v>
      </c>
    </row>
    <row r="88" spans="1:6" x14ac:dyDescent="0.3">
      <c r="A88" s="3">
        <v>45736</v>
      </c>
      <c r="B88" t="s">
        <v>19</v>
      </c>
      <c r="C88" t="s">
        <v>19</v>
      </c>
      <c r="D88" t="s">
        <v>18</v>
      </c>
      <c r="E88" s="5">
        <v>49596</v>
      </c>
      <c r="F88" t="s">
        <v>20</v>
      </c>
    </row>
    <row r="89" spans="1:6" x14ac:dyDescent="0.3">
      <c r="A89" s="3">
        <v>45736</v>
      </c>
      <c r="B89" t="s">
        <v>25</v>
      </c>
      <c r="C89" t="s">
        <v>26</v>
      </c>
      <c r="D89" t="s">
        <v>11</v>
      </c>
      <c r="E89" s="5">
        <v>2169</v>
      </c>
      <c r="F89" t="s">
        <v>9</v>
      </c>
    </row>
    <row r="90" spans="1:6" x14ac:dyDescent="0.3">
      <c r="A90" s="3">
        <v>45738</v>
      </c>
      <c r="B90" t="s">
        <v>21</v>
      </c>
      <c r="C90" t="s">
        <v>19</v>
      </c>
      <c r="D90" t="s">
        <v>18</v>
      </c>
      <c r="E90" s="5">
        <v>47992</v>
      </c>
      <c r="F90" t="s">
        <v>20</v>
      </c>
    </row>
    <row r="91" spans="1:6" x14ac:dyDescent="0.3">
      <c r="A91" s="3">
        <v>45739</v>
      </c>
      <c r="B91" t="s">
        <v>12</v>
      </c>
      <c r="C91" t="s">
        <v>13</v>
      </c>
      <c r="D91" t="s">
        <v>18</v>
      </c>
      <c r="E91" s="5">
        <v>1412</v>
      </c>
      <c r="F91" t="s">
        <v>9</v>
      </c>
    </row>
    <row r="92" spans="1:6" x14ac:dyDescent="0.3">
      <c r="A92" s="3">
        <v>45739</v>
      </c>
      <c r="B92" t="s">
        <v>17</v>
      </c>
      <c r="C92" t="s">
        <v>13</v>
      </c>
      <c r="D92" t="s">
        <v>16</v>
      </c>
      <c r="E92" s="5">
        <v>4561</v>
      </c>
      <c r="F92" t="s">
        <v>9</v>
      </c>
    </row>
    <row r="93" spans="1:6" x14ac:dyDescent="0.3">
      <c r="A93" s="3">
        <v>45740</v>
      </c>
      <c r="B93" t="s">
        <v>24</v>
      </c>
      <c r="C93" t="s">
        <v>7</v>
      </c>
      <c r="D93" t="s">
        <v>10</v>
      </c>
      <c r="E93" s="5">
        <v>733</v>
      </c>
      <c r="F93" t="s">
        <v>9</v>
      </c>
    </row>
    <row r="94" spans="1:6" x14ac:dyDescent="0.3">
      <c r="A94" s="3">
        <v>45741</v>
      </c>
      <c r="B94" t="s">
        <v>6</v>
      </c>
      <c r="C94" t="s">
        <v>7</v>
      </c>
      <c r="D94" t="s">
        <v>16</v>
      </c>
      <c r="E94" s="5">
        <v>2582</v>
      </c>
      <c r="F94" t="s">
        <v>9</v>
      </c>
    </row>
    <row r="95" spans="1:6" x14ac:dyDescent="0.3">
      <c r="A95" s="3">
        <v>45741</v>
      </c>
      <c r="B95" t="s">
        <v>22</v>
      </c>
      <c r="C95" t="s">
        <v>23</v>
      </c>
      <c r="D95" t="s">
        <v>8</v>
      </c>
      <c r="E95" s="5">
        <v>4048</v>
      </c>
      <c r="F95" t="s">
        <v>9</v>
      </c>
    </row>
    <row r="96" spans="1:6" x14ac:dyDescent="0.3">
      <c r="A96" s="3">
        <v>45741</v>
      </c>
      <c r="B96" t="s">
        <v>12</v>
      </c>
      <c r="C96" t="s">
        <v>13</v>
      </c>
      <c r="D96" t="s">
        <v>18</v>
      </c>
      <c r="E96" s="5">
        <v>3884</v>
      </c>
      <c r="F96" t="s">
        <v>9</v>
      </c>
    </row>
    <row r="97" spans="1:6" x14ac:dyDescent="0.3">
      <c r="A97" s="3">
        <v>45742</v>
      </c>
      <c r="B97" t="s">
        <v>25</v>
      </c>
      <c r="C97" t="s">
        <v>26</v>
      </c>
      <c r="D97" t="s">
        <v>18</v>
      </c>
      <c r="E97" s="5">
        <v>821</v>
      </c>
      <c r="F97" t="s">
        <v>9</v>
      </c>
    </row>
    <row r="98" spans="1:6" x14ac:dyDescent="0.3">
      <c r="A98" s="3">
        <v>45744</v>
      </c>
      <c r="B98" t="s">
        <v>6</v>
      </c>
      <c r="C98" t="s">
        <v>7</v>
      </c>
      <c r="D98" t="s">
        <v>10</v>
      </c>
      <c r="E98" s="5">
        <v>3324</v>
      </c>
      <c r="F98" t="s">
        <v>9</v>
      </c>
    </row>
    <row r="99" spans="1:6" x14ac:dyDescent="0.3">
      <c r="A99" s="3">
        <v>45746</v>
      </c>
      <c r="B99" t="s">
        <v>21</v>
      </c>
      <c r="C99" t="s">
        <v>19</v>
      </c>
      <c r="D99" t="s">
        <v>10</v>
      </c>
      <c r="E99" s="5">
        <v>35099</v>
      </c>
      <c r="F99" t="s">
        <v>20</v>
      </c>
    </row>
    <row r="100" spans="1:6" x14ac:dyDescent="0.3">
      <c r="A100" s="3">
        <v>45747</v>
      </c>
      <c r="B100" t="s">
        <v>21</v>
      </c>
      <c r="C100" t="s">
        <v>19</v>
      </c>
      <c r="D100" t="s">
        <v>11</v>
      </c>
      <c r="E100" s="5">
        <v>58555</v>
      </c>
      <c r="F100" t="s">
        <v>20</v>
      </c>
    </row>
    <row r="101" spans="1:6" x14ac:dyDescent="0.3">
      <c r="A101" s="3">
        <v>45749</v>
      </c>
      <c r="B101" t="s">
        <v>25</v>
      </c>
      <c r="C101" t="s">
        <v>26</v>
      </c>
      <c r="D101" t="s">
        <v>8</v>
      </c>
      <c r="E101" s="5">
        <v>4180</v>
      </c>
      <c r="F101" t="s">
        <v>9</v>
      </c>
    </row>
    <row r="102" spans="1:6" x14ac:dyDescent="0.3">
      <c r="A102" s="3">
        <v>45751</v>
      </c>
      <c r="B102" t="s">
        <v>24</v>
      </c>
      <c r="C102" t="s">
        <v>7</v>
      </c>
      <c r="D102" t="s">
        <v>10</v>
      </c>
      <c r="E102" s="5">
        <v>3021</v>
      </c>
      <c r="F102" t="s">
        <v>9</v>
      </c>
    </row>
    <row r="103" spans="1:6" x14ac:dyDescent="0.3">
      <c r="A103" s="3">
        <v>45753</v>
      </c>
      <c r="B103" t="s">
        <v>12</v>
      </c>
      <c r="C103" t="s">
        <v>13</v>
      </c>
      <c r="D103" t="s">
        <v>18</v>
      </c>
      <c r="E103" s="5">
        <v>1761</v>
      </c>
      <c r="F103" t="s">
        <v>9</v>
      </c>
    </row>
    <row r="104" spans="1:6" x14ac:dyDescent="0.3">
      <c r="A104" s="3">
        <v>45755</v>
      </c>
      <c r="B104" t="s">
        <v>17</v>
      </c>
      <c r="C104" t="s">
        <v>13</v>
      </c>
      <c r="D104" t="s">
        <v>18</v>
      </c>
      <c r="E104" s="5">
        <v>3705</v>
      </c>
      <c r="F104" t="s">
        <v>9</v>
      </c>
    </row>
    <row r="105" spans="1:6" x14ac:dyDescent="0.3">
      <c r="A105" s="3">
        <v>45756</v>
      </c>
      <c r="B105" t="s">
        <v>12</v>
      </c>
      <c r="C105" t="s">
        <v>13</v>
      </c>
      <c r="D105" t="s">
        <v>18</v>
      </c>
      <c r="E105" s="5">
        <v>751</v>
      </c>
      <c r="F105" t="s">
        <v>9</v>
      </c>
    </row>
    <row r="106" spans="1:6" x14ac:dyDescent="0.3">
      <c r="A106" s="3">
        <v>45758</v>
      </c>
      <c r="B106" t="s">
        <v>21</v>
      </c>
      <c r="C106" t="s">
        <v>19</v>
      </c>
      <c r="D106" t="s">
        <v>16</v>
      </c>
      <c r="E106" s="5">
        <v>48565</v>
      </c>
      <c r="F106" t="s">
        <v>20</v>
      </c>
    </row>
    <row r="107" spans="1:6" x14ac:dyDescent="0.3">
      <c r="A107" s="3">
        <v>45759</v>
      </c>
      <c r="B107" t="s">
        <v>24</v>
      </c>
      <c r="C107" t="s">
        <v>7</v>
      </c>
      <c r="D107" t="s">
        <v>11</v>
      </c>
      <c r="E107" s="5">
        <v>1434</v>
      </c>
      <c r="F107" t="s">
        <v>9</v>
      </c>
    </row>
    <row r="108" spans="1:6" x14ac:dyDescent="0.3">
      <c r="A108" s="3">
        <v>45761</v>
      </c>
      <c r="B108" t="s">
        <v>6</v>
      </c>
      <c r="C108" t="s">
        <v>7</v>
      </c>
      <c r="D108" t="s">
        <v>11</v>
      </c>
      <c r="E108" s="5">
        <v>4856</v>
      </c>
      <c r="F108" t="s">
        <v>9</v>
      </c>
    </row>
    <row r="109" spans="1:6" x14ac:dyDescent="0.3">
      <c r="A109" s="3">
        <v>45761</v>
      </c>
      <c r="B109" t="s">
        <v>12</v>
      </c>
      <c r="C109" t="s">
        <v>13</v>
      </c>
      <c r="D109" t="s">
        <v>11</v>
      </c>
      <c r="E109" s="5">
        <v>4189</v>
      </c>
      <c r="F109" t="s">
        <v>9</v>
      </c>
    </row>
    <row r="110" spans="1:6" x14ac:dyDescent="0.3">
      <c r="A110" s="3">
        <v>45761</v>
      </c>
      <c r="B110" t="s">
        <v>24</v>
      </c>
      <c r="C110" t="s">
        <v>7</v>
      </c>
      <c r="D110" t="s">
        <v>18</v>
      </c>
      <c r="E110" s="5">
        <v>1251</v>
      </c>
      <c r="F110" t="s">
        <v>9</v>
      </c>
    </row>
    <row r="111" spans="1:6" x14ac:dyDescent="0.3">
      <c r="A111" s="3">
        <v>45763</v>
      </c>
      <c r="B111" t="s">
        <v>14</v>
      </c>
      <c r="C111" t="s">
        <v>15</v>
      </c>
      <c r="D111" t="s">
        <v>8</v>
      </c>
      <c r="E111" s="5">
        <v>663</v>
      </c>
      <c r="F111" t="s">
        <v>9</v>
      </c>
    </row>
    <row r="112" spans="1:6" x14ac:dyDescent="0.3">
      <c r="A112" s="3">
        <v>45764</v>
      </c>
      <c r="B112" t="s">
        <v>24</v>
      </c>
      <c r="C112" t="s">
        <v>7</v>
      </c>
      <c r="D112" t="s">
        <v>8</v>
      </c>
      <c r="E112" s="5">
        <v>2448</v>
      </c>
      <c r="F112" t="s">
        <v>9</v>
      </c>
    </row>
    <row r="113" spans="1:6" x14ac:dyDescent="0.3">
      <c r="A113" s="3">
        <v>45764</v>
      </c>
      <c r="B113" t="s">
        <v>6</v>
      </c>
      <c r="C113" t="s">
        <v>7</v>
      </c>
      <c r="D113" t="s">
        <v>16</v>
      </c>
      <c r="E113" s="5">
        <v>1215</v>
      </c>
      <c r="F113" t="s">
        <v>9</v>
      </c>
    </row>
    <row r="114" spans="1:6" x14ac:dyDescent="0.3">
      <c r="A114" s="3">
        <v>45764</v>
      </c>
      <c r="B114" t="s">
        <v>21</v>
      </c>
      <c r="C114" t="s">
        <v>19</v>
      </c>
      <c r="D114" t="s">
        <v>16</v>
      </c>
      <c r="E114" s="5">
        <v>52571</v>
      </c>
      <c r="F114" t="s">
        <v>20</v>
      </c>
    </row>
    <row r="115" spans="1:6" x14ac:dyDescent="0.3">
      <c r="A115" s="3">
        <v>45765</v>
      </c>
      <c r="B115" t="s">
        <v>19</v>
      </c>
      <c r="C115" t="s">
        <v>19</v>
      </c>
      <c r="D115" t="s">
        <v>16</v>
      </c>
      <c r="E115" s="5">
        <v>34939</v>
      </c>
      <c r="F115" t="s">
        <v>20</v>
      </c>
    </row>
    <row r="116" spans="1:6" x14ac:dyDescent="0.3">
      <c r="A116" s="3">
        <v>45766</v>
      </c>
      <c r="B116" t="s">
        <v>17</v>
      </c>
      <c r="C116" t="s">
        <v>13</v>
      </c>
      <c r="D116" t="s">
        <v>18</v>
      </c>
      <c r="E116" s="5">
        <v>236</v>
      </c>
      <c r="F116" t="s">
        <v>9</v>
      </c>
    </row>
    <row r="117" spans="1:6" x14ac:dyDescent="0.3">
      <c r="A117" s="3">
        <v>45768</v>
      </c>
      <c r="B117" t="s">
        <v>12</v>
      </c>
      <c r="C117" t="s">
        <v>13</v>
      </c>
      <c r="D117" t="s">
        <v>11</v>
      </c>
      <c r="E117" s="5">
        <v>1977</v>
      </c>
      <c r="F117" t="s">
        <v>9</v>
      </c>
    </row>
    <row r="118" spans="1:6" x14ac:dyDescent="0.3">
      <c r="A118" s="3">
        <v>45769</v>
      </c>
      <c r="B118" t="s">
        <v>21</v>
      </c>
      <c r="C118" t="s">
        <v>19</v>
      </c>
      <c r="D118" t="s">
        <v>10</v>
      </c>
      <c r="E118" s="5">
        <v>45238</v>
      </c>
      <c r="F118" t="s">
        <v>20</v>
      </c>
    </row>
    <row r="119" spans="1:6" x14ac:dyDescent="0.3">
      <c r="A119" s="3">
        <v>45770</v>
      </c>
      <c r="B119" t="s">
        <v>19</v>
      </c>
      <c r="C119" t="s">
        <v>19</v>
      </c>
      <c r="D119" t="s">
        <v>11</v>
      </c>
      <c r="E119" s="5">
        <v>57281</v>
      </c>
      <c r="F119" t="s">
        <v>20</v>
      </c>
    </row>
    <row r="120" spans="1:6" x14ac:dyDescent="0.3">
      <c r="A120" s="3">
        <v>45772</v>
      </c>
      <c r="B120" t="s">
        <v>19</v>
      </c>
      <c r="C120" t="s">
        <v>19</v>
      </c>
      <c r="D120" t="s">
        <v>8</v>
      </c>
      <c r="E120" s="5">
        <v>54649</v>
      </c>
      <c r="F120" t="s">
        <v>20</v>
      </c>
    </row>
    <row r="121" spans="1:6" x14ac:dyDescent="0.3">
      <c r="A121" s="3">
        <v>45773</v>
      </c>
      <c r="B121" t="s">
        <v>21</v>
      </c>
      <c r="C121" t="s">
        <v>19</v>
      </c>
      <c r="D121" t="s">
        <v>10</v>
      </c>
      <c r="E121" s="5">
        <v>55213</v>
      </c>
      <c r="F121" t="s">
        <v>20</v>
      </c>
    </row>
    <row r="122" spans="1:6" x14ac:dyDescent="0.3">
      <c r="A122" s="3">
        <v>45775</v>
      </c>
      <c r="B122" t="s">
        <v>21</v>
      </c>
      <c r="C122" t="s">
        <v>19</v>
      </c>
      <c r="D122" t="s">
        <v>10</v>
      </c>
      <c r="E122" s="5">
        <v>55440</v>
      </c>
      <c r="F122" t="s">
        <v>20</v>
      </c>
    </row>
    <row r="123" spans="1:6" x14ac:dyDescent="0.3">
      <c r="A123" s="3">
        <v>45777</v>
      </c>
      <c r="B123" t="s">
        <v>12</v>
      </c>
      <c r="C123" t="s">
        <v>13</v>
      </c>
      <c r="D123" t="s">
        <v>8</v>
      </c>
      <c r="E123" s="5">
        <v>1203</v>
      </c>
      <c r="F123" t="s">
        <v>9</v>
      </c>
    </row>
    <row r="124" spans="1:6" x14ac:dyDescent="0.3">
      <c r="A124" s="3">
        <v>45778</v>
      </c>
      <c r="B124" t="s">
        <v>25</v>
      </c>
      <c r="C124" t="s">
        <v>26</v>
      </c>
      <c r="D124" t="s">
        <v>18</v>
      </c>
      <c r="E124" s="5">
        <v>4590</v>
      </c>
      <c r="F124" t="s">
        <v>9</v>
      </c>
    </row>
    <row r="125" spans="1:6" x14ac:dyDescent="0.3">
      <c r="A125" s="3">
        <v>45779</v>
      </c>
      <c r="B125" t="s">
        <v>21</v>
      </c>
      <c r="C125" t="s">
        <v>19</v>
      </c>
      <c r="D125" t="s">
        <v>8</v>
      </c>
      <c r="E125" s="5">
        <v>36080</v>
      </c>
      <c r="F125" t="s">
        <v>20</v>
      </c>
    </row>
    <row r="126" spans="1:6" x14ac:dyDescent="0.3">
      <c r="A126" s="3">
        <v>45779</v>
      </c>
      <c r="B126" t="s">
        <v>19</v>
      </c>
      <c r="C126" t="s">
        <v>19</v>
      </c>
      <c r="D126" t="s">
        <v>11</v>
      </c>
      <c r="E126" s="5">
        <v>44847</v>
      </c>
      <c r="F126" t="s">
        <v>20</v>
      </c>
    </row>
    <row r="127" spans="1:6" x14ac:dyDescent="0.3">
      <c r="A127" s="3">
        <v>45779</v>
      </c>
      <c r="B127" t="s">
        <v>19</v>
      </c>
      <c r="C127" t="s">
        <v>19</v>
      </c>
      <c r="D127" t="s">
        <v>18</v>
      </c>
      <c r="E127" s="5">
        <v>58787</v>
      </c>
      <c r="F127" t="s">
        <v>20</v>
      </c>
    </row>
    <row r="128" spans="1:6" x14ac:dyDescent="0.3">
      <c r="A128" s="3">
        <v>45781</v>
      </c>
      <c r="B128" t="s">
        <v>12</v>
      </c>
      <c r="C128" t="s">
        <v>13</v>
      </c>
      <c r="D128" t="s">
        <v>18</v>
      </c>
      <c r="E128" s="5">
        <v>4312</v>
      </c>
      <c r="F128" t="s">
        <v>9</v>
      </c>
    </row>
    <row r="129" spans="1:6" x14ac:dyDescent="0.3">
      <c r="A129" s="3">
        <v>45783</v>
      </c>
      <c r="B129" t="s">
        <v>12</v>
      </c>
      <c r="C129" t="s">
        <v>13</v>
      </c>
      <c r="D129" t="s">
        <v>16</v>
      </c>
      <c r="E129" s="5">
        <v>3811</v>
      </c>
      <c r="F129" t="s">
        <v>9</v>
      </c>
    </row>
    <row r="130" spans="1:6" x14ac:dyDescent="0.3">
      <c r="A130" s="3">
        <v>45783</v>
      </c>
      <c r="B130" t="s">
        <v>6</v>
      </c>
      <c r="C130" t="s">
        <v>7</v>
      </c>
      <c r="D130" t="s">
        <v>8</v>
      </c>
      <c r="E130" s="5">
        <v>106</v>
      </c>
      <c r="F130" t="s">
        <v>9</v>
      </c>
    </row>
    <row r="131" spans="1:6" x14ac:dyDescent="0.3">
      <c r="A131" s="3">
        <v>45785</v>
      </c>
      <c r="B131" t="s">
        <v>25</v>
      </c>
      <c r="C131" t="s">
        <v>26</v>
      </c>
      <c r="D131" t="s">
        <v>11</v>
      </c>
      <c r="E131" s="5">
        <v>3075</v>
      </c>
      <c r="F131" t="s">
        <v>9</v>
      </c>
    </row>
    <row r="132" spans="1:6" x14ac:dyDescent="0.3">
      <c r="A132" s="3">
        <v>45785</v>
      </c>
      <c r="B132" t="s">
        <v>21</v>
      </c>
      <c r="C132" t="s">
        <v>19</v>
      </c>
      <c r="D132" t="s">
        <v>11</v>
      </c>
      <c r="E132" s="5">
        <v>44224</v>
      </c>
      <c r="F132" t="s">
        <v>20</v>
      </c>
    </row>
    <row r="133" spans="1:6" x14ac:dyDescent="0.3">
      <c r="A133" s="3">
        <v>45785</v>
      </c>
      <c r="B133" t="s">
        <v>19</v>
      </c>
      <c r="C133" t="s">
        <v>19</v>
      </c>
      <c r="D133" t="s">
        <v>16</v>
      </c>
      <c r="E133" s="5">
        <v>31341</v>
      </c>
      <c r="F133" t="s">
        <v>20</v>
      </c>
    </row>
    <row r="134" spans="1:6" x14ac:dyDescent="0.3">
      <c r="A134" s="3">
        <v>45786</v>
      </c>
      <c r="B134" t="s">
        <v>14</v>
      </c>
      <c r="C134" t="s">
        <v>15</v>
      </c>
      <c r="D134" t="s">
        <v>10</v>
      </c>
      <c r="E134" s="5">
        <v>1890</v>
      </c>
      <c r="F134" t="s">
        <v>9</v>
      </c>
    </row>
    <row r="135" spans="1:6" x14ac:dyDescent="0.3">
      <c r="A135" s="3">
        <v>45786</v>
      </c>
      <c r="B135" t="s">
        <v>19</v>
      </c>
      <c r="C135" t="s">
        <v>19</v>
      </c>
      <c r="D135" t="s">
        <v>10</v>
      </c>
      <c r="E135" s="5">
        <v>37417</v>
      </c>
      <c r="F135" t="s">
        <v>20</v>
      </c>
    </row>
    <row r="136" spans="1:6" x14ac:dyDescent="0.3">
      <c r="A136" s="3">
        <v>45787</v>
      </c>
      <c r="B136" t="s">
        <v>22</v>
      </c>
      <c r="C136" t="s">
        <v>23</v>
      </c>
      <c r="D136" t="s">
        <v>8</v>
      </c>
      <c r="E136" s="5">
        <v>3913</v>
      </c>
      <c r="F136" t="s">
        <v>9</v>
      </c>
    </row>
    <row r="137" spans="1:6" x14ac:dyDescent="0.3">
      <c r="A137" s="3">
        <v>45788</v>
      </c>
      <c r="B137" t="s">
        <v>12</v>
      </c>
      <c r="C137" t="s">
        <v>13</v>
      </c>
      <c r="D137" t="s">
        <v>8</v>
      </c>
      <c r="E137" s="5">
        <v>554</v>
      </c>
      <c r="F137" t="s">
        <v>9</v>
      </c>
    </row>
    <row r="138" spans="1:6" x14ac:dyDescent="0.3">
      <c r="A138" s="3">
        <v>45790</v>
      </c>
      <c r="B138" t="s">
        <v>12</v>
      </c>
      <c r="C138" t="s">
        <v>13</v>
      </c>
      <c r="D138" t="s">
        <v>11</v>
      </c>
      <c r="E138" s="5">
        <v>1914</v>
      </c>
      <c r="F138" t="s">
        <v>9</v>
      </c>
    </row>
    <row r="139" spans="1:6" x14ac:dyDescent="0.3">
      <c r="A139" s="3">
        <v>45792</v>
      </c>
      <c r="B139" t="s">
        <v>22</v>
      </c>
      <c r="C139" t="s">
        <v>23</v>
      </c>
      <c r="D139" t="s">
        <v>16</v>
      </c>
      <c r="E139" s="5">
        <v>1233</v>
      </c>
      <c r="F139" t="s">
        <v>9</v>
      </c>
    </row>
    <row r="140" spans="1:6" x14ac:dyDescent="0.3">
      <c r="A140" s="3">
        <v>45794</v>
      </c>
      <c r="B140" t="s">
        <v>25</v>
      </c>
      <c r="C140" t="s">
        <v>26</v>
      </c>
      <c r="D140" t="s">
        <v>11</v>
      </c>
      <c r="E140" s="5">
        <v>2315</v>
      </c>
      <c r="F140" t="s">
        <v>9</v>
      </c>
    </row>
    <row r="141" spans="1:6" x14ac:dyDescent="0.3">
      <c r="A141" s="3">
        <v>45796</v>
      </c>
      <c r="B141" t="s">
        <v>12</v>
      </c>
      <c r="C141" t="s">
        <v>13</v>
      </c>
      <c r="D141" t="s">
        <v>10</v>
      </c>
      <c r="E141" s="5">
        <v>4904</v>
      </c>
      <c r="F141" t="s">
        <v>9</v>
      </c>
    </row>
    <row r="142" spans="1:6" x14ac:dyDescent="0.3">
      <c r="A142" s="3">
        <v>45796</v>
      </c>
      <c r="B142" t="s">
        <v>21</v>
      </c>
      <c r="C142" t="s">
        <v>19</v>
      </c>
      <c r="D142" t="s">
        <v>10</v>
      </c>
      <c r="E142" s="5">
        <v>30131</v>
      </c>
      <c r="F142" t="s">
        <v>20</v>
      </c>
    </row>
    <row r="143" spans="1:6" x14ac:dyDescent="0.3">
      <c r="A143" s="3">
        <v>45798</v>
      </c>
      <c r="B143" t="s">
        <v>22</v>
      </c>
      <c r="C143" t="s">
        <v>23</v>
      </c>
      <c r="D143" t="s">
        <v>18</v>
      </c>
      <c r="E143" s="5">
        <v>4771</v>
      </c>
      <c r="F143" t="s">
        <v>9</v>
      </c>
    </row>
    <row r="144" spans="1:6" x14ac:dyDescent="0.3">
      <c r="A144" s="3">
        <v>45800</v>
      </c>
      <c r="B144" t="s">
        <v>25</v>
      </c>
      <c r="C144" t="s">
        <v>26</v>
      </c>
      <c r="D144" t="s">
        <v>18</v>
      </c>
      <c r="E144" s="5">
        <v>3621</v>
      </c>
      <c r="F144" t="s">
        <v>9</v>
      </c>
    </row>
    <row r="145" spans="1:6" x14ac:dyDescent="0.3">
      <c r="A145" s="3">
        <v>45800</v>
      </c>
      <c r="B145" t="s">
        <v>21</v>
      </c>
      <c r="C145" t="s">
        <v>19</v>
      </c>
      <c r="D145" t="s">
        <v>11</v>
      </c>
      <c r="E145" s="5">
        <v>41412</v>
      </c>
      <c r="F145" t="s">
        <v>20</v>
      </c>
    </row>
    <row r="146" spans="1:6" x14ac:dyDescent="0.3">
      <c r="A146" s="3">
        <v>45801</v>
      </c>
      <c r="B146" t="s">
        <v>21</v>
      </c>
      <c r="C146" t="s">
        <v>19</v>
      </c>
      <c r="D146" t="s">
        <v>16</v>
      </c>
      <c r="E146" s="5">
        <v>51583</v>
      </c>
      <c r="F146" t="s">
        <v>20</v>
      </c>
    </row>
    <row r="147" spans="1:6" x14ac:dyDescent="0.3">
      <c r="A147" s="3">
        <v>45802</v>
      </c>
      <c r="B147" t="s">
        <v>22</v>
      </c>
      <c r="C147" t="s">
        <v>23</v>
      </c>
      <c r="D147" t="s">
        <v>8</v>
      </c>
      <c r="E147" s="5">
        <v>2294</v>
      </c>
      <c r="F147" t="s">
        <v>9</v>
      </c>
    </row>
    <row r="148" spans="1:6" x14ac:dyDescent="0.3">
      <c r="A148" s="3">
        <v>45804</v>
      </c>
      <c r="B148" t="s">
        <v>21</v>
      </c>
      <c r="C148" t="s">
        <v>19</v>
      </c>
      <c r="D148" t="s">
        <v>16</v>
      </c>
      <c r="E148" s="5">
        <v>52723</v>
      </c>
      <c r="F148" t="s">
        <v>20</v>
      </c>
    </row>
    <row r="149" spans="1:6" x14ac:dyDescent="0.3">
      <c r="A149" s="3">
        <v>45806</v>
      </c>
      <c r="B149" t="s">
        <v>17</v>
      </c>
      <c r="C149" t="s">
        <v>13</v>
      </c>
      <c r="D149" t="s">
        <v>10</v>
      </c>
      <c r="E149" s="5">
        <v>2687</v>
      </c>
      <c r="F149" t="s">
        <v>9</v>
      </c>
    </row>
    <row r="150" spans="1:6" x14ac:dyDescent="0.3">
      <c r="A150" s="3">
        <v>45808</v>
      </c>
      <c r="B150" t="s">
        <v>21</v>
      </c>
      <c r="C150" t="s">
        <v>19</v>
      </c>
      <c r="D150" t="s">
        <v>11</v>
      </c>
      <c r="E150" s="5">
        <v>40710</v>
      </c>
      <c r="F150" t="s">
        <v>20</v>
      </c>
    </row>
    <row r="151" spans="1:6" x14ac:dyDescent="0.3">
      <c r="A151" s="3">
        <v>45809</v>
      </c>
      <c r="B151" t="s">
        <v>19</v>
      </c>
      <c r="C151" t="s">
        <v>19</v>
      </c>
      <c r="D151" t="s">
        <v>16</v>
      </c>
      <c r="E151" s="5">
        <v>53269</v>
      </c>
      <c r="F151" t="s">
        <v>20</v>
      </c>
    </row>
    <row r="152" spans="1:6" x14ac:dyDescent="0.3">
      <c r="A152" s="3">
        <v>45811</v>
      </c>
      <c r="B152" t="s">
        <v>19</v>
      </c>
      <c r="C152" t="s">
        <v>19</v>
      </c>
      <c r="D152" t="s">
        <v>11</v>
      </c>
      <c r="E152" s="5">
        <v>38918</v>
      </c>
      <c r="F152" t="s">
        <v>20</v>
      </c>
    </row>
    <row r="153" spans="1:6" x14ac:dyDescent="0.3">
      <c r="A153" s="3">
        <v>45811</v>
      </c>
      <c r="B153" t="s">
        <v>14</v>
      </c>
      <c r="C153" t="s">
        <v>15</v>
      </c>
      <c r="D153" t="s">
        <v>16</v>
      </c>
      <c r="E153" s="5">
        <v>1000</v>
      </c>
      <c r="F153" t="s">
        <v>9</v>
      </c>
    </row>
    <row r="154" spans="1:6" x14ac:dyDescent="0.3">
      <c r="A154" s="3">
        <v>45811</v>
      </c>
      <c r="B154" t="s">
        <v>17</v>
      </c>
      <c r="C154" t="s">
        <v>13</v>
      </c>
      <c r="D154" t="s">
        <v>10</v>
      </c>
      <c r="E154" s="5">
        <v>1087</v>
      </c>
      <c r="F154" t="s">
        <v>9</v>
      </c>
    </row>
    <row r="155" spans="1:6" x14ac:dyDescent="0.3">
      <c r="A155" s="3">
        <v>45813</v>
      </c>
      <c r="B155" t="s">
        <v>14</v>
      </c>
      <c r="C155" t="s">
        <v>15</v>
      </c>
      <c r="D155" t="s">
        <v>11</v>
      </c>
      <c r="E155" s="5">
        <v>4948</v>
      </c>
      <c r="F155" t="s">
        <v>9</v>
      </c>
    </row>
    <row r="156" spans="1:6" x14ac:dyDescent="0.3">
      <c r="A156" s="3">
        <v>45813</v>
      </c>
      <c r="B156" t="s">
        <v>12</v>
      </c>
      <c r="C156" t="s">
        <v>13</v>
      </c>
      <c r="D156" t="s">
        <v>11</v>
      </c>
      <c r="E156" s="5">
        <v>1258</v>
      </c>
      <c r="F156" t="s">
        <v>9</v>
      </c>
    </row>
    <row r="157" spans="1:6" x14ac:dyDescent="0.3">
      <c r="A157" s="3">
        <v>45815</v>
      </c>
      <c r="B157" t="s">
        <v>25</v>
      </c>
      <c r="C157" t="s">
        <v>26</v>
      </c>
      <c r="D157" t="s">
        <v>8</v>
      </c>
      <c r="E157" s="5">
        <v>599</v>
      </c>
      <c r="F157" t="s">
        <v>9</v>
      </c>
    </row>
    <row r="158" spans="1:6" x14ac:dyDescent="0.3">
      <c r="A158" s="3">
        <v>45816</v>
      </c>
      <c r="B158" t="s">
        <v>12</v>
      </c>
      <c r="C158" t="s">
        <v>13</v>
      </c>
      <c r="D158" t="s">
        <v>8</v>
      </c>
      <c r="E158" s="5">
        <v>3526</v>
      </c>
      <c r="F158" t="s">
        <v>9</v>
      </c>
    </row>
    <row r="159" spans="1:6" x14ac:dyDescent="0.3">
      <c r="A159" s="3">
        <v>45818</v>
      </c>
      <c r="B159" t="s">
        <v>19</v>
      </c>
      <c r="C159" t="s">
        <v>19</v>
      </c>
      <c r="D159" t="s">
        <v>8</v>
      </c>
      <c r="E159" s="5">
        <v>47458</v>
      </c>
      <c r="F159" t="s">
        <v>20</v>
      </c>
    </row>
    <row r="160" spans="1:6" x14ac:dyDescent="0.3">
      <c r="A160" s="3">
        <v>45818</v>
      </c>
      <c r="B160" t="s">
        <v>19</v>
      </c>
      <c r="C160" t="s">
        <v>19</v>
      </c>
      <c r="D160" t="s">
        <v>18</v>
      </c>
      <c r="E160" s="5">
        <v>37409</v>
      </c>
      <c r="F160" t="s">
        <v>20</v>
      </c>
    </row>
    <row r="161" spans="1:6" x14ac:dyDescent="0.3">
      <c r="A161" s="3">
        <v>45820</v>
      </c>
      <c r="B161" t="s">
        <v>22</v>
      </c>
      <c r="C161" t="s">
        <v>23</v>
      </c>
      <c r="D161" t="s">
        <v>16</v>
      </c>
      <c r="E161" s="5">
        <v>4134</v>
      </c>
      <c r="F161" t="s">
        <v>9</v>
      </c>
    </row>
    <row r="162" spans="1:6" x14ac:dyDescent="0.3">
      <c r="A162" s="3">
        <v>45822</v>
      </c>
      <c r="B162" t="s">
        <v>24</v>
      </c>
      <c r="C162" t="s">
        <v>7</v>
      </c>
      <c r="D162" t="s">
        <v>18</v>
      </c>
      <c r="E162" s="5">
        <v>3020</v>
      </c>
      <c r="F162" t="s">
        <v>9</v>
      </c>
    </row>
    <row r="163" spans="1:6" x14ac:dyDescent="0.3">
      <c r="A163" s="3">
        <v>45824</v>
      </c>
      <c r="B163" t="s">
        <v>12</v>
      </c>
      <c r="C163" t="s">
        <v>13</v>
      </c>
      <c r="D163" t="s">
        <v>8</v>
      </c>
      <c r="E163" s="5">
        <v>2392</v>
      </c>
      <c r="F163" t="s">
        <v>9</v>
      </c>
    </row>
    <row r="164" spans="1:6" x14ac:dyDescent="0.3">
      <c r="A164" s="3">
        <v>45824</v>
      </c>
      <c r="B164" t="s">
        <v>21</v>
      </c>
      <c r="C164" t="s">
        <v>19</v>
      </c>
      <c r="D164" t="s">
        <v>11</v>
      </c>
      <c r="E164" s="5">
        <v>39914</v>
      </c>
      <c r="F164" t="s">
        <v>20</v>
      </c>
    </row>
    <row r="165" spans="1:6" x14ac:dyDescent="0.3">
      <c r="A165" s="3">
        <v>45825</v>
      </c>
      <c r="B165" t="s">
        <v>22</v>
      </c>
      <c r="C165" t="s">
        <v>23</v>
      </c>
      <c r="D165" t="s">
        <v>10</v>
      </c>
      <c r="E165" s="5">
        <v>4594</v>
      </c>
      <c r="F165" t="s">
        <v>9</v>
      </c>
    </row>
    <row r="166" spans="1:6" x14ac:dyDescent="0.3">
      <c r="A166" s="3">
        <v>45827</v>
      </c>
      <c r="B166" t="s">
        <v>12</v>
      </c>
      <c r="C166" t="s">
        <v>13</v>
      </c>
      <c r="D166" t="s">
        <v>8</v>
      </c>
      <c r="E166" s="5">
        <v>1572</v>
      </c>
      <c r="F166" t="s">
        <v>9</v>
      </c>
    </row>
    <row r="167" spans="1:6" x14ac:dyDescent="0.3">
      <c r="A167" s="3">
        <v>45828</v>
      </c>
      <c r="B167" t="s">
        <v>21</v>
      </c>
      <c r="C167" t="s">
        <v>19</v>
      </c>
      <c r="D167" t="s">
        <v>8</v>
      </c>
      <c r="E167" s="5">
        <v>48860</v>
      </c>
      <c r="F167" t="s">
        <v>20</v>
      </c>
    </row>
    <row r="168" spans="1:6" x14ac:dyDescent="0.3">
      <c r="A168" s="3">
        <v>45830</v>
      </c>
      <c r="B168" t="s">
        <v>12</v>
      </c>
      <c r="C168" t="s">
        <v>13</v>
      </c>
      <c r="D168" t="s">
        <v>18</v>
      </c>
      <c r="E168" s="5">
        <v>1029</v>
      </c>
      <c r="F168" t="s">
        <v>9</v>
      </c>
    </row>
    <row r="169" spans="1:6" x14ac:dyDescent="0.3">
      <c r="A169" s="3">
        <v>45831</v>
      </c>
      <c r="B169" t="s">
        <v>12</v>
      </c>
      <c r="C169" t="s">
        <v>13</v>
      </c>
      <c r="D169" t="s">
        <v>8</v>
      </c>
      <c r="E169" s="5">
        <v>2995</v>
      </c>
      <c r="F169" t="s">
        <v>9</v>
      </c>
    </row>
    <row r="170" spans="1:6" x14ac:dyDescent="0.3">
      <c r="A170" s="3">
        <v>45833</v>
      </c>
      <c r="B170" t="s">
        <v>25</v>
      </c>
      <c r="C170" t="s">
        <v>26</v>
      </c>
      <c r="D170" t="s">
        <v>11</v>
      </c>
      <c r="E170" s="5">
        <v>3208</v>
      </c>
      <c r="F170" t="s">
        <v>9</v>
      </c>
    </row>
    <row r="171" spans="1:6" x14ac:dyDescent="0.3">
      <c r="A171" s="3">
        <v>45835</v>
      </c>
      <c r="B171" t="s">
        <v>17</v>
      </c>
      <c r="C171" t="s">
        <v>13</v>
      </c>
      <c r="D171" t="s">
        <v>11</v>
      </c>
      <c r="E171" s="5">
        <v>2240</v>
      </c>
      <c r="F171" t="s">
        <v>9</v>
      </c>
    </row>
    <row r="172" spans="1:6" x14ac:dyDescent="0.3">
      <c r="A172" s="3">
        <v>45837</v>
      </c>
      <c r="B172" t="s">
        <v>22</v>
      </c>
      <c r="C172" t="s">
        <v>23</v>
      </c>
      <c r="D172" t="s">
        <v>11</v>
      </c>
      <c r="E172" s="5">
        <v>1865</v>
      </c>
      <c r="F172" t="s">
        <v>9</v>
      </c>
    </row>
    <row r="173" spans="1:6" x14ac:dyDescent="0.3">
      <c r="A173" s="3">
        <v>45838</v>
      </c>
      <c r="B173" t="s">
        <v>12</v>
      </c>
      <c r="C173" t="s">
        <v>13</v>
      </c>
      <c r="D173" t="s">
        <v>18</v>
      </c>
      <c r="E173" s="5">
        <v>4774</v>
      </c>
      <c r="F173" t="s">
        <v>9</v>
      </c>
    </row>
    <row r="174" spans="1:6" x14ac:dyDescent="0.3">
      <c r="A174" s="3">
        <v>45840</v>
      </c>
      <c r="B174" t="s">
        <v>12</v>
      </c>
      <c r="C174" t="s">
        <v>13</v>
      </c>
      <c r="D174" t="s">
        <v>18</v>
      </c>
      <c r="E174" s="5">
        <v>3799</v>
      </c>
      <c r="F174" t="s">
        <v>9</v>
      </c>
    </row>
    <row r="175" spans="1:6" x14ac:dyDescent="0.3">
      <c r="A175" s="3">
        <v>45841</v>
      </c>
      <c r="B175" t="s">
        <v>17</v>
      </c>
      <c r="C175" t="s">
        <v>13</v>
      </c>
      <c r="D175" t="s">
        <v>11</v>
      </c>
      <c r="E175" s="5">
        <v>4580</v>
      </c>
      <c r="F175" t="s">
        <v>9</v>
      </c>
    </row>
    <row r="176" spans="1:6" x14ac:dyDescent="0.3">
      <c r="A176" s="3">
        <v>45843</v>
      </c>
      <c r="B176" t="s">
        <v>25</v>
      </c>
      <c r="C176" t="s">
        <v>26</v>
      </c>
      <c r="D176" t="s">
        <v>16</v>
      </c>
      <c r="E176" s="5">
        <v>1432</v>
      </c>
      <c r="F176" t="s">
        <v>9</v>
      </c>
    </row>
    <row r="177" spans="1:6" x14ac:dyDescent="0.3">
      <c r="A177" s="3">
        <v>45845</v>
      </c>
      <c r="B177" t="s">
        <v>25</v>
      </c>
      <c r="C177" t="s">
        <v>26</v>
      </c>
      <c r="D177" t="s">
        <v>10</v>
      </c>
      <c r="E177" s="5">
        <v>1273</v>
      </c>
      <c r="F177" t="s">
        <v>9</v>
      </c>
    </row>
    <row r="178" spans="1:6" x14ac:dyDescent="0.3">
      <c r="A178" s="3">
        <v>45845</v>
      </c>
      <c r="B178" t="s">
        <v>12</v>
      </c>
      <c r="C178" t="s">
        <v>13</v>
      </c>
      <c r="D178" t="s">
        <v>10</v>
      </c>
      <c r="E178" s="5">
        <v>2719</v>
      </c>
      <c r="F178" t="s">
        <v>9</v>
      </c>
    </row>
    <row r="179" spans="1:6" x14ac:dyDescent="0.3">
      <c r="A179" s="3">
        <v>45845</v>
      </c>
      <c r="B179" t="s">
        <v>21</v>
      </c>
      <c r="C179" t="s">
        <v>19</v>
      </c>
      <c r="D179" t="s">
        <v>11</v>
      </c>
      <c r="E179" s="5">
        <v>40405</v>
      </c>
      <c r="F179" t="s">
        <v>20</v>
      </c>
    </row>
    <row r="180" spans="1:6" x14ac:dyDescent="0.3">
      <c r="A180" s="3">
        <v>45846</v>
      </c>
      <c r="B180" t="s">
        <v>12</v>
      </c>
      <c r="C180" t="s">
        <v>13</v>
      </c>
      <c r="D180" t="s">
        <v>8</v>
      </c>
      <c r="E180" s="5">
        <v>1672</v>
      </c>
      <c r="F180" t="s">
        <v>9</v>
      </c>
    </row>
    <row r="181" spans="1:6" x14ac:dyDescent="0.3">
      <c r="A181" s="3">
        <v>45846</v>
      </c>
      <c r="B181" t="s">
        <v>14</v>
      </c>
      <c r="C181" t="s">
        <v>15</v>
      </c>
      <c r="D181" t="s">
        <v>8</v>
      </c>
      <c r="E181" s="5">
        <v>1989</v>
      </c>
      <c r="F181" t="s">
        <v>9</v>
      </c>
    </row>
    <row r="182" spans="1:6" x14ac:dyDescent="0.3">
      <c r="A182" s="3">
        <v>45846</v>
      </c>
      <c r="B182" t="s">
        <v>19</v>
      </c>
      <c r="C182" t="s">
        <v>19</v>
      </c>
      <c r="D182" t="s">
        <v>10</v>
      </c>
      <c r="E182" s="5">
        <v>33915</v>
      </c>
      <c r="F182" t="s">
        <v>20</v>
      </c>
    </row>
    <row r="183" spans="1:6" x14ac:dyDescent="0.3">
      <c r="A183" s="3">
        <v>45846</v>
      </c>
      <c r="B183" t="s">
        <v>25</v>
      </c>
      <c r="C183" t="s">
        <v>26</v>
      </c>
      <c r="D183" t="s">
        <v>8</v>
      </c>
      <c r="E183" s="5">
        <v>3303</v>
      </c>
      <c r="F183" t="s">
        <v>9</v>
      </c>
    </row>
    <row r="184" spans="1:6" x14ac:dyDescent="0.3">
      <c r="A184" s="3">
        <v>45846</v>
      </c>
      <c r="B184" t="s">
        <v>17</v>
      </c>
      <c r="C184" t="s">
        <v>13</v>
      </c>
      <c r="D184" t="s">
        <v>10</v>
      </c>
      <c r="E184" s="5">
        <v>1962</v>
      </c>
      <c r="F184" t="s">
        <v>9</v>
      </c>
    </row>
    <row r="185" spans="1:6" x14ac:dyDescent="0.3">
      <c r="A185" s="3">
        <v>45846</v>
      </c>
      <c r="B185" t="s">
        <v>21</v>
      </c>
      <c r="C185" t="s">
        <v>19</v>
      </c>
      <c r="D185" t="s">
        <v>11</v>
      </c>
      <c r="E185" s="5">
        <v>34357</v>
      </c>
      <c r="F185" t="s">
        <v>20</v>
      </c>
    </row>
    <row r="186" spans="1:6" x14ac:dyDescent="0.3">
      <c r="A186" s="3">
        <v>45846</v>
      </c>
      <c r="B186" t="s">
        <v>17</v>
      </c>
      <c r="C186" t="s">
        <v>13</v>
      </c>
      <c r="D186" t="s">
        <v>8</v>
      </c>
      <c r="E186" s="5">
        <v>4042</v>
      </c>
      <c r="F186" t="s">
        <v>9</v>
      </c>
    </row>
    <row r="187" spans="1:6" x14ac:dyDescent="0.3">
      <c r="A187" s="3">
        <v>45848</v>
      </c>
      <c r="B187" t="s">
        <v>6</v>
      </c>
      <c r="C187" t="s">
        <v>7</v>
      </c>
      <c r="D187" t="s">
        <v>10</v>
      </c>
      <c r="E187" s="5">
        <v>907</v>
      </c>
      <c r="F187" t="s">
        <v>9</v>
      </c>
    </row>
    <row r="188" spans="1:6" x14ac:dyDescent="0.3">
      <c r="A188" s="3">
        <v>45850</v>
      </c>
      <c r="B188" t="s">
        <v>6</v>
      </c>
      <c r="C188" t="s">
        <v>7</v>
      </c>
      <c r="D188" t="s">
        <v>18</v>
      </c>
      <c r="E188" s="5">
        <v>228</v>
      </c>
      <c r="F188" t="s">
        <v>9</v>
      </c>
    </row>
    <row r="189" spans="1:6" x14ac:dyDescent="0.3">
      <c r="A189" s="3">
        <v>45850</v>
      </c>
      <c r="B189" t="s">
        <v>14</v>
      </c>
      <c r="C189" t="s">
        <v>15</v>
      </c>
      <c r="D189" t="s">
        <v>10</v>
      </c>
      <c r="E189" s="5">
        <v>350</v>
      </c>
      <c r="F189" t="s">
        <v>9</v>
      </c>
    </row>
    <row r="190" spans="1:6" x14ac:dyDescent="0.3">
      <c r="A190" s="3">
        <v>45851</v>
      </c>
      <c r="B190" t="s">
        <v>22</v>
      </c>
      <c r="C190" t="s">
        <v>23</v>
      </c>
      <c r="D190" t="s">
        <v>8</v>
      </c>
      <c r="E190" s="5">
        <v>3830</v>
      </c>
      <c r="F190" t="s">
        <v>9</v>
      </c>
    </row>
    <row r="191" spans="1:6" x14ac:dyDescent="0.3">
      <c r="A191" s="3">
        <v>45851</v>
      </c>
      <c r="B191" t="s">
        <v>14</v>
      </c>
      <c r="C191" t="s">
        <v>15</v>
      </c>
      <c r="D191" t="s">
        <v>8</v>
      </c>
      <c r="E191" s="5">
        <v>584</v>
      </c>
      <c r="F191" t="s">
        <v>9</v>
      </c>
    </row>
    <row r="192" spans="1:6" x14ac:dyDescent="0.3">
      <c r="A192" s="3">
        <v>45853</v>
      </c>
      <c r="B192" t="s">
        <v>12</v>
      </c>
      <c r="C192" t="s">
        <v>13</v>
      </c>
      <c r="D192" t="s">
        <v>10</v>
      </c>
      <c r="E192" s="5">
        <v>3656</v>
      </c>
      <c r="F192" t="s">
        <v>9</v>
      </c>
    </row>
    <row r="193" spans="1:6" x14ac:dyDescent="0.3">
      <c r="A193" s="3">
        <v>45853</v>
      </c>
      <c r="B193" t="s">
        <v>12</v>
      </c>
      <c r="C193" t="s">
        <v>13</v>
      </c>
      <c r="D193" t="s">
        <v>16</v>
      </c>
      <c r="E193" s="5">
        <v>1094</v>
      </c>
      <c r="F193" t="s">
        <v>9</v>
      </c>
    </row>
    <row r="194" spans="1:6" x14ac:dyDescent="0.3">
      <c r="A194" s="3">
        <v>45853</v>
      </c>
      <c r="B194" t="s">
        <v>21</v>
      </c>
      <c r="C194" t="s">
        <v>19</v>
      </c>
      <c r="D194" t="s">
        <v>16</v>
      </c>
      <c r="E194" s="5">
        <v>40215</v>
      </c>
      <c r="F194" t="s">
        <v>20</v>
      </c>
    </row>
    <row r="195" spans="1:6" x14ac:dyDescent="0.3">
      <c r="A195" s="3">
        <v>45855</v>
      </c>
      <c r="B195" t="s">
        <v>14</v>
      </c>
      <c r="C195" t="s">
        <v>15</v>
      </c>
      <c r="D195" t="s">
        <v>16</v>
      </c>
      <c r="E195" s="5">
        <v>4604</v>
      </c>
      <c r="F195" t="s">
        <v>9</v>
      </c>
    </row>
    <row r="196" spans="1:6" x14ac:dyDescent="0.3">
      <c r="A196" s="3">
        <v>45855</v>
      </c>
      <c r="B196" t="s">
        <v>24</v>
      </c>
      <c r="C196" t="s">
        <v>7</v>
      </c>
      <c r="D196" t="s">
        <v>10</v>
      </c>
      <c r="E196" s="5">
        <v>4954</v>
      </c>
      <c r="F196" t="s">
        <v>9</v>
      </c>
    </row>
    <row r="197" spans="1:6" x14ac:dyDescent="0.3">
      <c r="A197" s="3">
        <v>45857</v>
      </c>
      <c r="B197" t="s">
        <v>25</v>
      </c>
      <c r="C197" t="s">
        <v>26</v>
      </c>
      <c r="D197" t="s">
        <v>18</v>
      </c>
      <c r="E197" s="5">
        <v>1581</v>
      </c>
      <c r="F197" t="s">
        <v>9</v>
      </c>
    </row>
    <row r="198" spans="1:6" x14ac:dyDescent="0.3">
      <c r="A198" s="3">
        <v>45858</v>
      </c>
      <c r="B198" t="s">
        <v>14</v>
      </c>
      <c r="C198" t="s">
        <v>15</v>
      </c>
      <c r="D198" t="s">
        <v>8</v>
      </c>
      <c r="E198" s="5">
        <v>231</v>
      </c>
      <c r="F198" t="s">
        <v>9</v>
      </c>
    </row>
    <row r="199" spans="1:6" x14ac:dyDescent="0.3">
      <c r="A199" s="3">
        <v>45860</v>
      </c>
      <c r="B199" t="s">
        <v>12</v>
      </c>
      <c r="C199" t="s">
        <v>13</v>
      </c>
      <c r="D199" t="s">
        <v>18</v>
      </c>
      <c r="E199" s="5">
        <v>3617</v>
      </c>
      <c r="F199" t="s">
        <v>9</v>
      </c>
    </row>
    <row r="200" spans="1:6" x14ac:dyDescent="0.3">
      <c r="A200" s="3">
        <v>45860</v>
      </c>
      <c r="B200" t="s">
        <v>19</v>
      </c>
      <c r="C200" t="s">
        <v>19</v>
      </c>
      <c r="D200" t="s">
        <v>16</v>
      </c>
      <c r="E200" s="5">
        <v>36555</v>
      </c>
      <c r="F200" t="s">
        <v>20</v>
      </c>
    </row>
    <row r="201" spans="1:6" x14ac:dyDescent="0.3">
      <c r="A201" s="3">
        <v>45860</v>
      </c>
      <c r="B201" t="s">
        <v>6</v>
      </c>
      <c r="C201" t="s">
        <v>7</v>
      </c>
      <c r="D201" t="s">
        <v>8</v>
      </c>
      <c r="E201" s="5">
        <v>3021</v>
      </c>
      <c r="F201" t="s">
        <v>9</v>
      </c>
    </row>
    <row r="202" spans="1:6" x14ac:dyDescent="0.3">
      <c r="A202" s="3">
        <v>45860</v>
      </c>
      <c r="B202" t="s">
        <v>22</v>
      </c>
      <c r="C202" t="s">
        <v>23</v>
      </c>
      <c r="D202" t="s">
        <v>16</v>
      </c>
      <c r="E202" s="5">
        <v>3797</v>
      </c>
      <c r="F202" t="s">
        <v>9</v>
      </c>
    </row>
    <row r="203" spans="1:6" x14ac:dyDescent="0.3">
      <c r="A203" s="3">
        <v>45862</v>
      </c>
      <c r="B203" t="s">
        <v>17</v>
      </c>
      <c r="C203" t="s">
        <v>13</v>
      </c>
      <c r="D203" t="s">
        <v>18</v>
      </c>
      <c r="E203" s="5">
        <v>726</v>
      </c>
      <c r="F203" t="s">
        <v>9</v>
      </c>
    </row>
    <row r="204" spans="1:6" x14ac:dyDescent="0.3">
      <c r="A204" s="3">
        <v>45864</v>
      </c>
      <c r="B204" t="s">
        <v>12</v>
      </c>
      <c r="C204" t="s">
        <v>13</v>
      </c>
      <c r="D204" t="s">
        <v>16</v>
      </c>
      <c r="E204" s="5">
        <v>3961</v>
      </c>
      <c r="F204" t="s">
        <v>9</v>
      </c>
    </row>
    <row r="205" spans="1:6" x14ac:dyDescent="0.3">
      <c r="A205" s="3">
        <v>45864</v>
      </c>
      <c r="B205" t="s">
        <v>21</v>
      </c>
      <c r="C205" t="s">
        <v>19</v>
      </c>
      <c r="D205" t="s">
        <v>8</v>
      </c>
      <c r="E205" s="5">
        <v>53682</v>
      </c>
      <c r="F205" t="s">
        <v>20</v>
      </c>
    </row>
    <row r="206" spans="1:6" x14ac:dyDescent="0.3">
      <c r="A206" s="3">
        <v>45865</v>
      </c>
      <c r="B206" t="s">
        <v>24</v>
      </c>
      <c r="C206" t="s">
        <v>7</v>
      </c>
      <c r="D206" t="s">
        <v>18</v>
      </c>
      <c r="E206" s="5">
        <v>1304</v>
      </c>
      <c r="F206" t="s">
        <v>9</v>
      </c>
    </row>
    <row r="207" spans="1:6" x14ac:dyDescent="0.3">
      <c r="A207" s="3">
        <v>45866</v>
      </c>
      <c r="B207" t="s">
        <v>6</v>
      </c>
      <c r="C207" t="s">
        <v>7</v>
      </c>
      <c r="D207" t="s">
        <v>11</v>
      </c>
      <c r="E207" s="5">
        <v>4429</v>
      </c>
      <c r="F207" t="s">
        <v>9</v>
      </c>
    </row>
    <row r="208" spans="1:6" x14ac:dyDescent="0.3">
      <c r="A208" s="3">
        <v>45867</v>
      </c>
      <c r="B208" t="s">
        <v>24</v>
      </c>
      <c r="C208" t="s">
        <v>7</v>
      </c>
      <c r="D208" t="s">
        <v>18</v>
      </c>
      <c r="E208" s="5">
        <v>2863</v>
      </c>
      <c r="F208" t="s">
        <v>9</v>
      </c>
    </row>
    <row r="209" spans="1:6" x14ac:dyDescent="0.3">
      <c r="A209" s="3">
        <v>45868</v>
      </c>
      <c r="B209" t="s">
        <v>25</v>
      </c>
      <c r="C209" t="s">
        <v>26</v>
      </c>
      <c r="D209" t="s">
        <v>10</v>
      </c>
      <c r="E209" s="5">
        <v>3246</v>
      </c>
      <c r="F209" t="s">
        <v>9</v>
      </c>
    </row>
    <row r="210" spans="1:6" x14ac:dyDescent="0.3">
      <c r="A210" s="3">
        <v>45869</v>
      </c>
      <c r="B210" t="s">
        <v>21</v>
      </c>
      <c r="C210" t="s">
        <v>19</v>
      </c>
      <c r="D210" t="s">
        <v>10</v>
      </c>
      <c r="E210" s="5">
        <v>37147</v>
      </c>
      <c r="F210" t="s">
        <v>20</v>
      </c>
    </row>
    <row r="211" spans="1:6" x14ac:dyDescent="0.3">
      <c r="A211" s="3">
        <v>45870</v>
      </c>
      <c r="B211" t="s">
        <v>12</v>
      </c>
      <c r="C211" t="s">
        <v>13</v>
      </c>
      <c r="D211" t="s">
        <v>11</v>
      </c>
      <c r="E211" s="5">
        <v>241</v>
      </c>
      <c r="F211" t="s">
        <v>9</v>
      </c>
    </row>
    <row r="212" spans="1:6" x14ac:dyDescent="0.3">
      <c r="A212" s="3">
        <v>45872</v>
      </c>
      <c r="B212" t="s">
        <v>21</v>
      </c>
      <c r="C212" t="s">
        <v>19</v>
      </c>
      <c r="D212" t="s">
        <v>8</v>
      </c>
      <c r="E212" s="5">
        <v>56713</v>
      </c>
      <c r="F212" t="s">
        <v>20</v>
      </c>
    </row>
    <row r="213" spans="1:6" x14ac:dyDescent="0.3">
      <c r="A213" s="3">
        <v>45873</v>
      </c>
      <c r="B213" t="s">
        <v>12</v>
      </c>
      <c r="C213" t="s">
        <v>13</v>
      </c>
      <c r="D213" t="s">
        <v>16</v>
      </c>
      <c r="E213" s="5">
        <v>1729</v>
      </c>
      <c r="F213" t="s">
        <v>9</v>
      </c>
    </row>
    <row r="214" spans="1:6" x14ac:dyDescent="0.3">
      <c r="A214" s="3">
        <v>45873</v>
      </c>
      <c r="B214" t="s">
        <v>17</v>
      </c>
      <c r="C214" t="s">
        <v>13</v>
      </c>
      <c r="D214" t="s">
        <v>18</v>
      </c>
      <c r="E214" s="5">
        <v>3046</v>
      </c>
      <c r="F214" t="s">
        <v>9</v>
      </c>
    </row>
    <row r="215" spans="1:6" x14ac:dyDescent="0.3">
      <c r="A215" s="3">
        <v>45874</v>
      </c>
      <c r="B215" t="s">
        <v>14</v>
      </c>
      <c r="C215" t="s">
        <v>15</v>
      </c>
      <c r="D215" t="s">
        <v>8</v>
      </c>
      <c r="E215" s="5">
        <v>3462</v>
      </c>
      <c r="F215" t="s">
        <v>9</v>
      </c>
    </row>
    <row r="216" spans="1:6" x14ac:dyDescent="0.3">
      <c r="A216" s="3">
        <v>45874</v>
      </c>
      <c r="B216" t="s">
        <v>14</v>
      </c>
      <c r="C216" t="s">
        <v>15</v>
      </c>
      <c r="D216" t="s">
        <v>16</v>
      </c>
      <c r="E216" s="5">
        <v>3683</v>
      </c>
      <c r="F216" t="s">
        <v>9</v>
      </c>
    </row>
    <row r="217" spans="1:6" x14ac:dyDescent="0.3">
      <c r="A217" s="3">
        <v>45875</v>
      </c>
      <c r="B217" t="s">
        <v>14</v>
      </c>
      <c r="C217" t="s">
        <v>15</v>
      </c>
      <c r="D217" t="s">
        <v>10</v>
      </c>
      <c r="E217" s="5">
        <v>1706</v>
      </c>
      <c r="F217" t="s">
        <v>9</v>
      </c>
    </row>
    <row r="218" spans="1:6" x14ac:dyDescent="0.3">
      <c r="A218" s="3">
        <v>45875</v>
      </c>
      <c r="B218" t="s">
        <v>25</v>
      </c>
      <c r="C218" t="s">
        <v>26</v>
      </c>
      <c r="D218" t="s">
        <v>8</v>
      </c>
      <c r="E218" s="5">
        <v>2448</v>
      </c>
      <c r="F218" t="s">
        <v>9</v>
      </c>
    </row>
    <row r="219" spans="1:6" x14ac:dyDescent="0.3">
      <c r="A219" s="3">
        <v>45876</v>
      </c>
      <c r="B219" t="s">
        <v>14</v>
      </c>
      <c r="C219" t="s">
        <v>15</v>
      </c>
      <c r="D219" t="s">
        <v>8</v>
      </c>
      <c r="E219" s="5">
        <v>4016</v>
      </c>
      <c r="F219" t="s">
        <v>9</v>
      </c>
    </row>
    <row r="220" spans="1:6" x14ac:dyDescent="0.3">
      <c r="A220" s="3">
        <v>45876</v>
      </c>
      <c r="B220" t="s">
        <v>22</v>
      </c>
      <c r="C220" t="s">
        <v>23</v>
      </c>
      <c r="D220" t="s">
        <v>18</v>
      </c>
      <c r="E220" s="5">
        <v>3635</v>
      </c>
      <c r="F220" t="s">
        <v>9</v>
      </c>
    </row>
    <row r="221" spans="1:6" x14ac:dyDescent="0.3">
      <c r="A221" s="3">
        <v>45877</v>
      </c>
      <c r="B221" t="s">
        <v>25</v>
      </c>
      <c r="C221" t="s">
        <v>26</v>
      </c>
      <c r="D221" t="s">
        <v>11</v>
      </c>
      <c r="E221" s="5">
        <v>2430</v>
      </c>
      <c r="F221" t="s">
        <v>9</v>
      </c>
    </row>
    <row r="222" spans="1:6" x14ac:dyDescent="0.3">
      <c r="A222" s="3">
        <v>45879</v>
      </c>
      <c r="B222" t="s">
        <v>17</v>
      </c>
      <c r="C222" t="s">
        <v>13</v>
      </c>
      <c r="D222" t="s">
        <v>10</v>
      </c>
      <c r="E222" s="5">
        <v>2934</v>
      </c>
      <c r="F222" t="s">
        <v>9</v>
      </c>
    </row>
    <row r="223" spans="1:6" x14ac:dyDescent="0.3">
      <c r="A223" s="3">
        <v>45881</v>
      </c>
      <c r="B223" t="s">
        <v>21</v>
      </c>
      <c r="C223" t="s">
        <v>19</v>
      </c>
      <c r="D223" t="s">
        <v>10</v>
      </c>
      <c r="E223" s="5">
        <v>35377</v>
      </c>
      <c r="F223" t="s">
        <v>20</v>
      </c>
    </row>
    <row r="224" spans="1:6" x14ac:dyDescent="0.3">
      <c r="A224" s="3">
        <v>45881</v>
      </c>
      <c r="B224" t="s">
        <v>6</v>
      </c>
      <c r="C224" t="s">
        <v>7</v>
      </c>
      <c r="D224" t="s">
        <v>16</v>
      </c>
      <c r="E224" s="5">
        <v>2685</v>
      </c>
      <c r="F224" t="s">
        <v>9</v>
      </c>
    </row>
    <row r="225" spans="1:6" x14ac:dyDescent="0.3">
      <c r="A225" s="3">
        <v>45882</v>
      </c>
      <c r="B225" t="s">
        <v>25</v>
      </c>
      <c r="C225" t="s">
        <v>26</v>
      </c>
      <c r="D225" t="s">
        <v>18</v>
      </c>
      <c r="E225" s="5">
        <v>2031</v>
      </c>
      <c r="F225" t="s">
        <v>9</v>
      </c>
    </row>
    <row r="226" spans="1:6" x14ac:dyDescent="0.3">
      <c r="A226" s="3">
        <v>45884</v>
      </c>
      <c r="B226" t="s">
        <v>22</v>
      </c>
      <c r="C226" t="s">
        <v>23</v>
      </c>
      <c r="D226" t="s">
        <v>16</v>
      </c>
      <c r="E226" s="5">
        <v>4786</v>
      </c>
      <c r="F226" t="s">
        <v>9</v>
      </c>
    </row>
    <row r="227" spans="1:6" x14ac:dyDescent="0.3">
      <c r="A227" s="3">
        <v>45884</v>
      </c>
      <c r="B227" t="s">
        <v>6</v>
      </c>
      <c r="C227" t="s">
        <v>7</v>
      </c>
      <c r="D227" t="s">
        <v>16</v>
      </c>
      <c r="E227" s="5">
        <v>2090</v>
      </c>
      <c r="F227" t="s">
        <v>9</v>
      </c>
    </row>
    <row r="228" spans="1:6" x14ac:dyDescent="0.3">
      <c r="A228" s="3">
        <v>45885</v>
      </c>
      <c r="B228" t="s">
        <v>24</v>
      </c>
      <c r="C228" t="s">
        <v>7</v>
      </c>
      <c r="D228" t="s">
        <v>11</v>
      </c>
      <c r="E228" s="5">
        <v>427</v>
      </c>
      <c r="F228" t="s">
        <v>9</v>
      </c>
    </row>
    <row r="229" spans="1:6" x14ac:dyDescent="0.3">
      <c r="A229" s="3">
        <v>45886</v>
      </c>
      <c r="B229" t="s">
        <v>22</v>
      </c>
      <c r="C229" t="s">
        <v>23</v>
      </c>
      <c r="D229" t="s">
        <v>11</v>
      </c>
      <c r="E229" s="5">
        <v>1217</v>
      </c>
      <c r="F229" t="s">
        <v>9</v>
      </c>
    </row>
    <row r="230" spans="1:6" x14ac:dyDescent="0.3">
      <c r="A230" s="3">
        <v>45886</v>
      </c>
      <c r="B230" t="s">
        <v>24</v>
      </c>
      <c r="C230" t="s">
        <v>7</v>
      </c>
      <c r="D230" t="s">
        <v>10</v>
      </c>
      <c r="E230" s="5">
        <v>975</v>
      </c>
      <c r="F230" t="s">
        <v>9</v>
      </c>
    </row>
    <row r="231" spans="1:6" x14ac:dyDescent="0.3">
      <c r="A231" s="3">
        <v>45887</v>
      </c>
      <c r="B231" t="s">
        <v>12</v>
      </c>
      <c r="C231" t="s">
        <v>13</v>
      </c>
      <c r="D231" t="s">
        <v>18</v>
      </c>
      <c r="E231" s="5">
        <v>2762</v>
      </c>
      <c r="F231" t="s">
        <v>9</v>
      </c>
    </row>
    <row r="232" spans="1:6" x14ac:dyDescent="0.3">
      <c r="A232" s="3">
        <v>45887</v>
      </c>
      <c r="B232" t="s">
        <v>22</v>
      </c>
      <c r="C232" t="s">
        <v>23</v>
      </c>
      <c r="D232" t="s">
        <v>18</v>
      </c>
      <c r="E232" s="5">
        <v>3021</v>
      </c>
      <c r="F232" t="s">
        <v>9</v>
      </c>
    </row>
    <row r="233" spans="1:6" x14ac:dyDescent="0.3">
      <c r="A233" s="3">
        <v>45887</v>
      </c>
      <c r="B233" t="s">
        <v>21</v>
      </c>
      <c r="C233" t="s">
        <v>19</v>
      </c>
      <c r="D233" t="s">
        <v>16</v>
      </c>
      <c r="E233" s="5">
        <v>33277</v>
      </c>
      <c r="F233" t="s">
        <v>20</v>
      </c>
    </row>
    <row r="234" spans="1:6" x14ac:dyDescent="0.3">
      <c r="A234" s="3">
        <v>45889</v>
      </c>
      <c r="B234" t="s">
        <v>17</v>
      </c>
      <c r="C234" t="s">
        <v>13</v>
      </c>
      <c r="D234" t="s">
        <v>11</v>
      </c>
      <c r="E234" s="5">
        <v>2394</v>
      </c>
      <c r="F234" t="s">
        <v>9</v>
      </c>
    </row>
    <row r="235" spans="1:6" x14ac:dyDescent="0.3">
      <c r="A235" s="3">
        <v>45890</v>
      </c>
      <c r="B235" t="s">
        <v>25</v>
      </c>
      <c r="C235" t="s">
        <v>26</v>
      </c>
      <c r="D235" t="s">
        <v>11</v>
      </c>
      <c r="E235" s="5">
        <v>2020</v>
      </c>
      <c r="F235" t="s">
        <v>9</v>
      </c>
    </row>
    <row r="236" spans="1:6" x14ac:dyDescent="0.3">
      <c r="A236" s="3">
        <v>45892</v>
      </c>
      <c r="B236" t="s">
        <v>24</v>
      </c>
      <c r="C236" t="s">
        <v>7</v>
      </c>
      <c r="D236" t="s">
        <v>8</v>
      </c>
      <c r="E236" s="5">
        <v>2899</v>
      </c>
      <c r="F236" t="s">
        <v>9</v>
      </c>
    </row>
    <row r="237" spans="1:6" x14ac:dyDescent="0.3">
      <c r="A237" s="3">
        <v>45893</v>
      </c>
      <c r="B237" t="s">
        <v>22</v>
      </c>
      <c r="C237" t="s">
        <v>23</v>
      </c>
      <c r="D237" t="s">
        <v>8</v>
      </c>
      <c r="E237" s="5">
        <v>1773</v>
      </c>
      <c r="F237" t="s">
        <v>9</v>
      </c>
    </row>
    <row r="238" spans="1:6" x14ac:dyDescent="0.3">
      <c r="A238" s="3">
        <v>45893</v>
      </c>
      <c r="B238" t="s">
        <v>25</v>
      </c>
      <c r="C238" t="s">
        <v>26</v>
      </c>
      <c r="D238" t="s">
        <v>10</v>
      </c>
      <c r="E238" s="5">
        <v>4269</v>
      </c>
      <c r="F238" t="s">
        <v>9</v>
      </c>
    </row>
    <row r="239" spans="1:6" x14ac:dyDescent="0.3">
      <c r="A239" s="3">
        <v>45895</v>
      </c>
      <c r="B239" t="s">
        <v>24</v>
      </c>
      <c r="C239" t="s">
        <v>7</v>
      </c>
      <c r="D239" t="s">
        <v>8</v>
      </c>
      <c r="E239" s="5">
        <v>2129</v>
      </c>
      <c r="F239" t="s">
        <v>9</v>
      </c>
    </row>
    <row r="240" spans="1:6" x14ac:dyDescent="0.3">
      <c r="A240" s="3">
        <v>45897</v>
      </c>
      <c r="B240" t="s">
        <v>24</v>
      </c>
      <c r="C240" t="s">
        <v>7</v>
      </c>
      <c r="D240" t="s">
        <v>18</v>
      </c>
      <c r="E240" s="5">
        <v>2459</v>
      </c>
      <c r="F240" t="s">
        <v>9</v>
      </c>
    </row>
    <row r="241" spans="1:6" x14ac:dyDescent="0.3">
      <c r="A241" s="3">
        <v>45898</v>
      </c>
      <c r="B241" t="s">
        <v>25</v>
      </c>
      <c r="C241" t="s">
        <v>26</v>
      </c>
      <c r="D241" t="s">
        <v>8</v>
      </c>
      <c r="E241" s="5">
        <v>1993</v>
      </c>
      <c r="F241" t="s">
        <v>9</v>
      </c>
    </row>
    <row r="242" spans="1:6" x14ac:dyDescent="0.3">
      <c r="A242" s="3">
        <v>45900</v>
      </c>
      <c r="B242" t="s">
        <v>25</v>
      </c>
      <c r="C242" t="s">
        <v>26</v>
      </c>
      <c r="D242" t="s">
        <v>16</v>
      </c>
      <c r="E242" s="5">
        <v>2998</v>
      </c>
      <c r="F242" t="s">
        <v>9</v>
      </c>
    </row>
    <row r="243" spans="1:6" x14ac:dyDescent="0.3">
      <c r="A243" s="3">
        <v>45900</v>
      </c>
      <c r="B243" t="s">
        <v>25</v>
      </c>
      <c r="C243" t="s">
        <v>26</v>
      </c>
      <c r="D243" t="s">
        <v>8</v>
      </c>
      <c r="E243" s="5">
        <v>3493</v>
      </c>
      <c r="F243" t="s">
        <v>9</v>
      </c>
    </row>
    <row r="244" spans="1:6" x14ac:dyDescent="0.3">
      <c r="A244" s="3">
        <v>45902</v>
      </c>
      <c r="B244" t="s">
        <v>12</v>
      </c>
      <c r="C244" t="s">
        <v>13</v>
      </c>
      <c r="D244" t="s">
        <v>18</v>
      </c>
      <c r="E244" s="5">
        <v>3494</v>
      </c>
      <c r="F244" t="s">
        <v>9</v>
      </c>
    </row>
    <row r="245" spans="1:6" x14ac:dyDescent="0.3">
      <c r="A245" s="3">
        <v>45902</v>
      </c>
      <c r="B245" t="s">
        <v>14</v>
      </c>
      <c r="C245" t="s">
        <v>15</v>
      </c>
      <c r="D245" t="s">
        <v>10</v>
      </c>
      <c r="E245" s="5">
        <v>1683</v>
      </c>
      <c r="F245" t="s">
        <v>9</v>
      </c>
    </row>
    <row r="246" spans="1:6" x14ac:dyDescent="0.3">
      <c r="A246" s="3">
        <v>45904</v>
      </c>
      <c r="B246" t="s">
        <v>24</v>
      </c>
      <c r="C246" t="s">
        <v>7</v>
      </c>
      <c r="D246" t="s">
        <v>11</v>
      </c>
      <c r="E246" s="5">
        <v>4601</v>
      </c>
      <c r="F246" t="s">
        <v>9</v>
      </c>
    </row>
    <row r="247" spans="1:6" x14ac:dyDescent="0.3">
      <c r="A247" s="3">
        <v>45906</v>
      </c>
      <c r="B247" t="s">
        <v>17</v>
      </c>
      <c r="C247" t="s">
        <v>13</v>
      </c>
      <c r="D247" t="s">
        <v>18</v>
      </c>
      <c r="E247" s="5">
        <v>3116</v>
      </c>
      <c r="F247" t="s">
        <v>9</v>
      </c>
    </row>
    <row r="248" spans="1:6" x14ac:dyDescent="0.3">
      <c r="A248" s="3">
        <v>45906</v>
      </c>
      <c r="B248" t="s">
        <v>12</v>
      </c>
      <c r="C248" t="s">
        <v>13</v>
      </c>
      <c r="D248" t="s">
        <v>10</v>
      </c>
      <c r="E248" s="5">
        <v>2794</v>
      </c>
      <c r="F248" t="s">
        <v>9</v>
      </c>
    </row>
    <row r="249" spans="1:6" x14ac:dyDescent="0.3">
      <c r="A249" s="3">
        <v>45907</v>
      </c>
      <c r="B249" t="s">
        <v>25</v>
      </c>
      <c r="C249" t="s">
        <v>26</v>
      </c>
      <c r="D249" t="s">
        <v>10</v>
      </c>
      <c r="E249" s="5">
        <v>653</v>
      </c>
      <c r="F249" t="s">
        <v>9</v>
      </c>
    </row>
    <row r="250" spans="1:6" x14ac:dyDescent="0.3">
      <c r="A250" s="3">
        <v>45908</v>
      </c>
      <c r="B250" t="s">
        <v>21</v>
      </c>
      <c r="C250" t="s">
        <v>19</v>
      </c>
      <c r="D250" t="s">
        <v>16</v>
      </c>
      <c r="E250" s="5">
        <v>56781</v>
      </c>
      <c r="F250" t="s">
        <v>20</v>
      </c>
    </row>
    <row r="251" spans="1:6" x14ac:dyDescent="0.3">
      <c r="A251" s="3">
        <v>45908</v>
      </c>
      <c r="B251" t="s">
        <v>21</v>
      </c>
      <c r="C251" t="s">
        <v>19</v>
      </c>
      <c r="D251" t="s">
        <v>18</v>
      </c>
      <c r="E251" s="5">
        <v>56724</v>
      </c>
      <c r="F251" t="s">
        <v>20</v>
      </c>
    </row>
    <row r="252" spans="1:6" x14ac:dyDescent="0.3">
      <c r="A252" s="3">
        <v>45909</v>
      </c>
      <c r="B252" t="s">
        <v>21</v>
      </c>
      <c r="C252" t="s">
        <v>19</v>
      </c>
      <c r="D252" t="s">
        <v>8</v>
      </c>
      <c r="E252" s="5">
        <v>59827</v>
      </c>
      <c r="F252" t="s">
        <v>20</v>
      </c>
    </row>
    <row r="253" spans="1:6" x14ac:dyDescent="0.3">
      <c r="A253" s="3">
        <v>45911</v>
      </c>
      <c r="B253" t="s">
        <v>6</v>
      </c>
      <c r="C253" t="s">
        <v>7</v>
      </c>
      <c r="D253" t="s">
        <v>18</v>
      </c>
      <c r="E253" s="5">
        <v>3246</v>
      </c>
      <c r="F253" t="s">
        <v>9</v>
      </c>
    </row>
    <row r="254" spans="1:6" x14ac:dyDescent="0.3">
      <c r="A254" s="3">
        <v>45911</v>
      </c>
      <c r="B254" t="s">
        <v>25</v>
      </c>
      <c r="C254" t="s">
        <v>26</v>
      </c>
      <c r="D254" t="s">
        <v>18</v>
      </c>
      <c r="E254" s="5">
        <v>2893</v>
      </c>
      <c r="F254" t="s">
        <v>9</v>
      </c>
    </row>
    <row r="255" spans="1:6" x14ac:dyDescent="0.3">
      <c r="A255" s="3">
        <v>45912</v>
      </c>
      <c r="B255" t="s">
        <v>17</v>
      </c>
      <c r="C255" t="s">
        <v>13</v>
      </c>
      <c r="D255" t="s">
        <v>8</v>
      </c>
      <c r="E255" s="5">
        <v>897</v>
      </c>
      <c r="F255" t="s">
        <v>9</v>
      </c>
    </row>
    <row r="256" spans="1:6" x14ac:dyDescent="0.3">
      <c r="A256" s="3">
        <v>45914</v>
      </c>
      <c r="B256" t="s">
        <v>17</v>
      </c>
      <c r="C256" t="s">
        <v>13</v>
      </c>
      <c r="D256" t="s">
        <v>18</v>
      </c>
      <c r="E256" s="5">
        <v>3695</v>
      </c>
      <c r="F256" t="s">
        <v>9</v>
      </c>
    </row>
    <row r="257" spans="1:6" x14ac:dyDescent="0.3">
      <c r="A257" s="3">
        <v>45915</v>
      </c>
      <c r="B257" t="s">
        <v>19</v>
      </c>
      <c r="C257" t="s">
        <v>19</v>
      </c>
      <c r="D257" t="s">
        <v>16</v>
      </c>
      <c r="E257" s="5">
        <v>36090</v>
      </c>
      <c r="F257" t="s">
        <v>20</v>
      </c>
    </row>
    <row r="258" spans="1:6" x14ac:dyDescent="0.3">
      <c r="A258" s="3">
        <v>45915</v>
      </c>
      <c r="B258" t="s">
        <v>21</v>
      </c>
      <c r="C258" t="s">
        <v>19</v>
      </c>
      <c r="D258" t="s">
        <v>8</v>
      </c>
      <c r="E258" s="5">
        <v>47893</v>
      </c>
      <c r="F258" t="s">
        <v>20</v>
      </c>
    </row>
    <row r="259" spans="1:6" x14ac:dyDescent="0.3">
      <c r="A259" s="3">
        <v>45917</v>
      </c>
      <c r="B259" t="s">
        <v>17</v>
      </c>
      <c r="C259" t="s">
        <v>13</v>
      </c>
      <c r="D259" t="s">
        <v>11</v>
      </c>
      <c r="E259" s="5">
        <v>3199</v>
      </c>
      <c r="F259" t="s">
        <v>9</v>
      </c>
    </row>
    <row r="260" spans="1:6" x14ac:dyDescent="0.3">
      <c r="A260" s="3">
        <v>45919</v>
      </c>
      <c r="B260" t="s">
        <v>12</v>
      </c>
      <c r="C260" t="s">
        <v>13</v>
      </c>
      <c r="D260" t="s">
        <v>11</v>
      </c>
      <c r="E260" s="5">
        <v>879</v>
      </c>
      <c r="F260" t="s">
        <v>9</v>
      </c>
    </row>
    <row r="261" spans="1:6" x14ac:dyDescent="0.3">
      <c r="A261" s="3">
        <v>45919</v>
      </c>
      <c r="B261" t="s">
        <v>22</v>
      </c>
      <c r="C261" t="s">
        <v>23</v>
      </c>
      <c r="D261" t="s">
        <v>18</v>
      </c>
      <c r="E261" s="5">
        <v>265</v>
      </c>
      <c r="F261" t="s">
        <v>9</v>
      </c>
    </row>
    <row r="262" spans="1:6" x14ac:dyDescent="0.3">
      <c r="A262" s="3">
        <v>45921</v>
      </c>
      <c r="B262" t="s">
        <v>6</v>
      </c>
      <c r="C262" t="s">
        <v>7</v>
      </c>
      <c r="D262" t="s">
        <v>10</v>
      </c>
      <c r="E262" s="5">
        <v>1670</v>
      </c>
      <c r="F262" t="s">
        <v>9</v>
      </c>
    </row>
    <row r="263" spans="1:6" x14ac:dyDescent="0.3">
      <c r="A263" s="3">
        <v>45922</v>
      </c>
      <c r="B263" t="s">
        <v>17</v>
      </c>
      <c r="C263" t="s">
        <v>13</v>
      </c>
      <c r="D263" t="s">
        <v>11</v>
      </c>
      <c r="E263" s="5">
        <v>4519</v>
      </c>
      <c r="F263" t="s">
        <v>9</v>
      </c>
    </row>
    <row r="264" spans="1:6" x14ac:dyDescent="0.3">
      <c r="A264" s="3">
        <v>45924</v>
      </c>
      <c r="B264" t="s">
        <v>24</v>
      </c>
      <c r="C264" t="s">
        <v>7</v>
      </c>
      <c r="D264" t="s">
        <v>11</v>
      </c>
      <c r="E264" s="5">
        <v>187</v>
      </c>
      <c r="F264" t="s">
        <v>9</v>
      </c>
    </row>
    <row r="265" spans="1:6" x14ac:dyDescent="0.3">
      <c r="A265" s="3">
        <v>45926</v>
      </c>
      <c r="B265" t="s">
        <v>12</v>
      </c>
      <c r="C265" t="s">
        <v>13</v>
      </c>
      <c r="D265" t="s">
        <v>11</v>
      </c>
      <c r="E265" s="5">
        <v>849</v>
      </c>
      <c r="F265" t="s">
        <v>9</v>
      </c>
    </row>
    <row r="266" spans="1:6" x14ac:dyDescent="0.3">
      <c r="A266" s="3">
        <v>45926</v>
      </c>
      <c r="B266" t="s">
        <v>25</v>
      </c>
      <c r="C266" t="s">
        <v>26</v>
      </c>
      <c r="D266" t="s">
        <v>8</v>
      </c>
      <c r="E266" s="5">
        <v>3563</v>
      </c>
      <c r="F266" t="s">
        <v>9</v>
      </c>
    </row>
    <row r="267" spans="1:6" x14ac:dyDescent="0.3">
      <c r="A267" s="3">
        <v>45927</v>
      </c>
      <c r="B267" t="s">
        <v>12</v>
      </c>
      <c r="C267" t="s">
        <v>13</v>
      </c>
      <c r="D267" t="s">
        <v>16</v>
      </c>
      <c r="E267" s="5">
        <v>3975</v>
      </c>
      <c r="F267" t="s">
        <v>9</v>
      </c>
    </row>
    <row r="268" spans="1:6" x14ac:dyDescent="0.3">
      <c r="A268" s="3">
        <v>45929</v>
      </c>
      <c r="B268" t="s">
        <v>12</v>
      </c>
      <c r="C268" t="s">
        <v>13</v>
      </c>
      <c r="D268" t="s">
        <v>8</v>
      </c>
      <c r="E268" s="5">
        <v>3035</v>
      </c>
      <c r="F268" t="s">
        <v>9</v>
      </c>
    </row>
    <row r="269" spans="1:6" x14ac:dyDescent="0.3">
      <c r="A269" s="3">
        <v>45931</v>
      </c>
      <c r="B269" t="s">
        <v>17</v>
      </c>
      <c r="C269" t="s">
        <v>13</v>
      </c>
      <c r="D269" t="s">
        <v>8</v>
      </c>
      <c r="E269" s="5">
        <v>4534</v>
      </c>
      <c r="F269" t="s">
        <v>9</v>
      </c>
    </row>
    <row r="270" spans="1:6" x14ac:dyDescent="0.3">
      <c r="A270" s="3">
        <v>45933</v>
      </c>
      <c r="B270" t="s">
        <v>25</v>
      </c>
      <c r="C270" t="s">
        <v>26</v>
      </c>
      <c r="D270" t="s">
        <v>8</v>
      </c>
      <c r="E270" s="5">
        <v>493</v>
      </c>
      <c r="F270" t="s">
        <v>9</v>
      </c>
    </row>
    <row r="271" spans="1:6" x14ac:dyDescent="0.3">
      <c r="A271" s="3">
        <v>45935</v>
      </c>
      <c r="B271" t="s">
        <v>25</v>
      </c>
      <c r="C271" t="s">
        <v>26</v>
      </c>
      <c r="D271" t="s">
        <v>11</v>
      </c>
      <c r="E271" s="5">
        <v>1836</v>
      </c>
      <c r="F271" t="s">
        <v>9</v>
      </c>
    </row>
    <row r="272" spans="1:6" x14ac:dyDescent="0.3">
      <c r="A272" s="3">
        <v>45937</v>
      </c>
      <c r="B272" t="s">
        <v>17</v>
      </c>
      <c r="C272" t="s">
        <v>13</v>
      </c>
      <c r="D272" t="s">
        <v>16</v>
      </c>
      <c r="E272" s="5">
        <v>587</v>
      </c>
      <c r="F272" t="s">
        <v>9</v>
      </c>
    </row>
    <row r="273" spans="1:6" x14ac:dyDescent="0.3">
      <c r="A273" s="3">
        <v>45939</v>
      </c>
      <c r="B273" t="s">
        <v>19</v>
      </c>
      <c r="C273" t="s">
        <v>19</v>
      </c>
      <c r="D273" t="s">
        <v>8</v>
      </c>
      <c r="E273" s="5">
        <v>53859</v>
      </c>
      <c r="F273" t="s">
        <v>20</v>
      </c>
    </row>
    <row r="274" spans="1:6" x14ac:dyDescent="0.3">
      <c r="A274" s="3">
        <v>45941</v>
      </c>
      <c r="B274" t="s">
        <v>25</v>
      </c>
      <c r="C274" t="s">
        <v>26</v>
      </c>
      <c r="D274" t="s">
        <v>8</v>
      </c>
      <c r="E274" s="5">
        <v>3251</v>
      </c>
      <c r="F274" t="s">
        <v>9</v>
      </c>
    </row>
    <row r="275" spans="1:6" x14ac:dyDescent="0.3">
      <c r="A275" s="3">
        <v>45941</v>
      </c>
      <c r="B275" t="s">
        <v>25</v>
      </c>
      <c r="C275" t="s">
        <v>26</v>
      </c>
      <c r="D275" t="s">
        <v>18</v>
      </c>
      <c r="E275" s="5">
        <v>2133</v>
      </c>
      <c r="F275" t="s">
        <v>9</v>
      </c>
    </row>
    <row r="276" spans="1:6" x14ac:dyDescent="0.3">
      <c r="A276" s="3">
        <v>45943</v>
      </c>
      <c r="B276" t="s">
        <v>19</v>
      </c>
      <c r="C276" t="s">
        <v>19</v>
      </c>
      <c r="D276" t="s">
        <v>10</v>
      </c>
      <c r="E276" s="5">
        <v>59186</v>
      </c>
      <c r="F276" t="s">
        <v>20</v>
      </c>
    </row>
    <row r="277" spans="1:6" x14ac:dyDescent="0.3">
      <c r="A277" s="3">
        <v>45943</v>
      </c>
      <c r="B277" t="s">
        <v>24</v>
      </c>
      <c r="C277" t="s">
        <v>7</v>
      </c>
      <c r="D277" t="s">
        <v>8</v>
      </c>
      <c r="E277" s="5">
        <v>586</v>
      </c>
      <c r="F277" t="s">
        <v>9</v>
      </c>
    </row>
    <row r="278" spans="1:6" x14ac:dyDescent="0.3">
      <c r="A278" s="3">
        <v>45944</v>
      </c>
      <c r="B278" t="s">
        <v>21</v>
      </c>
      <c r="C278" t="s">
        <v>19</v>
      </c>
      <c r="D278" t="s">
        <v>8</v>
      </c>
      <c r="E278" s="5">
        <v>30783</v>
      </c>
      <c r="F278" t="s">
        <v>20</v>
      </c>
    </row>
    <row r="279" spans="1:6" x14ac:dyDescent="0.3">
      <c r="A279" s="3">
        <v>45944</v>
      </c>
      <c r="B279" t="s">
        <v>24</v>
      </c>
      <c r="C279" t="s">
        <v>7</v>
      </c>
      <c r="D279" t="s">
        <v>16</v>
      </c>
      <c r="E279" s="5">
        <v>3069</v>
      </c>
      <c r="F279" t="s">
        <v>9</v>
      </c>
    </row>
    <row r="280" spans="1:6" x14ac:dyDescent="0.3">
      <c r="A280" s="3">
        <v>45944</v>
      </c>
      <c r="B280" t="s">
        <v>21</v>
      </c>
      <c r="C280" t="s">
        <v>19</v>
      </c>
      <c r="D280" t="s">
        <v>8</v>
      </c>
      <c r="E280" s="5">
        <v>54992</v>
      </c>
      <c r="F280" t="s">
        <v>20</v>
      </c>
    </row>
    <row r="281" spans="1:6" x14ac:dyDescent="0.3">
      <c r="A281" s="3">
        <v>45944</v>
      </c>
      <c r="B281" t="s">
        <v>19</v>
      </c>
      <c r="C281" t="s">
        <v>19</v>
      </c>
      <c r="D281" t="s">
        <v>10</v>
      </c>
      <c r="E281" s="5">
        <v>32897</v>
      </c>
      <c r="F281" t="s">
        <v>20</v>
      </c>
    </row>
    <row r="282" spans="1:6" x14ac:dyDescent="0.3">
      <c r="A282" s="3">
        <v>45944</v>
      </c>
      <c r="B282" t="s">
        <v>22</v>
      </c>
      <c r="C282" t="s">
        <v>23</v>
      </c>
      <c r="D282" t="s">
        <v>18</v>
      </c>
      <c r="E282" s="5">
        <v>130</v>
      </c>
      <c r="F282" t="s">
        <v>9</v>
      </c>
    </row>
    <row r="283" spans="1:6" x14ac:dyDescent="0.3">
      <c r="A283" s="3">
        <v>45946</v>
      </c>
      <c r="B283" t="s">
        <v>22</v>
      </c>
      <c r="C283" t="s">
        <v>23</v>
      </c>
      <c r="D283" t="s">
        <v>11</v>
      </c>
      <c r="E283" s="5">
        <v>3740</v>
      </c>
      <c r="F283" t="s">
        <v>9</v>
      </c>
    </row>
    <row r="284" spans="1:6" x14ac:dyDescent="0.3">
      <c r="A284" s="3">
        <v>45947</v>
      </c>
      <c r="B284" t="s">
        <v>12</v>
      </c>
      <c r="C284" t="s">
        <v>13</v>
      </c>
      <c r="D284" t="s">
        <v>10</v>
      </c>
      <c r="E284" s="5">
        <v>1677</v>
      </c>
      <c r="F284" t="s">
        <v>9</v>
      </c>
    </row>
    <row r="285" spans="1:6" x14ac:dyDescent="0.3">
      <c r="A285" s="3">
        <v>45947</v>
      </c>
      <c r="B285" t="s">
        <v>19</v>
      </c>
      <c r="C285" t="s">
        <v>19</v>
      </c>
      <c r="D285" t="s">
        <v>16</v>
      </c>
      <c r="E285" s="5">
        <v>54495</v>
      </c>
      <c r="F285" t="s">
        <v>20</v>
      </c>
    </row>
    <row r="286" spans="1:6" x14ac:dyDescent="0.3">
      <c r="A286" s="3">
        <v>45948</v>
      </c>
      <c r="B286" t="s">
        <v>6</v>
      </c>
      <c r="C286" t="s">
        <v>7</v>
      </c>
      <c r="D286" t="s">
        <v>16</v>
      </c>
      <c r="E286" s="5">
        <v>2562</v>
      </c>
      <c r="F286" t="s">
        <v>9</v>
      </c>
    </row>
    <row r="287" spans="1:6" x14ac:dyDescent="0.3">
      <c r="A287" s="3">
        <v>45949</v>
      </c>
      <c r="B287" t="s">
        <v>14</v>
      </c>
      <c r="C287" t="s">
        <v>15</v>
      </c>
      <c r="D287" t="s">
        <v>16</v>
      </c>
      <c r="E287" s="5">
        <v>3016</v>
      </c>
      <c r="F287" t="s">
        <v>9</v>
      </c>
    </row>
    <row r="288" spans="1:6" x14ac:dyDescent="0.3">
      <c r="A288" s="3">
        <v>45951</v>
      </c>
      <c r="B288" t="s">
        <v>25</v>
      </c>
      <c r="C288" t="s">
        <v>26</v>
      </c>
      <c r="D288" t="s">
        <v>11</v>
      </c>
      <c r="E288" s="5">
        <v>2888</v>
      </c>
      <c r="F288" t="s">
        <v>9</v>
      </c>
    </row>
    <row r="289" spans="1:6" x14ac:dyDescent="0.3">
      <c r="A289" s="3">
        <v>45952</v>
      </c>
      <c r="B289" t="s">
        <v>6</v>
      </c>
      <c r="C289" t="s">
        <v>7</v>
      </c>
      <c r="D289" t="s">
        <v>8</v>
      </c>
      <c r="E289" s="5">
        <v>3382</v>
      </c>
      <c r="F289" t="s">
        <v>9</v>
      </c>
    </row>
    <row r="290" spans="1:6" x14ac:dyDescent="0.3">
      <c r="A290" s="3">
        <v>45952</v>
      </c>
      <c r="B290" t="s">
        <v>14</v>
      </c>
      <c r="C290" t="s">
        <v>15</v>
      </c>
      <c r="D290" t="s">
        <v>11</v>
      </c>
      <c r="E290" s="5">
        <v>1225</v>
      </c>
      <c r="F290" t="s">
        <v>9</v>
      </c>
    </row>
    <row r="291" spans="1:6" x14ac:dyDescent="0.3">
      <c r="A291" s="3">
        <v>45952</v>
      </c>
      <c r="B291" t="s">
        <v>17</v>
      </c>
      <c r="C291" t="s">
        <v>13</v>
      </c>
      <c r="D291" t="s">
        <v>18</v>
      </c>
      <c r="E291" s="5">
        <v>367</v>
      </c>
      <c r="F291" t="s">
        <v>9</v>
      </c>
    </row>
    <row r="292" spans="1:6" x14ac:dyDescent="0.3">
      <c r="A292" s="3">
        <v>45954</v>
      </c>
      <c r="B292" t="s">
        <v>22</v>
      </c>
      <c r="C292" t="s">
        <v>23</v>
      </c>
      <c r="D292" t="s">
        <v>8</v>
      </c>
      <c r="E292" s="5">
        <v>643</v>
      </c>
      <c r="F292" t="s">
        <v>9</v>
      </c>
    </row>
    <row r="293" spans="1:6" x14ac:dyDescent="0.3">
      <c r="A293" s="3">
        <v>45956</v>
      </c>
      <c r="B293" t="s">
        <v>21</v>
      </c>
      <c r="C293" t="s">
        <v>19</v>
      </c>
      <c r="D293" t="s">
        <v>8</v>
      </c>
      <c r="E293" s="5">
        <v>44074</v>
      </c>
      <c r="F293" t="s">
        <v>20</v>
      </c>
    </row>
    <row r="294" spans="1:6" x14ac:dyDescent="0.3">
      <c r="A294" s="3">
        <v>45957</v>
      </c>
      <c r="B294" t="s">
        <v>19</v>
      </c>
      <c r="C294" t="s">
        <v>19</v>
      </c>
      <c r="D294" t="s">
        <v>8</v>
      </c>
      <c r="E294" s="5">
        <v>53155</v>
      </c>
      <c r="F294" t="s">
        <v>20</v>
      </c>
    </row>
    <row r="295" spans="1:6" x14ac:dyDescent="0.3">
      <c r="A295" s="3">
        <v>45957</v>
      </c>
      <c r="B295" t="s">
        <v>24</v>
      </c>
      <c r="C295" t="s">
        <v>7</v>
      </c>
      <c r="D295" t="s">
        <v>8</v>
      </c>
      <c r="E295" s="5">
        <v>4393</v>
      </c>
      <c r="F295" t="s">
        <v>9</v>
      </c>
    </row>
    <row r="296" spans="1:6" x14ac:dyDescent="0.3">
      <c r="A296" s="3">
        <v>45959</v>
      </c>
      <c r="B296" t="s">
        <v>22</v>
      </c>
      <c r="C296" t="s">
        <v>23</v>
      </c>
      <c r="D296" t="s">
        <v>16</v>
      </c>
      <c r="E296" s="5">
        <v>2618</v>
      </c>
      <c r="F296" t="s">
        <v>9</v>
      </c>
    </row>
    <row r="297" spans="1:6" x14ac:dyDescent="0.3">
      <c r="A297" s="3">
        <v>45961</v>
      </c>
      <c r="B297" t="s">
        <v>12</v>
      </c>
      <c r="C297" t="s">
        <v>13</v>
      </c>
      <c r="D297" t="s">
        <v>18</v>
      </c>
      <c r="E297" s="5">
        <v>130</v>
      </c>
      <c r="F297" t="s">
        <v>9</v>
      </c>
    </row>
    <row r="298" spans="1:6" x14ac:dyDescent="0.3">
      <c r="A298" s="3">
        <v>45963</v>
      </c>
      <c r="B298" t="s">
        <v>12</v>
      </c>
      <c r="C298" t="s">
        <v>13</v>
      </c>
      <c r="D298" t="s">
        <v>18</v>
      </c>
      <c r="E298" s="5">
        <v>945</v>
      </c>
      <c r="F298" t="s">
        <v>9</v>
      </c>
    </row>
    <row r="299" spans="1:6" x14ac:dyDescent="0.3">
      <c r="A299" s="3">
        <v>45964</v>
      </c>
      <c r="B299" t="s">
        <v>24</v>
      </c>
      <c r="C299" t="s">
        <v>7</v>
      </c>
      <c r="D299" t="s">
        <v>8</v>
      </c>
      <c r="E299" s="5">
        <v>1510</v>
      </c>
      <c r="F299" t="s">
        <v>9</v>
      </c>
    </row>
    <row r="300" spans="1:6" x14ac:dyDescent="0.3">
      <c r="A300" s="3">
        <v>45964</v>
      </c>
      <c r="B300" t="s">
        <v>19</v>
      </c>
      <c r="C300" t="s">
        <v>19</v>
      </c>
      <c r="D300" t="s">
        <v>16</v>
      </c>
      <c r="E300" s="5">
        <v>35113</v>
      </c>
      <c r="F300" t="s">
        <v>20</v>
      </c>
    </row>
    <row r="301" spans="1:6" x14ac:dyDescent="0.3">
      <c r="A301" s="3">
        <v>45966</v>
      </c>
      <c r="B301" t="s">
        <v>17</v>
      </c>
      <c r="C301" t="s">
        <v>13</v>
      </c>
      <c r="D301" t="s">
        <v>11</v>
      </c>
      <c r="E301" s="5">
        <v>4031</v>
      </c>
      <c r="F301" t="s">
        <v>9</v>
      </c>
    </row>
    <row r="302" spans="1:6" x14ac:dyDescent="0.3">
      <c r="A302" s="3">
        <v>45966</v>
      </c>
      <c r="B302" t="s">
        <v>17</v>
      </c>
      <c r="C302" t="s">
        <v>13</v>
      </c>
      <c r="D302" t="s">
        <v>16</v>
      </c>
      <c r="E302" s="5">
        <v>1197</v>
      </c>
      <c r="F302" t="s">
        <v>9</v>
      </c>
    </row>
    <row r="303" spans="1:6" x14ac:dyDescent="0.3">
      <c r="A303" s="3">
        <v>45966</v>
      </c>
      <c r="B303" t="s">
        <v>21</v>
      </c>
      <c r="C303" t="s">
        <v>19</v>
      </c>
      <c r="D303" t="s">
        <v>11</v>
      </c>
      <c r="E303" s="5">
        <v>59829</v>
      </c>
      <c r="F303" t="s">
        <v>20</v>
      </c>
    </row>
    <row r="304" spans="1:6" x14ac:dyDescent="0.3">
      <c r="A304" s="3">
        <v>45968</v>
      </c>
      <c r="B304" t="s">
        <v>24</v>
      </c>
      <c r="C304" t="s">
        <v>7</v>
      </c>
      <c r="D304" t="s">
        <v>10</v>
      </c>
      <c r="E304" s="5">
        <v>1487</v>
      </c>
      <c r="F304" t="s">
        <v>9</v>
      </c>
    </row>
    <row r="305" spans="1:6" x14ac:dyDescent="0.3">
      <c r="A305" s="3">
        <v>45970</v>
      </c>
      <c r="B305" t="s">
        <v>19</v>
      </c>
      <c r="C305" t="s">
        <v>19</v>
      </c>
      <c r="D305" t="s">
        <v>10</v>
      </c>
      <c r="E305" s="5">
        <v>56972</v>
      </c>
      <c r="F305" t="s">
        <v>20</v>
      </c>
    </row>
    <row r="306" spans="1:6" x14ac:dyDescent="0.3">
      <c r="A306" s="3">
        <v>45970</v>
      </c>
      <c r="B306" t="s">
        <v>22</v>
      </c>
      <c r="C306" t="s">
        <v>23</v>
      </c>
      <c r="D306" t="s">
        <v>10</v>
      </c>
      <c r="E306" s="5">
        <v>2206</v>
      </c>
      <c r="F306" t="s">
        <v>9</v>
      </c>
    </row>
    <row r="307" spans="1:6" x14ac:dyDescent="0.3">
      <c r="A307" s="3">
        <v>45971</v>
      </c>
      <c r="B307" t="s">
        <v>24</v>
      </c>
      <c r="C307" t="s">
        <v>7</v>
      </c>
      <c r="D307" t="s">
        <v>8</v>
      </c>
      <c r="E307" s="5">
        <v>3289</v>
      </c>
      <c r="F307" t="s">
        <v>9</v>
      </c>
    </row>
    <row r="308" spans="1:6" x14ac:dyDescent="0.3">
      <c r="A308" s="3">
        <v>45973</v>
      </c>
      <c r="B308" t="s">
        <v>12</v>
      </c>
      <c r="C308" t="s">
        <v>13</v>
      </c>
      <c r="D308" t="s">
        <v>16</v>
      </c>
      <c r="E308" s="5">
        <v>3225</v>
      </c>
      <c r="F308" t="s">
        <v>9</v>
      </c>
    </row>
    <row r="309" spans="1:6" x14ac:dyDescent="0.3">
      <c r="A309" s="3">
        <v>45973</v>
      </c>
      <c r="B309" t="s">
        <v>19</v>
      </c>
      <c r="C309" t="s">
        <v>19</v>
      </c>
      <c r="D309" t="s">
        <v>16</v>
      </c>
      <c r="E309" s="5">
        <v>54944</v>
      </c>
      <c r="F309" t="s">
        <v>20</v>
      </c>
    </row>
    <row r="310" spans="1:6" x14ac:dyDescent="0.3">
      <c r="A310" s="3">
        <v>45974</v>
      </c>
      <c r="B310" t="s">
        <v>6</v>
      </c>
      <c r="C310" t="s">
        <v>7</v>
      </c>
      <c r="D310" t="s">
        <v>11</v>
      </c>
      <c r="E310" s="5">
        <v>196</v>
      </c>
      <c r="F310" t="s">
        <v>9</v>
      </c>
    </row>
    <row r="311" spans="1:6" x14ac:dyDescent="0.3">
      <c r="A311" s="3">
        <v>45975</v>
      </c>
      <c r="B311" t="s">
        <v>19</v>
      </c>
      <c r="C311" t="s">
        <v>19</v>
      </c>
      <c r="D311" t="s">
        <v>18</v>
      </c>
      <c r="E311" s="5">
        <v>48542</v>
      </c>
      <c r="F311" t="s">
        <v>20</v>
      </c>
    </row>
    <row r="312" spans="1:6" x14ac:dyDescent="0.3">
      <c r="A312" s="3">
        <v>45976</v>
      </c>
      <c r="B312" t="s">
        <v>21</v>
      </c>
      <c r="C312" t="s">
        <v>19</v>
      </c>
      <c r="D312" t="s">
        <v>16</v>
      </c>
      <c r="E312" s="5">
        <v>53200</v>
      </c>
      <c r="F312" t="s">
        <v>20</v>
      </c>
    </row>
    <row r="313" spans="1:6" x14ac:dyDescent="0.3">
      <c r="A313" s="3">
        <v>45978</v>
      </c>
      <c r="B313" t="s">
        <v>25</v>
      </c>
      <c r="C313" t="s">
        <v>26</v>
      </c>
      <c r="D313" t="s">
        <v>10</v>
      </c>
      <c r="E313" s="5">
        <v>4939</v>
      </c>
      <c r="F313" t="s">
        <v>9</v>
      </c>
    </row>
    <row r="314" spans="1:6" x14ac:dyDescent="0.3">
      <c r="A314" s="3">
        <v>45978</v>
      </c>
      <c r="B314" t="s">
        <v>22</v>
      </c>
      <c r="C314" t="s">
        <v>23</v>
      </c>
      <c r="D314" t="s">
        <v>11</v>
      </c>
      <c r="E314" s="5">
        <v>286</v>
      </c>
      <c r="F314" t="s">
        <v>9</v>
      </c>
    </row>
    <row r="315" spans="1:6" x14ac:dyDescent="0.3">
      <c r="A315" s="3">
        <v>45980</v>
      </c>
      <c r="B315" t="s">
        <v>21</v>
      </c>
      <c r="C315" t="s">
        <v>19</v>
      </c>
      <c r="D315" t="s">
        <v>18</v>
      </c>
      <c r="E315" s="5">
        <v>49428</v>
      </c>
      <c r="F315" t="s">
        <v>20</v>
      </c>
    </row>
    <row r="316" spans="1:6" x14ac:dyDescent="0.3">
      <c r="A316" s="3">
        <v>45981</v>
      </c>
      <c r="B316" t="s">
        <v>12</v>
      </c>
      <c r="C316" t="s">
        <v>13</v>
      </c>
      <c r="D316" t="s">
        <v>16</v>
      </c>
      <c r="E316" s="5">
        <v>828</v>
      </c>
      <c r="F316" t="s">
        <v>9</v>
      </c>
    </row>
    <row r="317" spans="1:6" x14ac:dyDescent="0.3">
      <c r="A317" s="3">
        <v>45981</v>
      </c>
      <c r="B317" t="s">
        <v>17</v>
      </c>
      <c r="C317" t="s">
        <v>13</v>
      </c>
      <c r="D317" t="s">
        <v>11</v>
      </c>
      <c r="E317" s="5">
        <v>545</v>
      </c>
      <c r="F317" t="s">
        <v>9</v>
      </c>
    </row>
    <row r="318" spans="1:6" x14ac:dyDescent="0.3">
      <c r="A318" s="3">
        <v>45983</v>
      </c>
      <c r="B318" t="s">
        <v>24</v>
      </c>
      <c r="C318" t="s">
        <v>7</v>
      </c>
      <c r="D318" t="s">
        <v>16</v>
      </c>
      <c r="E318" s="5">
        <v>3333</v>
      </c>
      <c r="F318" t="s">
        <v>9</v>
      </c>
    </row>
    <row r="319" spans="1:6" x14ac:dyDescent="0.3">
      <c r="A319" s="3">
        <v>45984</v>
      </c>
      <c r="B319" t="s">
        <v>24</v>
      </c>
      <c r="C319" t="s">
        <v>7</v>
      </c>
      <c r="D319" t="s">
        <v>8</v>
      </c>
      <c r="E319" s="5">
        <v>370</v>
      </c>
      <c r="F319" t="s">
        <v>9</v>
      </c>
    </row>
    <row r="320" spans="1:6" x14ac:dyDescent="0.3">
      <c r="A320" s="3">
        <v>45985</v>
      </c>
      <c r="B320" t="s">
        <v>14</v>
      </c>
      <c r="C320" t="s">
        <v>15</v>
      </c>
      <c r="D320" t="s">
        <v>18</v>
      </c>
      <c r="E320" s="5">
        <v>861</v>
      </c>
      <c r="F320" t="s">
        <v>9</v>
      </c>
    </row>
    <row r="321" spans="1:6" x14ac:dyDescent="0.3">
      <c r="A321" s="3">
        <v>45987</v>
      </c>
      <c r="B321" t="s">
        <v>21</v>
      </c>
      <c r="C321" t="s">
        <v>19</v>
      </c>
      <c r="D321" t="s">
        <v>10</v>
      </c>
      <c r="E321" s="5">
        <v>52424</v>
      </c>
      <c r="F321" t="s">
        <v>20</v>
      </c>
    </row>
    <row r="322" spans="1:6" x14ac:dyDescent="0.3">
      <c r="A322" s="3">
        <v>45987</v>
      </c>
      <c r="B322" t="s">
        <v>19</v>
      </c>
      <c r="C322" t="s">
        <v>19</v>
      </c>
      <c r="D322" t="s">
        <v>10</v>
      </c>
      <c r="E322" s="5">
        <v>44819</v>
      </c>
      <c r="F322" t="s">
        <v>20</v>
      </c>
    </row>
    <row r="323" spans="1:6" x14ac:dyDescent="0.3">
      <c r="A323" s="3">
        <v>45988</v>
      </c>
      <c r="B323" t="s">
        <v>19</v>
      </c>
      <c r="C323" t="s">
        <v>19</v>
      </c>
      <c r="D323" t="s">
        <v>16</v>
      </c>
      <c r="E323" s="5">
        <v>47515</v>
      </c>
      <c r="F323" t="s">
        <v>20</v>
      </c>
    </row>
    <row r="324" spans="1:6" x14ac:dyDescent="0.3">
      <c r="A324" s="3">
        <v>45989</v>
      </c>
      <c r="B324" t="s">
        <v>14</v>
      </c>
      <c r="C324" t="s">
        <v>15</v>
      </c>
      <c r="D324" t="s">
        <v>18</v>
      </c>
      <c r="E324" s="5">
        <v>3926</v>
      </c>
      <c r="F324" t="s">
        <v>9</v>
      </c>
    </row>
    <row r="325" spans="1:6" x14ac:dyDescent="0.3">
      <c r="A325" s="3">
        <v>45990</v>
      </c>
      <c r="B325" t="s">
        <v>12</v>
      </c>
      <c r="C325" t="s">
        <v>13</v>
      </c>
      <c r="D325" t="s">
        <v>16</v>
      </c>
      <c r="E325" s="5">
        <v>3298</v>
      </c>
      <c r="F325" t="s">
        <v>9</v>
      </c>
    </row>
    <row r="326" spans="1:6" x14ac:dyDescent="0.3">
      <c r="A326" s="3">
        <v>45990</v>
      </c>
      <c r="B326" t="s">
        <v>24</v>
      </c>
      <c r="C326" t="s">
        <v>7</v>
      </c>
      <c r="D326" t="s">
        <v>8</v>
      </c>
      <c r="E326" s="5">
        <v>3772</v>
      </c>
      <c r="F326" t="s">
        <v>9</v>
      </c>
    </row>
    <row r="327" spans="1:6" x14ac:dyDescent="0.3">
      <c r="A327" s="3">
        <v>45991</v>
      </c>
      <c r="B327" t="s">
        <v>17</v>
      </c>
      <c r="C327" t="s">
        <v>13</v>
      </c>
      <c r="D327" t="s">
        <v>10</v>
      </c>
      <c r="E327" s="5">
        <v>1583</v>
      </c>
      <c r="F327" t="s">
        <v>9</v>
      </c>
    </row>
    <row r="328" spans="1:6" x14ac:dyDescent="0.3">
      <c r="A328" s="3">
        <v>45993</v>
      </c>
      <c r="B328" t="s">
        <v>21</v>
      </c>
      <c r="C328" t="s">
        <v>19</v>
      </c>
      <c r="D328" t="s">
        <v>16</v>
      </c>
      <c r="E328" s="5">
        <v>49928</v>
      </c>
      <c r="F328" t="s">
        <v>20</v>
      </c>
    </row>
    <row r="329" spans="1:6" x14ac:dyDescent="0.3">
      <c r="A329" s="3">
        <v>45993</v>
      </c>
      <c r="B329" t="s">
        <v>25</v>
      </c>
      <c r="C329" t="s">
        <v>26</v>
      </c>
      <c r="D329" t="s">
        <v>11</v>
      </c>
      <c r="E329" s="5">
        <v>2936</v>
      </c>
      <c r="F329" t="s">
        <v>9</v>
      </c>
    </row>
    <row r="330" spans="1:6" x14ac:dyDescent="0.3">
      <c r="A330" s="3">
        <v>45993</v>
      </c>
      <c r="B330" t="s">
        <v>6</v>
      </c>
      <c r="C330" t="s">
        <v>7</v>
      </c>
      <c r="D330" t="s">
        <v>8</v>
      </c>
      <c r="E330" s="5">
        <v>2121</v>
      </c>
      <c r="F330" t="s">
        <v>9</v>
      </c>
    </row>
    <row r="331" spans="1:6" x14ac:dyDescent="0.3">
      <c r="A331" s="3">
        <v>45994</v>
      </c>
      <c r="B331" t="s">
        <v>24</v>
      </c>
      <c r="C331" t="s">
        <v>7</v>
      </c>
      <c r="D331" t="s">
        <v>16</v>
      </c>
      <c r="E331" s="5">
        <v>4811</v>
      </c>
      <c r="F331" t="s">
        <v>9</v>
      </c>
    </row>
    <row r="332" spans="1:6" x14ac:dyDescent="0.3">
      <c r="A332" s="3">
        <v>45996</v>
      </c>
      <c r="B332" t="s">
        <v>21</v>
      </c>
      <c r="C332" t="s">
        <v>19</v>
      </c>
      <c r="D332" t="s">
        <v>11</v>
      </c>
      <c r="E332" s="5">
        <v>39445</v>
      </c>
      <c r="F332" t="s">
        <v>20</v>
      </c>
    </row>
    <row r="333" spans="1:6" x14ac:dyDescent="0.3">
      <c r="A333" s="3">
        <v>45996</v>
      </c>
      <c r="B333" t="s">
        <v>21</v>
      </c>
      <c r="C333" t="s">
        <v>19</v>
      </c>
      <c r="D333" t="s">
        <v>10</v>
      </c>
      <c r="E333" s="5">
        <v>51000</v>
      </c>
      <c r="F333" t="s">
        <v>20</v>
      </c>
    </row>
    <row r="334" spans="1:6" x14ac:dyDescent="0.3">
      <c r="A334" s="3">
        <v>45998</v>
      </c>
      <c r="B334" t="s">
        <v>6</v>
      </c>
      <c r="C334" t="s">
        <v>7</v>
      </c>
      <c r="D334" t="s">
        <v>18</v>
      </c>
      <c r="E334" s="5">
        <v>4627</v>
      </c>
      <c r="F334" t="s">
        <v>9</v>
      </c>
    </row>
    <row r="335" spans="1:6" x14ac:dyDescent="0.3">
      <c r="A335" s="3">
        <v>45999</v>
      </c>
      <c r="B335" t="s">
        <v>22</v>
      </c>
      <c r="C335" t="s">
        <v>23</v>
      </c>
      <c r="D335" t="s">
        <v>10</v>
      </c>
      <c r="E335" s="5">
        <v>2835</v>
      </c>
      <c r="F335" t="s">
        <v>9</v>
      </c>
    </row>
    <row r="336" spans="1:6" x14ac:dyDescent="0.3">
      <c r="A336" s="3">
        <v>46000</v>
      </c>
      <c r="B336" t="s">
        <v>12</v>
      </c>
      <c r="C336" t="s">
        <v>13</v>
      </c>
      <c r="D336" t="s">
        <v>18</v>
      </c>
      <c r="E336" s="5">
        <v>4721</v>
      </c>
      <c r="F336" t="s">
        <v>9</v>
      </c>
    </row>
    <row r="337" spans="1:6" x14ac:dyDescent="0.3">
      <c r="A337" s="3">
        <v>46001</v>
      </c>
      <c r="B337" t="s">
        <v>17</v>
      </c>
      <c r="C337" t="s">
        <v>13</v>
      </c>
      <c r="D337" t="s">
        <v>10</v>
      </c>
      <c r="E337" s="5">
        <v>3775</v>
      </c>
      <c r="F337" t="s">
        <v>9</v>
      </c>
    </row>
    <row r="338" spans="1:6" x14ac:dyDescent="0.3">
      <c r="A338" s="3">
        <v>46001</v>
      </c>
      <c r="B338" t="s">
        <v>22</v>
      </c>
      <c r="C338" t="s">
        <v>23</v>
      </c>
      <c r="D338" t="s">
        <v>11</v>
      </c>
      <c r="E338" s="5">
        <v>2776</v>
      </c>
      <c r="F338" t="s">
        <v>9</v>
      </c>
    </row>
    <row r="339" spans="1:6" x14ac:dyDescent="0.3">
      <c r="A339" s="3">
        <v>46002</v>
      </c>
      <c r="B339" t="s">
        <v>25</v>
      </c>
      <c r="C339" t="s">
        <v>26</v>
      </c>
      <c r="D339" t="s">
        <v>10</v>
      </c>
      <c r="E339" s="5">
        <v>3554</v>
      </c>
      <c r="F339" t="s">
        <v>9</v>
      </c>
    </row>
    <row r="340" spans="1:6" x14ac:dyDescent="0.3">
      <c r="A340" s="3">
        <v>46002</v>
      </c>
      <c r="B340" t="s">
        <v>24</v>
      </c>
      <c r="C340" t="s">
        <v>7</v>
      </c>
      <c r="D340" t="s">
        <v>10</v>
      </c>
      <c r="E340" s="5">
        <v>339</v>
      </c>
      <c r="F340" t="s">
        <v>9</v>
      </c>
    </row>
    <row r="341" spans="1:6" x14ac:dyDescent="0.3">
      <c r="A341" s="3">
        <v>46003</v>
      </c>
      <c r="B341" t="s">
        <v>14</v>
      </c>
      <c r="C341" t="s">
        <v>15</v>
      </c>
      <c r="D341" t="s">
        <v>16</v>
      </c>
      <c r="E341" s="5">
        <v>723</v>
      </c>
      <c r="F341" t="s">
        <v>9</v>
      </c>
    </row>
    <row r="342" spans="1:6" x14ac:dyDescent="0.3">
      <c r="A342" s="3">
        <v>46004</v>
      </c>
      <c r="B342" t="s">
        <v>25</v>
      </c>
      <c r="C342" t="s">
        <v>26</v>
      </c>
      <c r="D342" t="s">
        <v>18</v>
      </c>
      <c r="E342" s="5">
        <v>3171</v>
      </c>
      <c r="F342" t="s">
        <v>9</v>
      </c>
    </row>
    <row r="343" spans="1:6" x14ac:dyDescent="0.3">
      <c r="A343" s="3">
        <v>46005</v>
      </c>
      <c r="B343" t="s">
        <v>12</v>
      </c>
      <c r="C343" t="s">
        <v>13</v>
      </c>
      <c r="D343" t="s">
        <v>11</v>
      </c>
      <c r="E343" s="5">
        <v>1903</v>
      </c>
      <c r="F343" t="s">
        <v>9</v>
      </c>
    </row>
    <row r="344" spans="1:6" x14ac:dyDescent="0.3">
      <c r="A344" s="3">
        <v>46005</v>
      </c>
      <c r="B344" t="s">
        <v>6</v>
      </c>
      <c r="C344" t="s">
        <v>7</v>
      </c>
      <c r="D344" t="s">
        <v>10</v>
      </c>
      <c r="E344" s="5">
        <v>3715</v>
      </c>
      <c r="F344" t="s">
        <v>9</v>
      </c>
    </row>
    <row r="345" spans="1:6" x14ac:dyDescent="0.3">
      <c r="A345" s="3">
        <v>46007</v>
      </c>
      <c r="B345" t="s">
        <v>19</v>
      </c>
      <c r="C345" t="s">
        <v>19</v>
      </c>
      <c r="D345" t="s">
        <v>11</v>
      </c>
      <c r="E345" s="5">
        <v>45580</v>
      </c>
      <c r="F345" t="s">
        <v>20</v>
      </c>
    </row>
    <row r="346" spans="1:6" x14ac:dyDescent="0.3">
      <c r="A346" s="3">
        <v>46009</v>
      </c>
      <c r="B346" t="s">
        <v>19</v>
      </c>
      <c r="C346" t="s">
        <v>19</v>
      </c>
      <c r="D346" t="s">
        <v>18</v>
      </c>
      <c r="E346" s="5">
        <v>45114</v>
      </c>
      <c r="F346" t="s">
        <v>20</v>
      </c>
    </row>
    <row r="347" spans="1:6" x14ac:dyDescent="0.3">
      <c r="A347" s="3">
        <v>46010</v>
      </c>
      <c r="B347" t="s">
        <v>12</v>
      </c>
      <c r="C347" t="s">
        <v>13</v>
      </c>
      <c r="D347" t="s">
        <v>10</v>
      </c>
      <c r="E347" s="5">
        <v>136</v>
      </c>
      <c r="F347" t="s">
        <v>9</v>
      </c>
    </row>
    <row r="348" spans="1:6" x14ac:dyDescent="0.3">
      <c r="A348" s="3">
        <v>46010</v>
      </c>
      <c r="B348" t="s">
        <v>6</v>
      </c>
      <c r="C348" t="s">
        <v>7</v>
      </c>
      <c r="D348" t="s">
        <v>16</v>
      </c>
      <c r="E348" s="5">
        <v>2313</v>
      </c>
      <c r="F348" t="s">
        <v>9</v>
      </c>
    </row>
    <row r="349" spans="1:6" x14ac:dyDescent="0.3">
      <c r="A349" s="3">
        <v>46010</v>
      </c>
      <c r="B349" t="s">
        <v>14</v>
      </c>
      <c r="C349" t="s">
        <v>15</v>
      </c>
      <c r="D349" t="s">
        <v>11</v>
      </c>
      <c r="E349" s="5">
        <v>4625</v>
      </c>
      <c r="F349" t="s">
        <v>9</v>
      </c>
    </row>
    <row r="350" spans="1:6" x14ac:dyDescent="0.3">
      <c r="A350" s="3">
        <v>46010</v>
      </c>
      <c r="B350" t="s">
        <v>25</v>
      </c>
      <c r="C350" t="s">
        <v>26</v>
      </c>
      <c r="D350" t="s">
        <v>8</v>
      </c>
      <c r="E350" s="5">
        <v>1007</v>
      </c>
      <c r="F350" t="s">
        <v>9</v>
      </c>
    </row>
    <row r="351" spans="1:6" x14ac:dyDescent="0.3">
      <c r="A351" s="3">
        <v>46012</v>
      </c>
      <c r="B351" t="s">
        <v>14</v>
      </c>
      <c r="C351" t="s">
        <v>15</v>
      </c>
      <c r="D351" t="s">
        <v>8</v>
      </c>
      <c r="E351" s="5">
        <v>3710</v>
      </c>
      <c r="F351" t="s">
        <v>9</v>
      </c>
    </row>
    <row r="352" spans="1:6" x14ac:dyDescent="0.3">
      <c r="A352" s="3">
        <v>46013</v>
      </c>
      <c r="B352" t="s">
        <v>25</v>
      </c>
      <c r="C352" t="s">
        <v>26</v>
      </c>
      <c r="D352" t="s">
        <v>18</v>
      </c>
      <c r="E352" s="5">
        <v>2978</v>
      </c>
      <c r="F352" t="s">
        <v>9</v>
      </c>
    </row>
    <row r="353" spans="1:6" x14ac:dyDescent="0.3">
      <c r="A353" s="3">
        <v>46013</v>
      </c>
      <c r="B353" t="s">
        <v>14</v>
      </c>
      <c r="C353" t="s">
        <v>15</v>
      </c>
      <c r="D353" t="s">
        <v>10</v>
      </c>
      <c r="E353" s="5">
        <v>4142</v>
      </c>
      <c r="F353" t="s">
        <v>9</v>
      </c>
    </row>
    <row r="354" spans="1:6" x14ac:dyDescent="0.3">
      <c r="A354" s="3">
        <v>46015</v>
      </c>
      <c r="B354" t="s">
        <v>21</v>
      </c>
      <c r="C354" t="s">
        <v>19</v>
      </c>
      <c r="D354" t="s">
        <v>16</v>
      </c>
      <c r="E354" s="5">
        <v>38447</v>
      </c>
      <c r="F354" t="s">
        <v>20</v>
      </c>
    </row>
    <row r="355" spans="1:6" x14ac:dyDescent="0.3">
      <c r="A355" s="3">
        <v>46015</v>
      </c>
      <c r="B355" t="s">
        <v>6</v>
      </c>
      <c r="C355" t="s">
        <v>7</v>
      </c>
      <c r="D355" t="s">
        <v>8</v>
      </c>
      <c r="E355" s="5">
        <v>4233</v>
      </c>
      <c r="F355" t="s">
        <v>9</v>
      </c>
    </row>
    <row r="356" spans="1:6" x14ac:dyDescent="0.3">
      <c r="A356" s="3">
        <v>46015</v>
      </c>
      <c r="B356" t="s">
        <v>14</v>
      </c>
      <c r="C356" t="s">
        <v>15</v>
      </c>
      <c r="D356" t="s">
        <v>8</v>
      </c>
      <c r="E356" s="5">
        <v>968</v>
      </c>
      <c r="F356" t="s">
        <v>9</v>
      </c>
    </row>
    <row r="357" spans="1:6" x14ac:dyDescent="0.3">
      <c r="A357" s="3">
        <v>46015</v>
      </c>
      <c r="B357" t="s">
        <v>14</v>
      </c>
      <c r="C357" t="s">
        <v>15</v>
      </c>
      <c r="D357" t="s">
        <v>11</v>
      </c>
      <c r="E357" s="5">
        <v>573</v>
      </c>
      <c r="F357" t="s">
        <v>9</v>
      </c>
    </row>
    <row r="358" spans="1:6" x14ac:dyDescent="0.3">
      <c r="A358" s="3">
        <v>46015</v>
      </c>
      <c r="B358" t="s">
        <v>21</v>
      </c>
      <c r="C358" t="s">
        <v>19</v>
      </c>
      <c r="D358" t="s">
        <v>18</v>
      </c>
      <c r="E358" s="5">
        <v>31367</v>
      </c>
      <c r="F358" t="s">
        <v>20</v>
      </c>
    </row>
    <row r="359" spans="1:6" x14ac:dyDescent="0.3">
      <c r="A359" s="3">
        <v>46016</v>
      </c>
      <c r="B359" t="s">
        <v>21</v>
      </c>
      <c r="C359" t="s">
        <v>19</v>
      </c>
      <c r="D359" t="s">
        <v>8</v>
      </c>
      <c r="E359" s="5">
        <v>46564</v>
      </c>
      <c r="F359" t="s">
        <v>20</v>
      </c>
    </row>
    <row r="360" spans="1:6" x14ac:dyDescent="0.3">
      <c r="A360" s="3">
        <v>46016</v>
      </c>
      <c r="B360" t="s">
        <v>19</v>
      </c>
      <c r="C360" t="s">
        <v>19</v>
      </c>
      <c r="D360" t="s">
        <v>8</v>
      </c>
      <c r="E360" s="5">
        <v>37142</v>
      </c>
      <c r="F360" t="s">
        <v>20</v>
      </c>
    </row>
    <row r="361" spans="1:6" x14ac:dyDescent="0.3">
      <c r="A361" s="3">
        <v>46018</v>
      </c>
      <c r="B361" t="s">
        <v>22</v>
      </c>
      <c r="C361" t="s">
        <v>23</v>
      </c>
      <c r="D361" t="s">
        <v>18</v>
      </c>
      <c r="E361" s="5">
        <v>4974</v>
      </c>
      <c r="F361" t="s">
        <v>9</v>
      </c>
    </row>
    <row r="362" spans="1:6" x14ac:dyDescent="0.3">
      <c r="A362" s="3">
        <v>46020</v>
      </c>
      <c r="B362" t="s">
        <v>14</v>
      </c>
      <c r="C362" t="s">
        <v>15</v>
      </c>
      <c r="D362" t="s">
        <v>11</v>
      </c>
      <c r="E362" s="5">
        <v>1414</v>
      </c>
      <c r="F362" t="s">
        <v>9</v>
      </c>
    </row>
    <row r="363" spans="1:6" x14ac:dyDescent="0.3">
      <c r="A363" s="3">
        <v>46022</v>
      </c>
      <c r="B363" t="s">
        <v>17</v>
      </c>
      <c r="C363" t="s">
        <v>13</v>
      </c>
      <c r="D363" t="s">
        <v>10</v>
      </c>
      <c r="E363" s="5">
        <v>4213</v>
      </c>
      <c r="F363" t="s">
        <v>9</v>
      </c>
    </row>
    <row r="364" spans="1:6" x14ac:dyDescent="0.3">
      <c r="A364" s="3">
        <v>46023</v>
      </c>
      <c r="B364" t="s">
        <v>19</v>
      </c>
      <c r="C364" t="s">
        <v>19</v>
      </c>
      <c r="D364" t="s">
        <v>16</v>
      </c>
      <c r="E364" s="5">
        <v>35909</v>
      </c>
      <c r="F364" t="s">
        <v>20</v>
      </c>
    </row>
    <row r="365" spans="1:6" x14ac:dyDescent="0.3">
      <c r="A365" s="3">
        <v>46025</v>
      </c>
      <c r="B365" t="s">
        <v>21</v>
      </c>
      <c r="C365" t="s">
        <v>19</v>
      </c>
      <c r="D365" t="s">
        <v>10</v>
      </c>
      <c r="E365" s="5">
        <v>36142</v>
      </c>
      <c r="F365" t="s">
        <v>20</v>
      </c>
    </row>
    <row r="366" spans="1:6" x14ac:dyDescent="0.3">
      <c r="A366" s="3">
        <v>46026</v>
      </c>
      <c r="B366" t="s">
        <v>17</v>
      </c>
      <c r="C366" t="s">
        <v>13</v>
      </c>
      <c r="D366" t="s">
        <v>16</v>
      </c>
      <c r="E366" s="5">
        <v>2193</v>
      </c>
      <c r="F366" t="s">
        <v>9</v>
      </c>
    </row>
    <row r="367" spans="1:6" x14ac:dyDescent="0.3">
      <c r="A367" s="3">
        <v>46026</v>
      </c>
      <c r="B367" t="s">
        <v>17</v>
      </c>
      <c r="C367" t="s">
        <v>13</v>
      </c>
      <c r="D367" t="s">
        <v>8</v>
      </c>
      <c r="E367" s="5">
        <v>4330</v>
      </c>
      <c r="F367" t="s">
        <v>9</v>
      </c>
    </row>
    <row r="368" spans="1:6" x14ac:dyDescent="0.3">
      <c r="A368" s="3">
        <v>46027</v>
      </c>
      <c r="B368" t="s">
        <v>17</v>
      </c>
      <c r="C368" t="s">
        <v>13</v>
      </c>
      <c r="D368" t="s">
        <v>10</v>
      </c>
      <c r="E368" s="5">
        <v>4880</v>
      </c>
      <c r="F368" t="s">
        <v>9</v>
      </c>
    </row>
    <row r="369" spans="1:6" x14ac:dyDescent="0.3">
      <c r="A369" s="3">
        <v>46029</v>
      </c>
      <c r="B369" t="s">
        <v>19</v>
      </c>
      <c r="C369" t="s">
        <v>19</v>
      </c>
      <c r="D369" t="s">
        <v>18</v>
      </c>
      <c r="E369" s="5">
        <v>48614</v>
      </c>
      <c r="F369" t="s">
        <v>20</v>
      </c>
    </row>
    <row r="370" spans="1:6" x14ac:dyDescent="0.3">
      <c r="A370" s="3">
        <v>46029</v>
      </c>
      <c r="B370" t="s">
        <v>12</v>
      </c>
      <c r="C370" t="s">
        <v>13</v>
      </c>
      <c r="D370" t="s">
        <v>10</v>
      </c>
      <c r="E370" s="5">
        <v>2232</v>
      </c>
      <c r="F370" t="s">
        <v>9</v>
      </c>
    </row>
    <row r="371" spans="1:6" x14ac:dyDescent="0.3">
      <c r="A371" s="3">
        <v>46029</v>
      </c>
      <c r="B371" t="s">
        <v>17</v>
      </c>
      <c r="C371" t="s">
        <v>13</v>
      </c>
      <c r="D371" t="s">
        <v>8</v>
      </c>
      <c r="E371" s="5">
        <v>1760</v>
      </c>
      <c r="F371" t="s">
        <v>9</v>
      </c>
    </row>
    <row r="372" spans="1:6" x14ac:dyDescent="0.3">
      <c r="A372" s="3">
        <v>46030</v>
      </c>
      <c r="B372" t="s">
        <v>21</v>
      </c>
      <c r="C372" t="s">
        <v>19</v>
      </c>
      <c r="D372" t="s">
        <v>18</v>
      </c>
      <c r="E372" s="5">
        <v>33371</v>
      </c>
      <c r="F372" t="s">
        <v>20</v>
      </c>
    </row>
    <row r="373" spans="1:6" x14ac:dyDescent="0.3">
      <c r="A373" s="3">
        <v>46031</v>
      </c>
      <c r="B373" t="s">
        <v>14</v>
      </c>
      <c r="C373" t="s">
        <v>15</v>
      </c>
      <c r="D373" t="s">
        <v>11</v>
      </c>
      <c r="E373" s="5">
        <v>2497</v>
      </c>
      <c r="F373" t="s">
        <v>9</v>
      </c>
    </row>
    <row r="374" spans="1:6" x14ac:dyDescent="0.3">
      <c r="A374" s="3">
        <v>46032</v>
      </c>
      <c r="B374" t="s">
        <v>14</v>
      </c>
      <c r="C374" t="s">
        <v>15</v>
      </c>
      <c r="D374" t="s">
        <v>10</v>
      </c>
      <c r="E374" s="5">
        <v>290</v>
      </c>
      <c r="F374" t="s">
        <v>9</v>
      </c>
    </row>
    <row r="375" spans="1:6" x14ac:dyDescent="0.3">
      <c r="A375" s="3">
        <v>46034</v>
      </c>
      <c r="B375" t="s">
        <v>21</v>
      </c>
      <c r="C375" t="s">
        <v>19</v>
      </c>
      <c r="D375" t="s">
        <v>8</v>
      </c>
      <c r="E375" s="5">
        <v>32243</v>
      </c>
      <c r="F375" t="s">
        <v>20</v>
      </c>
    </row>
    <row r="376" spans="1:6" x14ac:dyDescent="0.3">
      <c r="A376" s="3">
        <v>46034</v>
      </c>
      <c r="B376" t="s">
        <v>25</v>
      </c>
      <c r="C376" t="s">
        <v>26</v>
      </c>
      <c r="D376" t="s">
        <v>11</v>
      </c>
      <c r="E376" s="5">
        <v>2584</v>
      </c>
      <c r="F376" t="s">
        <v>9</v>
      </c>
    </row>
    <row r="377" spans="1:6" x14ac:dyDescent="0.3">
      <c r="A377" s="3">
        <v>46036</v>
      </c>
      <c r="B377" t="s">
        <v>24</v>
      </c>
      <c r="C377" t="s">
        <v>7</v>
      </c>
      <c r="D377" t="s">
        <v>18</v>
      </c>
      <c r="E377" s="5">
        <v>2755</v>
      </c>
      <c r="F377" t="s">
        <v>9</v>
      </c>
    </row>
    <row r="378" spans="1:6" x14ac:dyDescent="0.3">
      <c r="A378" s="3">
        <v>46038</v>
      </c>
      <c r="B378" t="s">
        <v>12</v>
      </c>
      <c r="C378" t="s">
        <v>13</v>
      </c>
      <c r="D378" t="s">
        <v>8</v>
      </c>
      <c r="E378" s="5">
        <v>3863</v>
      </c>
      <c r="F378" t="s">
        <v>9</v>
      </c>
    </row>
    <row r="379" spans="1:6" x14ac:dyDescent="0.3">
      <c r="A379" s="3">
        <v>46038</v>
      </c>
      <c r="B379" t="s">
        <v>14</v>
      </c>
      <c r="C379" t="s">
        <v>15</v>
      </c>
      <c r="D379" t="s">
        <v>16</v>
      </c>
      <c r="E379" s="5">
        <v>1184</v>
      </c>
      <c r="F379" t="s">
        <v>9</v>
      </c>
    </row>
    <row r="380" spans="1:6" x14ac:dyDescent="0.3">
      <c r="A380" s="3">
        <v>46039</v>
      </c>
      <c r="B380" t="s">
        <v>6</v>
      </c>
      <c r="C380" t="s">
        <v>7</v>
      </c>
      <c r="D380" t="s">
        <v>11</v>
      </c>
      <c r="E380" s="5">
        <v>3530</v>
      </c>
      <c r="F380" t="s">
        <v>9</v>
      </c>
    </row>
    <row r="381" spans="1:6" x14ac:dyDescent="0.3">
      <c r="A381" s="3">
        <v>46041</v>
      </c>
      <c r="B381" t="s">
        <v>19</v>
      </c>
      <c r="C381" t="s">
        <v>19</v>
      </c>
      <c r="D381" t="s">
        <v>16</v>
      </c>
      <c r="E381" s="5">
        <v>41159</v>
      </c>
      <c r="F381" t="s">
        <v>20</v>
      </c>
    </row>
    <row r="382" spans="1:6" x14ac:dyDescent="0.3">
      <c r="A382" s="3">
        <v>46041</v>
      </c>
      <c r="B382" t="s">
        <v>6</v>
      </c>
      <c r="C382" t="s">
        <v>7</v>
      </c>
      <c r="D382" t="s">
        <v>8</v>
      </c>
      <c r="E382" s="5">
        <v>3845</v>
      </c>
      <c r="F382" t="s">
        <v>9</v>
      </c>
    </row>
    <row r="383" spans="1:6" x14ac:dyDescent="0.3">
      <c r="A383" s="3">
        <v>46043</v>
      </c>
      <c r="B383" t="s">
        <v>14</v>
      </c>
      <c r="C383" t="s">
        <v>15</v>
      </c>
      <c r="D383" t="s">
        <v>16</v>
      </c>
      <c r="E383" s="5">
        <v>814</v>
      </c>
      <c r="F383" t="s">
        <v>9</v>
      </c>
    </row>
    <row r="384" spans="1:6" x14ac:dyDescent="0.3">
      <c r="A384" s="3">
        <v>46044</v>
      </c>
      <c r="B384" t="s">
        <v>6</v>
      </c>
      <c r="C384" t="s">
        <v>7</v>
      </c>
      <c r="D384" t="s">
        <v>11</v>
      </c>
      <c r="E384" s="5">
        <v>3508</v>
      </c>
      <c r="F384" t="s">
        <v>9</v>
      </c>
    </row>
    <row r="385" spans="1:6" x14ac:dyDescent="0.3">
      <c r="A385" s="3">
        <v>46044</v>
      </c>
      <c r="B385" t="s">
        <v>17</v>
      </c>
      <c r="C385" t="s">
        <v>13</v>
      </c>
      <c r="D385" t="s">
        <v>16</v>
      </c>
      <c r="E385" s="5">
        <v>161</v>
      </c>
      <c r="F385" t="s">
        <v>9</v>
      </c>
    </row>
    <row r="386" spans="1:6" x14ac:dyDescent="0.3">
      <c r="A386" s="3">
        <v>46044</v>
      </c>
      <c r="B386" t="s">
        <v>24</v>
      </c>
      <c r="C386" t="s">
        <v>7</v>
      </c>
      <c r="D386" t="s">
        <v>18</v>
      </c>
      <c r="E386" s="5">
        <v>730</v>
      </c>
      <c r="F386" t="s">
        <v>9</v>
      </c>
    </row>
    <row r="387" spans="1:6" x14ac:dyDescent="0.3">
      <c r="A387" s="3">
        <v>46046</v>
      </c>
      <c r="B387" t="s">
        <v>19</v>
      </c>
      <c r="C387" t="s">
        <v>19</v>
      </c>
      <c r="D387" t="s">
        <v>11</v>
      </c>
      <c r="E387" s="5">
        <v>31524</v>
      </c>
      <c r="F387" t="s">
        <v>20</v>
      </c>
    </row>
    <row r="388" spans="1:6" x14ac:dyDescent="0.3">
      <c r="A388" s="3">
        <v>46048</v>
      </c>
      <c r="B388" t="s">
        <v>21</v>
      </c>
      <c r="C388" t="s">
        <v>19</v>
      </c>
      <c r="D388" t="s">
        <v>16</v>
      </c>
      <c r="E388" s="5">
        <v>32584</v>
      </c>
      <c r="F388" t="s">
        <v>20</v>
      </c>
    </row>
    <row r="389" spans="1:6" x14ac:dyDescent="0.3">
      <c r="A389" s="3">
        <v>46049</v>
      </c>
      <c r="B389" t="s">
        <v>12</v>
      </c>
      <c r="C389" t="s">
        <v>13</v>
      </c>
      <c r="D389" t="s">
        <v>8</v>
      </c>
      <c r="E389" s="5">
        <v>2809</v>
      </c>
      <c r="F389" t="s">
        <v>9</v>
      </c>
    </row>
    <row r="390" spans="1:6" x14ac:dyDescent="0.3">
      <c r="A390" s="3">
        <v>46051</v>
      </c>
      <c r="B390" t="s">
        <v>12</v>
      </c>
      <c r="C390" t="s">
        <v>13</v>
      </c>
      <c r="D390" t="s">
        <v>8</v>
      </c>
      <c r="E390" s="5">
        <v>926</v>
      </c>
      <c r="F390" t="s">
        <v>9</v>
      </c>
    </row>
    <row r="391" spans="1:6" x14ac:dyDescent="0.3">
      <c r="A391" s="3">
        <v>46052</v>
      </c>
      <c r="B391" t="s">
        <v>22</v>
      </c>
      <c r="C391" t="s">
        <v>23</v>
      </c>
      <c r="D391" t="s">
        <v>16</v>
      </c>
      <c r="E391" s="5">
        <v>1779</v>
      </c>
      <c r="F391" t="s">
        <v>9</v>
      </c>
    </row>
    <row r="392" spans="1:6" x14ac:dyDescent="0.3">
      <c r="A392" s="3">
        <v>46053</v>
      </c>
      <c r="B392" t="s">
        <v>12</v>
      </c>
      <c r="C392" t="s">
        <v>13</v>
      </c>
      <c r="D392" t="s">
        <v>11</v>
      </c>
      <c r="E392" s="5">
        <v>3298</v>
      </c>
      <c r="F392" t="s">
        <v>9</v>
      </c>
    </row>
    <row r="393" spans="1:6" x14ac:dyDescent="0.3">
      <c r="A393" s="3">
        <v>46053</v>
      </c>
      <c r="B393" t="s">
        <v>14</v>
      </c>
      <c r="C393" t="s">
        <v>15</v>
      </c>
      <c r="D393" t="s">
        <v>10</v>
      </c>
      <c r="E393" s="5">
        <v>2863</v>
      </c>
      <c r="F393" t="s">
        <v>9</v>
      </c>
    </row>
    <row r="394" spans="1:6" x14ac:dyDescent="0.3">
      <c r="A394" s="3">
        <v>46055</v>
      </c>
      <c r="B394" t="s">
        <v>6</v>
      </c>
      <c r="C394" t="s">
        <v>7</v>
      </c>
      <c r="D394" t="s">
        <v>16</v>
      </c>
      <c r="E394" s="5">
        <v>1384</v>
      </c>
      <c r="F394" t="s">
        <v>9</v>
      </c>
    </row>
    <row r="395" spans="1:6" x14ac:dyDescent="0.3">
      <c r="A395" s="3">
        <v>46056</v>
      </c>
      <c r="B395" t="s">
        <v>19</v>
      </c>
      <c r="C395" t="s">
        <v>19</v>
      </c>
      <c r="D395" t="s">
        <v>16</v>
      </c>
      <c r="E395" s="5">
        <v>38534</v>
      </c>
      <c r="F395" t="s">
        <v>20</v>
      </c>
    </row>
    <row r="396" spans="1:6" x14ac:dyDescent="0.3">
      <c r="A396" s="3">
        <v>46058</v>
      </c>
      <c r="B396" t="s">
        <v>12</v>
      </c>
      <c r="C396" t="s">
        <v>13</v>
      </c>
      <c r="D396" t="s">
        <v>11</v>
      </c>
      <c r="E396" s="5">
        <v>937</v>
      </c>
      <c r="F396" t="s">
        <v>9</v>
      </c>
    </row>
    <row r="397" spans="1:6" x14ac:dyDescent="0.3">
      <c r="A397" s="3">
        <v>46059</v>
      </c>
      <c r="B397" t="s">
        <v>25</v>
      </c>
      <c r="C397" t="s">
        <v>26</v>
      </c>
      <c r="D397" t="s">
        <v>11</v>
      </c>
      <c r="E397" s="5">
        <v>1686</v>
      </c>
      <c r="F397" t="s">
        <v>9</v>
      </c>
    </row>
    <row r="398" spans="1:6" x14ac:dyDescent="0.3">
      <c r="A398" s="3">
        <v>46059</v>
      </c>
      <c r="B398" t="s">
        <v>6</v>
      </c>
      <c r="C398" t="s">
        <v>7</v>
      </c>
      <c r="D398" t="s">
        <v>10</v>
      </c>
      <c r="E398" s="5">
        <v>832</v>
      </c>
      <c r="F398" t="s">
        <v>9</v>
      </c>
    </row>
    <row r="399" spans="1:6" x14ac:dyDescent="0.3">
      <c r="A399" s="3">
        <v>46060</v>
      </c>
      <c r="B399" t="s">
        <v>22</v>
      </c>
      <c r="C399" t="s">
        <v>23</v>
      </c>
      <c r="D399" t="s">
        <v>18</v>
      </c>
      <c r="E399" s="5">
        <v>3971</v>
      </c>
      <c r="F399" t="s">
        <v>9</v>
      </c>
    </row>
    <row r="400" spans="1:6" x14ac:dyDescent="0.3">
      <c r="A400" s="3">
        <v>46060</v>
      </c>
      <c r="B400" t="s">
        <v>19</v>
      </c>
      <c r="C400" t="s">
        <v>19</v>
      </c>
      <c r="D400" t="s">
        <v>18</v>
      </c>
      <c r="E400" s="5">
        <v>48806</v>
      </c>
      <c r="F400" t="s">
        <v>20</v>
      </c>
    </row>
    <row r="401" spans="1:6" x14ac:dyDescent="0.3">
      <c r="A401" s="3">
        <v>46060</v>
      </c>
      <c r="B401" t="s">
        <v>12</v>
      </c>
      <c r="C401" t="s">
        <v>13</v>
      </c>
      <c r="D401" t="s">
        <v>8</v>
      </c>
      <c r="E401" s="5">
        <v>2715</v>
      </c>
      <c r="F401" t="s">
        <v>9</v>
      </c>
    </row>
    <row r="402" spans="1:6" x14ac:dyDescent="0.3">
      <c r="A402" s="3">
        <v>46061</v>
      </c>
      <c r="B402" t="s">
        <v>21</v>
      </c>
      <c r="C402" t="s">
        <v>19</v>
      </c>
      <c r="D402" t="s">
        <v>10</v>
      </c>
      <c r="E402" s="5">
        <v>54678</v>
      </c>
      <c r="F402" t="s">
        <v>20</v>
      </c>
    </row>
    <row r="403" spans="1:6" x14ac:dyDescent="0.3">
      <c r="A403" s="3">
        <v>46061</v>
      </c>
      <c r="B403" t="s">
        <v>12</v>
      </c>
      <c r="C403" t="s">
        <v>13</v>
      </c>
      <c r="D403" t="s">
        <v>8</v>
      </c>
      <c r="E403" s="5">
        <v>743</v>
      </c>
      <c r="F403" t="s">
        <v>9</v>
      </c>
    </row>
    <row r="404" spans="1:6" x14ac:dyDescent="0.3">
      <c r="A404" s="3">
        <v>46062</v>
      </c>
      <c r="B404" t="s">
        <v>14</v>
      </c>
      <c r="C404" t="s">
        <v>15</v>
      </c>
      <c r="D404" t="s">
        <v>16</v>
      </c>
      <c r="E404" s="5">
        <v>4149</v>
      </c>
      <c r="F404" t="s">
        <v>9</v>
      </c>
    </row>
    <row r="405" spans="1:6" x14ac:dyDescent="0.3">
      <c r="A405" s="3">
        <v>46062</v>
      </c>
      <c r="B405" t="s">
        <v>22</v>
      </c>
      <c r="C405" t="s">
        <v>23</v>
      </c>
      <c r="D405" t="s">
        <v>18</v>
      </c>
      <c r="E405" s="5">
        <v>3299</v>
      </c>
      <c r="F405" t="s">
        <v>9</v>
      </c>
    </row>
    <row r="406" spans="1:6" x14ac:dyDescent="0.3">
      <c r="A406" s="3">
        <v>46064</v>
      </c>
      <c r="B406" t="s">
        <v>21</v>
      </c>
      <c r="C406" t="s">
        <v>19</v>
      </c>
      <c r="D406" t="s">
        <v>8</v>
      </c>
      <c r="E406" s="5">
        <v>54491</v>
      </c>
      <c r="F406" t="s">
        <v>20</v>
      </c>
    </row>
    <row r="407" spans="1:6" x14ac:dyDescent="0.3">
      <c r="A407" s="3">
        <v>46064</v>
      </c>
      <c r="B407" t="s">
        <v>6</v>
      </c>
      <c r="C407" t="s">
        <v>7</v>
      </c>
      <c r="D407" t="s">
        <v>10</v>
      </c>
      <c r="E407" s="5">
        <v>1555</v>
      </c>
      <c r="F407" t="s">
        <v>9</v>
      </c>
    </row>
    <row r="408" spans="1:6" x14ac:dyDescent="0.3">
      <c r="A408" s="3">
        <v>46065</v>
      </c>
      <c r="B408" t="s">
        <v>24</v>
      </c>
      <c r="C408" t="s">
        <v>7</v>
      </c>
      <c r="D408" t="s">
        <v>16</v>
      </c>
      <c r="E408" s="5">
        <v>2994</v>
      </c>
      <c r="F408" t="s">
        <v>9</v>
      </c>
    </row>
    <row r="409" spans="1:6" x14ac:dyDescent="0.3">
      <c r="A409" s="3">
        <v>46065</v>
      </c>
      <c r="B409" t="s">
        <v>22</v>
      </c>
      <c r="C409" t="s">
        <v>23</v>
      </c>
      <c r="D409" t="s">
        <v>16</v>
      </c>
      <c r="E409" s="5">
        <v>3943</v>
      </c>
      <c r="F409" t="s">
        <v>9</v>
      </c>
    </row>
    <row r="410" spans="1:6" x14ac:dyDescent="0.3">
      <c r="A410" s="3">
        <v>46066</v>
      </c>
      <c r="B410" t="s">
        <v>17</v>
      </c>
      <c r="C410" t="s">
        <v>13</v>
      </c>
      <c r="D410" t="s">
        <v>10</v>
      </c>
      <c r="E410" s="5">
        <v>1335</v>
      </c>
      <c r="F410" t="s">
        <v>9</v>
      </c>
    </row>
    <row r="411" spans="1:6" x14ac:dyDescent="0.3">
      <c r="A411" s="3">
        <v>46068</v>
      </c>
      <c r="B411" t="s">
        <v>24</v>
      </c>
      <c r="C411" t="s">
        <v>7</v>
      </c>
      <c r="D411" t="s">
        <v>16</v>
      </c>
      <c r="E411" s="5">
        <v>1009</v>
      </c>
      <c r="F411" t="s">
        <v>9</v>
      </c>
    </row>
    <row r="412" spans="1:6" x14ac:dyDescent="0.3">
      <c r="A412" s="3">
        <v>46070</v>
      </c>
      <c r="B412" t="s">
        <v>14</v>
      </c>
      <c r="C412" t="s">
        <v>15</v>
      </c>
      <c r="D412" t="s">
        <v>18</v>
      </c>
      <c r="E412" s="5">
        <v>2251</v>
      </c>
      <c r="F412" t="s">
        <v>9</v>
      </c>
    </row>
    <row r="413" spans="1:6" x14ac:dyDescent="0.3">
      <c r="A413" s="3">
        <v>46071</v>
      </c>
      <c r="B413" t="s">
        <v>22</v>
      </c>
      <c r="C413" t="s">
        <v>23</v>
      </c>
      <c r="D413" t="s">
        <v>16</v>
      </c>
      <c r="E413" s="5">
        <v>3800</v>
      </c>
      <c r="F413" t="s">
        <v>9</v>
      </c>
    </row>
    <row r="414" spans="1:6" x14ac:dyDescent="0.3">
      <c r="A414" s="3">
        <v>46072</v>
      </c>
      <c r="B414" t="s">
        <v>14</v>
      </c>
      <c r="C414" t="s">
        <v>15</v>
      </c>
      <c r="D414" t="s">
        <v>16</v>
      </c>
      <c r="E414" s="5">
        <v>4586</v>
      </c>
      <c r="F414" t="s">
        <v>9</v>
      </c>
    </row>
    <row r="415" spans="1:6" x14ac:dyDescent="0.3">
      <c r="A415" s="3">
        <v>46074</v>
      </c>
      <c r="B415" t="s">
        <v>21</v>
      </c>
      <c r="C415" t="s">
        <v>19</v>
      </c>
      <c r="D415" t="s">
        <v>18</v>
      </c>
      <c r="E415" s="5">
        <v>51190</v>
      </c>
      <c r="F415" t="s">
        <v>20</v>
      </c>
    </row>
    <row r="416" spans="1:6" x14ac:dyDescent="0.3">
      <c r="A416" s="3">
        <v>46076</v>
      </c>
      <c r="B416" t="s">
        <v>19</v>
      </c>
      <c r="C416" t="s">
        <v>19</v>
      </c>
      <c r="D416" t="s">
        <v>8</v>
      </c>
      <c r="E416" s="5">
        <v>46579</v>
      </c>
      <c r="F416" t="s">
        <v>20</v>
      </c>
    </row>
    <row r="417" spans="1:6" x14ac:dyDescent="0.3">
      <c r="A417" s="3">
        <v>46077</v>
      </c>
      <c r="B417" t="s">
        <v>6</v>
      </c>
      <c r="C417" t="s">
        <v>7</v>
      </c>
      <c r="D417" t="s">
        <v>11</v>
      </c>
      <c r="E417" s="5">
        <v>869</v>
      </c>
      <c r="F417" t="s">
        <v>9</v>
      </c>
    </row>
    <row r="418" spans="1:6" x14ac:dyDescent="0.3">
      <c r="A418" s="3">
        <v>46078</v>
      </c>
      <c r="B418" t="s">
        <v>25</v>
      </c>
      <c r="C418" t="s">
        <v>26</v>
      </c>
      <c r="D418" t="s">
        <v>8</v>
      </c>
      <c r="E418" s="5">
        <v>2647</v>
      </c>
      <c r="F418" t="s">
        <v>9</v>
      </c>
    </row>
    <row r="419" spans="1:6" x14ac:dyDescent="0.3">
      <c r="A419" s="3">
        <v>46079</v>
      </c>
      <c r="B419" t="s">
        <v>17</v>
      </c>
      <c r="C419" t="s">
        <v>13</v>
      </c>
      <c r="D419" t="s">
        <v>10</v>
      </c>
      <c r="E419" s="5">
        <v>752</v>
      </c>
      <c r="F419" t="s">
        <v>9</v>
      </c>
    </row>
    <row r="420" spans="1:6" x14ac:dyDescent="0.3">
      <c r="A420" s="3">
        <v>46080</v>
      </c>
      <c r="B420" t="s">
        <v>6</v>
      </c>
      <c r="C420" t="s">
        <v>7</v>
      </c>
      <c r="D420" t="s">
        <v>18</v>
      </c>
      <c r="E420" s="5">
        <v>4566</v>
      </c>
      <c r="F420" t="s">
        <v>9</v>
      </c>
    </row>
    <row r="421" spans="1:6" x14ac:dyDescent="0.3">
      <c r="A421" s="3">
        <v>46081</v>
      </c>
      <c r="B421" t="s">
        <v>12</v>
      </c>
      <c r="C421" t="s">
        <v>13</v>
      </c>
      <c r="D421" t="s">
        <v>8</v>
      </c>
      <c r="E421" s="5">
        <v>3533</v>
      </c>
      <c r="F421" t="s">
        <v>9</v>
      </c>
    </row>
    <row r="422" spans="1:6" x14ac:dyDescent="0.3">
      <c r="A422" s="3">
        <v>46081</v>
      </c>
      <c r="B422" t="s">
        <v>14</v>
      </c>
      <c r="C422" t="s">
        <v>15</v>
      </c>
      <c r="D422" t="s">
        <v>18</v>
      </c>
      <c r="E422" s="5">
        <v>1202</v>
      </c>
      <c r="F422" t="s">
        <v>9</v>
      </c>
    </row>
    <row r="423" spans="1:6" x14ac:dyDescent="0.3">
      <c r="A423" s="3">
        <v>46081</v>
      </c>
      <c r="B423" t="s">
        <v>24</v>
      </c>
      <c r="C423" t="s">
        <v>7</v>
      </c>
      <c r="D423" t="s">
        <v>16</v>
      </c>
      <c r="E423" s="5">
        <v>3423</v>
      </c>
      <c r="F423" t="s">
        <v>9</v>
      </c>
    </row>
    <row r="424" spans="1:6" x14ac:dyDescent="0.3">
      <c r="A424" s="3">
        <v>46083</v>
      </c>
      <c r="B424" t="s">
        <v>6</v>
      </c>
      <c r="C424" t="s">
        <v>7</v>
      </c>
      <c r="D424" t="s">
        <v>8</v>
      </c>
      <c r="E424" s="5">
        <v>4595</v>
      </c>
      <c r="F424" t="s">
        <v>9</v>
      </c>
    </row>
    <row r="425" spans="1:6" x14ac:dyDescent="0.3">
      <c r="A425" s="3">
        <v>46085</v>
      </c>
      <c r="B425" t="s">
        <v>12</v>
      </c>
      <c r="C425" t="s">
        <v>13</v>
      </c>
      <c r="D425" t="s">
        <v>11</v>
      </c>
      <c r="E425" s="5">
        <v>4965</v>
      </c>
      <c r="F425" t="s">
        <v>9</v>
      </c>
    </row>
    <row r="426" spans="1:6" x14ac:dyDescent="0.3">
      <c r="A426" s="3">
        <v>46087</v>
      </c>
      <c r="B426" t="s">
        <v>12</v>
      </c>
      <c r="C426" t="s">
        <v>13</v>
      </c>
      <c r="D426" t="s">
        <v>10</v>
      </c>
      <c r="E426" s="5">
        <v>1961</v>
      </c>
      <c r="F426" t="s">
        <v>9</v>
      </c>
    </row>
    <row r="427" spans="1:6" x14ac:dyDescent="0.3">
      <c r="A427" s="3">
        <v>46088</v>
      </c>
      <c r="B427" t="s">
        <v>17</v>
      </c>
      <c r="C427" t="s">
        <v>13</v>
      </c>
      <c r="D427" t="s">
        <v>16</v>
      </c>
      <c r="E427" s="5">
        <v>4681</v>
      </c>
      <c r="F427" t="s">
        <v>9</v>
      </c>
    </row>
    <row r="428" spans="1:6" x14ac:dyDescent="0.3">
      <c r="A428" s="3">
        <v>46089</v>
      </c>
      <c r="B428" t="s">
        <v>24</v>
      </c>
      <c r="C428" t="s">
        <v>7</v>
      </c>
      <c r="D428" t="s">
        <v>8</v>
      </c>
      <c r="E428" s="5">
        <v>1685</v>
      </c>
      <c r="F428" t="s">
        <v>9</v>
      </c>
    </row>
    <row r="429" spans="1:6" x14ac:dyDescent="0.3">
      <c r="A429" s="3">
        <v>46090</v>
      </c>
      <c r="B429" t="s">
        <v>14</v>
      </c>
      <c r="C429" t="s">
        <v>15</v>
      </c>
      <c r="D429" t="s">
        <v>10</v>
      </c>
      <c r="E429" s="5">
        <v>538</v>
      </c>
      <c r="F429" t="s">
        <v>9</v>
      </c>
    </row>
    <row r="430" spans="1:6" x14ac:dyDescent="0.3">
      <c r="A430" s="3">
        <v>46092</v>
      </c>
      <c r="B430" t="s">
        <v>14</v>
      </c>
      <c r="C430" t="s">
        <v>15</v>
      </c>
      <c r="D430" t="s">
        <v>11</v>
      </c>
      <c r="E430" s="5">
        <v>316</v>
      </c>
      <c r="F430" t="s">
        <v>9</v>
      </c>
    </row>
    <row r="431" spans="1:6" x14ac:dyDescent="0.3">
      <c r="A431" s="3">
        <v>46094</v>
      </c>
      <c r="B431" t="s">
        <v>19</v>
      </c>
      <c r="C431" t="s">
        <v>19</v>
      </c>
      <c r="D431" t="s">
        <v>10</v>
      </c>
      <c r="E431" s="5">
        <v>40662</v>
      </c>
      <c r="F431" t="s">
        <v>20</v>
      </c>
    </row>
    <row r="432" spans="1:6" x14ac:dyDescent="0.3">
      <c r="A432" s="3">
        <v>46095</v>
      </c>
      <c r="B432" t="s">
        <v>12</v>
      </c>
      <c r="C432" t="s">
        <v>13</v>
      </c>
      <c r="D432" t="s">
        <v>16</v>
      </c>
      <c r="E432" s="5">
        <v>3201</v>
      </c>
      <c r="F432" t="s">
        <v>9</v>
      </c>
    </row>
    <row r="433" spans="1:6" x14ac:dyDescent="0.3">
      <c r="A433" s="3">
        <v>46096</v>
      </c>
      <c r="B433" t="s">
        <v>14</v>
      </c>
      <c r="C433" t="s">
        <v>15</v>
      </c>
      <c r="D433" t="s">
        <v>11</v>
      </c>
      <c r="E433" s="5">
        <v>2623</v>
      </c>
      <c r="F433" t="s">
        <v>9</v>
      </c>
    </row>
    <row r="434" spans="1:6" x14ac:dyDescent="0.3">
      <c r="A434" s="3">
        <v>46097</v>
      </c>
      <c r="B434" t="s">
        <v>21</v>
      </c>
      <c r="C434" t="s">
        <v>19</v>
      </c>
      <c r="D434" t="s">
        <v>18</v>
      </c>
      <c r="E434" s="5">
        <v>41988</v>
      </c>
      <c r="F434" t="s">
        <v>20</v>
      </c>
    </row>
    <row r="435" spans="1:6" x14ac:dyDescent="0.3">
      <c r="A435" s="3">
        <v>46098</v>
      </c>
      <c r="B435" t="s">
        <v>12</v>
      </c>
      <c r="C435" t="s">
        <v>13</v>
      </c>
      <c r="D435" t="s">
        <v>11</v>
      </c>
      <c r="E435" s="5">
        <v>857</v>
      </c>
      <c r="F435" t="s">
        <v>9</v>
      </c>
    </row>
    <row r="436" spans="1:6" x14ac:dyDescent="0.3">
      <c r="A436" s="3">
        <v>46098</v>
      </c>
      <c r="B436" t="s">
        <v>22</v>
      </c>
      <c r="C436" t="s">
        <v>23</v>
      </c>
      <c r="D436" t="s">
        <v>10</v>
      </c>
      <c r="E436" s="5">
        <v>635</v>
      </c>
      <c r="F436" t="s">
        <v>9</v>
      </c>
    </row>
    <row r="437" spans="1:6" x14ac:dyDescent="0.3">
      <c r="A437" s="3">
        <v>46099</v>
      </c>
      <c r="B437" t="s">
        <v>24</v>
      </c>
      <c r="C437" t="s">
        <v>7</v>
      </c>
      <c r="D437" t="s">
        <v>11</v>
      </c>
      <c r="E437" s="5">
        <v>3741</v>
      </c>
      <c r="F437" t="s">
        <v>9</v>
      </c>
    </row>
    <row r="438" spans="1:6" x14ac:dyDescent="0.3">
      <c r="A438" s="3">
        <v>46101</v>
      </c>
      <c r="B438" t="s">
        <v>19</v>
      </c>
      <c r="C438" t="s">
        <v>19</v>
      </c>
      <c r="D438" t="s">
        <v>16</v>
      </c>
      <c r="E438" s="5">
        <v>54719</v>
      </c>
      <c r="F438" t="s">
        <v>20</v>
      </c>
    </row>
    <row r="439" spans="1:6" x14ac:dyDescent="0.3">
      <c r="A439" s="3">
        <v>46101</v>
      </c>
      <c r="B439" t="s">
        <v>22</v>
      </c>
      <c r="C439" t="s">
        <v>23</v>
      </c>
      <c r="D439" t="s">
        <v>11</v>
      </c>
      <c r="E439" s="5">
        <v>423</v>
      </c>
      <c r="F439" t="s">
        <v>9</v>
      </c>
    </row>
    <row r="440" spans="1:6" x14ac:dyDescent="0.3">
      <c r="A440" s="3">
        <v>46101</v>
      </c>
      <c r="B440" t="s">
        <v>25</v>
      </c>
      <c r="C440" t="s">
        <v>26</v>
      </c>
      <c r="D440" t="s">
        <v>16</v>
      </c>
      <c r="E440" s="5">
        <v>135</v>
      </c>
      <c r="F440" t="s">
        <v>9</v>
      </c>
    </row>
    <row r="441" spans="1:6" x14ac:dyDescent="0.3">
      <c r="A441" s="3">
        <v>46101</v>
      </c>
      <c r="B441" t="s">
        <v>14</v>
      </c>
      <c r="C441" t="s">
        <v>15</v>
      </c>
      <c r="D441" t="s">
        <v>10</v>
      </c>
      <c r="E441" s="5">
        <v>1961</v>
      </c>
      <c r="F441" t="s">
        <v>9</v>
      </c>
    </row>
    <row r="442" spans="1:6" x14ac:dyDescent="0.3">
      <c r="A442" s="3">
        <v>46103</v>
      </c>
      <c r="B442" t="s">
        <v>22</v>
      </c>
      <c r="C442" t="s">
        <v>23</v>
      </c>
      <c r="D442" t="s">
        <v>10</v>
      </c>
      <c r="E442" s="5">
        <v>2859</v>
      </c>
      <c r="F442" t="s">
        <v>9</v>
      </c>
    </row>
    <row r="443" spans="1:6" x14ac:dyDescent="0.3">
      <c r="A443" s="3">
        <v>46103</v>
      </c>
      <c r="B443" t="s">
        <v>12</v>
      </c>
      <c r="C443" t="s">
        <v>13</v>
      </c>
      <c r="D443" t="s">
        <v>8</v>
      </c>
      <c r="E443" s="5">
        <v>4614</v>
      </c>
      <c r="F443" t="s">
        <v>9</v>
      </c>
    </row>
    <row r="444" spans="1:6" x14ac:dyDescent="0.3">
      <c r="A444" s="3">
        <v>46103</v>
      </c>
      <c r="B444" t="s">
        <v>25</v>
      </c>
      <c r="C444" t="s">
        <v>26</v>
      </c>
      <c r="D444" t="s">
        <v>16</v>
      </c>
      <c r="E444" s="5">
        <v>2377</v>
      </c>
      <c r="F444" t="s">
        <v>9</v>
      </c>
    </row>
    <row r="445" spans="1:6" x14ac:dyDescent="0.3">
      <c r="A445" s="3">
        <v>46105</v>
      </c>
      <c r="B445" t="s">
        <v>22</v>
      </c>
      <c r="C445" t="s">
        <v>23</v>
      </c>
      <c r="D445" t="s">
        <v>8</v>
      </c>
      <c r="E445" s="5">
        <v>196</v>
      </c>
      <c r="F445" t="s">
        <v>9</v>
      </c>
    </row>
    <row r="446" spans="1:6" x14ac:dyDescent="0.3">
      <c r="A446" s="3">
        <v>46107</v>
      </c>
      <c r="B446" t="s">
        <v>19</v>
      </c>
      <c r="C446" t="s">
        <v>19</v>
      </c>
      <c r="D446" t="s">
        <v>11</v>
      </c>
      <c r="E446" s="5">
        <v>44236</v>
      </c>
      <c r="F446" t="s">
        <v>20</v>
      </c>
    </row>
    <row r="447" spans="1:6" x14ac:dyDescent="0.3">
      <c r="A447" s="3">
        <v>46108</v>
      </c>
      <c r="B447" t="s">
        <v>14</v>
      </c>
      <c r="C447" t="s">
        <v>15</v>
      </c>
      <c r="D447" t="s">
        <v>10</v>
      </c>
      <c r="E447" s="5">
        <v>3591</v>
      </c>
      <c r="F447" t="s">
        <v>9</v>
      </c>
    </row>
    <row r="448" spans="1:6" x14ac:dyDescent="0.3">
      <c r="A448" s="3">
        <v>46108</v>
      </c>
      <c r="B448" t="s">
        <v>19</v>
      </c>
      <c r="C448" t="s">
        <v>19</v>
      </c>
      <c r="D448" t="s">
        <v>8</v>
      </c>
      <c r="E448" s="5">
        <v>56620</v>
      </c>
      <c r="F448" t="s">
        <v>20</v>
      </c>
    </row>
    <row r="449" spans="1:6" x14ac:dyDescent="0.3">
      <c r="A449" s="3">
        <v>46109</v>
      </c>
      <c r="B449" t="s">
        <v>6</v>
      </c>
      <c r="C449" t="s">
        <v>7</v>
      </c>
      <c r="D449" t="s">
        <v>18</v>
      </c>
      <c r="E449" s="5">
        <v>498</v>
      </c>
      <c r="F449" t="s">
        <v>9</v>
      </c>
    </row>
    <row r="450" spans="1:6" x14ac:dyDescent="0.3">
      <c r="A450" s="3">
        <v>46109</v>
      </c>
      <c r="B450" t="s">
        <v>22</v>
      </c>
      <c r="C450" t="s">
        <v>23</v>
      </c>
      <c r="D450" t="s">
        <v>16</v>
      </c>
      <c r="E450" s="5">
        <v>2314</v>
      </c>
      <c r="F450" t="s">
        <v>9</v>
      </c>
    </row>
    <row r="451" spans="1:6" x14ac:dyDescent="0.3">
      <c r="A451" s="3">
        <v>46111</v>
      </c>
      <c r="B451" t="s">
        <v>19</v>
      </c>
      <c r="C451" t="s">
        <v>19</v>
      </c>
      <c r="D451" t="s">
        <v>10</v>
      </c>
      <c r="E451" s="5">
        <v>33073</v>
      </c>
      <c r="F451" t="s">
        <v>20</v>
      </c>
    </row>
    <row r="452" spans="1:6" x14ac:dyDescent="0.3">
      <c r="A452" s="3">
        <v>46112</v>
      </c>
      <c r="B452" t="s">
        <v>6</v>
      </c>
      <c r="C452" t="s">
        <v>7</v>
      </c>
      <c r="D452" t="s">
        <v>10</v>
      </c>
      <c r="E452" s="5">
        <v>2539</v>
      </c>
      <c r="F452" t="s">
        <v>9</v>
      </c>
    </row>
    <row r="453" spans="1:6" x14ac:dyDescent="0.3">
      <c r="A453" s="3">
        <v>46112</v>
      </c>
      <c r="B453" t="s">
        <v>19</v>
      </c>
      <c r="C453" t="s">
        <v>19</v>
      </c>
      <c r="D453" t="s">
        <v>11</v>
      </c>
      <c r="E453" s="5">
        <v>44638</v>
      </c>
      <c r="F453" t="s">
        <v>20</v>
      </c>
    </row>
    <row r="454" spans="1:6" x14ac:dyDescent="0.3">
      <c r="A454" s="3">
        <v>46113</v>
      </c>
      <c r="B454" t="s">
        <v>6</v>
      </c>
      <c r="C454" t="s">
        <v>7</v>
      </c>
      <c r="D454" t="s">
        <v>18</v>
      </c>
      <c r="E454" s="5">
        <v>2796</v>
      </c>
      <c r="F454" t="s">
        <v>9</v>
      </c>
    </row>
    <row r="455" spans="1:6" x14ac:dyDescent="0.3">
      <c r="A455" s="3">
        <v>46113</v>
      </c>
      <c r="B455" t="s">
        <v>17</v>
      </c>
      <c r="C455" t="s">
        <v>13</v>
      </c>
      <c r="D455" t="s">
        <v>10</v>
      </c>
      <c r="E455" s="5">
        <v>4387</v>
      </c>
      <c r="F455" t="s">
        <v>9</v>
      </c>
    </row>
    <row r="456" spans="1:6" x14ac:dyDescent="0.3">
      <c r="A456" s="3">
        <v>46115</v>
      </c>
      <c r="B456" t="s">
        <v>12</v>
      </c>
      <c r="C456" t="s">
        <v>13</v>
      </c>
      <c r="D456" t="s">
        <v>10</v>
      </c>
      <c r="E456" s="5">
        <v>923</v>
      </c>
      <c r="F456" t="s">
        <v>9</v>
      </c>
    </row>
    <row r="457" spans="1:6" x14ac:dyDescent="0.3">
      <c r="A457" s="3">
        <v>46117</v>
      </c>
      <c r="B457" t="s">
        <v>17</v>
      </c>
      <c r="C457" t="s">
        <v>13</v>
      </c>
      <c r="D457" t="s">
        <v>16</v>
      </c>
      <c r="E457" s="5">
        <v>3270</v>
      </c>
      <c r="F457" t="s">
        <v>9</v>
      </c>
    </row>
    <row r="458" spans="1:6" x14ac:dyDescent="0.3">
      <c r="A458" s="3">
        <v>46119</v>
      </c>
      <c r="B458" t="s">
        <v>12</v>
      </c>
      <c r="C458" t="s">
        <v>13</v>
      </c>
      <c r="D458" t="s">
        <v>16</v>
      </c>
      <c r="E458" s="5">
        <v>464</v>
      </c>
      <c r="F458" t="s">
        <v>9</v>
      </c>
    </row>
    <row r="459" spans="1:6" x14ac:dyDescent="0.3">
      <c r="A459" s="3">
        <v>46121</v>
      </c>
      <c r="B459" t="s">
        <v>6</v>
      </c>
      <c r="C459" t="s">
        <v>7</v>
      </c>
      <c r="D459" t="s">
        <v>10</v>
      </c>
      <c r="E459" s="5">
        <v>1103</v>
      </c>
      <c r="F459" t="s">
        <v>9</v>
      </c>
    </row>
    <row r="460" spans="1:6" x14ac:dyDescent="0.3">
      <c r="A460" s="3">
        <v>46122</v>
      </c>
      <c r="B460" t="s">
        <v>21</v>
      </c>
      <c r="C460" t="s">
        <v>19</v>
      </c>
      <c r="D460" t="s">
        <v>18</v>
      </c>
      <c r="E460" s="5">
        <v>31929</v>
      </c>
      <c r="F460" t="s">
        <v>20</v>
      </c>
    </row>
    <row r="461" spans="1:6" x14ac:dyDescent="0.3">
      <c r="A461" s="3">
        <v>46124</v>
      </c>
      <c r="B461" t="s">
        <v>19</v>
      </c>
      <c r="C461" t="s">
        <v>19</v>
      </c>
      <c r="D461" t="s">
        <v>10</v>
      </c>
      <c r="E461" s="5">
        <v>39680</v>
      </c>
      <c r="F461" t="s">
        <v>20</v>
      </c>
    </row>
    <row r="462" spans="1:6" x14ac:dyDescent="0.3">
      <c r="A462" s="3">
        <v>46124</v>
      </c>
      <c r="B462" t="s">
        <v>12</v>
      </c>
      <c r="C462" t="s">
        <v>13</v>
      </c>
      <c r="D462" t="s">
        <v>18</v>
      </c>
      <c r="E462" s="5">
        <v>3445</v>
      </c>
      <c r="F462" t="s">
        <v>9</v>
      </c>
    </row>
    <row r="463" spans="1:6" x14ac:dyDescent="0.3">
      <c r="A463" s="3">
        <v>46126</v>
      </c>
      <c r="B463" t="s">
        <v>14</v>
      </c>
      <c r="C463" t="s">
        <v>15</v>
      </c>
      <c r="D463" t="s">
        <v>18</v>
      </c>
      <c r="E463" s="5">
        <v>788</v>
      </c>
      <c r="F463" t="s">
        <v>9</v>
      </c>
    </row>
    <row r="464" spans="1:6" x14ac:dyDescent="0.3">
      <c r="A464" s="3">
        <v>46127</v>
      </c>
      <c r="B464" t="s">
        <v>25</v>
      </c>
      <c r="C464" t="s">
        <v>26</v>
      </c>
      <c r="D464" t="s">
        <v>16</v>
      </c>
      <c r="E464" s="5">
        <v>418</v>
      </c>
      <c r="F464" t="s">
        <v>9</v>
      </c>
    </row>
    <row r="465" spans="1:6" x14ac:dyDescent="0.3">
      <c r="A465" s="3">
        <v>46128</v>
      </c>
      <c r="B465" t="s">
        <v>19</v>
      </c>
      <c r="C465" t="s">
        <v>19</v>
      </c>
      <c r="D465" t="s">
        <v>16</v>
      </c>
      <c r="E465" s="5">
        <v>56803</v>
      </c>
      <c r="F465" t="s">
        <v>20</v>
      </c>
    </row>
    <row r="466" spans="1:6" x14ac:dyDescent="0.3">
      <c r="A466" s="3">
        <v>46128</v>
      </c>
      <c r="B466" t="s">
        <v>12</v>
      </c>
      <c r="C466" t="s">
        <v>13</v>
      </c>
      <c r="D466" t="s">
        <v>11</v>
      </c>
      <c r="E466" s="5">
        <v>3632</v>
      </c>
      <c r="F466" t="s">
        <v>9</v>
      </c>
    </row>
    <row r="467" spans="1:6" x14ac:dyDescent="0.3">
      <c r="A467" s="3">
        <v>46129</v>
      </c>
      <c r="B467" t="s">
        <v>12</v>
      </c>
      <c r="C467" t="s">
        <v>13</v>
      </c>
      <c r="D467" t="s">
        <v>16</v>
      </c>
      <c r="E467" s="5">
        <v>4512</v>
      </c>
      <c r="F467" t="s">
        <v>9</v>
      </c>
    </row>
    <row r="468" spans="1:6" x14ac:dyDescent="0.3">
      <c r="A468" s="3">
        <v>46131</v>
      </c>
      <c r="B468" t="s">
        <v>21</v>
      </c>
      <c r="C468" t="s">
        <v>19</v>
      </c>
      <c r="D468" t="s">
        <v>10</v>
      </c>
      <c r="E468" s="5">
        <v>31584</v>
      </c>
      <c r="F468" t="s">
        <v>20</v>
      </c>
    </row>
    <row r="469" spans="1:6" x14ac:dyDescent="0.3">
      <c r="A469" s="3">
        <v>46131</v>
      </c>
      <c r="B469" t="s">
        <v>19</v>
      </c>
      <c r="C469" t="s">
        <v>19</v>
      </c>
      <c r="D469" t="s">
        <v>18</v>
      </c>
      <c r="E469" s="5">
        <v>46381</v>
      </c>
      <c r="F469" t="s">
        <v>20</v>
      </c>
    </row>
    <row r="470" spans="1:6" x14ac:dyDescent="0.3">
      <c r="A470" s="3">
        <v>46133</v>
      </c>
      <c r="B470" t="s">
        <v>12</v>
      </c>
      <c r="C470" t="s">
        <v>13</v>
      </c>
      <c r="D470" t="s">
        <v>10</v>
      </c>
      <c r="E470" s="5">
        <v>2870</v>
      </c>
      <c r="F470" t="s">
        <v>9</v>
      </c>
    </row>
    <row r="471" spans="1:6" x14ac:dyDescent="0.3">
      <c r="A471" s="3">
        <v>46134</v>
      </c>
      <c r="B471" t="s">
        <v>19</v>
      </c>
      <c r="C471" t="s">
        <v>19</v>
      </c>
      <c r="D471" t="s">
        <v>16</v>
      </c>
      <c r="E471" s="5">
        <v>40385</v>
      </c>
      <c r="F471" t="s">
        <v>20</v>
      </c>
    </row>
    <row r="472" spans="1:6" x14ac:dyDescent="0.3">
      <c r="A472" s="3">
        <v>46136</v>
      </c>
      <c r="B472" t="s">
        <v>21</v>
      </c>
      <c r="C472" t="s">
        <v>19</v>
      </c>
      <c r="D472" t="s">
        <v>10</v>
      </c>
      <c r="E472" s="5">
        <v>30021</v>
      </c>
      <c r="F472" t="s">
        <v>20</v>
      </c>
    </row>
    <row r="473" spans="1:6" x14ac:dyDescent="0.3">
      <c r="A473" s="3">
        <v>46136</v>
      </c>
      <c r="B473" t="s">
        <v>24</v>
      </c>
      <c r="C473" t="s">
        <v>7</v>
      </c>
      <c r="D473" t="s">
        <v>11</v>
      </c>
      <c r="E473" s="5">
        <v>4951</v>
      </c>
      <c r="F473" t="s">
        <v>9</v>
      </c>
    </row>
    <row r="474" spans="1:6" x14ac:dyDescent="0.3">
      <c r="A474" s="3">
        <v>46138</v>
      </c>
      <c r="B474" t="s">
        <v>24</v>
      </c>
      <c r="C474" t="s">
        <v>7</v>
      </c>
      <c r="D474" t="s">
        <v>16</v>
      </c>
      <c r="E474" s="5">
        <v>4829</v>
      </c>
      <c r="F474" t="s">
        <v>9</v>
      </c>
    </row>
    <row r="475" spans="1:6" x14ac:dyDescent="0.3">
      <c r="A475" s="3">
        <v>46140</v>
      </c>
      <c r="B475" t="s">
        <v>14</v>
      </c>
      <c r="C475" t="s">
        <v>15</v>
      </c>
      <c r="D475" t="s">
        <v>18</v>
      </c>
      <c r="E475" s="5">
        <v>1620</v>
      </c>
      <c r="F475" t="s">
        <v>9</v>
      </c>
    </row>
    <row r="476" spans="1:6" x14ac:dyDescent="0.3">
      <c r="A476" s="3">
        <v>46140</v>
      </c>
      <c r="B476" t="s">
        <v>6</v>
      </c>
      <c r="C476" t="s">
        <v>7</v>
      </c>
      <c r="D476" t="s">
        <v>18</v>
      </c>
      <c r="E476" s="5">
        <v>4972</v>
      </c>
      <c r="F476" t="s">
        <v>9</v>
      </c>
    </row>
    <row r="477" spans="1:6" x14ac:dyDescent="0.3">
      <c r="A477" s="3">
        <v>46141</v>
      </c>
      <c r="B477" t="s">
        <v>12</v>
      </c>
      <c r="C477" t="s">
        <v>13</v>
      </c>
      <c r="D477" t="s">
        <v>10</v>
      </c>
      <c r="E477" s="5">
        <v>3323</v>
      </c>
      <c r="F477" t="s">
        <v>9</v>
      </c>
    </row>
    <row r="478" spans="1:6" x14ac:dyDescent="0.3">
      <c r="A478" s="3">
        <v>46143</v>
      </c>
      <c r="B478" t="s">
        <v>17</v>
      </c>
      <c r="C478" t="s">
        <v>13</v>
      </c>
      <c r="D478" t="s">
        <v>10</v>
      </c>
      <c r="E478" s="5">
        <v>2392</v>
      </c>
      <c r="F478" t="s">
        <v>9</v>
      </c>
    </row>
    <row r="479" spans="1:6" x14ac:dyDescent="0.3">
      <c r="A479" s="3">
        <v>46145</v>
      </c>
      <c r="B479" t="s">
        <v>25</v>
      </c>
      <c r="C479" t="s">
        <v>26</v>
      </c>
      <c r="D479" t="s">
        <v>11</v>
      </c>
      <c r="E479" s="5">
        <v>1522</v>
      </c>
      <c r="F479" t="s">
        <v>9</v>
      </c>
    </row>
    <row r="480" spans="1:6" x14ac:dyDescent="0.3">
      <c r="A480" s="3">
        <v>46147</v>
      </c>
      <c r="B480" t="s">
        <v>19</v>
      </c>
      <c r="C480" t="s">
        <v>19</v>
      </c>
      <c r="D480" t="s">
        <v>8</v>
      </c>
      <c r="E480" s="5">
        <v>31388</v>
      </c>
      <c r="F480" t="s">
        <v>20</v>
      </c>
    </row>
    <row r="481" spans="1:6" x14ac:dyDescent="0.3">
      <c r="A481" s="3">
        <v>46149</v>
      </c>
      <c r="B481" t="s">
        <v>21</v>
      </c>
      <c r="C481" t="s">
        <v>19</v>
      </c>
      <c r="D481" t="s">
        <v>18</v>
      </c>
      <c r="E481" s="5">
        <v>36182</v>
      </c>
      <c r="F481" t="s">
        <v>20</v>
      </c>
    </row>
    <row r="482" spans="1:6" x14ac:dyDescent="0.3">
      <c r="A482" s="3">
        <v>46150</v>
      </c>
      <c r="B482" t="s">
        <v>21</v>
      </c>
      <c r="C482" t="s">
        <v>19</v>
      </c>
      <c r="D482" t="s">
        <v>16</v>
      </c>
      <c r="E482" s="5">
        <v>54988</v>
      </c>
      <c r="F482" t="s">
        <v>20</v>
      </c>
    </row>
    <row r="483" spans="1:6" x14ac:dyDescent="0.3">
      <c r="A483" s="3">
        <v>46151</v>
      </c>
      <c r="B483" t="s">
        <v>12</v>
      </c>
      <c r="C483" t="s">
        <v>13</v>
      </c>
      <c r="D483" t="s">
        <v>16</v>
      </c>
      <c r="E483" s="5">
        <v>4159</v>
      </c>
      <c r="F483" t="s">
        <v>9</v>
      </c>
    </row>
    <row r="484" spans="1:6" x14ac:dyDescent="0.3">
      <c r="A484" s="3">
        <v>46153</v>
      </c>
      <c r="B484" t="s">
        <v>21</v>
      </c>
      <c r="C484" t="s">
        <v>19</v>
      </c>
      <c r="D484" t="s">
        <v>11</v>
      </c>
      <c r="E484" s="5">
        <v>53638</v>
      </c>
      <c r="F484" t="s">
        <v>20</v>
      </c>
    </row>
    <row r="485" spans="1:6" x14ac:dyDescent="0.3">
      <c r="A485" s="3">
        <v>46153</v>
      </c>
      <c r="B485" t="s">
        <v>17</v>
      </c>
      <c r="C485" t="s">
        <v>13</v>
      </c>
      <c r="D485" t="s">
        <v>18</v>
      </c>
      <c r="E485" s="5">
        <v>204</v>
      </c>
      <c r="F485" t="s">
        <v>9</v>
      </c>
    </row>
    <row r="486" spans="1:6" x14ac:dyDescent="0.3">
      <c r="A486" s="3">
        <v>46155</v>
      </c>
      <c r="B486" t="s">
        <v>6</v>
      </c>
      <c r="C486" t="s">
        <v>7</v>
      </c>
      <c r="D486" t="s">
        <v>18</v>
      </c>
      <c r="E486" s="5">
        <v>3049</v>
      </c>
      <c r="F486" t="s">
        <v>9</v>
      </c>
    </row>
    <row r="487" spans="1:6" x14ac:dyDescent="0.3">
      <c r="A487" s="3">
        <v>46157</v>
      </c>
      <c r="B487" t="s">
        <v>12</v>
      </c>
      <c r="C487" t="s">
        <v>13</v>
      </c>
      <c r="D487" t="s">
        <v>18</v>
      </c>
      <c r="E487" s="5">
        <v>931</v>
      </c>
      <c r="F487" t="s">
        <v>9</v>
      </c>
    </row>
    <row r="488" spans="1:6" x14ac:dyDescent="0.3">
      <c r="A488" s="3">
        <v>46157</v>
      </c>
      <c r="B488" t="s">
        <v>25</v>
      </c>
      <c r="C488" t="s">
        <v>26</v>
      </c>
      <c r="D488" t="s">
        <v>11</v>
      </c>
      <c r="E488" s="5">
        <v>1397</v>
      </c>
      <c r="F488" t="s">
        <v>9</v>
      </c>
    </row>
    <row r="489" spans="1:6" x14ac:dyDescent="0.3">
      <c r="A489" s="3">
        <v>46157</v>
      </c>
      <c r="B489" t="s">
        <v>22</v>
      </c>
      <c r="C489" t="s">
        <v>23</v>
      </c>
      <c r="D489" t="s">
        <v>16</v>
      </c>
      <c r="E489" s="5">
        <v>4222</v>
      </c>
      <c r="F489" t="s">
        <v>9</v>
      </c>
    </row>
    <row r="490" spans="1:6" x14ac:dyDescent="0.3">
      <c r="A490" s="3">
        <v>46158</v>
      </c>
      <c r="B490" t="s">
        <v>21</v>
      </c>
      <c r="C490" t="s">
        <v>19</v>
      </c>
      <c r="D490" t="s">
        <v>11</v>
      </c>
      <c r="E490" s="5">
        <v>33565</v>
      </c>
      <c r="F490" t="s">
        <v>20</v>
      </c>
    </row>
    <row r="491" spans="1:6" x14ac:dyDescent="0.3">
      <c r="A491" s="3">
        <v>46159</v>
      </c>
      <c r="B491" t="s">
        <v>22</v>
      </c>
      <c r="C491" t="s">
        <v>23</v>
      </c>
      <c r="D491" t="s">
        <v>16</v>
      </c>
      <c r="E491" s="5">
        <v>286</v>
      </c>
      <c r="F491" t="s">
        <v>9</v>
      </c>
    </row>
    <row r="492" spans="1:6" x14ac:dyDescent="0.3">
      <c r="A492" s="3">
        <v>46160</v>
      </c>
      <c r="B492" t="s">
        <v>24</v>
      </c>
      <c r="C492" t="s">
        <v>7</v>
      </c>
      <c r="D492" t="s">
        <v>18</v>
      </c>
      <c r="E492" s="5">
        <v>4996</v>
      </c>
      <c r="F492" t="s">
        <v>9</v>
      </c>
    </row>
    <row r="493" spans="1:6" x14ac:dyDescent="0.3">
      <c r="A493" s="3">
        <v>46161</v>
      </c>
      <c r="B493" t="s">
        <v>22</v>
      </c>
      <c r="C493" t="s">
        <v>23</v>
      </c>
      <c r="D493" t="s">
        <v>10</v>
      </c>
      <c r="E493" s="5">
        <v>168</v>
      </c>
      <c r="F493" t="s">
        <v>9</v>
      </c>
    </row>
    <row r="494" spans="1:6" x14ac:dyDescent="0.3">
      <c r="A494" s="3">
        <v>46162</v>
      </c>
      <c r="B494" t="s">
        <v>17</v>
      </c>
      <c r="C494" t="s">
        <v>13</v>
      </c>
      <c r="D494" t="s">
        <v>16</v>
      </c>
      <c r="E494" s="5">
        <v>1120</v>
      </c>
      <c r="F494" t="s">
        <v>9</v>
      </c>
    </row>
    <row r="495" spans="1:6" x14ac:dyDescent="0.3">
      <c r="A495" s="3">
        <v>46162</v>
      </c>
      <c r="B495" t="s">
        <v>24</v>
      </c>
      <c r="C495" t="s">
        <v>7</v>
      </c>
      <c r="D495" t="s">
        <v>16</v>
      </c>
      <c r="E495" s="5">
        <v>1562</v>
      </c>
      <c r="F495" t="s">
        <v>9</v>
      </c>
    </row>
    <row r="496" spans="1:6" x14ac:dyDescent="0.3">
      <c r="A496" s="3">
        <v>46164</v>
      </c>
      <c r="B496" t="s">
        <v>25</v>
      </c>
      <c r="C496" t="s">
        <v>26</v>
      </c>
      <c r="D496" t="s">
        <v>10</v>
      </c>
      <c r="E496" s="5">
        <v>3457</v>
      </c>
      <c r="F496" t="s">
        <v>9</v>
      </c>
    </row>
    <row r="497" spans="1:6" x14ac:dyDescent="0.3">
      <c r="A497" s="3">
        <v>46166</v>
      </c>
      <c r="B497" t="s">
        <v>25</v>
      </c>
      <c r="C497" t="s">
        <v>26</v>
      </c>
      <c r="D497" t="s">
        <v>8</v>
      </c>
      <c r="E497" s="5">
        <v>596</v>
      </c>
      <c r="F497" t="s">
        <v>9</v>
      </c>
    </row>
    <row r="498" spans="1:6" x14ac:dyDescent="0.3">
      <c r="A498" s="3">
        <v>46166</v>
      </c>
      <c r="B498" t="s">
        <v>25</v>
      </c>
      <c r="C498" t="s">
        <v>26</v>
      </c>
      <c r="D498" t="s">
        <v>18</v>
      </c>
      <c r="E498" s="5">
        <v>2753</v>
      </c>
      <c r="F498" t="s">
        <v>9</v>
      </c>
    </row>
    <row r="499" spans="1:6" x14ac:dyDescent="0.3">
      <c r="A499" s="3">
        <v>46168</v>
      </c>
      <c r="B499" t="s">
        <v>14</v>
      </c>
      <c r="C499" t="s">
        <v>15</v>
      </c>
      <c r="D499" t="s">
        <v>11</v>
      </c>
      <c r="E499" s="5">
        <v>3236</v>
      </c>
      <c r="F499" t="s">
        <v>9</v>
      </c>
    </row>
    <row r="500" spans="1:6" x14ac:dyDescent="0.3">
      <c r="A500" s="3">
        <v>46168</v>
      </c>
      <c r="B500" t="s">
        <v>17</v>
      </c>
      <c r="C500" t="s">
        <v>13</v>
      </c>
      <c r="D500" t="s">
        <v>18</v>
      </c>
      <c r="E500" s="5">
        <v>2676</v>
      </c>
      <c r="F500" t="s">
        <v>9</v>
      </c>
    </row>
    <row r="501" spans="1:6" x14ac:dyDescent="0.3">
      <c r="A501" s="3">
        <v>46170</v>
      </c>
      <c r="B501" t="s">
        <v>12</v>
      </c>
      <c r="C501" t="s">
        <v>13</v>
      </c>
      <c r="D501" t="s">
        <v>10</v>
      </c>
      <c r="E501" s="5">
        <v>1283</v>
      </c>
      <c r="F501" t="s">
        <v>9</v>
      </c>
    </row>
    <row r="502" spans="1:6" x14ac:dyDescent="0.3">
      <c r="A502" s="3">
        <v>46171</v>
      </c>
      <c r="B502" t="s">
        <v>12</v>
      </c>
      <c r="C502" t="s">
        <v>13</v>
      </c>
      <c r="D502" t="s">
        <v>10</v>
      </c>
      <c r="E502" s="5">
        <v>2807</v>
      </c>
      <c r="F502" t="s">
        <v>9</v>
      </c>
    </row>
    <row r="503" spans="1:6" x14ac:dyDescent="0.3">
      <c r="A503" s="3">
        <v>46172</v>
      </c>
      <c r="B503" t="s">
        <v>12</v>
      </c>
      <c r="C503" t="s">
        <v>13</v>
      </c>
      <c r="D503" t="s">
        <v>8</v>
      </c>
      <c r="E503" s="5">
        <v>2311</v>
      </c>
      <c r="F503" t="s">
        <v>9</v>
      </c>
    </row>
    <row r="504" spans="1:6" x14ac:dyDescent="0.3">
      <c r="A504" s="3">
        <v>46173</v>
      </c>
      <c r="B504" t="s">
        <v>6</v>
      </c>
      <c r="C504" t="s">
        <v>7</v>
      </c>
      <c r="D504" t="s">
        <v>10</v>
      </c>
      <c r="E504" s="5">
        <v>4736</v>
      </c>
      <c r="F504" t="s">
        <v>9</v>
      </c>
    </row>
    <row r="505" spans="1:6" x14ac:dyDescent="0.3">
      <c r="A505" s="3">
        <v>46173</v>
      </c>
      <c r="B505" t="s">
        <v>22</v>
      </c>
      <c r="C505" t="s">
        <v>23</v>
      </c>
      <c r="D505" t="s">
        <v>18</v>
      </c>
      <c r="E505" s="5">
        <v>4610</v>
      </c>
      <c r="F505" t="s">
        <v>9</v>
      </c>
    </row>
    <row r="506" spans="1:6" x14ac:dyDescent="0.3">
      <c r="A506" s="3">
        <v>46174</v>
      </c>
      <c r="B506" t="s">
        <v>19</v>
      </c>
      <c r="C506" t="s">
        <v>19</v>
      </c>
      <c r="D506" t="s">
        <v>18</v>
      </c>
      <c r="E506" s="5">
        <v>40513</v>
      </c>
      <c r="F506" t="s">
        <v>20</v>
      </c>
    </row>
    <row r="507" spans="1:6" x14ac:dyDescent="0.3">
      <c r="A507" s="3">
        <v>46175</v>
      </c>
      <c r="B507" t="s">
        <v>17</v>
      </c>
      <c r="C507" t="s">
        <v>13</v>
      </c>
      <c r="D507" t="s">
        <v>10</v>
      </c>
      <c r="E507" s="5">
        <v>4122</v>
      </c>
      <c r="F507" t="s">
        <v>9</v>
      </c>
    </row>
    <row r="508" spans="1:6" x14ac:dyDescent="0.3">
      <c r="A508" s="3">
        <v>46176</v>
      </c>
      <c r="B508" t="s">
        <v>14</v>
      </c>
      <c r="C508" t="s">
        <v>15</v>
      </c>
      <c r="D508" t="s">
        <v>18</v>
      </c>
      <c r="E508" s="5">
        <v>3968</v>
      </c>
      <c r="F508" t="s">
        <v>9</v>
      </c>
    </row>
    <row r="509" spans="1:6" x14ac:dyDescent="0.3">
      <c r="A509" s="3">
        <v>46178</v>
      </c>
      <c r="B509" t="s">
        <v>17</v>
      </c>
      <c r="C509" t="s">
        <v>13</v>
      </c>
      <c r="D509" t="s">
        <v>18</v>
      </c>
      <c r="E509" s="5">
        <v>2603</v>
      </c>
      <c r="F509" t="s">
        <v>9</v>
      </c>
    </row>
    <row r="510" spans="1:6" x14ac:dyDescent="0.3">
      <c r="A510" s="3">
        <v>46179</v>
      </c>
      <c r="B510" t="s">
        <v>21</v>
      </c>
      <c r="C510" t="s">
        <v>19</v>
      </c>
      <c r="D510" t="s">
        <v>8</v>
      </c>
      <c r="E510" s="5">
        <v>47241</v>
      </c>
      <c r="F510" t="s">
        <v>20</v>
      </c>
    </row>
    <row r="511" spans="1:6" x14ac:dyDescent="0.3">
      <c r="A511" s="3">
        <v>46179</v>
      </c>
      <c r="B511" t="s">
        <v>14</v>
      </c>
      <c r="C511" t="s">
        <v>15</v>
      </c>
      <c r="D511" t="s">
        <v>16</v>
      </c>
      <c r="E511" s="5">
        <v>1827</v>
      </c>
      <c r="F511" t="s">
        <v>9</v>
      </c>
    </row>
    <row r="512" spans="1:6" x14ac:dyDescent="0.3">
      <c r="A512" s="3">
        <v>46181</v>
      </c>
      <c r="B512" t="s">
        <v>6</v>
      </c>
      <c r="C512" t="s">
        <v>7</v>
      </c>
      <c r="D512" t="s">
        <v>11</v>
      </c>
      <c r="E512" s="5">
        <v>3918</v>
      </c>
      <c r="F512" t="s">
        <v>9</v>
      </c>
    </row>
    <row r="513" spans="1:6" x14ac:dyDescent="0.3">
      <c r="A513" s="3">
        <v>46181</v>
      </c>
      <c r="B513" t="s">
        <v>6</v>
      </c>
      <c r="C513" t="s">
        <v>7</v>
      </c>
      <c r="D513" t="s">
        <v>11</v>
      </c>
      <c r="E513" s="5">
        <v>2873</v>
      </c>
      <c r="F513" t="s">
        <v>9</v>
      </c>
    </row>
    <row r="514" spans="1:6" x14ac:dyDescent="0.3">
      <c r="A514" s="3">
        <v>46181</v>
      </c>
      <c r="B514" t="s">
        <v>6</v>
      </c>
      <c r="C514" t="s">
        <v>7</v>
      </c>
      <c r="D514" t="s">
        <v>11</v>
      </c>
      <c r="E514" s="5">
        <v>823</v>
      </c>
      <c r="F514" t="s">
        <v>9</v>
      </c>
    </row>
    <row r="515" spans="1:6" x14ac:dyDescent="0.3">
      <c r="A515" s="3">
        <v>46183</v>
      </c>
      <c r="B515" t="s">
        <v>21</v>
      </c>
      <c r="C515" t="s">
        <v>19</v>
      </c>
      <c r="D515" t="s">
        <v>10</v>
      </c>
      <c r="E515" s="5">
        <v>55389</v>
      </c>
      <c r="F515" t="s">
        <v>20</v>
      </c>
    </row>
    <row r="516" spans="1:6" x14ac:dyDescent="0.3">
      <c r="A516" s="3">
        <v>46185</v>
      </c>
      <c r="B516" t="s">
        <v>22</v>
      </c>
      <c r="C516" t="s">
        <v>23</v>
      </c>
      <c r="D516" t="s">
        <v>18</v>
      </c>
      <c r="E516" s="5">
        <v>4633</v>
      </c>
      <c r="F516" t="s">
        <v>9</v>
      </c>
    </row>
    <row r="517" spans="1:6" x14ac:dyDescent="0.3">
      <c r="A517" s="3">
        <v>46186</v>
      </c>
      <c r="B517" t="s">
        <v>22</v>
      </c>
      <c r="C517" t="s">
        <v>23</v>
      </c>
      <c r="D517" t="s">
        <v>18</v>
      </c>
      <c r="E517" s="5">
        <v>1842</v>
      </c>
      <c r="F517" t="s">
        <v>9</v>
      </c>
    </row>
    <row r="518" spans="1:6" x14ac:dyDescent="0.3">
      <c r="A518" s="3">
        <v>46188</v>
      </c>
      <c r="B518" t="s">
        <v>14</v>
      </c>
      <c r="C518" t="s">
        <v>15</v>
      </c>
      <c r="D518" t="s">
        <v>11</v>
      </c>
      <c r="E518" s="5">
        <v>3417</v>
      </c>
      <c r="F518" t="s">
        <v>9</v>
      </c>
    </row>
    <row r="519" spans="1:6" x14ac:dyDescent="0.3">
      <c r="A519" s="3">
        <v>46189</v>
      </c>
      <c r="B519" t="s">
        <v>19</v>
      </c>
      <c r="C519" t="s">
        <v>19</v>
      </c>
      <c r="D519" t="s">
        <v>16</v>
      </c>
      <c r="E519" s="5">
        <v>42372</v>
      </c>
      <c r="F519" t="s">
        <v>20</v>
      </c>
    </row>
    <row r="520" spans="1:6" x14ac:dyDescent="0.3">
      <c r="A520" s="3">
        <v>46189</v>
      </c>
      <c r="B520" t="s">
        <v>6</v>
      </c>
      <c r="C520" t="s">
        <v>7</v>
      </c>
      <c r="D520" t="s">
        <v>18</v>
      </c>
      <c r="E520" s="5">
        <v>292</v>
      </c>
      <c r="F520" t="s">
        <v>9</v>
      </c>
    </row>
    <row r="521" spans="1:6" x14ac:dyDescent="0.3">
      <c r="A521" s="3">
        <v>46189</v>
      </c>
      <c r="B521" t="s">
        <v>24</v>
      </c>
      <c r="C521" t="s">
        <v>7</v>
      </c>
      <c r="D521" t="s">
        <v>10</v>
      </c>
      <c r="E521" s="5">
        <v>2734</v>
      </c>
      <c r="F521" t="s">
        <v>9</v>
      </c>
    </row>
    <row r="522" spans="1:6" x14ac:dyDescent="0.3">
      <c r="A522" s="3">
        <v>46191</v>
      </c>
      <c r="B522" t="s">
        <v>24</v>
      </c>
      <c r="C522" t="s">
        <v>7</v>
      </c>
      <c r="D522" t="s">
        <v>18</v>
      </c>
      <c r="E522" s="5">
        <v>3130</v>
      </c>
      <c r="F522" t="s">
        <v>9</v>
      </c>
    </row>
    <row r="523" spans="1:6" x14ac:dyDescent="0.3">
      <c r="A523" s="3">
        <v>46191</v>
      </c>
      <c r="B523" t="s">
        <v>21</v>
      </c>
      <c r="C523" t="s">
        <v>19</v>
      </c>
      <c r="D523" t="s">
        <v>11</v>
      </c>
      <c r="E523" s="5">
        <v>46644</v>
      </c>
      <c r="F523" t="s">
        <v>20</v>
      </c>
    </row>
    <row r="524" spans="1:6" x14ac:dyDescent="0.3">
      <c r="A524" s="3">
        <v>46192</v>
      </c>
      <c r="B524" t="s">
        <v>17</v>
      </c>
      <c r="C524" t="s">
        <v>13</v>
      </c>
      <c r="D524" t="s">
        <v>18</v>
      </c>
      <c r="E524" s="5">
        <v>4831</v>
      </c>
      <c r="F524" t="s">
        <v>9</v>
      </c>
    </row>
    <row r="525" spans="1:6" x14ac:dyDescent="0.3">
      <c r="A525" s="3">
        <v>46194</v>
      </c>
      <c r="B525" t="s">
        <v>22</v>
      </c>
      <c r="C525" t="s">
        <v>23</v>
      </c>
      <c r="D525" t="s">
        <v>10</v>
      </c>
      <c r="E525" s="5">
        <v>3203</v>
      </c>
      <c r="F525" t="s">
        <v>9</v>
      </c>
    </row>
    <row r="526" spans="1:6" x14ac:dyDescent="0.3">
      <c r="A526" s="3">
        <v>46196</v>
      </c>
      <c r="B526" t="s">
        <v>24</v>
      </c>
      <c r="C526" t="s">
        <v>7</v>
      </c>
      <c r="D526" t="s">
        <v>11</v>
      </c>
      <c r="E526" s="5">
        <v>1806</v>
      </c>
      <c r="F526" t="s">
        <v>9</v>
      </c>
    </row>
    <row r="527" spans="1:6" x14ac:dyDescent="0.3">
      <c r="A527" s="3">
        <v>46198</v>
      </c>
      <c r="B527" t="s">
        <v>22</v>
      </c>
      <c r="C527" t="s">
        <v>23</v>
      </c>
      <c r="D527" t="s">
        <v>8</v>
      </c>
      <c r="E527" s="5">
        <v>953</v>
      </c>
      <c r="F527" t="s">
        <v>9</v>
      </c>
    </row>
    <row r="528" spans="1:6" x14ac:dyDescent="0.3">
      <c r="A528" s="3">
        <v>46198</v>
      </c>
      <c r="B528" t="s">
        <v>19</v>
      </c>
      <c r="C528" t="s">
        <v>19</v>
      </c>
      <c r="D528" t="s">
        <v>16</v>
      </c>
      <c r="E528" s="5">
        <v>40023</v>
      </c>
      <c r="F528" t="s">
        <v>20</v>
      </c>
    </row>
    <row r="529" spans="1:6" x14ac:dyDescent="0.3">
      <c r="A529" s="3">
        <v>46198</v>
      </c>
      <c r="B529" t="s">
        <v>17</v>
      </c>
      <c r="C529" t="s">
        <v>13</v>
      </c>
      <c r="D529" t="s">
        <v>16</v>
      </c>
      <c r="E529" s="5">
        <v>1438</v>
      </c>
      <c r="F529" t="s">
        <v>9</v>
      </c>
    </row>
    <row r="530" spans="1:6" x14ac:dyDescent="0.3">
      <c r="A530" s="3">
        <v>46200</v>
      </c>
      <c r="B530" t="s">
        <v>12</v>
      </c>
      <c r="C530" t="s">
        <v>13</v>
      </c>
      <c r="D530" t="s">
        <v>11</v>
      </c>
      <c r="E530" s="5">
        <v>324</v>
      </c>
      <c r="F530" t="s">
        <v>9</v>
      </c>
    </row>
    <row r="531" spans="1:6" x14ac:dyDescent="0.3">
      <c r="A531" s="3">
        <v>46200</v>
      </c>
      <c r="B531" t="s">
        <v>25</v>
      </c>
      <c r="C531" t="s">
        <v>26</v>
      </c>
      <c r="D531" t="s">
        <v>11</v>
      </c>
      <c r="E531" s="5">
        <v>4469</v>
      </c>
      <c r="F531" t="s">
        <v>9</v>
      </c>
    </row>
    <row r="532" spans="1:6" x14ac:dyDescent="0.3">
      <c r="A532" s="3">
        <v>46202</v>
      </c>
      <c r="B532" t="s">
        <v>22</v>
      </c>
      <c r="C532" t="s">
        <v>23</v>
      </c>
      <c r="D532" t="s">
        <v>8</v>
      </c>
      <c r="E532" s="5">
        <v>3061</v>
      </c>
      <c r="F532" t="s">
        <v>9</v>
      </c>
    </row>
    <row r="533" spans="1:6" x14ac:dyDescent="0.3">
      <c r="A533" s="3">
        <v>46203</v>
      </c>
      <c r="B533" t="s">
        <v>14</v>
      </c>
      <c r="C533" t="s">
        <v>15</v>
      </c>
      <c r="D533" t="s">
        <v>16</v>
      </c>
      <c r="E533" s="5">
        <v>563</v>
      </c>
      <c r="F533" t="s">
        <v>9</v>
      </c>
    </row>
    <row r="534" spans="1:6" x14ac:dyDescent="0.3">
      <c r="A534" s="3">
        <v>46205</v>
      </c>
      <c r="B534" t="s">
        <v>6</v>
      </c>
      <c r="C534" t="s">
        <v>7</v>
      </c>
      <c r="D534" t="s">
        <v>16</v>
      </c>
      <c r="E534" s="5">
        <v>123</v>
      </c>
      <c r="F534" t="s">
        <v>9</v>
      </c>
    </row>
    <row r="535" spans="1:6" x14ac:dyDescent="0.3">
      <c r="A535" s="3">
        <v>46207</v>
      </c>
      <c r="B535" t="s">
        <v>24</v>
      </c>
      <c r="C535" t="s">
        <v>7</v>
      </c>
      <c r="D535" t="s">
        <v>10</v>
      </c>
      <c r="E535" s="5">
        <v>1727</v>
      </c>
      <c r="F535" t="s">
        <v>9</v>
      </c>
    </row>
    <row r="536" spans="1:6" x14ac:dyDescent="0.3">
      <c r="A536" s="3">
        <v>46207</v>
      </c>
      <c r="B536" t="s">
        <v>25</v>
      </c>
      <c r="C536" t="s">
        <v>26</v>
      </c>
      <c r="D536" t="s">
        <v>8</v>
      </c>
      <c r="E536" s="5">
        <v>1699</v>
      </c>
      <c r="F536" t="s">
        <v>9</v>
      </c>
    </row>
    <row r="537" spans="1:6" x14ac:dyDescent="0.3">
      <c r="A537" s="3">
        <v>46207</v>
      </c>
      <c r="B537" t="s">
        <v>14</v>
      </c>
      <c r="C537" t="s">
        <v>15</v>
      </c>
      <c r="D537" t="s">
        <v>8</v>
      </c>
      <c r="E537" s="5">
        <v>3644</v>
      </c>
      <c r="F537" t="s">
        <v>9</v>
      </c>
    </row>
    <row r="538" spans="1:6" x14ac:dyDescent="0.3">
      <c r="A538" s="3">
        <v>46209</v>
      </c>
      <c r="B538" t="s">
        <v>25</v>
      </c>
      <c r="C538" t="s">
        <v>26</v>
      </c>
      <c r="D538" t="s">
        <v>18</v>
      </c>
      <c r="E538" s="5">
        <v>4002</v>
      </c>
      <c r="F538" t="s">
        <v>9</v>
      </c>
    </row>
    <row r="539" spans="1:6" x14ac:dyDescent="0.3">
      <c r="A539" s="3">
        <v>46210</v>
      </c>
      <c r="B539" t="s">
        <v>17</v>
      </c>
      <c r="C539" t="s">
        <v>13</v>
      </c>
      <c r="D539" t="s">
        <v>8</v>
      </c>
      <c r="E539" s="5">
        <v>2266</v>
      </c>
      <c r="F539" t="s">
        <v>9</v>
      </c>
    </row>
    <row r="540" spans="1:6" x14ac:dyDescent="0.3">
      <c r="A540" s="3">
        <v>46212</v>
      </c>
      <c r="B540" t="s">
        <v>24</v>
      </c>
      <c r="C540" t="s">
        <v>7</v>
      </c>
      <c r="D540" t="s">
        <v>18</v>
      </c>
      <c r="E540" s="5">
        <v>2821</v>
      </c>
      <c r="F540" t="s">
        <v>9</v>
      </c>
    </row>
    <row r="541" spans="1:6" x14ac:dyDescent="0.3">
      <c r="A541" s="3">
        <v>46212</v>
      </c>
      <c r="B541" t="s">
        <v>25</v>
      </c>
      <c r="C541" t="s">
        <v>26</v>
      </c>
      <c r="D541" t="s">
        <v>10</v>
      </c>
      <c r="E541" s="5">
        <v>4475</v>
      </c>
      <c r="F541" t="s">
        <v>9</v>
      </c>
    </row>
    <row r="542" spans="1:6" x14ac:dyDescent="0.3">
      <c r="A542" s="3">
        <v>46213</v>
      </c>
      <c r="B542" t="s">
        <v>6</v>
      </c>
      <c r="C542" t="s">
        <v>7</v>
      </c>
      <c r="D542" t="s">
        <v>18</v>
      </c>
      <c r="E542" s="5">
        <v>4220</v>
      </c>
      <c r="F542" t="s">
        <v>9</v>
      </c>
    </row>
    <row r="543" spans="1:6" x14ac:dyDescent="0.3">
      <c r="A543" s="3">
        <v>46215</v>
      </c>
      <c r="B543" t="s">
        <v>24</v>
      </c>
      <c r="C543" t="s">
        <v>7</v>
      </c>
      <c r="D543" t="s">
        <v>10</v>
      </c>
      <c r="E543" s="5">
        <v>4402</v>
      </c>
      <c r="F543" t="s">
        <v>9</v>
      </c>
    </row>
    <row r="544" spans="1:6" x14ac:dyDescent="0.3">
      <c r="A544" s="3">
        <v>46215</v>
      </c>
      <c r="B544" t="s">
        <v>12</v>
      </c>
      <c r="C544" t="s">
        <v>13</v>
      </c>
      <c r="D544" t="s">
        <v>11</v>
      </c>
      <c r="E544" s="5">
        <v>4299</v>
      </c>
      <c r="F544" t="s">
        <v>9</v>
      </c>
    </row>
    <row r="545" spans="1:6" x14ac:dyDescent="0.3">
      <c r="A545" s="3">
        <v>46215</v>
      </c>
      <c r="B545" t="s">
        <v>22</v>
      </c>
      <c r="C545" t="s">
        <v>23</v>
      </c>
      <c r="D545" t="s">
        <v>8</v>
      </c>
      <c r="E545" s="5">
        <v>1192</v>
      </c>
      <c r="F545" t="s">
        <v>9</v>
      </c>
    </row>
    <row r="546" spans="1:6" x14ac:dyDescent="0.3">
      <c r="A546" s="3">
        <v>46217</v>
      </c>
      <c r="B546" t="s">
        <v>24</v>
      </c>
      <c r="C546" t="s">
        <v>7</v>
      </c>
      <c r="D546" t="s">
        <v>8</v>
      </c>
      <c r="E546" s="5">
        <v>4806</v>
      </c>
      <c r="F546" t="s">
        <v>9</v>
      </c>
    </row>
    <row r="547" spans="1:6" x14ac:dyDescent="0.3">
      <c r="A547" s="3">
        <v>46219</v>
      </c>
      <c r="B547" t="s">
        <v>17</v>
      </c>
      <c r="C547" t="s">
        <v>13</v>
      </c>
      <c r="D547" t="s">
        <v>10</v>
      </c>
      <c r="E547" s="5">
        <v>3612</v>
      </c>
      <c r="F547" t="s">
        <v>9</v>
      </c>
    </row>
    <row r="548" spans="1:6" x14ac:dyDescent="0.3">
      <c r="A548" s="3">
        <v>46219</v>
      </c>
      <c r="B548" t="s">
        <v>19</v>
      </c>
      <c r="C548" t="s">
        <v>19</v>
      </c>
      <c r="D548" t="s">
        <v>11</v>
      </c>
      <c r="E548" s="5">
        <v>32330</v>
      </c>
      <c r="F548" t="s">
        <v>20</v>
      </c>
    </row>
    <row r="549" spans="1:6" x14ac:dyDescent="0.3">
      <c r="A549" s="3">
        <v>46220</v>
      </c>
      <c r="B549" t="s">
        <v>25</v>
      </c>
      <c r="C549" t="s">
        <v>26</v>
      </c>
      <c r="D549" t="s">
        <v>8</v>
      </c>
      <c r="E549" s="5">
        <v>1556</v>
      </c>
      <c r="F549" t="s">
        <v>9</v>
      </c>
    </row>
    <row r="550" spans="1:6" x14ac:dyDescent="0.3">
      <c r="A550" s="3">
        <v>46221</v>
      </c>
      <c r="B550" t="s">
        <v>19</v>
      </c>
      <c r="C550" t="s">
        <v>19</v>
      </c>
      <c r="D550" t="s">
        <v>8</v>
      </c>
      <c r="E550" s="5">
        <v>38978</v>
      </c>
      <c r="F550" t="s">
        <v>20</v>
      </c>
    </row>
    <row r="551" spans="1:6" x14ac:dyDescent="0.3">
      <c r="A551" s="3">
        <v>46221</v>
      </c>
      <c r="B551" t="s">
        <v>12</v>
      </c>
      <c r="C551" t="s">
        <v>13</v>
      </c>
      <c r="D551" t="s">
        <v>10</v>
      </c>
      <c r="E551" s="5">
        <v>3542</v>
      </c>
      <c r="F551" t="s">
        <v>9</v>
      </c>
    </row>
    <row r="552" spans="1:6" x14ac:dyDescent="0.3">
      <c r="A552" s="3">
        <v>46223</v>
      </c>
      <c r="B552" t="s">
        <v>6</v>
      </c>
      <c r="C552" t="s">
        <v>7</v>
      </c>
      <c r="D552" t="s">
        <v>18</v>
      </c>
      <c r="E552" s="5">
        <v>3635</v>
      </c>
      <c r="F552" t="s">
        <v>9</v>
      </c>
    </row>
    <row r="553" spans="1:6" x14ac:dyDescent="0.3">
      <c r="A553" s="3">
        <v>46225</v>
      </c>
      <c r="B553" t="s">
        <v>24</v>
      </c>
      <c r="C553" t="s">
        <v>7</v>
      </c>
      <c r="D553" t="s">
        <v>16</v>
      </c>
      <c r="E553" s="5">
        <v>3244</v>
      </c>
      <c r="F553" t="s">
        <v>9</v>
      </c>
    </row>
    <row r="554" spans="1:6" x14ac:dyDescent="0.3">
      <c r="A554" s="3">
        <v>46227</v>
      </c>
      <c r="B554" t="s">
        <v>17</v>
      </c>
      <c r="C554" t="s">
        <v>13</v>
      </c>
      <c r="D554" t="s">
        <v>8</v>
      </c>
      <c r="E554" s="5">
        <v>2330</v>
      </c>
      <c r="F554" t="s">
        <v>9</v>
      </c>
    </row>
    <row r="555" spans="1:6" x14ac:dyDescent="0.3">
      <c r="A555" s="3">
        <v>46229</v>
      </c>
      <c r="B555" t="s">
        <v>25</v>
      </c>
      <c r="C555" t="s">
        <v>26</v>
      </c>
      <c r="D555" t="s">
        <v>8</v>
      </c>
      <c r="E555" s="5">
        <v>1460</v>
      </c>
      <c r="F555" t="s">
        <v>9</v>
      </c>
    </row>
    <row r="556" spans="1:6" x14ac:dyDescent="0.3">
      <c r="A556" s="3">
        <v>46229</v>
      </c>
      <c r="B556" t="s">
        <v>6</v>
      </c>
      <c r="C556" t="s">
        <v>7</v>
      </c>
      <c r="D556" t="s">
        <v>10</v>
      </c>
      <c r="E556" s="5">
        <v>4224</v>
      </c>
      <c r="F556" t="s">
        <v>9</v>
      </c>
    </row>
    <row r="557" spans="1:6" x14ac:dyDescent="0.3">
      <c r="A557" s="3">
        <v>46230</v>
      </c>
      <c r="B557" t="s">
        <v>12</v>
      </c>
      <c r="C557" t="s">
        <v>13</v>
      </c>
      <c r="D557" t="s">
        <v>8</v>
      </c>
      <c r="E557" s="5">
        <v>4603</v>
      </c>
      <c r="F557" t="s">
        <v>9</v>
      </c>
    </row>
    <row r="558" spans="1:6" x14ac:dyDescent="0.3">
      <c r="A558" s="3">
        <v>46231</v>
      </c>
      <c r="B558" t="s">
        <v>24</v>
      </c>
      <c r="C558" t="s">
        <v>7</v>
      </c>
      <c r="D558" t="s">
        <v>8</v>
      </c>
      <c r="E558" s="5">
        <v>142</v>
      </c>
      <c r="F558" t="s">
        <v>9</v>
      </c>
    </row>
    <row r="559" spans="1:6" x14ac:dyDescent="0.3">
      <c r="A559" s="3">
        <v>46231</v>
      </c>
      <c r="B559" t="s">
        <v>24</v>
      </c>
      <c r="C559" t="s">
        <v>7</v>
      </c>
      <c r="D559" t="s">
        <v>18</v>
      </c>
      <c r="E559" s="5">
        <v>2942</v>
      </c>
      <c r="F559" t="s">
        <v>9</v>
      </c>
    </row>
    <row r="560" spans="1:6" x14ac:dyDescent="0.3">
      <c r="A560" s="3">
        <v>46232</v>
      </c>
      <c r="B560" t="s">
        <v>19</v>
      </c>
      <c r="C560" t="s">
        <v>19</v>
      </c>
      <c r="D560" t="s">
        <v>16</v>
      </c>
      <c r="E560" s="5">
        <v>38770</v>
      </c>
      <c r="F560" t="s">
        <v>20</v>
      </c>
    </row>
    <row r="561" spans="1:6" x14ac:dyDescent="0.3">
      <c r="A561" s="3">
        <v>46233</v>
      </c>
      <c r="B561" t="s">
        <v>17</v>
      </c>
      <c r="C561" t="s">
        <v>13</v>
      </c>
      <c r="D561" t="s">
        <v>18</v>
      </c>
      <c r="E561" s="5">
        <v>4027</v>
      </c>
      <c r="F561" t="s">
        <v>9</v>
      </c>
    </row>
    <row r="562" spans="1:6" x14ac:dyDescent="0.3">
      <c r="A562" s="3">
        <v>46235</v>
      </c>
      <c r="B562" t="s">
        <v>19</v>
      </c>
      <c r="C562" t="s">
        <v>19</v>
      </c>
      <c r="D562" t="s">
        <v>18</v>
      </c>
      <c r="E562" s="5">
        <v>38940</v>
      </c>
      <c r="F562" t="s">
        <v>20</v>
      </c>
    </row>
    <row r="563" spans="1:6" x14ac:dyDescent="0.3">
      <c r="A563" s="3">
        <v>46237</v>
      </c>
      <c r="B563" t="s">
        <v>14</v>
      </c>
      <c r="C563" t="s">
        <v>15</v>
      </c>
      <c r="D563" t="s">
        <v>8</v>
      </c>
      <c r="E563" s="5">
        <v>1816</v>
      </c>
      <c r="F563" t="s">
        <v>9</v>
      </c>
    </row>
    <row r="564" spans="1:6" x14ac:dyDescent="0.3">
      <c r="A564" s="3">
        <v>46237</v>
      </c>
      <c r="B564" t="s">
        <v>17</v>
      </c>
      <c r="C564" t="s">
        <v>13</v>
      </c>
      <c r="D564" t="s">
        <v>8</v>
      </c>
      <c r="E564" s="5">
        <v>4767</v>
      </c>
      <c r="F564" t="s">
        <v>9</v>
      </c>
    </row>
    <row r="565" spans="1:6" x14ac:dyDescent="0.3">
      <c r="A565" s="3">
        <v>46238</v>
      </c>
      <c r="B565" t="s">
        <v>22</v>
      </c>
      <c r="C565" t="s">
        <v>23</v>
      </c>
      <c r="D565" t="s">
        <v>11</v>
      </c>
      <c r="E565" s="5">
        <v>1224</v>
      </c>
      <c r="F565" t="s">
        <v>9</v>
      </c>
    </row>
    <row r="566" spans="1:6" x14ac:dyDescent="0.3">
      <c r="A566" s="3">
        <v>46240</v>
      </c>
      <c r="B566" t="s">
        <v>25</v>
      </c>
      <c r="C566" t="s">
        <v>26</v>
      </c>
      <c r="D566" t="s">
        <v>18</v>
      </c>
      <c r="E566" s="5">
        <v>2647</v>
      </c>
      <c r="F566" t="s">
        <v>9</v>
      </c>
    </row>
    <row r="567" spans="1:6" x14ac:dyDescent="0.3">
      <c r="A567" s="3">
        <v>46242</v>
      </c>
      <c r="B567" t="s">
        <v>12</v>
      </c>
      <c r="C567" t="s">
        <v>13</v>
      </c>
      <c r="D567" t="s">
        <v>11</v>
      </c>
      <c r="E567" s="5">
        <v>1085</v>
      </c>
      <c r="F567" t="s">
        <v>9</v>
      </c>
    </row>
    <row r="568" spans="1:6" x14ac:dyDescent="0.3">
      <c r="A568" s="3">
        <v>46243</v>
      </c>
      <c r="B568" t="s">
        <v>21</v>
      </c>
      <c r="C568" t="s">
        <v>19</v>
      </c>
      <c r="D568" t="s">
        <v>11</v>
      </c>
      <c r="E568" s="5">
        <v>44811</v>
      </c>
      <c r="F568" t="s">
        <v>20</v>
      </c>
    </row>
    <row r="569" spans="1:6" x14ac:dyDescent="0.3">
      <c r="A569" s="3">
        <v>46245</v>
      </c>
      <c r="B569" t="s">
        <v>12</v>
      </c>
      <c r="C569" t="s">
        <v>13</v>
      </c>
      <c r="D569" t="s">
        <v>16</v>
      </c>
      <c r="E569" s="5">
        <v>1428</v>
      </c>
      <c r="F569" t="s">
        <v>9</v>
      </c>
    </row>
    <row r="570" spans="1:6" x14ac:dyDescent="0.3">
      <c r="A570" s="3">
        <v>46247</v>
      </c>
      <c r="B570" t="s">
        <v>14</v>
      </c>
      <c r="C570" t="s">
        <v>15</v>
      </c>
      <c r="D570" t="s">
        <v>18</v>
      </c>
      <c r="E570" s="5">
        <v>798</v>
      </c>
      <c r="F570" t="s">
        <v>9</v>
      </c>
    </row>
    <row r="571" spans="1:6" x14ac:dyDescent="0.3">
      <c r="A571" s="3">
        <v>46247</v>
      </c>
      <c r="B571" t="s">
        <v>6</v>
      </c>
      <c r="C571" t="s">
        <v>7</v>
      </c>
      <c r="D571" t="s">
        <v>11</v>
      </c>
      <c r="E571" s="5">
        <v>3984</v>
      </c>
      <c r="F571" t="s">
        <v>9</v>
      </c>
    </row>
    <row r="572" spans="1:6" x14ac:dyDescent="0.3">
      <c r="A572" s="3">
        <v>46247</v>
      </c>
      <c r="B572" t="s">
        <v>24</v>
      </c>
      <c r="C572" t="s">
        <v>7</v>
      </c>
      <c r="D572" t="s">
        <v>8</v>
      </c>
      <c r="E572" s="5">
        <v>1942</v>
      </c>
      <c r="F572" t="s">
        <v>9</v>
      </c>
    </row>
    <row r="573" spans="1:6" x14ac:dyDescent="0.3">
      <c r="A573" s="3">
        <v>46249</v>
      </c>
      <c r="B573" t="s">
        <v>21</v>
      </c>
      <c r="C573" t="s">
        <v>19</v>
      </c>
      <c r="D573" t="s">
        <v>16</v>
      </c>
      <c r="E573" s="5">
        <v>39253</v>
      </c>
      <c r="F573" t="s">
        <v>20</v>
      </c>
    </row>
    <row r="574" spans="1:6" x14ac:dyDescent="0.3">
      <c r="A574" s="3">
        <v>46251</v>
      </c>
      <c r="B574" t="s">
        <v>12</v>
      </c>
      <c r="C574" t="s">
        <v>13</v>
      </c>
      <c r="D574" t="s">
        <v>16</v>
      </c>
      <c r="E574" s="5">
        <v>420</v>
      </c>
      <c r="F574" t="s">
        <v>9</v>
      </c>
    </row>
    <row r="575" spans="1:6" x14ac:dyDescent="0.3">
      <c r="A575" s="3">
        <v>46251</v>
      </c>
      <c r="B575" t="s">
        <v>24</v>
      </c>
      <c r="C575" t="s">
        <v>7</v>
      </c>
      <c r="D575" t="s">
        <v>8</v>
      </c>
      <c r="E575" s="5">
        <v>881</v>
      </c>
      <c r="F575" t="s">
        <v>9</v>
      </c>
    </row>
    <row r="576" spans="1:6" x14ac:dyDescent="0.3">
      <c r="A576" s="3">
        <v>46251</v>
      </c>
      <c r="B576" t="s">
        <v>14</v>
      </c>
      <c r="C576" t="s">
        <v>15</v>
      </c>
      <c r="D576" t="s">
        <v>11</v>
      </c>
      <c r="E576" s="5">
        <v>4982</v>
      </c>
      <c r="F576" t="s">
        <v>9</v>
      </c>
    </row>
    <row r="577" spans="1:6" x14ac:dyDescent="0.3">
      <c r="A577" s="3">
        <v>46253</v>
      </c>
      <c r="B577" t="s">
        <v>19</v>
      </c>
      <c r="C577" t="s">
        <v>19</v>
      </c>
      <c r="D577" t="s">
        <v>8</v>
      </c>
      <c r="E577" s="5">
        <v>33946</v>
      </c>
      <c r="F577" t="s">
        <v>20</v>
      </c>
    </row>
    <row r="578" spans="1:6" x14ac:dyDescent="0.3">
      <c r="A578" s="3">
        <v>46254</v>
      </c>
      <c r="B578" t="s">
        <v>14</v>
      </c>
      <c r="C578" t="s">
        <v>15</v>
      </c>
      <c r="D578" t="s">
        <v>18</v>
      </c>
      <c r="E578" s="5">
        <v>638</v>
      </c>
      <c r="F578" t="s">
        <v>9</v>
      </c>
    </row>
    <row r="579" spans="1:6" x14ac:dyDescent="0.3">
      <c r="A579" s="3">
        <v>46255</v>
      </c>
      <c r="B579" t="s">
        <v>24</v>
      </c>
      <c r="C579" t="s">
        <v>7</v>
      </c>
      <c r="D579" t="s">
        <v>18</v>
      </c>
      <c r="E579" s="5">
        <v>2215</v>
      </c>
      <c r="F579" t="s">
        <v>9</v>
      </c>
    </row>
    <row r="580" spans="1:6" x14ac:dyDescent="0.3">
      <c r="A580" s="3">
        <v>46257</v>
      </c>
      <c r="B580" t="s">
        <v>17</v>
      </c>
      <c r="C580" t="s">
        <v>13</v>
      </c>
      <c r="D580" t="s">
        <v>11</v>
      </c>
      <c r="E580" s="5">
        <v>4274</v>
      </c>
      <c r="F580" t="s">
        <v>9</v>
      </c>
    </row>
    <row r="581" spans="1:6" x14ac:dyDescent="0.3">
      <c r="A581" s="3">
        <v>46259</v>
      </c>
      <c r="B581" t="s">
        <v>21</v>
      </c>
      <c r="C581" t="s">
        <v>19</v>
      </c>
      <c r="D581" t="s">
        <v>18</v>
      </c>
      <c r="E581" s="5">
        <v>48547</v>
      </c>
      <c r="F581" t="s">
        <v>20</v>
      </c>
    </row>
    <row r="582" spans="1:6" x14ac:dyDescent="0.3">
      <c r="A582" s="3">
        <v>46259</v>
      </c>
      <c r="B582" t="s">
        <v>25</v>
      </c>
      <c r="C582" t="s">
        <v>26</v>
      </c>
      <c r="D582" t="s">
        <v>8</v>
      </c>
      <c r="E582" s="5">
        <v>3834</v>
      </c>
      <c r="F582" t="s">
        <v>9</v>
      </c>
    </row>
    <row r="583" spans="1:6" x14ac:dyDescent="0.3">
      <c r="A583" s="3">
        <v>46261</v>
      </c>
      <c r="B583" t="s">
        <v>14</v>
      </c>
      <c r="C583" t="s">
        <v>15</v>
      </c>
      <c r="D583" t="s">
        <v>11</v>
      </c>
      <c r="E583" s="5">
        <v>4846</v>
      </c>
      <c r="F583" t="s">
        <v>9</v>
      </c>
    </row>
    <row r="584" spans="1:6" x14ac:dyDescent="0.3">
      <c r="A584" s="3">
        <v>46262</v>
      </c>
      <c r="B584" t="s">
        <v>14</v>
      </c>
      <c r="C584" t="s">
        <v>15</v>
      </c>
      <c r="D584" t="s">
        <v>18</v>
      </c>
      <c r="E584" s="5">
        <v>2343</v>
      </c>
      <c r="F584" t="s">
        <v>9</v>
      </c>
    </row>
    <row r="585" spans="1:6" x14ac:dyDescent="0.3">
      <c r="A585" s="3">
        <v>46262</v>
      </c>
      <c r="B585" t="s">
        <v>17</v>
      </c>
      <c r="C585" t="s">
        <v>13</v>
      </c>
      <c r="D585" t="s">
        <v>18</v>
      </c>
      <c r="E585" s="5">
        <v>1591</v>
      </c>
      <c r="F585" t="s">
        <v>9</v>
      </c>
    </row>
    <row r="586" spans="1:6" x14ac:dyDescent="0.3">
      <c r="A586" s="3">
        <v>46263</v>
      </c>
      <c r="B586" t="s">
        <v>17</v>
      </c>
      <c r="C586" t="s">
        <v>13</v>
      </c>
      <c r="D586" t="s">
        <v>11</v>
      </c>
      <c r="E586" s="5">
        <v>1761</v>
      </c>
      <c r="F586" t="s">
        <v>9</v>
      </c>
    </row>
    <row r="587" spans="1:6" x14ac:dyDescent="0.3">
      <c r="A587" s="3">
        <v>46263</v>
      </c>
      <c r="B587" t="s">
        <v>19</v>
      </c>
      <c r="C587" t="s">
        <v>19</v>
      </c>
      <c r="D587" t="s">
        <v>10</v>
      </c>
      <c r="E587" s="5">
        <v>57368</v>
      </c>
      <c r="F587" t="s">
        <v>20</v>
      </c>
    </row>
    <row r="588" spans="1:6" x14ac:dyDescent="0.3">
      <c r="A588" s="3">
        <v>46265</v>
      </c>
      <c r="B588" t="s">
        <v>24</v>
      </c>
      <c r="C588" t="s">
        <v>7</v>
      </c>
      <c r="D588" t="s">
        <v>10</v>
      </c>
      <c r="E588" s="5">
        <v>3411</v>
      </c>
      <c r="F588" t="s">
        <v>9</v>
      </c>
    </row>
    <row r="589" spans="1:6" x14ac:dyDescent="0.3">
      <c r="A589" s="3">
        <v>46265</v>
      </c>
      <c r="B589" t="s">
        <v>24</v>
      </c>
      <c r="C589" t="s">
        <v>7</v>
      </c>
      <c r="D589" t="s">
        <v>11</v>
      </c>
      <c r="E589" s="5">
        <v>1364</v>
      </c>
      <c r="F589" t="s">
        <v>9</v>
      </c>
    </row>
    <row r="590" spans="1:6" x14ac:dyDescent="0.3">
      <c r="A590" s="3">
        <v>46266</v>
      </c>
      <c r="B590" t="s">
        <v>22</v>
      </c>
      <c r="C590" t="s">
        <v>23</v>
      </c>
      <c r="D590" t="s">
        <v>11</v>
      </c>
      <c r="E590" s="5">
        <v>4089</v>
      </c>
      <c r="F590" t="s">
        <v>9</v>
      </c>
    </row>
    <row r="591" spans="1:6" x14ac:dyDescent="0.3">
      <c r="A591" s="3">
        <v>46266</v>
      </c>
      <c r="B591" t="s">
        <v>17</v>
      </c>
      <c r="C591" t="s">
        <v>13</v>
      </c>
      <c r="D591" t="s">
        <v>18</v>
      </c>
      <c r="E591" s="5">
        <v>542</v>
      </c>
      <c r="F591" t="s">
        <v>9</v>
      </c>
    </row>
    <row r="592" spans="1:6" x14ac:dyDescent="0.3">
      <c r="A592" s="3">
        <v>46266</v>
      </c>
      <c r="B592" t="s">
        <v>12</v>
      </c>
      <c r="C592" t="s">
        <v>13</v>
      </c>
      <c r="D592" t="s">
        <v>8</v>
      </c>
      <c r="E592" s="5">
        <v>4087</v>
      </c>
      <c r="F592" t="s">
        <v>9</v>
      </c>
    </row>
    <row r="593" spans="1:6" x14ac:dyDescent="0.3">
      <c r="A593" s="3">
        <v>46268</v>
      </c>
      <c r="B593" t="s">
        <v>22</v>
      </c>
      <c r="C593" t="s">
        <v>23</v>
      </c>
      <c r="D593" t="s">
        <v>18</v>
      </c>
      <c r="E593" s="5">
        <v>4843</v>
      </c>
      <c r="F593" t="s">
        <v>9</v>
      </c>
    </row>
    <row r="594" spans="1:6" x14ac:dyDescent="0.3">
      <c r="A594" s="3">
        <v>46270</v>
      </c>
      <c r="B594" t="s">
        <v>19</v>
      </c>
      <c r="C594" t="s">
        <v>19</v>
      </c>
      <c r="D594" t="s">
        <v>8</v>
      </c>
      <c r="E594" s="5">
        <v>30644</v>
      </c>
      <c r="F594" t="s">
        <v>20</v>
      </c>
    </row>
    <row r="595" spans="1:6" x14ac:dyDescent="0.3">
      <c r="A595" s="3">
        <v>46271</v>
      </c>
      <c r="B595" t="s">
        <v>24</v>
      </c>
      <c r="C595" t="s">
        <v>7</v>
      </c>
      <c r="D595" t="s">
        <v>18</v>
      </c>
      <c r="E595" s="5">
        <v>4997</v>
      </c>
      <c r="F595" t="s">
        <v>9</v>
      </c>
    </row>
    <row r="596" spans="1:6" x14ac:dyDescent="0.3">
      <c r="A596" s="3">
        <v>46271</v>
      </c>
      <c r="B596" t="s">
        <v>17</v>
      </c>
      <c r="C596" t="s">
        <v>13</v>
      </c>
      <c r="D596" t="s">
        <v>11</v>
      </c>
      <c r="E596" s="5">
        <v>2710</v>
      </c>
      <c r="F596" t="s">
        <v>9</v>
      </c>
    </row>
    <row r="597" spans="1:6" x14ac:dyDescent="0.3">
      <c r="A597" s="3">
        <v>46271</v>
      </c>
      <c r="B597" t="s">
        <v>24</v>
      </c>
      <c r="C597" t="s">
        <v>7</v>
      </c>
      <c r="D597" t="s">
        <v>18</v>
      </c>
      <c r="E597" s="5">
        <v>3205</v>
      </c>
      <c r="F597" t="s">
        <v>9</v>
      </c>
    </row>
    <row r="598" spans="1:6" x14ac:dyDescent="0.3">
      <c r="A598" s="3">
        <v>46273</v>
      </c>
      <c r="B598" t="s">
        <v>12</v>
      </c>
      <c r="C598" t="s">
        <v>13</v>
      </c>
      <c r="D598" t="s">
        <v>11</v>
      </c>
      <c r="E598" s="5">
        <v>1281</v>
      </c>
      <c r="F598" t="s">
        <v>9</v>
      </c>
    </row>
    <row r="599" spans="1:6" x14ac:dyDescent="0.3">
      <c r="A599" s="3">
        <v>46275</v>
      </c>
      <c r="B599" t="s">
        <v>22</v>
      </c>
      <c r="C599" t="s">
        <v>23</v>
      </c>
      <c r="D599" t="s">
        <v>8</v>
      </c>
      <c r="E599" s="5">
        <v>4462</v>
      </c>
      <c r="F599" t="s">
        <v>9</v>
      </c>
    </row>
    <row r="600" spans="1:6" x14ac:dyDescent="0.3">
      <c r="A600" s="3">
        <v>46276</v>
      </c>
      <c r="B600" t="s">
        <v>21</v>
      </c>
      <c r="C600" t="s">
        <v>19</v>
      </c>
      <c r="D600" t="s">
        <v>11</v>
      </c>
      <c r="E600" s="5">
        <v>46739</v>
      </c>
      <c r="F600" t="s">
        <v>20</v>
      </c>
    </row>
    <row r="601" spans="1:6" x14ac:dyDescent="0.3">
      <c r="A601" s="3">
        <v>46277</v>
      </c>
      <c r="B601" t="s">
        <v>25</v>
      </c>
      <c r="C601" t="s">
        <v>26</v>
      </c>
      <c r="D601" t="s">
        <v>8</v>
      </c>
      <c r="E601" s="5">
        <v>936</v>
      </c>
      <c r="F601" t="s">
        <v>9</v>
      </c>
    </row>
    <row r="602" spans="1:6" x14ac:dyDescent="0.3">
      <c r="A602" s="3">
        <v>46279</v>
      </c>
      <c r="B602" t="s">
        <v>21</v>
      </c>
      <c r="C602" t="s">
        <v>19</v>
      </c>
      <c r="D602" t="s">
        <v>11</v>
      </c>
      <c r="E602" s="5">
        <v>46428</v>
      </c>
      <c r="F602" t="s">
        <v>20</v>
      </c>
    </row>
    <row r="603" spans="1:6" x14ac:dyDescent="0.3">
      <c r="A603" s="3">
        <v>46280</v>
      </c>
      <c r="B603" t="s">
        <v>17</v>
      </c>
      <c r="C603" t="s">
        <v>13</v>
      </c>
      <c r="D603" t="s">
        <v>11</v>
      </c>
      <c r="E603" s="5">
        <v>959</v>
      </c>
      <c r="F603" t="s">
        <v>9</v>
      </c>
    </row>
    <row r="604" spans="1:6" x14ac:dyDescent="0.3">
      <c r="A604" s="3">
        <v>46280</v>
      </c>
      <c r="B604" t="s">
        <v>21</v>
      </c>
      <c r="C604" t="s">
        <v>19</v>
      </c>
      <c r="D604" t="s">
        <v>11</v>
      </c>
      <c r="E604" s="5">
        <v>50181</v>
      </c>
      <c r="F604" t="s">
        <v>20</v>
      </c>
    </row>
    <row r="605" spans="1:6" x14ac:dyDescent="0.3">
      <c r="A605" s="3">
        <v>46281</v>
      </c>
      <c r="B605" t="s">
        <v>14</v>
      </c>
      <c r="C605" t="s">
        <v>15</v>
      </c>
      <c r="D605" t="s">
        <v>11</v>
      </c>
      <c r="E605" s="5">
        <v>2846</v>
      </c>
      <c r="F605" t="s">
        <v>9</v>
      </c>
    </row>
    <row r="606" spans="1:6" x14ac:dyDescent="0.3">
      <c r="A606" s="3">
        <v>46283</v>
      </c>
      <c r="B606" t="s">
        <v>22</v>
      </c>
      <c r="C606" t="s">
        <v>23</v>
      </c>
      <c r="D606" t="s">
        <v>16</v>
      </c>
      <c r="E606" s="5">
        <v>1958</v>
      </c>
      <c r="F606" t="s">
        <v>9</v>
      </c>
    </row>
    <row r="607" spans="1:6" x14ac:dyDescent="0.3">
      <c r="A607" s="3">
        <v>46283</v>
      </c>
      <c r="B607" t="s">
        <v>6</v>
      </c>
      <c r="C607" t="s">
        <v>7</v>
      </c>
      <c r="D607" t="s">
        <v>11</v>
      </c>
      <c r="E607" s="5">
        <v>2403</v>
      </c>
      <c r="F607" t="s">
        <v>9</v>
      </c>
    </row>
    <row r="608" spans="1:6" x14ac:dyDescent="0.3">
      <c r="A608" s="3">
        <v>46285</v>
      </c>
      <c r="B608" t="s">
        <v>19</v>
      </c>
      <c r="C608" t="s">
        <v>19</v>
      </c>
      <c r="D608" t="s">
        <v>10</v>
      </c>
      <c r="E608" s="5">
        <v>41684</v>
      </c>
      <c r="F608" t="s">
        <v>20</v>
      </c>
    </row>
    <row r="609" spans="1:6" x14ac:dyDescent="0.3">
      <c r="A609" s="3">
        <v>46286</v>
      </c>
      <c r="B609" t="s">
        <v>17</v>
      </c>
      <c r="C609" t="s">
        <v>13</v>
      </c>
      <c r="D609" t="s">
        <v>16</v>
      </c>
      <c r="E609" s="5">
        <v>1382</v>
      </c>
      <c r="F609" t="s">
        <v>9</v>
      </c>
    </row>
    <row r="610" spans="1:6" x14ac:dyDescent="0.3">
      <c r="A610" s="3">
        <v>46288</v>
      </c>
      <c r="B610" t="s">
        <v>22</v>
      </c>
      <c r="C610" t="s">
        <v>23</v>
      </c>
      <c r="D610" t="s">
        <v>11</v>
      </c>
      <c r="E610" s="5">
        <v>802</v>
      </c>
      <c r="F610" t="s">
        <v>9</v>
      </c>
    </row>
    <row r="611" spans="1:6" x14ac:dyDescent="0.3">
      <c r="A611" s="3">
        <v>46290</v>
      </c>
      <c r="B611" t="s">
        <v>17</v>
      </c>
      <c r="C611" t="s">
        <v>13</v>
      </c>
      <c r="D611" t="s">
        <v>10</v>
      </c>
      <c r="E611" s="5">
        <v>2572</v>
      </c>
      <c r="F611" t="s">
        <v>9</v>
      </c>
    </row>
    <row r="612" spans="1:6" x14ac:dyDescent="0.3">
      <c r="A612" s="3">
        <v>46292</v>
      </c>
      <c r="B612" t="s">
        <v>21</v>
      </c>
      <c r="C612" t="s">
        <v>19</v>
      </c>
      <c r="D612" t="s">
        <v>8</v>
      </c>
      <c r="E612" s="5">
        <v>43750</v>
      </c>
      <c r="F612" t="s">
        <v>20</v>
      </c>
    </row>
    <row r="613" spans="1:6" x14ac:dyDescent="0.3">
      <c r="A613" s="3">
        <v>46294</v>
      </c>
      <c r="B613" t="s">
        <v>21</v>
      </c>
      <c r="C613" t="s">
        <v>19</v>
      </c>
      <c r="D613" t="s">
        <v>16</v>
      </c>
      <c r="E613" s="5">
        <v>31100</v>
      </c>
      <c r="F613" t="s">
        <v>20</v>
      </c>
    </row>
    <row r="614" spans="1:6" x14ac:dyDescent="0.3">
      <c r="A614" s="3">
        <v>46295</v>
      </c>
      <c r="B614" t="s">
        <v>24</v>
      </c>
      <c r="C614" t="s">
        <v>7</v>
      </c>
      <c r="D614" t="s">
        <v>8</v>
      </c>
      <c r="E614" s="5">
        <v>1260</v>
      </c>
      <c r="F614" t="s">
        <v>9</v>
      </c>
    </row>
    <row r="615" spans="1:6" x14ac:dyDescent="0.3">
      <c r="A615" s="3">
        <v>46295</v>
      </c>
      <c r="B615" t="s">
        <v>25</v>
      </c>
      <c r="C615" t="s">
        <v>26</v>
      </c>
      <c r="D615" t="s">
        <v>11</v>
      </c>
      <c r="E615" s="5">
        <v>1957</v>
      </c>
      <c r="F615" t="s">
        <v>9</v>
      </c>
    </row>
    <row r="616" spans="1:6" x14ac:dyDescent="0.3">
      <c r="A616" s="3">
        <v>46296</v>
      </c>
      <c r="B616" t="s">
        <v>12</v>
      </c>
      <c r="C616" t="s">
        <v>13</v>
      </c>
      <c r="D616" t="s">
        <v>11</v>
      </c>
      <c r="E616" s="5">
        <v>1910</v>
      </c>
      <c r="F616" t="s">
        <v>9</v>
      </c>
    </row>
    <row r="617" spans="1:6" x14ac:dyDescent="0.3">
      <c r="A617" s="3">
        <v>46297</v>
      </c>
      <c r="B617" t="s">
        <v>24</v>
      </c>
      <c r="C617" t="s">
        <v>7</v>
      </c>
      <c r="D617" t="s">
        <v>18</v>
      </c>
      <c r="E617" s="5">
        <v>3955</v>
      </c>
      <c r="F617" t="s">
        <v>9</v>
      </c>
    </row>
    <row r="618" spans="1:6" x14ac:dyDescent="0.3">
      <c r="A618" s="3">
        <v>46299</v>
      </c>
      <c r="B618" t="s">
        <v>6</v>
      </c>
      <c r="C618" t="s">
        <v>7</v>
      </c>
      <c r="D618" t="s">
        <v>11</v>
      </c>
      <c r="E618" s="5">
        <v>4891</v>
      </c>
      <c r="F618" t="s">
        <v>9</v>
      </c>
    </row>
    <row r="619" spans="1:6" x14ac:dyDescent="0.3">
      <c r="A619" s="3">
        <v>46301</v>
      </c>
      <c r="B619" t="s">
        <v>25</v>
      </c>
      <c r="C619" t="s">
        <v>26</v>
      </c>
      <c r="D619" t="s">
        <v>11</v>
      </c>
      <c r="E619" s="5">
        <v>4877</v>
      </c>
      <c r="F619" t="s">
        <v>9</v>
      </c>
    </row>
    <row r="620" spans="1:6" x14ac:dyDescent="0.3">
      <c r="A620" s="3">
        <v>46302</v>
      </c>
      <c r="B620" t="s">
        <v>6</v>
      </c>
      <c r="C620" t="s">
        <v>7</v>
      </c>
      <c r="D620" t="s">
        <v>10</v>
      </c>
      <c r="E620" s="5">
        <v>2628</v>
      </c>
      <c r="F620" t="s">
        <v>9</v>
      </c>
    </row>
    <row r="621" spans="1:6" x14ac:dyDescent="0.3">
      <c r="A621" s="3">
        <v>46302</v>
      </c>
      <c r="B621" t="s">
        <v>22</v>
      </c>
      <c r="C621" t="s">
        <v>23</v>
      </c>
      <c r="D621" t="s">
        <v>16</v>
      </c>
      <c r="E621" s="5">
        <v>3878</v>
      </c>
      <c r="F621" t="s">
        <v>9</v>
      </c>
    </row>
    <row r="622" spans="1:6" x14ac:dyDescent="0.3">
      <c r="A622" s="3">
        <v>46303</v>
      </c>
      <c r="B622" t="s">
        <v>17</v>
      </c>
      <c r="C622" t="s">
        <v>13</v>
      </c>
      <c r="D622" t="s">
        <v>11</v>
      </c>
      <c r="E622" s="5">
        <v>1247</v>
      </c>
      <c r="F622" t="s">
        <v>9</v>
      </c>
    </row>
    <row r="623" spans="1:6" x14ac:dyDescent="0.3">
      <c r="A623" s="3">
        <v>46304</v>
      </c>
      <c r="B623" t="s">
        <v>24</v>
      </c>
      <c r="C623" t="s">
        <v>7</v>
      </c>
      <c r="D623" t="s">
        <v>16</v>
      </c>
      <c r="E623" s="5">
        <v>323</v>
      </c>
      <c r="F623" t="s">
        <v>9</v>
      </c>
    </row>
    <row r="624" spans="1:6" x14ac:dyDescent="0.3">
      <c r="A624" s="3">
        <v>46305</v>
      </c>
      <c r="B624" t="s">
        <v>14</v>
      </c>
      <c r="C624" t="s">
        <v>15</v>
      </c>
      <c r="D624" t="s">
        <v>10</v>
      </c>
      <c r="E624" s="5">
        <v>2381</v>
      </c>
      <c r="F624" t="s">
        <v>9</v>
      </c>
    </row>
    <row r="625" spans="1:6" x14ac:dyDescent="0.3">
      <c r="A625" s="3">
        <v>46307</v>
      </c>
      <c r="B625" t="s">
        <v>17</v>
      </c>
      <c r="C625" t="s">
        <v>13</v>
      </c>
      <c r="D625" t="s">
        <v>16</v>
      </c>
      <c r="E625" s="5">
        <v>3880</v>
      </c>
      <c r="F625" t="s">
        <v>9</v>
      </c>
    </row>
    <row r="626" spans="1:6" x14ac:dyDescent="0.3">
      <c r="A626" s="3">
        <v>46308</v>
      </c>
      <c r="B626" t="s">
        <v>19</v>
      </c>
      <c r="C626" t="s">
        <v>19</v>
      </c>
      <c r="D626" t="s">
        <v>10</v>
      </c>
      <c r="E626" s="5">
        <v>42291</v>
      </c>
      <c r="F626" t="s">
        <v>20</v>
      </c>
    </row>
    <row r="627" spans="1:6" x14ac:dyDescent="0.3">
      <c r="A627" s="3">
        <v>46310</v>
      </c>
      <c r="B627" t="s">
        <v>25</v>
      </c>
      <c r="C627" t="s">
        <v>26</v>
      </c>
      <c r="D627" t="s">
        <v>11</v>
      </c>
      <c r="E627" s="5">
        <v>2508</v>
      </c>
      <c r="F627" t="s">
        <v>9</v>
      </c>
    </row>
    <row r="628" spans="1:6" x14ac:dyDescent="0.3">
      <c r="A628" s="3">
        <v>46311</v>
      </c>
      <c r="B628" t="s">
        <v>17</v>
      </c>
      <c r="C628" t="s">
        <v>13</v>
      </c>
      <c r="D628" t="s">
        <v>11</v>
      </c>
      <c r="E628" s="5">
        <v>3427</v>
      </c>
      <c r="F628" t="s">
        <v>9</v>
      </c>
    </row>
    <row r="629" spans="1:6" x14ac:dyDescent="0.3">
      <c r="A629" s="3">
        <v>46311</v>
      </c>
      <c r="B629" t="s">
        <v>21</v>
      </c>
      <c r="C629" t="s">
        <v>19</v>
      </c>
      <c r="D629" t="s">
        <v>8</v>
      </c>
      <c r="E629" s="5">
        <v>44969</v>
      </c>
      <c r="F629" t="s">
        <v>20</v>
      </c>
    </row>
    <row r="630" spans="1:6" x14ac:dyDescent="0.3">
      <c r="A630" s="3">
        <v>46311</v>
      </c>
      <c r="B630" t="s">
        <v>24</v>
      </c>
      <c r="C630" t="s">
        <v>7</v>
      </c>
      <c r="D630" t="s">
        <v>11</v>
      </c>
      <c r="E630" s="5">
        <v>2064</v>
      </c>
      <c r="F630" t="s">
        <v>9</v>
      </c>
    </row>
    <row r="631" spans="1:6" x14ac:dyDescent="0.3">
      <c r="A631" s="3">
        <v>46311</v>
      </c>
      <c r="B631" t="s">
        <v>19</v>
      </c>
      <c r="C631" t="s">
        <v>19</v>
      </c>
      <c r="D631" t="s">
        <v>8</v>
      </c>
      <c r="E631" s="5">
        <v>32932</v>
      </c>
      <c r="F631" t="s">
        <v>20</v>
      </c>
    </row>
    <row r="632" spans="1:6" x14ac:dyDescent="0.3">
      <c r="A632" s="3">
        <v>46313</v>
      </c>
      <c r="B632" t="s">
        <v>22</v>
      </c>
      <c r="C632" t="s">
        <v>23</v>
      </c>
      <c r="D632" t="s">
        <v>10</v>
      </c>
      <c r="E632" s="5">
        <v>2513</v>
      </c>
      <c r="F632" t="s">
        <v>9</v>
      </c>
    </row>
    <row r="633" spans="1:6" x14ac:dyDescent="0.3">
      <c r="A633" s="3">
        <v>46314</v>
      </c>
      <c r="B633" t="s">
        <v>21</v>
      </c>
      <c r="C633" t="s">
        <v>19</v>
      </c>
      <c r="D633" t="s">
        <v>8</v>
      </c>
      <c r="E633" s="5">
        <v>57940</v>
      </c>
      <c r="F633" t="s">
        <v>20</v>
      </c>
    </row>
    <row r="634" spans="1:6" x14ac:dyDescent="0.3">
      <c r="A634" s="3">
        <v>46315</v>
      </c>
      <c r="B634" t="s">
        <v>6</v>
      </c>
      <c r="C634" t="s">
        <v>7</v>
      </c>
      <c r="D634" t="s">
        <v>18</v>
      </c>
      <c r="E634" s="5">
        <v>1451</v>
      </c>
      <c r="F634" t="s">
        <v>9</v>
      </c>
    </row>
    <row r="635" spans="1:6" x14ac:dyDescent="0.3">
      <c r="A635" s="3">
        <v>46316</v>
      </c>
      <c r="B635" t="s">
        <v>21</v>
      </c>
      <c r="C635" t="s">
        <v>19</v>
      </c>
      <c r="D635" t="s">
        <v>10</v>
      </c>
      <c r="E635" s="5">
        <v>36323</v>
      </c>
      <c r="F635" t="s">
        <v>20</v>
      </c>
    </row>
    <row r="636" spans="1:6" x14ac:dyDescent="0.3">
      <c r="A636" s="3">
        <v>46318</v>
      </c>
      <c r="B636" t="s">
        <v>12</v>
      </c>
      <c r="C636" t="s">
        <v>13</v>
      </c>
      <c r="D636" t="s">
        <v>18</v>
      </c>
      <c r="E636" s="5">
        <v>1804</v>
      </c>
      <c r="F636" t="s">
        <v>9</v>
      </c>
    </row>
    <row r="637" spans="1:6" x14ac:dyDescent="0.3">
      <c r="A637" s="3">
        <v>46319</v>
      </c>
      <c r="B637" t="s">
        <v>14</v>
      </c>
      <c r="C637" t="s">
        <v>15</v>
      </c>
      <c r="D637" t="s">
        <v>11</v>
      </c>
      <c r="E637" s="5">
        <v>3746</v>
      </c>
      <c r="F637" t="s">
        <v>9</v>
      </c>
    </row>
    <row r="638" spans="1:6" x14ac:dyDescent="0.3">
      <c r="A638" s="3">
        <v>46320</v>
      </c>
      <c r="B638" t="s">
        <v>22</v>
      </c>
      <c r="C638" t="s">
        <v>23</v>
      </c>
      <c r="D638" t="s">
        <v>16</v>
      </c>
      <c r="E638" s="5">
        <v>3783</v>
      </c>
      <c r="F638" t="s">
        <v>9</v>
      </c>
    </row>
    <row r="639" spans="1:6" x14ac:dyDescent="0.3">
      <c r="A639" s="3">
        <v>46322</v>
      </c>
      <c r="B639" t="s">
        <v>6</v>
      </c>
      <c r="C639" t="s">
        <v>7</v>
      </c>
      <c r="D639" t="s">
        <v>11</v>
      </c>
      <c r="E639" s="5">
        <v>2080</v>
      </c>
      <c r="F639" t="s">
        <v>9</v>
      </c>
    </row>
    <row r="640" spans="1:6" x14ac:dyDescent="0.3">
      <c r="A640" s="3">
        <v>46323</v>
      </c>
      <c r="B640" t="s">
        <v>21</v>
      </c>
      <c r="C640" t="s">
        <v>19</v>
      </c>
      <c r="D640" t="s">
        <v>10</v>
      </c>
      <c r="E640" s="5">
        <v>40129</v>
      </c>
      <c r="F640" t="s">
        <v>20</v>
      </c>
    </row>
    <row r="641" spans="1:6" x14ac:dyDescent="0.3">
      <c r="A641" s="3">
        <v>46324</v>
      </c>
      <c r="B641" t="s">
        <v>21</v>
      </c>
      <c r="C641" t="s">
        <v>19</v>
      </c>
      <c r="D641" t="s">
        <v>11</v>
      </c>
      <c r="E641" s="5">
        <v>36418</v>
      </c>
      <c r="F641" t="s">
        <v>20</v>
      </c>
    </row>
    <row r="642" spans="1:6" x14ac:dyDescent="0.3">
      <c r="A642" s="3">
        <v>46325</v>
      </c>
      <c r="B642" t="s">
        <v>24</v>
      </c>
      <c r="C642" t="s">
        <v>7</v>
      </c>
      <c r="D642" t="s">
        <v>11</v>
      </c>
      <c r="E642" s="5">
        <v>3246</v>
      </c>
      <c r="F642" t="s">
        <v>9</v>
      </c>
    </row>
    <row r="643" spans="1:6" x14ac:dyDescent="0.3">
      <c r="A643" s="3">
        <v>46325</v>
      </c>
      <c r="B643" t="s">
        <v>24</v>
      </c>
      <c r="C643" t="s">
        <v>7</v>
      </c>
      <c r="D643" t="s">
        <v>18</v>
      </c>
      <c r="E643" s="5">
        <v>3132</v>
      </c>
      <c r="F643" t="s">
        <v>9</v>
      </c>
    </row>
    <row r="644" spans="1:6" x14ac:dyDescent="0.3">
      <c r="A644" s="3">
        <v>46325</v>
      </c>
      <c r="B644" t="s">
        <v>12</v>
      </c>
      <c r="C644" t="s">
        <v>13</v>
      </c>
      <c r="D644" t="s">
        <v>8</v>
      </c>
      <c r="E644" s="5">
        <v>3916</v>
      </c>
      <c r="F644" t="s">
        <v>9</v>
      </c>
    </row>
    <row r="645" spans="1:6" x14ac:dyDescent="0.3">
      <c r="A645" s="3">
        <v>46326</v>
      </c>
      <c r="B645" t="s">
        <v>6</v>
      </c>
      <c r="C645" t="s">
        <v>7</v>
      </c>
      <c r="D645" t="s">
        <v>16</v>
      </c>
      <c r="E645" s="5">
        <v>3420</v>
      </c>
      <c r="F645" t="s">
        <v>9</v>
      </c>
    </row>
    <row r="646" spans="1:6" x14ac:dyDescent="0.3">
      <c r="A646" s="3">
        <v>46327</v>
      </c>
      <c r="B646" t="s">
        <v>24</v>
      </c>
      <c r="C646" t="s">
        <v>7</v>
      </c>
      <c r="D646" t="s">
        <v>10</v>
      </c>
      <c r="E646" s="5">
        <v>3862</v>
      </c>
      <c r="F646" t="s">
        <v>9</v>
      </c>
    </row>
    <row r="647" spans="1:6" x14ac:dyDescent="0.3">
      <c r="A647" s="3">
        <v>46327</v>
      </c>
      <c r="B647" t="s">
        <v>19</v>
      </c>
      <c r="C647" t="s">
        <v>19</v>
      </c>
      <c r="D647" t="s">
        <v>11</v>
      </c>
      <c r="E647" s="5">
        <v>52926</v>
      </c>
      <c r="F647" t="s">
        <v>20</v>
      </c>
    </row>
    <row r="648" spans="1:6" x14ac:dyDescent="0.3">
      <c r="A648" s="3">
        <v>46327</v>
      </c>
      <c r="B648" t="s">
        <v>12</v>
      </c>
      <c r="C648" t="s">
        <v>13</v>
      </c>
      <c r="D648" t="s">
        <v>11</v>
      </c>
      <c r="E648" s="5">
        <v>3149</v>
      </c>
      <c r="F648" t="s">
        <v>9</v>
      </c>
    </row>
    <row r="649" spans="1:6" x14ac:dyDescent="0.3">
      <c r="A649" s="3">
        <v>46328</v>
      </c>
      <c r="B649" t="s">
        <v>17</v>
      </c>
      <c r="C649" t="s">
        <v>13</v>
      </c>
      <c r="D649" t="s">
        <v>11</v>
      </c>
      <c r="E649" s="5">
        <v>4481</v>
      </c>
      <c r="F649" t="s">
        <v>9</v>
      </c>
    </row>
    <row r="650" spans="1:6" x14ac:dyDescent="0.3">
      <c r="A650" s="3">
        <v>46330</v>
      </c>
      <c r="B650" t="s">
        <v>12</v>
      </c>
      <c r="C650" t="s">
        <v>13</v>
      </c>
      <c r="D650" t="s">
        <v>8</v>
      </c>
      <c r="E650" s="5">
        <v>4969</v>
      </c>
      <c r="F650" t="s">
        <v>9</v>
      </c>
    </row>
    <row r="651" spans="1:6" x14ac:dyDescent="0.3">
      <c r="A651" s="3">
        <v>46332</v>
      </c>
      <c r="B651" t="s">
        <v>22</v>
      </c>
      <c r="C651" t="s">
        <v>23</v>
      </c>
      <c r="D651" t="s">
        <v>8</v>
      </c>
      <c r="E651" s="5">
        <v>1245</v>
      </c>
      <c r="F651" t="s">
        <v>9</v>
      </c>
    </row>
    <row r="652" spans="1:6" x14ac:dyDescent="0.3">
      <c r="A652" s="3">
        <v>46333</v>
      </c>
      <c r="B652" t="s">
        <v>22</v>
      </c>
      <c r="C652" t="s">
        <v>23</v>
      </c>
      <c r="D652" t="s">
        <v>16</v>
      </c>
      <c r="E652" s="5">
        <v>3207</v>
      </c>
      <c r="F652" t="s">
        <v>9</v>
      </c>
    </row>
    <row r="653" spans="1:6" x14ac:dyDescent="0.3">
      <c r="A653" s="3">
        <v>46334</v>
      </c>
      <c r="B653" t="s">
        <v>22</v>
      </c>
      <c r="C653" t="s">
        <v>23</v>
      </c>
      <c r="D653" t="s">
        <v>10</v>
      </c>
      <c r="E653" s="5">
        <v>4023</v>
      </c>
      <c r="F653" t="s">
        <v>9</v>
      </c>
    </row>
    <row r="654" spans="1:6" x14ac:dyDescent="0.3">
      <c r="A654" s="3">
        <v>46335</v>
      </c>
      <c r="B654" t="s">
        <v>22</v>
      </c>
      <c r="C654" t="s">
        <v>23</v>
      </c>
      <c r="D654" t="s">
        <v>8</v>
      </c>
      <c r="E654" s="5">
        <v>1350</v>
      </c>
      <c r="F654" t="s">
        <v>9</v>
      </c>
    </row>
    <row r="655" spans="1:6" x14ac:dyDescent="0.3">
      <c r="A655" s="3">
        <v>46335</v>
      </c>
      <c r="B655" t="s">
        <v>17</v>
      </c>
      <c r="C655" t="s">
        <v>13</v>
      </c>
      <c r="D655" t="s">
        <v>18</v>
      </c>
      <c r="E655" s="5">
        <v>2057</v>
      </c>
      <c r="F655" t="s">
        <v>9</v>
      </c>
    </row>
    <row r="656" spans="1:6" x14ac:dyDescent="0.3">
      <c r="A656" s="3">
        <v>46335</v>
      </c>
      <c r="B656" t="s">
        <v>22</v>
      </c>
      <c r="C656" t="s">
        <v>23</v>
      </c>
      <c r="D656" t="s">
        <v>18</v>
      </c>
      <c r="E656" s="5">
        <v>371</v>
      </c>
      <c r="F656" t="s">
        <v>9</v>
      </c>
    </row>
    <row r="657" spans="1:6" x14ac:dyDescent="0.3">
      <c r="A657" s="3">
        <v>46335</v>
      </c>
      <c r="B657" t="s">
        <v>24</v>
      </c>
      <c r="C657" t="s">
        <v>7</v>
      </c>
      <c r="D657" t="s">
        <v>18</v>
      </c>
      <c r="E657" s="5">
        <v>303</v>
      </c>
      <c r="F657" t="s">
        <v>9</v>
      </c>
    </row>
    <row r="658" spans="1:6" x14ac:dyDescent="0.3">
      <c r="A658" s="3">
        <v>46335</v>
      </c>
      <c r="B658" t="s">
        <v>22</v>
      </c>
      <c r="C658" t="s">
        <v>23</v>
      </c>
      <c r="D658" t="s">
        <v>10</v>
      </c>
      <c r="E658" s="5">
        <v>912</v>
      </c>
      <c r="F658" t="s">
        <v>9</v>
      </c>
    </row>
    <row r="659" spans="1:6" x14ac:dyDescent="0.3">
      <c r="A659" s="3">
        <v>46336</v>
      </c>
      <c r="B659" t="s">
        <v>21</v>
      </c>
      <c r="C659" t="s">
        <v>19</v>
      </c>
      <c r="D659" t="s">
        <v>16</v>
      </c>
      <c r="E659" s="5">
        <v>35832</v>
      </c>
      <c r="F659" t="s">
        <v>20</v>
      </c>
    </row>
    <row r="660" spans="1:6" x14ac:dyDescent="0.3">
      <c r="A660" s="3">
        <v>46336</v>
      </c>
      <c r="B660" t="s">
        <v>6</v>
      </c>
      <c r="C660" t="s">
        <v>7</v>
      </c>
      <c r="D660" t="s">
        <v>8</v>
      </c>
      <c r="E660" s="5">
        <v>4251</v>
      </c>
      <c r="F660" t="s">
        <v>9</v>
      </c>
    </row>
    <row r="661" spans="1:6" x14ac:dyDescent="0.3">
      <c r="A661" s="3">
        <v>46336</v>
      </c>
      <c r="B661" t="s">
        <v>19</v>
      </c>
      <c r="C661" t="s">
        <v>19</v>
      </c>
      <c r="D661" t="s">
        <v>18</v>
      </c>
      <c r="E661" s="5">
        <v>30099</v>
      </c>
      <c r="F661" t="s">
        <v>20</v>
      </c>
    </row>
    <row r="662" spans="1:6" x14ac:dyDescent="0.3">
      <c r="A662" s="3">
        <v>46337</v>
      </c>
      <c r="B662" t="s">
        <v>14</v>
      </c>
      <c r="C662" t="s">
        <v>15</v>
      </c>
      <c r="D662" t="s">
        <v>10</v>
      </c>
      <c r="E662" s="5">
        <v>4271</v>
      </c>
      <c r="F662" t="s">
        <v>9</v>
      </c>
    </row>
    <row r="663" spans="1:6" x14ac:dyDescent="0.3">
      <c r="A663" s="3">
        <v>46339</v>
      </c>
      <c r="B663" t="s">
        <v>22</v>
      </c>
      <c r="C663" t="s">
        <v>23</v>
      </c>
      <c r="D663" t="s">
        <v>8</v>
      </c>
      <c r="E663" s="5">
        <v>512</v>
      </c>
      <c r="F663" t="s">
        <v>9</v>
      </c>
    </row>
    <row r="664" spans="1:6" x14ac:dyDescent="0.3">
      <c r="A664" s="3">
        <v>46341</v>
      </c>
      <c r="B664" t="s">
        <v>24</v>
      </c>
      <c r="C664" t="s">
        <v>7</v>
      </c>
      <c r="D664" t="s">
        <v>16</v>
      </c>
      <c r="E664" s="5">
        <v>1663</v>
      </c>
      <c r="F664" t="s">
        <v>9</v>
      </c>
    </row>
    <row r="665" spans="1:6" x14ac:dyDescent="0.3">
      <c r="A665" s="3">
        <v>46341</v>
      </c>
      <c r="B665" t="s">
        <v>6</v>
      </c>
      <c r="C665" t="s">
        <v>7</v>
      </c>
      <c r="D665" t="s">
        <v>18</v>
      </c>
      <c r="E665" s="5">
        <v>4704</v>
      </c>
      <c r="F665" t="s">
        <v>9</v>
      </c>
    </row>
    <row r="666" spans="1:6" x14ac:dyDescent="0.3">
      <c r="A666" s="3">
        <v>46342</v>
      </c>
      <c r="B666" t="s">
        <v>24</v>
      </c>
      <c r="C666" t="s">
        <v>7</v>
      </c>
      <c r="D666" t="s">
        <v>8</v>
      </c>
      <c r="E666" s="5">
        <v>1312</v>
      </c>
      <c r="F666" t="s">
        <v>9</v>
      </c>
    </row>
    <row r="667" spans="1:6" x14ac:dyDescent="0.3">
      <c r="A667" s="3">
        <v>46344</v>
      </c>
      <c r="B667" t="s">
        <v>12</v>
      </c>
      <c r="C667" t="s">
        <v>13</v>
      </c>
      <c r="D667" t="s">
        <v>16</v>
      </c>
      <c r="E667" s="5">
        <v>725</v>
      </c>
      <c r="F667" t="s">
        <v>9</v>
      </c>
    </row>
    <row r="668" spans="1:6" x14ac:dyDescent="0.3">
      <c r="A668" s="3">
        <v>46346</v>
      </c>
      <c r="B668" t="s">
        <v>19</v>
      </c>
      <c r="C668" t="s">
        <v>19</v>
      </c>
      <c r="D668" t="s">
        <v>8</v>
      </c>
      <c r="E668" s="5">
        <v>30337</v>
      </c>
      <c r="F668" t="s">
        <v>20</v>
      </c>
    </row>
    <row r="669" spans="1:6" x14ac:dyDescent="0.3">
      <c r="A669" s="3">
        <v>46348</v>
      </c>
      <c r="B669" t="s">
        <v>17</v>
      </c>
      <c r="C669" t="s">
        <v>13</v>
      </c>
      <c r="D669" t="s">
        <v>16</v>
      </c>
      <c r="E669" s="5">
        <v>1776</v>
      </c>
      <c r="F669" t="s">
        <v>9</v>
      </c>
    </row>
    <row r="670" spans="1:6" x14ac:dyDescent="0.3">
      <c r="A670" s="3">
        <v>46348</v>
      </c>
      <c r="B670" t="s">
        <v>12</v>
      </c>
      <c r="C670" t="s">
        <v>13</v>
      </c>
      <c r="D670" t="s">
        <v>10</v>
      </c>
      <c r="E670" s="5">
        <v>3359</v>
      </c>
      <c r="F670" t="s">
        <v>9</v>
      </c>
    </row>
    <row r="671" spans="1:6" x14ac:dyDescent="0.3">
      <c r="A671" s="3">
        <v>46349</v>
      </c>
      <c r="B671" t="s">
        <v>12</v>
      </c>
      <c r="C671" t="s">
        <v>13</v>
      </c>
      <c r="D671" t="s">
        <v>16</v>
      </c>
      <c r="E671" s="5">
        <v>4459</v>
      </c>
      <c r="F671" t="s">
        <v>9</v>
      </c>
    </row>
    <row r="672" spans="1:6" x14ac:dyDescent="0.3">
      <c r="A672" s="3">
        <v>46351</v>
      </c>
      <c r="B672" t="s">
        <v>19</v>
      </c>
      <c r="C672" t="s">
        <v>19</v>
      </c>
      <c r="D672" t="s">
        <v>8</v>
      </c>
      <c r="E672" s="5">
        <v>38643</v>
      </c>
      <c r="F672" t="s">
        <v>20</v>
      </c>
    </row>
    <row r="673" spans="1:6" x14ac:dyDescent="0.3">
      <c r="A673" s="3">
        <v>46352</v>
      </c>
      <c r="B673" t="s">
        <v>14</v>
      </c>
      <c r="C673" t="s">
        <v>15</v>
      </c>
      <c r="D673" t="s">
        <v>11</v>
      </c>
      <c r="E673" s="5">
        <v>4979</v>
      </c>
      <c r="F673" t="s">
        <v>9</v>
      </c>
    </row>
    <row r="674" spans="1:6" x14ac:dyDescent="0.3">
      <c r="A674" s="3">
        <v>46352</v>
      </c>
      <c r="B674" t="s">
        <v>25</v>
      </c>
      <c r="C674" t="s">
        <v>26</v>
      </c>
      <c r="D674" t="s">
        <v>18</v>
      </c>
      <c r="E674" s="5">
        <v>1007</v>
      </c>
      <c r="F674" t="s">
        <v>9</v>
      </c>
    </row>
    <row r="675" spans="1:6" x14ac:dyDescent="0.3">
      <c r="A675" s="3">
        <v>46352</v>
      </c>
      <c r="B675" t="s">
        <v>22</v>
      </c>
      <c r="C675" t="s">
        <v>23</v>
      </c>
      <c r="D675" t="s">
        <v>16</v>
      </c>
      <c r="E675" s="5">
        <v>632</v>
      </c>
      <c r="F675" t="s">
        <v>9</v>
      </c>
    </row>
    <row r="676" spans="1:6" x14ac:dyDescent="0.3">
      <c r="A676" s="3">
        <v>46354</v>
      </c>
      <c r="B676" t="s">
        <v>25</v>
      </c>
      <c r="C676" t="s">
        <v>26</v>
      </c>
      <c r="D676" t="s">
        <v>10</v>
      </c>
      <c r="E676" s="5">
        <v>3971</v>
      </c>
      <c r="F676" t="s">
        <v>9</v>
      </c>
    </row>
    <row r="677" spans="1:6" x14ac:dyDescent="0.3">
      <c r="A677" s="3">
        <v>46355</v>
      </c>
      <c r="B677" t="s">
        <v>19</v>
      </c>
      <c r="C677" t="s">
        <v>19</v>
      </c>
      <c r="D677" t="s">
        <v>10</v>
      </c>
      <c r="E677" s="5">
        <v>57514</v>
      </c>
      <c r="F677" t="s">
        <v>20</v>
      </c>
    </row>
    <row r="678" spans="1:6" x14ac:dyDescent="0.3">
      <c r="A678" s="3">
        <v>46356</v>
      </c>
      <c r="B678" t="s">
        <v>25</v>
      </c>
      <c r="C678" t="s">
        <v>26</v>
      </c>
      <c r="D678" t="s">
        <v>8</v>
      </c>
      <c r="E678" s="5">
        <v>3083</v>
      </c>
      <c r="F678" t="s">
        <v>9</v>
      </c>
    </row>
    <row r="679" spans="1:6" x14ac:dyDescent="0.3">
      <c r="A679" s="3">
        <v>46356</v>
      </c>
      <c r="B679" t="s">
        <v>6</v>
      </c>
      <c r="C679" t="s">
        <v>7</v>
      </c>
      <c r="D679" t="s">
        <v>16</v>
      </c>
      <c r="E679" s="5">
        <v>3554</v>
      </c>
      <c r="F679" t="s">
        <v>9</v>
      </c>
    </row>
    <row r="680" spans="1:6" x14ac:dyDescent="0.3">
      <c r="A680" s="3">
        <v>46358</v>
      </c>
      <c r="B680" t="s">
        <v>21</v>
      </c>
      <c r="C680" t="s">
        <v>19</v>
      </c>
      <c r="D680" t="s">
        <v>8</v>
      </c>
      <c r="E680" s="5">
        <v>32215</v>
      </c>
      <c r="F680" t="s">
        <v>20</v>
      </c>
    </row>
    <row r="681" spans="1:6" x14ac:dyDescent="0.3">
      <c r="A681" s="3">
        <v>46359</v>
      </c>
      <c r="B681" t="s">
        <v>22</v>
      </c>
      <c r="C681" t="s">
        <v>23</v>
      </c>
      <c r="D681" t="s">
        <v>11</v>
      </c>
      <c r="E681" s="5">
        <v>1069</v>
      </c>
      <c r="F681" t="s">
        <v>9</v>
      </c>
    </row>
    <row r="682" spans="1:6" x14ac:dyDescent="0.3">
      <c r="A682" s="3">
        <v>46361</v>
      </c>
      <c r="B682" t="s">
        <v>12</v>
      </c>
      <c r="C682" t="s">
        <v>13</v>
      </c>
      <c r="D682" t="s">
        <v>11</v>
      </c>
      <c r="E682" s="5">
        <v>3490</v>
      </c>
      <c r="F682" t="s">
        <v>9</v>
      </c>
    </row>
    <row r="683" spans="1:6" x14ac:dyDescent="0.3">
      <c r="A683" s="3">
        <v>46361</v>
      </c>
      <c r="B683" t="s">
        <v>19</v>
      </c>
      <c r="C683" t="s">
        <v>19</v>
      </c>
      <c r="D683" t="s">
        <v>8</v>
      </c>
      <c r="E683" s="5">
        <v>37103</v>
      </c>
      <c r="F683" t="s">
        <v>20</v>
      </c>
    </row>
    <row r="684" spans="1:6" x14ac:dyDescent="0.3">
      <c r="A684" s="3">
        <v>46361</v>
      </c>
      <c r="B684" t="s">
        <v>22</v>
      </c>
      <c r="C684" t="s">
        <v>23</v>
      </c>
      <c r="D684" t="s">
        <v>18</v>
      </c>
      <c r="E684" s="5">
        <v>4983</v>
      </c>
      <c r="F684" t="s">
        <v>9</v>
      </c>
    </row>
    <row r="685" spans="1:6" x14ac:dyDescent="0.3">
      <c r="A685" s="3">
        <v>46362</v>
      </c>
      <c r="B685" t="s">
        <v>24</v>
      </c>
      <c r="C685" t="s">
        <v>7</v>
      </c>
      <c r="D685" t="s">
        <v>18</v>
      </c>
      <c r="E685" s="5">
        <v>1589</v>
      </c>
      <c r="F685" t="s">
        <v>9</v>
      </c>
    </row>
    <row r="686" spans="1:6" x14ac:dyDescent="0.3">
      <c r="A686" s="3">
        <v>46363</v>
      </c>
      <c r="B686" t="s">
        <v>21</v>
      </c>
      <c r="C686" t="s">
        <v>19</v>
      </c>
      <c r="D686" t="s">
        <v>16</v>
      </c>
      <c r="E686" s="5">
        <v>51110</v>
      </c>
      <c r="F686" t="s">
        <v>20</v>
      </c>
    </row>
    <row r="687" spans="1:6" x14ac:dyDescent="0.3">
      <c r="A687" s="3">
        <v>46364</v>
      </c>
      <c r="B687" t="s">
        <v>14</v>
      </c>
      <c r="C687" t="s">
        <v>15</v>
      </c>
      <c r="D687" t="s">
        <v>16</v>
      </c>
      <c r="E687" s="5">
        <v>1498</v>
      </c>
      <c r="F687" t="s">
        <v>9</v>
      </c>
    </row>
    <row r="688" spans="1:6" x14ac:dyDescent="0.3">
      <c r="A688" s="3">
        <v>46366</v>
      </c>
      <c r="B688" t="s">
        <v>19</v>
      </c>
      <c r="C688" t="s">
        <v>19</v>
      </c>
      <c r="D688" t="s">
        <v>8</v>
      </c>
      <c r="E688" s="5">
        <v>49202</v>
      </c>
      <c r="F688" t="s">
        <v>20</v>
      </c>
    </row>
    <row r="689" spans="1:6" x14ac:dyDescent="0.3">
      <c r="A689" s="3">
        <v>46366</v>
      </c>
      <c r="B689" t="s">
        <v>24</v>
      </c>
      <c r="C689" t="s">
        <v>7</v>
      </c>
      <c r="D689" t="s">
        <v>18</v>
      </c>
      <c r="E689" s="5">
        <v>3919</v>
      </c>
      <c r="F689" t="s">
        <v>9</v>
      </c>
    </row>
    <row r="690" spans="1:6" x14ac:dyDescent="0.3">
      <c r="A690" s="3">
        <v>46367</v>
      </c>
      <c r="B690" t="s">
        <v>25</v>
      </c>
      <c r="C690" t="s">
        <v>26</v>
      </c>
      <c r="D690" t="s">
        <v>8</v>
      </c>
      <c r="E690" s="5">
        <v>4462</v>
      </c>
      <c r="F690" t="s">
        <v>9</v>
      </c>
    </row>
    <row r="691" spans="1:6" x14ac:dyDescent="0.3">
      <c r="A691" s="3">
        <v>46369</v>
      </c>
      <c r="B691" t="s">
        <v>6</v>
      </c>
      <c r="C691" t="s">
        <v>7</v>
      </c>
      <c r="D691" t="s">
        <v>18</v>
      </c>
      <c r="E691" s="5">
        <v>1589</v>
      </c>
      <c r="F691" t="s">
        <v>9</v>
      </c>
    </row>
    <row r="692" spans="1:6" x14ac:dyDescent="0.3">
      <c r="A692" s="3">
        <v>46369</v>
      </c>
      <c r="B692" t="s">
        <v>17</v>
      </c>
      <c r="C692" t="s">
        <v>13</v>
      </c>
      <c r="D692" t="s">
        <v>18</v>
      </c>
      <c r="E692" s="5">
        <v>3639</v>
      </c>
      <c r="F692" t="s">
        <v>9</v>
      </c>
    </row>
    <row r="693" spans="1:6" x14ac:dyDescent="0.3">
      <c r="A693" s="3">
        <v>46369</v>
      </c>
      <c r="B693" t="s">
        <v>6</v>
      </c>
      <c r="C693" t="s">
        <v>7</v>
      </c>
      <c r="D693" t="s">
        <v>16</v>
      </c>
      <c r="E693" s="5">
        <v>3418</v>
      </c>
      <c r="F693" t="s">
        <v>9</v>
      </c>
    </row>
    <row r="694" spans="1:6" x14ac:dyDescent="0.3">
      <c r="A694" s="3">
        <v>46370</v>
      </c>
      <c r="B694" t="s">
        <v>12</v>
      </c>
      <c r="C694" t="s">
        <v>13</v>
      </c>
      <c r="D694" t="s">
        <v>11</v>
      </c>
      <c r="E694" s="5">
        <v>4556</v>
      </c>
      <c r="F694" t="s">
        <v>9</v>
      </c>
    </row>
    <row r="695" spans="1:6" x14ac:dyDescent="0.3">
      <c r="A695" s="3">
        <v>46370</v>
      </c>
      <c r="B695" t="s">
        <v>22</v>
      </c>
      <c r="C695" t="s">
        <v>23</v>
      </c>
      <c r="D695" t="s">
        <v>11</v>
      </c>
      <c r="E695" s="5">
        <v>985</v>
      </c>
      <c r="F695" t="s">
        <v>9</v>
      </c>
    </row>
    <row r="696" spans="1:6" x14ac:dyDescent="0.3">
      <c r="A696" s="3">
        <v>46370</v>
      </c>
      <c r="B696" t="s">
        <v>22</v>
      </c>
      <c r="C696" t="s">
        <v>23</v>
      </c>
      <c r="D696" t="s">
        <v>8</v>
      </c>
      <c r="E696" s="5">
        <v>3616</v>
      </c>
      <c r="F696" t="s">
        <v>9</v>
      </c>
    </row>
    <row r="697" spans="1:6" x14ac:dyDescent="0.3">
      <c r="A697" s="3">
        <v>46370</v>
      </c>
      <c r="B697" t="s">
        <v>25</v>
      </c>
      <c r="C697" t="s">
        <v>26</v>
      </c>
      <c r="D697" t="s">
        <v>18</v>
      </c>
      <c r="E697" s="5">
        <v>4530</v>
      </c>
      <c r="F697" t="s">
        <v>9</v>
      </c>
    </row>
    <row r="698" spans="1:6" x14ac:dyDescent="0.3">
      <c r="A698" s="3">
        <v>46370</v>
      </c>
      <c r="B698" t="s">
        <v>14</v>
      </c>
      <c r="C698" t="s">
        <v>15</v>
      </c>
      <c r="D698" t="s">
        <v>10</v>
      </c>
      <c r="E698" s="5">
        <v>2492</v>
      </c>
      <c r="F698" t="s">
        <v>9</v>
      </c>
    </row>
    <row r="699" spans="1:6" x14ac:dyDescent="0.3">
      <c r="A699" s="3">
        <v>46370</v>
      </c>
      <c r="B699" t="s">
        <v>12</v>
      </c>
      <c r="C699" t="s">
        <v>13</v>
      </c>
      <c r="D699" t="s">
        <v>10</v>
      </c>
      <c r="E699" s="5">
        <v>3418</v>
      </c>
      <c r="F699" t="s">
        <v>9</v>
      </c>
    </row>
    <row r="700" spans="1:6" x14ac:dyDescent="0.3">
      <c r="A700" s="3">
        <v>46372</v>
      </c>
      <c r="B700" t="s">
        <v>22</v>
      </c>
      <c r="C700" t="s">
        <v>23</v>
      </c>
      <c r="D700" t="s">
        <v>16</v>
      </c>
      <c r="E700" s="5">
        <v>2723</v>
      </c>
      <c r="F700" t="s">
        <v>9</v>
      </c>
    </row>
    <row r="701" spans="1:6" x14ac:dyDescent="0.3">
      <c r="A701" s="3">
        <v>46374</v>
      </c>
      <c r="B701" t="s">
        <v>6</v>
      </c>
      <c r="C701" t="s">
        <v>7</v>
      </c>
      <c r="D701" t="s">
        <v>11</v>
      </c>
      <c r="E701" s="5">
        <v>4832</v>
      </c>
      <c r="F701" t="s">
        <v>9</v>
      </c>
    </row>
    <row r="702" spans="1:6" x14ac:dyDescent="0.3">
      <c r="A702" s="3">
        <v>46374</v>
      </c>
      <c r="B702" t="s">
        <v>22</v>
      </c>
      <c r="C702" t="s">
        <v>23</v>
      </c>
      <c r="D702" t="s">
        <v>16</v>
      </c>
      <c r="E702" s="5">
        <v>1389</v>
      </c>
      <c r="F702" t="s">
        <v>9</v>
      </c>
    </row>
    <row r="703" spans="1:6" x14ac:dyDescent="0.3">
      <c r="A703" s="3">
        <v>46375</v>
      </c>
      <c r="B703" t="s">
        <v>21</v>
      </c>
      <c r="C703" t="s">
        <v>19</v>
      </c>
      <c r="D703" t="s">
        <v>11</v>
      </c>
      <c r="E703" s="5">
        <v>32013</v>
      </c>
      <c r="F703" t="s">
        <v>20</v>
      </c>
    </row>
    <row r="704" spans="1:6" x14ac:dyDescent="0.3">
      <c r="A704" s="3">
        <v>46375</v>
      </c>
      <c r="B704" t="s">
        <v>22</v>
      </c>
      <c r="C704" t="s">
        <v>23</v>
      </c>
      <c r="D704" t="s">
        <v>11</v>
      </c>
      <c r="E704" s="5">
        <v>782</v>
      </c>
      <c r="F704" t="s">
        <v>9</v>
      </c>
    </row>
    <row r="705" spans="1:6" x14ac:dyDescent="0.3">
      <c r="A705" s="3">
        <v>46376</v>
      </c>
      <c r="B705" t="s">
        <v>21</v>
      </c>
      <c r="C705" t="s">
        <v>19</v>
      </c>
      <c r="D705" t="s">
        <v>18</v>
      </c>
      <c r="E705" s="5">
        <v>38986</v>
      </c>
      <c r="F705" t="s">
        <v>20</v>
      </c>
    </row>
    <row r="706" spans="1:6" x14ac:dyDescent="0.3">
      <c r="A706" s="3">
        <v>46378</v>
      </c>
      <c r="B706" t="s">
        <v>25</v>
      </c>
      <c r="C706" t="s">
        <v>26</v>
      </c>
      <c r="D706" t="s">
        <v>16</v>
      </c>
      <c r="E706" s="5">
        <v>226</v>
      </c>
      <c r="F706" t="s">
        <v>9</v>
      </c>
    </row>
    <row r="707" spans="1:6" x14ac:dyDescent="0.3">
      <c r="A707" s="3">
        <v>46380</v>
      </c>
      <c r="B707" t="s">
        <v>12</v>
      </c>
      <c r="C707" t="s">
        <v>13</v>
      </c>
      <c r="D707" t="s">
        <v>16</v>
      </c>
      <c r="E707" s="5">
        <v>1209</v>
      </c>
      <c r="F707" t="s">
        <v>9</v>
      </c>
    </row>
    <row r="708" spans="1:6" x14ac:dyDescent="0.3">
      <c r="A708" s="3">
        <v>46380</v>
      </c>
      <c r="B708" t="s">
        <v>12</v>
      </c>
      <c r="C708" t="s">
        <v>13</v>
      </c>
      <c r="D708" t="s">
        <v>11</v>
      </c>
      <c r="E708" s="5">
        <v>3841</v>
      </c>
      <c r="F708" t="s">
        <v>9</v>
      </c>
    </row>
    <row r="709" spans="1:6" x14ac:dyDescent="0.3">
      <c r="A709" s="3">
        <v>46381</v>
      </c>
      <c r="B709" t="s">
        <v>6</v>
      </c>
      <c r="C709" t="s">
        <v>7</v>
      </c>
      <c r="D709" t="s">
        <v>18</v>
      </c>
      <c r="E709" s="5">
        <v>167</v>
      </c>
      <c r="F709" t="s">
        <v>9</v>
      </c>
    </row>
    <row r="710" spans="1:6" x14ac:dyDescent="0.3">
      <c r="A710" s="3">
        <v>46381</v>
      </c>
      <c r="B710" t="s">
        <v>12</v>
      </c>
      <c r="C710" t="s">
        <v>13</v>
      </c>
      <c r="D710" t="s">
        <v>16</v>
      </c>
      <c r="E710" s="5">
        <v>3558</v>
      </c>
      <c r="F710" t="s">
        <v>9</v>
      </c>
    </row>
    <row r="711" spans="1:6" x14ac:dyDescent="0.3">
      <c r="A711" s="3">
        <v>46382</v>
      </c>
      <c r="B711" t="s">
        <v>25</v>
      </c>
      <c r="C711" t="s">
        <v>26</v>
      </c>
      <c r="D711" t="s">
        <v>8</v>
      </c>
      <c r="E711" s="5">
        <v>3770</v>
      </c>
      <c r="F711" t="s">
        <v>9</v>
      </c>
    </row>
    <row r="712" spans="1:6" x14ac:dyDescent="0.3">
      <c r="A712" s="3">
        <v>46384</v>
      </c>
      <c r="B712" t="s">
        <v>22</v>
      </c>
      <c r="C712" t="s">
        <v>23</v>
      </c>
      <c r="D712" t="s">
        <v>10</v>
      </c>
      <c r="E712" s="5">
        <v>513</v>
      </c>
      <c r="F712" t="s">
        <v>9</v>
      </c>
    </row>
    <row r="713" spans="1:6" x14ac:dyDescent="0.3">
      <c r="A713" s="3">
        <v>46384</v>
      </c>
      <c r="B713" t="s">
        <v>19</v>
      </c>
      <c r="C713" t="s">
        <v>19</v>
      </c>
      <c r="D713" t="s">
        <v>8</v>
      </c>
      <c r="E713" s="5">
        <v>45614</v>
      </c>
      <c r="F713" t="s">
        <v>20</v>
      </c>
    </row>
    <row r="714" spans="1:6" x14ac:dyDescent="0.3">
      <c r="A714" s="3">
        <v>46386</v>
      </c>
      <c r="B714" t="s">
        <v>25</v>
      </c>
      <c r="C714" t="s">
        <v>26</v>
      </c>
      <c r="D714" t="s">
        <v>16</v>
      </c>
      <c r="E714" s="5">
        <v>2165</v>
      </c>
      <c r="F714" t="s">
        <v>9</v>
      </c>
    </row>
    <row r="715" spans="1:6" x14ac:dyDescent="0.3">
      <c r="A715" s="3">
        <v>46386</v>
      </c>
      <c r="B715" t="s">
        <v>24</v>
      </c>
      <c r="C715" t="s">
        <v>7</v>
      </c>
      <c r="D715" t="s">
        <v>16</v>
      </c>
      <c r="E715" s="5">
        <v>3254</v>
      </c>
      <c r="F715" t="s">
        <v>9</v>
      </c>
    </row>
    <row r="716" spans="1:6" x14ac:dyDescent="0.3">
      <c r="A716" s="3">
        <v>46386</v>
      </c>
      <c r="B716" t="s">
        <v>24</v>
      </c>
      <c r="C716" t="s">
        <v>7</v>
      </c>
      <c r="D716" t="s">
        <v>8</v>
      </c>
      <c r="E716" s="5">
        <v>2578</v>
      </c>
      <c r="F716" t="s">
        <v>9</v>
      </c>
    </row>
    <row r="717" spans="1:6" x14ac:dyDescent="0.3">
      <c r="A717" s="3">
        <v>46388</v>
      </c>
      <c r="B717" t="s">
        <v>21</v>
      </c>
      <c r="C717" t="s">
        <v>19</v>
      </c>
      <c r="D717" t="s">
        <v>11</v>
      </c>
      <c r="E717" s="5">
        <v>30849</v>
      </c>
      <c r="F717" t="s">
        <v>20</v>
      </c>
    </row>
    <row r="718" spans="1:6" x14ac:dyDescent="0.3">
      <c r="A718" s="3">
        <v>46390</v>
      </c>
      <c r="B718" t="s">
        <v>21</v>
      </c>
      <c r="C718" t="s">
        <v>19</v>
      </c>
      <c r="D718" t="s">
        <v>18</v>
      </c>
      <c r="E718" s="5">
        <v>50512</v>
      </c>
      <c r="F718" t="s">
        <v>20</v>
      </c>
    </row>
    <row r="719" spans="1:6" x14ac:dyDescent="0.3">
      <c r="A719" s="3">
        <v>46390</v>
      </c>
      <c r="B719" t="s">
        <v>17</v>
      </c>
      <c r="C719" t="s">
        <v>13</v>
      </c>
      <c r="D719" t="s">
        <v>11</v>
      </c>
      <c r="E719" s="5">
        <v>1821</v>
      </c>
      <c r="F719" t="s">
        <v>9</v>
      </c>
    </row>
    <row r="720" spans="1:6" x14ac:dyDescent="0.3">
      <c r="A720" s="3">
        <v>46391</v>
      </c>
      <c r="B720" t="s">
        <v>12</v>
      </c>
      <c r="C720" t="s">
        <v>13</v>
      </c>
      <c r="D720" t="s">
        <v>16</v>
      </c>
      <c r="E720" s="5">
        <v>3130</v>
      </c>
      <c r="F720" t="s">
        <v>9</v>
      </c>
    </row>
    <row r="721" spans="1:6" x14ac:dyDescent="0.3">
      <c r="A721" s="3">
        <v>46391</v>
      </c>
      <c r="B721" t="s">
        <v>22</v>
      </c>
      <c r="C721" t="s">
        <v>23</v>
      </c>
      <c r="D721" t="s">
        <v>18</v>
      </c>
      <c r="E721" s="5">
        <v>1304</v>
      </c>
      <c r="F721" t="s">
        <v>9</v>
      </c>
    </row>
    <row r="722" spans="1:6" x14ac:dyDescent="0.3">
      <c r="A722" s="3">
        <v>46392</v>
      </c>
      <c r="B722" t="s">
        <v>6</v>
      </c>
      <c r="C722" t="s">
        <v>7</v>
      </c>
      <c r="D722" t="s">
        <v>11</v>
      </c>
      <c r="E722" s="5">
        <v>3089</v>
      </c>
      <c r="F722" t="s">
        <v>9</v>
      </c>
    </row>
    <row r="723" spans="1:6" x14ac:dyDescent="0.3">
      <c r="A723" s="3">
        <v>46393</v>
      </c>
      <c r="B723" t="s">
        <v>6</v>
      </c>
      <c r="C723" t="s">
        <v>7</v>
      </c>
      <c r="D723" t="s">
        <v>11</v>
      </c>
      <c r="E723" s="5">
        <v>1625</v>
      </c>
      <c r="F723" t="s">
        <v>9</v>
      </c>
    </row>
    <row r="724" spans="1:6" x14ac:dyDescent="0.3">
      <c r="A724" s="3">
        <v>46395</v>
      </c>
      <c r="B724" t="s">
        <v>14</v>
      </c>
      <c r="C724" t="s">
        <v>15</v>
      </c>
      <c r="D724" t="s">
        <v>16</v>
      </c>
      <c r="E724" s="5">
        <v>1747</v>
      </c>
      <c r="F724" t="s">
        <v>9</v>
      </c>
    </row>
    <row r="725" spans="1:6" x14ac:dyDescent="0.3">
      <c r="A725" s="3">
        <v>46395</v>
      </c>
      <c r="B725" t="s">
        <v>25</v>
      </c>
      <c r="C725" t="s">
        <v>26</v>
      </c>
      <c r="D725" t="s">
        <v>18</v>
      </c>
      <c r="E725" s="5">
        <v>1111</v>
      </c>
      <c r="F725" t="s">
        <v>9</v>
      </c>
    </row>
    <row r="726" spans="1:6" x14ac:dyDescent="0.3">
      <c r="A726" s="3">
        <v>46395</v>
      </c>
      <c r="B726" t="s">
        <v>21</v>
      </c>
      <c r="C726" t="s">
        <v>19</v>
      </c>
      <c r="D726" t="s">
        <v>10</v>
      </c>
      <c r="E726" s="5">
        <v>56981</v>
      </c>
      <c r="F726" t="s">
        <v>20</v>
      </c>
    </row>
    <row r="727" spans="1:6" x14ac:dyDescent="0.3">
      <c r="A727" s="3">
        <v>46396</v>
      </c>
      <c r="B727" t="s">
        <v>22</v>
      </c>
      <c r="C727" t="s">
        <v>23</v>
      </c>
      <c r="D727" t="s">
        <v>10</v>
      </c>
      <c r="E727" s="5">
        <v>4620</v>
      </c>
      <c r="F727" t="s">
        <v>9</v>
      </c>
    </row>
    <row r="728" spans="1:6" x14ac:dyDescent="0.3">
      <c r="A728" s="3">
        <v>46397</v>
      </c>
      <c r="B728" t="s">
        <v>25</v>
      </c>
      <c r="C728" t="s">
        <v>26</v>
      </c>
      <c r="D728" t="s">
        <v>10</v>
      </c>
      <c r="E728" s="5">
        <v>4148</v>
      </c>
      <c r="F728" t="s">
        <v>9</v>
      </c>
    </row>
    <row r="729" spans="1:6" x14ac:dyDescent="0.3">
      <c r="A729" s="3">
        <v>46397</v>
      </c>
      <c r="B729" t="s">
        <v>12</v>
      </c>
      <c r="C729" t="s">
        <v>13</v>
      </c>
      <c r="D729" t="s">
        <v>18</v>
      </c>
      <c r="E729" s="5">
        <v>4778</v>
      </c>
      <c r="F729" t="s">
        <v>9</v>
      </c>
    </row>
    <row r="730" spans="1:6" x14ac:dyDescent="0.3">
      <c r="A730" s="3">
        <v>46399</v>
      </c>
      <c r="B730" t="s">
        <v>22</v>
      </c>
      <c r="C730" t="s">
        <v>23</v>
      </c>
      <c r="D730" t="s">
        <v>10</v>
      </c>
      <c r="E730" s="5">
        <v>2029</v>
      </c>
      <c r="F730" t="s">
        <v>9</v>
      </c>
    </row>
    <row r="731" spans="1:6" x14ac:dyDescent="0.3">
      <c r="A731" s="3">
        <v>46399</v>
      </c>
      <c r="B731" t="s">
        <v>21</v>
      </c>
      <c r="C731" t="s">
        <v>19</v>
      </c>
      <c r="D731" t="s">
        <v>16</v>
      </c>
      <c r="E731" s="5">
        <v>52850</v>
      </c>
      <c r="F731" t="s">
        <v>20</v>
      </c>
    </row>
    <row r="732" spans="1:6" x14ac:dyDescent="0.3">
      <c r="A732" s="3">
        <v>46399</v>
      </c>
      <c r="B732" t="s">
        <v>22</v>
      </c>
      <c r="C732" t="s">
        <v>23</v>
      </c>
      <c r="D732" t="s">
        <v>18</v>
      </c>
      <c r="E732" s="5">
        <v>3233</v>
      </c>
      <c r="F732" t="s">
        <v>9</v>
      </c>
    </row>
    <row r="733" spans="1:6" x14ac:dyDescent="0.3">
      <c r="A733" s="3">
        <v>46401</v>
      </c>
      <c r="B733" t="s">
        <v>25</v>
      </c>
      <c r="C733" t="s">
        <v>26</v>
      </c>
      <c r="D733" t="s">
        <v>18</v>
      </c>
      <c r="E733" s="5">
        <v>498</v>
      </c>
      <c r="F733" t="s">
        <v>9</v>
      </c>
    </row>
    <row r="734" spans="1:6" x14ac:dyDescent="0.3">
      <c r="A734" s="3">
        <v>46403</v>
      </c>
      <c r="B734" t="s">
        <v>19</v>
      </c>
      <c r="C734" t="s">
        <v>19</v>
      </c>
      <c r="D734" t="s">
        <v>16</v>
      </c>
      <c r="E734" s="5">
        <v>43890</v>
      </c>
      <c r="F734" t="s">
        <v>20</v>
      </c>
    </row>
    <row r="735" spans="1:6" x14ac:dyDescent="0.3">
      <c r="A735" s="3">
        <v>46403</v>
      </c>
      <c r="B735" t="s">
        <v>24</v>
      </c>
      <c r="C735" t="s">
        <v>7</v>
      </c>
      <c r="D735" t="s">
        <v>18</v>
      </c>
      <c r="E735" s="5">
        <v>2525</v>
      </c>
      <c r="F735" t="s">
        <v>9</v>
      </c>
    </row>
    <row r="736" spans="1:6" x14ac:dyDescent="0.3">
      <c r="A736" s="3">
        <v>46404</v>
      </c>
      <c r="B736" t="s">
        <v>14</v>
      </c>
      <c r="C736" t="s">
        <v>15</v>
      </c>
      <c r="D736" t="s">
        <v>16</v>
      </c>
      <c r="E736" s="5">
        <v>763</v>
      </c>
      <c r="F736" t="s">
        <v>9</v>
      </c>
    </row>
    <row r="737" spans="1:6" x14ac:dyDescent="0.3">
      <c r="A737" s="3">
        <v>46404</v>
      </c>
      <c r="B737" t="s">
        <v>6</v>
      </c>
      <c r="C737" t="s">
        <v>7</v>
      </c>
      <c r="D737" t="s">
        <v>18</v>
      </c>
      <c r="E737" s="5">
        <v>1926</v>
      </c>
      <c r="F737" t="s">
        <v>9</v>
      </c>
    </row>
    <row r="738" spans="1:6" x14ac:dyDescent="0.3">
      <c r="A738" s="3">
        <v>46404</v>
      </c>
      <c r="B738" t="s">
        <v>21</v>
      </c>
      <c r="C738" t="s">
        <v>19</v>
      </c>
      <c r="D738" t="s">
        <v>11</v>
      </c>
      <c r="E738" s="5">
        <v>40958</v>
      </c>
      <c r="F738" t="s">
        <v>20</v>
      </c>
    </row>
    <row r="739" spans="1:6" x14ac:dyDescent="0.3">
      <c r="A739" s="3">
        <v>46405</v>
      </c>
      <c r="B739" t="s">
        <v>25</v>
      </c>
      <c r="C739" t="s">
        <v>26</v>
      </c>
      <c r="D739" t="s">
        <v>11</v>
      </c>
      <c r="E739" s="5">
        <v>3366</v>
      </c>
      <c r="F739" t="s">
        <v>9</v>
      </c>
    </row>
    <row r="740" spans="1:6" x14ac:dyDescent="0.3">
      <c r="A740" s="3">
        <v>46406</v>
      </c>
      <c r="B740" t="s">
        <v>22</v>
      </c>
      <c r="C740" t="s">
        <v>23</v>
      </c>
      <c r="D740" t="s">
        <v>10</v>
      </c>
      <c r="E740" s="5">
        <v>1035</v>
      </c>
      <c r="F740" t="s">
        <v>9</v>
      </c>
    </row>
    <row r="741" spans="1:6" x14ac:dyDescent="0.3">
      <c r="A741" s="3">
        <v>46408</v>
      </c>
      <c r="B741" t="s">
        <v>24</v>
      </c>
      <c r="C741" t="s">
        <v>7</v>
      </c>
      <c r="D741" t="s">
        <v>11</v>
      </c>
      <c r="E741" s="5">
        <v>1579</v>
      </c>
      <c r="F741" t="s">
        <v>9</v>
      </c>
    </row>
    <row r="742" spans="1:6" x14ac:dyDescent="0.3">
      <c r="A742" s="3">
        <v>46409</v>
      </c>
      <c r="B742" t="s">
        <v>25</v>
      </c>
      <c r="C742" t="s">
        <v>26</v>
      </c>
      <c r="D742" t="s">
        <v>16</v>
      </c>
      <c r="E742" s="5">
        <v>3016</v>
      </c>
      <c r="F742" t="s">
        <v>9</v>
      </c>
    </row>
    <row r="743" spans="1:6" x14ac:dyDescent="0.3">
      <c r="A743" s="3">
        <v>46411</v>
      </c>
      <c r="B743" t="s">
        <v>25</v>
      </c>
      <c r="C743" t="s">
        <v>26</v>
      </c>
      <c r="D743" t="s">
        <v>8</v>
      </c>
      <c r="E743" s="5">
        <v>1323</v>
      </c>
      <c r="F743" t="s">
        <v>9</v>
      </c>
    </row>
    <row r="744" spans="1:6" x14ac:dyDescent="0.3">
      <c r="A744" s="3">
        <v>46413</v>
      </c>
      <c r="B744" t="s">
        <v>25</v>
      </c>
      <c r="C744" t="s">
        <v>26</v>
      </c>
      <c r="D744" t="s">
        <v>16</v>
      </c>
      <c r="E744" s="5">
        <v>1553</v>
      </c>
      <c r="F744" t="s">
        <v>9</v>
      </c>
    </row>
    <row r="745" spans="1:6" x14ac:dyDescent="0.3">
      <c r="A745" s="3">
        <v>46413</v>
      </c>
      <c r="B745" t="s">
        <v>17</v>
      </c>
      <c r="C745" t="s">
        <v>13</v>
      </c>
      <c r="D745" t="s">
        <v>16</v>
      </c>
      <c r="E745" s="5">
        <v>3247</v>
      </c>
      <c r="F745" t="s">
        <v>9</v>
      </c>
    </row>
    <row r="746" spans="1:6" x14ac:dyDescent="0.3">
      <c r="A746" s="3">
        <v>46414</v>
      </c>
      <c r="B746" t="s">
        <v>24</v>
      </c>
      <c r="C746" t="s">
        <v>7</v>
      </c>
      <c r="D746" t="s">
        <v>11</v>
      </c>
      <c r="E746" s="5">
        <v>182</v>
      </c>
      <c r="F746" t="s">
        <v>9</v>
      </c>
    </row>
    <row r="747" spans="1:6" x14ac:dyDescent="0.3">
      <c r="A747" s="3">
        <v>46416</v>
      </c>
      <c r="B747" t="s">
        <v>19</v>
      </c>
      <c r="C747" t="s">
        <v>19</v>
      </c>
      <c r="D747" t="s">
        <v>8</v>
      </c>
      <c r="E747" s="5">
        <v>51133</v>
      </c>
      <c r="F747" t="s">
        <v>20</v>
      </c>
    </row>
    <row r="748" spans="1:6" x14ac:dyDescent="0.3">
      <c r="A748" s="3">
        <v>46416</v>
      </c>
      <c r="B748" t="s">
        <v>22</v>
      </c>
      <c r="C748" t="s">
        <v>23</v>
      </c>
      <c r="D748" t="s">
        <v>8</v>
      </c>
      <c r="E748" s="5">
        <v>4559</v>
      </c>
      <c r="F748" t="s">
        <v>9</v>
      </c>
    </row>
    <row r="749" spans="1:6" x14ac:dyDescent="0.3">
      <c r="A749" s="3">
        <v>46416</v>
      </c>
      <c r="B749" t="s">
        <v>6</v>
      </c>
      <c r="C749" t="s">
        <v>7</v>
      </c>
      <c r="D749" t="s">
        <v>11</v>
      </c>
      <c r="E749" s="5">
        <v>3365</v>
      </c>
      <c r="F749" t="s">
        <v>9</v>
      </c>
    </row>
    <row r="750" spans="1:6" x14ac:dyDescent="0.3">
      <c r="A750" s="3">
        <v>46417</v>
      </c>
      <c r="B750" t="s">
        <v>12</v>
      </c>
      <c r="C750" t="s">
        <v>13</v>
      </c>
      <c r="D750" t="s">
        <v>16</v>
      </c>
      <c r="E750" s="5">
        <v>1857</v>
      </c>
      <c r="F750" t="s">
        <v>9</v>
      </c>
    </row>
    <row r="751" spans="1:6" x14ac:dyDescent="0.3">
      <c r="A751" s="3">
        <v>46417</v>
      </c>
      <c r="B751" t="s">
        <v>24</v>
      </c>
      <c r="C751" t="s">
        <v>7</v>
      </c>
      <c r="D751" t="s">
        <v>16</v>
      </c>
      <c r="E751" s="5">
        <v>4306</v>
      </c>
      <c r="F751" t="s">
        <v>9</v>
      </c>
    </row>
    <row r="752" spans="1:6" x14ac:dyDescent="0.3">
      <c r="A752" s="3">
        <v>46417</v>
      </c>
      <c r="B752" t="s">
        <v>12</v>
      </c>
      <c r="C752" t="s">
        <v>13</v>
      </c>
      <c r="D752" t="s">
        <v>10</v>
      </c>
      <c r="E752" s="5">
        <v>2589</v>
      </c>
      <c r="F752" t="s">
        <v>9</v>
      </c>
    </row>
    <row r="753" spans="1:6" x14ac:dyDescent="0.3">
      <c r="A753" s="3">
        <v>46419</v>
      </c>
      <c r="B753" t="s">
        <v>21</v>
      </c>
      <c r="C753" t="s">
        <v>19</v>
      </c>
      <c r="D753" t="s">
        <v>11</v>
      </c>
      <c r="E753" s="5">
        <v>39872</v>
      </c>
      <c r="F753" t="s">
        <v>20</v>
      </c>
    </row>
    <row r="754" spans="1:6" x14ac:dyDescent="0.3">
      <c r="A754" s="3">
        <v>46419</v>
      </c>
      <c r="B754" t="s">
        <v>21</v>
      </c>
      <c r="C754" t="s">
        <v>19</v>
      </c>
      <c r="D754" t="s">
        <v>18</v>
      </c>
      <c r="E754" s="5">
        <v>55463</v>
      </c>
      <c r="F754" t="s">
        <v>20</v>
      </c>
    </row>
    <row r="755" spans="1:6" x14ac:dyDescent="0.3">
      <c r="A755" s="3">
        <v>46419</v>
      </c>
      <c r="B755" t="s">
        <v>25</v>
      </c>
      <c r="C755" t="s">
        <v>26</v>
      </c>
      <c r="D755" t="s">
        <v>16</v>
      </c>
      <c r="E755" s="5">
        <v>4435</v>
      </c>
      <c r="F755" t="s">
        <v>9</v>
      </c>
    </row>
    <row r="756" spans="1:6" x14ac:dyDescent="0.3">
      <c r="A756" s="3">
        <v>46421</v>
      </c>
      <c r="B756" t="s">
        <v>14</v>
      </c>
      <c r="C756" t="s">
        <v>15</v>
      </c>
      <c r="D756" t="s">
        <v>10</v>
      </c>
      <c r="E756" s="5">
        <v>2452</v>
      </c>
      <c r="F756" t="s">
        <v>9</v>
      </c>
    </row>
    <row r="757" spans="1:6" x14ac:dyDescent="0.3">
      <c r="A757" s="3">
        <v>46421</v>
      </c>
      <c r="B757" t="s">
        <v>21</v>
      </c>
      <c r="C757" t="s">
        <v>19</v>
      </c>
      <c r="D757" t="s">
        <v>16</v>
      </c>
      <c r="E757" s="5">
        <v>35041</v>
      </c>
      <c r="F757" t="s">
        <v>20</v>
      </c>
    </row>
    <row r="758" spans="1:6" x14ac:dyDescent="0.3">
      <c r="A758" s="3">
        <v>46422</v>
      </c>
      <c r="B758" t="s">
        <v>24</v>
      </c>
      <c r="C758" t="s">
        <v>7</v>
      </c>
      <c r="D758" t="s">
        <v>18</v>
      </c>
      <c r="E758" s="5">
        <v>353</v>
      </c>
      <c r="F758" t="s">
        <v>9</v>
      </c>
    </row>
    <row r="759" spans="1:6" x14ac:dyDescent="0.3">
      <c r="A759" s="3">
        <v>46422</v>
      </c>
      <c r="B759" t="s">
        <v>24</v>
      </c>
      <c r="C759" t="s">
        <v>7</v>
      </c>
      <c r="D759" t="s">
        <v>16</v>
      </c>
      <c r="E759" s="5">
        <v>3747</v>
      </c>
      <c r="F759" t="s">
        <v>9</v>
      </c>
    </row>
    <row r="760" spans="1:6" x14ac:dyDescent="0.3">
      <c r="A760" s="3">
        <v>46423</v>
      </c>
      <c r="B760" t="s">
        <v>19</v>
      </c>
      <c r="C760" t="s">
        <v>19</v>
      </c>
      <c r="D760" t="s">
        <v>11</v>
      </c>
      <c r="E760" s="5">
        <v>32338</v>
      </c>
      <c r="F760" t="s">
        <v>20</v>
      </c>
    </row>
    <row r="761" spans="1:6" x14ac:dyDescent="0.3">
      <c r="A761" s="3">
        <v>46424</v>
      </c>
      <c r="B761" t="s">
        <v>22</v>
      </c>
      <c r="C761" t="s">
        <v>23</v>
      </c>
      <c r="D761" t="s">
        <v>8</v>
      </c>
      <c r="E761" s="5">
        <v>3047</v>
      </c>
      <c r="F761" t="s">
        <v>9</v>
      </c>
    </row>
    <row r="762" spans="1:6" x14ac:dyDescent="0.3">
      <c r="A762" s="3">
        <v>46424</v>
      </c>
      <c r="B762" t="s">
        <v>22</v>
      </c>
      <c r="C762" t="s">
        <v>23</v>
      </c>
      <c r="D762" t="s">
        <v>18</v>
      </c>
      <c r="E762" s="5">
        <v>4868</v>
      </c>
      <c r="F762" t="s">
        <v>9</v>
      </c>
    </row>
    <row r="763" spans="1:6" x14ac:dyDescent="0.3">
      <c r="A763" s="3">
        <v>46426</v>
      </c>
      <c r="B763" t="s">
        <v>12</v>
      </c>
      <c r="C763" t="s">
        <v>13</v>
      </c>
      <c r="D763" t="s">
        <v>10</v>
      </c>
      <c r="E763" s="5">
        <v>401</v>
      </c>
      <c r="F763" t="s">
        <v>9</v>
      </c>
    </row>
    <row r="764" spans="1:6" x14ac:dyDescent="0.3">
      <c r="A764" s="3">
        <v>46428</v>
      </c>
      <c r="B764" t="s">
        <v>17</v>
      </c>
      <c r="C764" t="s">
        <v>13</v>
      </c>
      <c r="D764" t="s">
        <v>16</v>
      </c>
      <c r="E764" s="5">
        <v>1270</v>
      </c>
      <c r="F764" t="s">
        <v>9</v>
      </c>
    </row>
    <row r="765" spans="1:6" x14ac:dyDescent="0.3">
      <c r="A765" s="3">
        <v>46428</v>
      </c>
      <c r="B765" t="s">
        <v>22</v>
      </c>
      <c r="C765" t="s">
        <v>23</v>
      </c>
      <c r="D765" t="s">
        <v>18</v>
      </c>
      <c r="E765" s="5">
        <v>4111</v>
      </c>
      <c r="F765" t="s">
        <v>9</v>
      </c>
    </row>
    <row r="766" spans="1:6" x14ac:dyDescent="0.3">
      <c r="A766" s="3">
        <v>46428</v>
      </c>
      <c r="B766" t="s">
        <v>6</v>
      </c>
      <c r="C766" t="s">
        <v>7</v>
      </c>
      <c r="D766" t="s">
        <v>16</v>
      </c>
      <c r="E766" s="5">
        <v>4373</v>
      </c>
      <c r="F766" t="s">
        <v>9</v>
      </c>
    </row>
    <row r="767" spans="1:6" x14ac:dyDescent="0.3">
      <c r="A767" s="3">
        <v>46430</v>
      </c>
      <c r="B767" t="s">
        <v>17</v>
      </c>
      <c r="C767" t="s">
        <v>13</v>
      </c>
      <c r="D767" t="s">
        <v>10</v>
      </c>
      <c r="E767" s="5">
        <v>1342</v>
      </c>
      <c r="F767" t="s">
        <v>9</v>
      </c>
    </row>
    <row r="768" spans="1:6" x14ac:dyDescent="0.3">
      <c r="A768" s="3">
        <v>46432</v>
      </c>
      <c r="B768" t="s">
        <v>19</v>
      </c>
      <c r="C768" t="s">
        <v>19</v>
      </c>
      <c r="D768" t="s">
        <v>8</v>
      </c>
      <c r="E768" s="5">
        <v>46604</v>
      </c>
      <c r="F768" t="s">
        <v>20</v>
      </c>
    </row>
    <row r="769" spans="1:6" x14ac:dyDescent="0.3">
      <c r="A769" s="3">
        <v>46432</v>
      </c>
      <c r="B769" t="s">
        <v>17</v>
      </c>
      <c r="C769" t="s">
        <v>13</v>
      </c>
      <c r="D769" t="s">
        <v>11</v>
      </c>
      <c r="E769" s="5">
        <v>4652</v>
      </c>
      <c r="F769" t="s">
        <v>9</v>
      </c>
    </row>
    <row r="770" spans="1:6" x14ac:dyDescent="0.3">
      <c r="A770" s="3">
        <v>46434</v>
      </c>
      <c r="B770" t="s">
        <v>19</v>
      </c>
      <c r="C770" t="s">
        <v>19</v>
      </c>
      <c r="D770" t="s">
        <v>8</v>
      </c>
      <c r="E770" s="5">
        <v>39217</v>
      </c>
      <c r="F770" t="s">
        <v>20</v>
      </c>
    </row>
    <row r="771" spans="1:6" x14ac:dyDescent="0.3">
      <c r="A771" s="3">
        <v>46436</v>
      </c>
      <c r="B771" t="s">
        <v>17</v>
      </c>
      <c r="C771" t="s">
        <v>13</v>
      </c>
      <c r="D771" t="s">
        <v>10</v>
      </c>
      <c r="E771" s="5">
        <v>3370</v>
      </c>
      <c r="F771" t="s">
        <v>9</v>
      </c>
    </row>
    <row r="772" spans="1:6" x14ac:dyDescent="0.3">
      <c r="A772" s="3">
        <v>46437</v>
      </c>
      <c r="B772" t="s">
        <v>21</v>
      </c>
      <c r="C772" t="s">
        <v>19</v>
      </c>
      <c r="D772" t="s">
        <v>11</v>
      </c>
      <c r="E772" s="5">
        <v>37000</v>
      </c>
      <c r="F772" t="s">
        <v>20</v>
      </c>
    </row>
    <row r="773" spans="1:6" x14ac:dyDescent="0.3">
      <c r="A773" s="3">
        <v>46439</v>
      </c>
      <c r="B773" t="s">
        <v>19</v>
      </c>
      <c r="C773" t="s">
        <v>19</v>
      </c>
      <c r="D773" t="s">
        <v>16</v>
      </c>
      <c r="E773" s="5">
        <v>32452</v>
      </c>
      <c r="F773" t="s">
        <v>20</v>
      </c>
    </row>
    <row r="774" spans="1:6" x14ac:dyDescent="0.3">
      <c r="A774" s="3">
        <v>46440</v>
      </c>
      <c r="B774" t="s">
        <v>21</v>
      </c>
      <c r="C774" t="s">
        <v>19</v>
      </c>
      <c r="D774" t="s">
        <v>11</v>
      </c>
      <c r="E774" s="5">
        <v>40350</v>
      </c>
      <c r="F774" t="s">
        <v>20</v>
      </c>
    </row>
    <row r="775" spans="1:6" x14ac:dyDescent="0.3">
      <c r="A775" s="3">
        <v>46442</v>
      </c>
      <c r="B775" t="s">
        <v>19</v>
      </c>
      <c r="C775" t="s">
        <v>19</v>
      </c>
      <c r="D775" t="s">
        <v>18</v>
      </c>
      <c r="E775" s="5">
        <v>33823</v>
      </c>
      <c r="F775" t="s">
        <v>20</v>
      </c>
    </row>
    <row r="776" spans="1:6" x14ac:dyDescent="0.3">
      <c r="A776" s="3">
        <v>46442</v>
      </c>
      <c r="B776" t="s">
        <v>14</v>
      </c>
      <c r="C776" t="s">
        <v>15</v>
      </c>
      <c r="D776" t="s">
        <v>18</v>
      </c>
      <c r="E776" s="5">
        <v>3518</v>
      </c>
      <c r="F776" t="s">
        <v>9</v>
      </c>
    </row>
    <row r="777" spans="1:6" x14ac:dyDescent="0.3">
      <c r="A777" s="3">
        <v>46444</v>
      </c>
      <c r="B777" t="s">
        <v>24</v>
      </c>
      <c r="C777" t="s">
        <v>7</v>
      </c>
      <c r="D777" t="s">
        <v>10</v>
      </c>
      <c r="E777" s="5">
        <v>2931</v>
      </c>
      <c r="F777" t="s">
        <v>9</v>
      </c>
    </row>
    <row r="778" spans="1:6" x14ac:dyDescent="0.3">
      <c r="A778" s="3">
        <v>46444</v>
      </c>
      <c r="B778" t="s">
        <v>17</v>
      </c>
      <c r="C778" t="s">
        <v>13</v>
      </c>
      <c r="D778" t="s">
        <v>11</v>
      </c>
      <c r="E778" s="5">
        <v>4436</v>
      </c>
      <c r="F778" t="s">
        <v>9</v>
      </c>
    </row>
    <row r="779" spans="1:6" x14ac:dyDescent="0.3">
      <c r="A779" s="3">
        <v>46444</v>
      </c>
      <c r="B779" t="s">
        <v>24</v>
      </c>
      <c r="C779" t="s">
        <v>7</v>
      </c>
      <c r="D779" t="s">
        <v>18</v>
      </c>
      <c r="E779" s="5">
        <v>1171</v>
      </c>
      <c r="F779" t="s">
        <v>9</v>
      </c>
    </row>
    <row r="780" spans="1:6" x14ac:dyDescent="0.3">
      <c r="A780" s="3">
        <v>46446</v>
      </c>
      <c r="B780" t="s">
        <v>6</v>
      </c>
      <c r="C780" t="s">
        <v>7</v>
      </c>
      <c r="D780" t="s">
        <v>10</v>
      </c>
      <c r="E780" s="5">
        <v>4649</v>
      </c>
      <c r="F780" t="s">
        <v>9</v>
      </c>
    </row>
    <row r="781" spans="1:6" x14ac:dyDescent="0.3">
      <c r="A781" s="3">
        <v>46446</v>
      </c>
      <c r="B781" t="s">
        <v>14</v>
      </c>
      <c r="C781" t="s">
        <v>15</v>
      </c>
      <c r="D781" t="s">
        <v>10</v>
      </c>
      <c r="E781" s="5">
        <v>4491</v>
      </c>
      <c r="F781" t="s">
        <v>9</v>
      </c>
    </row>
    <row r="782" spans="1:6" x14ac:dyDescent="0.3">
      <c r="A782" s="3">
        <v>46448</v>
      </c>
      <c r="B782" t="s">
        <v>19</v>
      </c>
      <c r="C782" t="s">
        <v>19</v>
      </c>
      <c r="D782" t="s">
        <v>8</v>
      </c>
      <c r="E782" s="5">
        <v>39051</v>
      </c>
      <c r="F782" t="s">
        <v>20</v>
      </c>
    </row>
    <row r="783" spans="1:6" x14ac:dyDescent="0.3">
      <c r="A783" s="3">
        <v>46448</v>
      </c>
      <c r="B783" t="s">
        <v>6</v>
      </c>
      <c r="C783" t="s">
        <v>7</v>
      </c>
      <c r="D783" t="s">
        <v>16</v>
      </c>
      <c r="E783" s="5">
        <v>379</v>
      </c>
      <c r="F783" t="s">
        <v>9</v>
      </c>
    </row>
    <row r="784" spans="1:6" x14ac:dyDescent="0.3">
      <c r="A784" s="3">
        <v>46450</v>
      </c>
      <c r="B784" t="s">
        <v>19</v>
      </c>
      <c r="C784" t="s">
        <v>19</v>
      </c>
      <c r="D784" t="s">
        <v>16</v>
      </c>
      <c r="E784" s="5">
        <v>31736</v>
      </c>
      <c r="F784" t="s">
        <v>20</v>
      </c>
    </row>
    <row r="785" spans="1:6" x14ac:dyDescent="0.3">
      <c r="A785" s="3">
        <v>46452</v>
      </c>
      <c r="B785" t="s">
        <v>21</v>
      </c>
      <c r="C785" t="s">
        <v>19</v>
      </c>
      <c r="D785" t="s">
        <v>11</v>
      </c>
      <c r="E785" s="5">
        <v>45563</v>
      </c>
      <c r="F785" t="s">
        <v>20</v>
      </c>
    </row>
    <row r="786" spans="1:6" x14ac:dyDescent="0.3">
      <c r="A786" s="3">
        <v>46454</v>
      </c>
      <c r="B786" t="s">
        <v>25</v>
      </c>
      <c r="C786" t="s">
        <v>26</v>
      </c>
      <c r="D786" t="s">
        <v>10</v>
      </c>
      <c r="E786" s="5">
        <v>1018</v>
      </c>
      <c r="F786" t="s">
        <v>9</v>
      </c>
    </row>
    <row r="787" spans="1:6" x14ac:dyDescent="0.3">
      <c r="A787" s="3">
        <v>46456</v>
      </c>
      <c r="B787" t="s">
        <v>6</v>
      </c>
      <c r="C787" t="s">
        <v>7</v>
      </c>
      <c r="D787" t="s">
        <v>8</v>
      </c>
      <c r="E787" s="5">
        <v>1200</v>
      </c>
      <c r="F787" t="s">
        <v>9</v>
      </c>
    </row>
    <row r="788" spans="1:6" x14ac:dyDescent="0.3">
      <c r="A788" s="3">
        <v>46458</v>
      </c>
      <c r="B788" t="s">
        <v>25</v>
      </c>
      <c r="C788" t="s">
        <v>26</v>
      </c>
      <c r="D788" t="s">
        <v>11</v>
      </c>
      <c r="E788" s="5">
        <v>3618</v>
      </c>
      <c r="F788" t="s">
        <v>9</v>
      </c>
    </row>
    <row r="789" spans="1:6" x14ac:dyDescent="0.3">
      <c r="A789" s="3">
        <v>46458</v>
      </c>
      <c r="B789" t="s">
        <v>12</v>
      </c>
      <c r="C789" t="s">
        <v>13</v>
      </c>
      <c r="D789" t="s">
        <v>8</v>
      </c>
      <c r="E789" s="5">
        <v>788</v>
      </c>
      <c r="F789" t="s">
        <v>9</v>
      </c>
    </row>
    <row r="790" spans="1:6" x14ac:dyDescent="0.3">
      <c r="A790" s="3">
        <v>46459</v>
      </c>
      <c r="B790" t="s">
        <v>17</v>
      </c>
      <c r="C790" t="s">
        <v>13</v>
      </c>
      <c r="D790" t="s">
        <v>16</v>
      </c>
      <c r="E790" s="5">
        <v>1521</v>
      </c>
      <c r="F790" t="s">
        <v>9</v>
      </c>
    </row>
    <row r="791" spans="1:6" x14ac:dyDescent="0.3">
      <c r="A791" s="3">
        <v>46460</v>
      </c>
      <c r="B791" t="s">
        <v>25</v>
      </c>
      <c r="C791" t="s">
        <v>26</v>
      </c>
      <c r="D791" t="s">
        <v>8</v>
      </c>
      <c r="E791" s="5">
        <v>3610</v>
      </c>
      <c r="F791" t="s">
        <v>9</v>
      </c>
    </row>
    <row r="792" spans="1:6" x14ac:dyDescent="0.3">
      <c r="A792" s="3">
        <v>46461</v>
      </c>
      <c r="B792" t="s">
        <v>22</v>
      </c>
      <c r="C792" t="s">
        <v>23</v>
      </c>
      <c r="D792" t="s">
        <v>16</v>
      </c>
      <c r="E792" s="5">
        <v>4574</v>
      </c>
      <c r="F792" t="s">
        <v>9</v>
      </c>
    </row>
    <row r="793" spans="1:6" x14ac:dyDescent="0.3">
      <c r="A793" s="3">
        <v>46463</v>
      </c>
      <c r="B793" t="s">
        <v>17</v>
      </c>
      <c r="C793" t="s">
        <v>13</v>
      </c>
      <c r="D793" t="s">
        <v>18</v>
      </c>
      <c r="E793" s="5">
        <v>183</v>
      </c>
      <c r="F793" t="s">
        <v>9</v>
      </c>
    </row>
    <row r="794" spans="1:6" x14ac:dyDescent="0.3">
      <c r="A794" s="3">
        <v>46464</v>
      </c>
      <c r="B794" t="s">
        <v>21</v>
      </c>
      <c r="C794" t="s">
        <v>19</v>
      </c>
      <c r="D794" t="s">
        <v>16</v>
      </c>
      <c r="E794" s="5">
        <v>43888</v>
      </c>
      <c r="F794" t="s">
        <v>20</v>
      </c>
    </row>
    <row r="795" spans="1:6" x14ac:dyDescent="0.3">
      <c r="A795" s="3">
        <v>46464</v>
      </c>
      <c r="B795" t="s">
        <v>21</v>
      </c>
      <c r="C795" t="s">
        <v>19</v>
      </c>
      <c r="D795" t="s">
        <v>8</v>
      </c>
      <c r="E795" s="5">
        <v>58246</v>
      </c>
      <c r="F795" t="s">
        <v>20</v>
      </c>
    </row>
    <row r="796" spans="1:6" x14ac:dyDescent="0.3">
      <c r="A796" s="3">
        <v>46466</v>
      </c>
      <c r="B796" t="s">
        <v>22</v>
      </c>
      <c r="C796" t="s">
        <v>23</v>
      </c>
      <c r="D796" t="s">
        <v>16</v>
      </c>
      <c r="E796" s="5">
        <v>531</v>
      </c>
      <c r="F796" t="s">
        <v>9</v>
      </c>
    </row>
    <row r="797" spans="1:6" x14ac:dyDescent="0.3">
      <c r="A797" s="3">
        <v>46466</v>
      </c>
      <c r="B797" t="s">
        <v>6</v>
      </c>
      <c r="C797" t="s">
        <v>7</v>
      </c>
      <c r="D797" t="s">
        <v>18</v>
      </c>
      <c r="E797" s="5">
        <v>3261</v>
      </c>
      <c r="F797" t="s">
        <v>9</v>
      </c>
    </row>
    <row r="798" spans="1:6" x14ac:dyDescent="0.3">
      <c r="A798" s="3">
        <v>46467</v>
      </c>
      <c r="B798" t="s">
        <v>14</v>
      </c>
      <c r="C798" t="s">
        <v>15</v>
      </c>
      <c r="D798" t="s">
        <v>16</v>
      </c>
      <c r="E798" s="5">
        <v>3568</v>
      </c>
      <c r="F798" t="s">
        <v>9</v>
      </c>
    </row>
    <row r="799" spans="1:6" x14ac:dyDescent="0.3">
      <c r="A799" s="3">
        <v>46469</v>
      </c>
      <c r="B799" t="s">
        <v>21</v>
      </c>
      <c r="C799" t="s">
        <v>19</v>
      </c>
      <c r="D799" t="s">
        <v>11</v>
      </c>
      <c r="E799" s="5">
        <v>30973</v>
      </c>
      <c r="F799" t="s">
        <v>20</v>
      </c>
    </row>
    <row r="800" spans="1:6" x14ac:dyDescent="0.3">
      <c r="A800" s="3">
        <v>46470</v>
      </c>
      <c r="B800" t="s">
        <v>17</v>
      </c>
      <c r="C800" t="s">
        <v>13</v>
      </c>
      <c r="D800" t="s">
        <v>8</v>
      </c>
      <c r="E800" s="5">
        <v>394</v>
      </c>
      <c r="F800" t="s">
        <v>9</v>
      </c>
    </row>
    <row r="801" spans="1:6" x14ac:dyDescent="0.3">
      <c r="A801" s="3">
        <v>46472</v>
      </c>
      <c r="B801" t="s">
        <v>12</v>
      </c>
      <c r="C801" t="s">
        <v>13</v>
      </c>
      <c r="D801" t="s">
        <v>16</v>
      </c>
      <c r="E801" s="5">
        <v>3048</v>
      </c>
      <c r="F801" t="s">
        <v>9</v>
      </c>
    </row>
    <row r="802" spans="1:6" x14ac:dyDescent="0.3">
      <c r="A802" s="3">
        <v>46474</v>
      </c>
      <c r="B802" t="s">
        <v>19</v>
      </c>
      <c r="C802" t="s">
        <v>19</v>
      </c>
      <c r="D802" t="s">
        <v>11</v>
      </c>
      <c r="E802" s="5">
        <v>39058</v>
      </c>
      <c r="F802" t="s">
        <v>20</v>
      </c>
    </row>
    <row r="803" spans="1:6" x14ac:dyDescent="0.3">
      <c r="A803" s="3">
        <v>46475</v>
      </c>
      <c r="B803" t="s">
        <v>17</v>
      </c>
      <c r="C803" t="s">
        <v>13</v>
      </c>
      <c r="D803" t="s">
        <v>16</v>
      </c>
      <c r="E803" s="5">
        <v>4108</v>
      </c>
      <c r="F803" t="s">
        <v>9</v>
      </c>
    </row>
    <row r="804" spans="1:6" x14ac:dyDescent="0.3">
      <c r="A804" s="3">
        <v>46476</v>
      </c>
      <c r="B804" t="s">
        <v>12</v>
      </c>
      <c r="C804" t="s">
        <v>13</v>
      </c>
      <c r="D804" t="s">
        <v>11</v>
      </c>
      <c r="E804" s="5">
        <v>638</v>
      </c>
      <c r="F804" t="s">
        <v>9</v>
      </c>
    </row>
    <row r="805" spans="1:6" x14ac:dyDescent="0.3">
      <c r="A805" s="3">
        <v>46478</v>
      </c>
      <c r="B805" t="s">
        <v>22</v>
      </c>
      <c r="C805" t="s">
        <v>23</v>
      </c>
      <c r="D805" t="s">
        <v>11</v>
      </c>
      <c r="E805" s="5">
        <v>4404</v>
      </c>
      <c r="F805" t="s">
        <v>9</v>
      </c>
    </row>
    <row r="806" spans="1:6" x14ac:dyDescent="0.3">
      <c r="A806" s="3">
        <v>46478</v>
      </c>
      <c r="B806" t="s">
        <v>24</v>
      </c>
      <c r="C806" t="s">
        <v>7</v>
      </c>
      <c r="D806" t="s">
        <v>8</v>
      </c>
      <c r="E806" s="5">
        <v>2791</v>
      </c>
      <c r="F806" t="s">
        <v>9</v>
      </c>
    </row>
    <row r="807" spans="1:6" x14ac:dyDescent="0.3">
      <c r="A807" s="3">
        <v>46480</v>
      </c>
      <c r="B807" t="s">
        <v>22</v>
      </c>
      <c r="C807" t="s">
        <v>23</v>
      </c>
      <c r="D807" t="s">
        <v>8</v>
      </c>
      <c r="E807" s="5">
        <v>2281</v>
      </c>
      <c r="F807" t="s">
        <v>9</v>
      </c>
    </row>
    <row r="808" spans="1:6" x14ac:dyDescent="0.3">
      <c r="A808" s="3">
        <v>46481</v>
      </c>
      <c r="B808" t="s">
        <v>24</v>
      </c>
      <c r="C808" t="s">
        <v>7</v>
      </c>
      <c r="D808" t="s">
        <v>18</v>
      </c>
      <c r="E808" s="5">
        <v>1016</v>
      </c>
      <c r="F808" t="s">
        <v>9</v>
      </c>
    </row>
    <row r="809" spans="1:6" x14ac:dyDescent="0.3">
      <c r="A809" s="3">
        <v>46482</v>
      </c>
      <c r="B809" t="s">
        <v>17</v>
      </c>
      <c r="C809" t="s">
        <v>13</v>
      </c>
      <c r="D809" t="s">
        <v>16</v>
      </c>
      <c r="E809" s="5">
        <v>3511</v>
      </c>
      <c r="F809" t="s">
        <v>9</v>
      </c>
    </row>
    <row r="810" spans="1:6" x14ac:dyDescent="0.3">
      <c r="A810" s="3">
        <v>46484</v>
      </c>
      <c r="B810" t="s">
        <v>24</v>
      </c>
      <c r="C810" t="s">
        <v>7</v>
      </c>
      <c r="D810" t="s">
        <v>18</v>
      </c>
      <c r="E810" s="5">
        <v>1313</v>
      </c>
      <c r="F810" t="s">
        <v>9</v>
      </c>
    </row>
    <row r="811" spans="1:6" x14ac:dyDescent="0.3">
      <c r="A811" s="3">
        <v>46486</v>
      </c>
      <c r="B811" t="s">
        <v>22</v>
      </c>
      <c r="C811" t="s">
        <v>23</v>
      </c>
      <c r="D811" t="s">
        <v>11</v>
      </c>
      <c r="E811" s="5">
        <v>793</v>
      </c>
      <c r="F811" t="s">
        <v>9</v>
      </c>
    </row>
    <row r="812" spans="1:6" x14ac:dyDescent="0.3">
      <c r="A812" s="3">
        <v>46486</v>
      </c>
      <c r="B812" t="s">
        <v>19</v>
      </c>
      <c r="C812" t="s">
        <v>19</v>
      </c>
      <c r="D812" t="s">
        <v>11</v>
      </c>
      <c r="E812" s="5">
        <v>36342</v>
      </c>
      <c r="F812" t="s">
        <v>20</v>
      </c>
    </row>
    <row r="813" spans="1:6" x14ac:dyDescent="0.3">
      <c r="A813" s="3">
        <v>46486</v>
      </c>
      <c r="B813" t="s">
        <v>6</v>
      </c>
      <c r="C813" t="s">
        <v>7</v>
      </c>
      <c r="D813" t="s">
        <v>16</v>
      </c>
      <c r="E813" s="5">
        <v>3953</v>
      </c>
      <c r="F813" t="s">
        <v>9</v>
      </c>
    </row>
    <row r="814" spans="1:6" x14ac:dyDescent="0.3">
      <c r="A814" s="3">
        <v>46486</v>
      </c>
      <c r="B814" t="s">
        <v>6</v>
      </c>
      <c r="C814" t="s">
        <v>7</v>
      </c>
      <c r="D814" t="s">
        <v>11</v>
      </c>
      <c r="E814" s="5">
        <v>4087</v>
      </c>
      <c r="F814" t="s">
        <v>9</v>
      </c>
    </row>
    <row r="815" spans="1:6" x14ac:dyDescent="0.3">
      <c r="A815" s="3">
        <v>46486</v>
      </c>
      <c r="B815" t="s">
        <v>12</v>
      </c>
      <c r="C815" t="s">
        <v>13</v>
      </c>
      <c r="D815" t="s">
        <v>11</v>
      </c>
      <c r="E815" s="5">
        <v>3063</v>
      </c>
      <c r="F815" t="s">
        <v>9</v>
      </c>
    </row>
    <row r="816" spans="1:6" x14ac:dyDescent="0.3">
      <c r="A816" s="3">
        <v>46488</v>
      </c>
      <c r="B816" t="s">
        <v>21</v>
      </c>
      <c r="C816" t="s">
        <v>19</v>
      </c>
      <c r="D816" t="s">
        <v>10</v>
      </c>
      <c r="E816" s="5">
        <v>34689</v>
      </c>
      <c r="F816" t="s">
        <v>20</v>
      </c>
    </row>
    <row r="817" spans="1:6" x14ac:dyDescent="0.3">
      <c r="A817" s="3">
        <v>46490</v>
      </c>
      <c r="B817" t="s">
        <v>21</v>
      </c>
      <c r="C817" t="s">
        <v>19</v>
      </c>
      <c r="D817" t="s">
        <v>10</v>
      </c>
      <c r="E817" s="5">
        <v>36933</v>
      </c>
      <c r="F817" t="s">
        <v>20</v>
      </c>
    </row>
    <row r="818" spans="1:6" x14ac:dyDescent="0.3">
      <c r="A818" s="3">
        <v>46490</v>
      </c>
      <c r="B818" t="s">
        <v>19</v>
      </c>
      <c r="C818" t="s">
        <v>19</v>
      </c>
      <c r="D818" t="s">
        <v>11</v>
      </c>
      <c r="E818" s="5">
        <v>52949</v>
      </c>
      <c r="F818" t="s">
        <v>20</v>
      </c>
    </row>
    <row r="819" spans="1:6" x14ac:dyDescent="0.3">
      <c r="A819" s="3">
        <v>46491</v>
      </c>
      <c r="B819" t="s">
        <v>14</v>
      </c>
      <c r="C819" t="s">
        <v>15</v>
      </c>
      <c r="D819" t="s">
        <v>16</v>
      </c>
      <c r="E819" s="5">
        <v>2441</v>
      </c>
      <c r="F819" t="s">
        <v>9</v>
      </c>
    </row>
    <row r="820" spans="1:6" x14ac:dyDescent="0.3">
      <c r="A820" s="3">
        <v>46491</v>
      </c>
      <c r="B820" t="s">
        <v>24</v>
      </c>
      <c r="C820" t="s">
        <v>7</v>
      </c>
      <c r="D820" t="s">
        <v>11</v>
      </c>
      <c r="E820" s="5">
        <v>4205</v>
      </c>
      <c r="F820" t="s">
        <v>9</v>
      </c>
    </row>
    <row r="821" spans="1:6" x14ac:dyDescent="0.3">
      <c r="A821" s="3">
        <v>46491</v>
      </c>
      <c r="B821" t="s">
        <v>22</v>
      </c>
      <c r="C821" t="s">
        <v>23</v>
      </c>
      <c r="D821" t="s">
        <v>18</v>
      </c>
      <c r="E821" s="5">
        <v>4635</v>
      </c>
      <c r="F821" t="s">
        <v>9</v>
      </c>
    </row>
    <row r="822" spans="1:6" x14ac:dyDescent="0.3">
      <c r="A822" s="3">
        <v>46493</v>
      </c>
      <c r="B822" t="s">
        <v>25</v>
      </c>
      <c r="C822" t="s">
        <v>26</v>
      </c>
      <c r="D822" t="s">
        <v>16</v>
      </c>
      <c r="E822" s="5">
        <v>3646</v>
      </c>
      <c r="F822" t="s">
        <v>9</v>
      </c>
    </row>
    <row r="823" spans="1:6" x14ac:dyDescent="0.3">
      <c r="A823" s="3">
        <v>46495</v>
      </c>
      <c r="B823" t="s">
        <v>21</v>
      </c>
      <c r="C823" t="s">
        <v>19</v>
      </c>
      <c r="D823" t="s">
        <v>11</v>
      </c>
      <c r="E823" s="5">
        <v>47128</v>
      </c>
      <c r="F823" t="s">
        <v>20</v>
      </c>
    </row>
    <row r="824" spans="1:6" x14ac:dyDescent="0.3">
      <c r="A824" s="3">
        <v>46496</v>
      </c>
      <c r="B824" t="s">
        <v>22</v>
      </c>
      <c r="C824" t="s">
        <v>23</v>
      </c>
      <c r="D824" t="s">
        <v>11</v>
      </c>
      <c r="E824" s="5">
        <v>581</v>
      </c>
      <c r="F824" t="s">
        <v>9</v>
      </c>
    </row>
    <row r="825" spans="1:6" x14ac:dyDescent="0.3">
      <c r="A825" s="3">
        <v>46497</v>
      </c>
      <c r="B825" t="s">
        <v>14</v>
      </c>
      <c r="C825" t="s">
        <v>15</v>
      </c>
      <c r="D825" t="s">
        <v>8</v>
      </c>
      <c r="E825" s="5">
        <v>187</v>
      </c>
      <c r="F825" t="s">
        <v>9</v>
      </c>
    </row>
    <row r="826" spans="1:6" x14ac:dyDescent="0.3">
      <c r="A826" s="3">
        <v>46497</v>
      </c>
      <c r="B826" t="s">
        <v>12</v>
      </c>
      <c r="C826" t="s">
        <v>13</v>
      </c>
      <c r="D826" t="s">
        <v>10</v>
      </c>
      <c r="E826" s="5">
        <v>870</v>
      </c>
      <c r="F826" t="s">
        <v>9</v>
      </c>
    </row>
    <row r="827" spans="1:6" x14ac:dyDescent="0.3">
      <c r="A827" s="3">
        <v>46499</v>
      </c>
      <c r="B827" t="s">
        <v>17</v>
      </c>
      <c r="C827" t="s">
        <v>13</v>
      </c>
      <c r="D827" t="s">
        <v>18</v>
      </c>
      <c r="E827" s="5">
        <v>1509</v>
      </c>
      <c r="F827" t="s">
        <v>9</v>
      </c>
    </row>
    <row r="828" spans="1:6" x14ac:dyDescent="0.3">
      <c r="A828" s="3">
        <v>46499</v>
      </c>
      <c r="B828" t="s">
        <v>22</v>
      </c>
      <c r="C828" t="s">
        <v>23</v>
      </c>
      <c r="D828" t="s">
        <v>10</v>
      </c>
      <c r="E828" s="5">
        <v>148</v>
      </c>
      <c r="F828" t="s">
        <v>9</v>
      </c>
    </row>
    <row r="829" spans="1:6" x14ac:dyDescent="0.3">
      <c r="A829" s="3">
        <v>46499</v>
      </c>
      <c r="B829" t="s">
        <v>14</v>
      </c>
      <c r="C829" t="s">
        <v>15</v>
      </c>
      <c r="D829" t="s">
        <v>10</v>
      </c>
      <c r="E829" s="5">
        <v>585</v>
      </c>
      <c r="F829" t="s">
        <v>9</v>
      </c>
    </row>
    <row r="830" spans="1:6" x14ac:dyDescent="0.3">
      <c r="A830" s="3">
        <v>46500</v>
      </c>
      <c r="B830" t="s">
        <v>14</v>
      </c>
      <c r="C830" t="s">
        <v>15</v>
      </c>
      <c r="D830" t="s">
        <v>11</v>
      </c>
      <c r="E830" s="5">
        <v>222</v>
      </c>
      <c r="F830" t="s">
        <v>9</v>
      </c>
    </row>
    <row r="831" spans="1:6" x14ac:dyDescent="0.3">
      <c r="A831" s="3">
        <v>46501</v>
      </c>
      <c r="B831" t="s">
        <v>6</v>
      </c>
      <c r="C831" t="s">
        <v>7</v>
      </c>
      <c r="D831" t="s">
        <v>11</v>
      </c>
      <c r="E831" s="5">
        <v>1288</v>
      </c>
      <c r="F831" t="s">
        <v>9</v>
      </c>
    </row>
    <row r="832" spans="1:6" x14ac:dyDescent="0.3">
      <c r="A832" s="3">
        <v>46502</v>
      </c>
      <c r="B832" t="s">
        <v>24</v>
      </c>
      <c r="C832" t="s">
        <v>7</v>
      </c>
      <c r="D832" t="s">
        <v>16</v>
      </c>
      <c r="E832" s="5">
        <v>736</v>
      </c>
      <c r="F832" t="s">
        <v>9</v>
      </c>
    </row>
    <row r="833" spans="1:6" x14ac:dyDescent="0.3">
      <c r="A833" s="3">
        <v>46504</v>
      </c>
      <c r="B833" t="s">
        <v>6</v>
      </c>
      <c r="C833" t="s">
        <v>7</v>
      </c>
      <c r="D833" t="s">
        <v>10</v>
      </c>
      <c r="E833" s="5">
        <v>1243</v>
      </c>
      <c r="F833" t="s">
        <v>9</v>
      </c>
    </row>
    <row r="834" spans="1:6" x14ac:dyDescent="0.3">
      <c r="A834" s="3">
        <v>46505</v>
      </c>
      <c r="B834" t="s">
        <v>22</v>
      </c>
      <c r="C834" t="s">
        <v>23</v>
      </c>
      <c r="D834" t="s">
        <v>16</v>
      </c>
      <c r="E834" s="5">
        <v>1590</v>
      </c>
      <c r="F834" t="s">
        <v>9</v>
      </c>
    </row>
    <row r="835" spans="1:6" x14ac:dyDescent="0.3">
      <c r="A835" s="3">
        <v>46506</v>
      </c>
      <c r="B835" t="s">
        <v>24</v>
      </c>
      <c r="C835" t="s">
        <v>7</v>
      </c>
      <c r="D835" t="s">
        <v>11</v>
      </c>
      <c r="E835" s="5">
        <v>2324</v>
      </c>
      <c r="F835" t="s">
        <v>9</v>
      </c>
    </row>
    <row r="836" spans="1:6" x14ac:dyDescent="0.3">
      <c r="A836" s="3">
        <v>46508</v>
      </c>
      <c r="B836" t="s">
        <v>19</v>
      </c>
      <c r="C836" t="s">
        <v>19</v>
      </c>
      <c r="D836" t="s">
        <v>8</v>
      </c>
      <c r="E836" s="5">
        <v>30093</v>
      </c>
      <c r="F836" t="s">
        <v>20</v>
      </c>
    </row>
    <row r="837" spans="1:6" x14ac:dyDescent="0.3">
      <c r="A837" s="3">
        <v>46510</v>
      </c>
      <c r="B837" t="s">
        <v>19</v>
      </c>
      <c r="C837" t="s">
        <v>19</v>
      </c>
      <c r="D837" t="s">
        <v>10</v>
      </c>
      <c r="E837" s="5">
        <v>30022</v>
      </c>
      <c r="F837" t="s">
        <v>20</v>
      </c>
    </row>
    <row r="838" spans="1:6" x14ac:dyDescent="0.3">
      <c r="A838" s="3">
        <v>46510</v>
      </c>
      <c r="B838" t="s">
        <v>17</v>
      </c>
      <c r="C838" t="s">
        <v>13</v>
      </c>
      <c r="D838" t="s">
        <v>11</v>
      </c>
      <c r="E838" s="5">
        <v>204</v>
      </c>
      <c r="F838" t="s">
        <v>9</v>
      </c>
    </row>
    <row r="839" spans="1:6" x14ac:dyDescent="0.3">
      <c r="A839" s="3">
        <v>46510</v>
      </c>
      <c r="B839" t="s">
        <v>19</v>
      </c>
      <c r="C839" t="s">
        <v>19</v>
      </c>
      <c r="D839" t="s">
        <v>8</v>
      </c>
      <c r="E839" s="5">
        <v>38307</v>
      </c>
      <c r="F839" t="s">
        <v>20</v>
      </c>
    </row>
    <row r="840" spans="1:6" x14ac:dyDescent="0.3">
      <c r="A840" s="3">
        <v>46510</v>
      </c>
      <c r="B840" t="s">
        <v>22</v>
      </c>
      <c r="C840" t="s">
        <v>23</v>
      </c>
      <c r="D840" t="s">
        <v>10</v>
      </c>
      <c r="E840" s="5">
        <v>3897</v>
      </c>
      <c r="F840" t="s">
        <v>9</v>
      </c>
    </row>
    <row r="841" spans="1:6" x14ac:dyDescent="0.3">
      <c r="A841" s="3">
        <v>46511</v>
      </c>
      <c r="B841" t="s">
        <v>6</v>
      </c>
      <c r="C841" t="s">
        <v>7</v>
      </c>
      <c r="D841" t="s">
        <v>18</v>
      </c>
      <c r="E841" s="5">
        <v>3795</v>
      </c>
      <c r="F841" t="s">
        <v>9</v>
      </c>
    </row>
    <row r="842" spans="1:6" x14ac:dyDescent="0.3">
      <c r="A842" s="3">
        <v>46512</v>
      </c>
      <c r="B842" t="s">
        <v>6</v>
      </c>
      <c r="C842" t="s">
        <v>7</v>
      </c>
      <c r="D842" t="s">
        <v>18</v>
      </c>
      <c r="E842" s="5">
        <v>2706</v>
      </c>
      <c r="F842" t="s">
        <v>9</v>
      </c>
    </row>
    <row r="843" spans="1:6" x14ac:dyDescent="0.3">
      <c r="A843" s="3">
        <v>46513</v>
      </c>
      <c r="B843" t="s">
        <v>17</v>
      </c>
      <c r="C843" t="s">
        <v>13</v>
      </c>
      <c r="D843" t="s">
        <v>18</v>
      </c>
      <c r="E843" s="5">
        <v>284</v>
      </c>
      <c r="F843" t="s">
        <v>9</v>
      </c>
    </row>
    <row r="844" spans="1:6" x14ac:dyDescent="0.3">
      <c r="A844" s="3">
        <v>46513</v>
      </c>
      <c r="B844" t="s">
        <v>12</v>
      </c>
      <c r="C844" t="s">
        <v>13</v>
      </c>
      <c r="D844" t="s">
        <v>18</v>
      </c>
      <c r="E844" s="5">
        <v>3499</v>
      </c>
      <c r="F844" t="s">
        <v>9</v>
      </c>
    </row>
    <row r="845" spans="1:6" x14ac:dyDescent="0.3">
      <c r="A845" s="3">
        <v>46513</v>
      </c>
      <c r="B845" t="s">
        <v>19</v>
      </c>
      <c r="C845" t="s">
        <v>19</v>
      </c>
      <c r="D845" t="s">
        <v>8</v>
      </c>
      <c r="E845" s="5">
        <v>34598</v>
      </c>
      <c r="F845" t="s">
        <v>20</v>
      </c>
    </row>
    <row r="846" spans="1:6" x14ac:dyDescent="0.3">
      <c r="A846" s="3">
        <v>46513</v>
      </c>
      <c r="B846" t="s">
        <v>22</v>
      </c>
      <c r="C846" t="s">
        <v>23</v>
      </c>
      <c r="D846" t="s">
        <v>11</v>
      </c>
      <c r="E846" s="5">
        <v>344</v>
      </c>
      <c r="F846" t="s">
        <v>9</v>
      </c>
    </row>
    <row r="847" spans="1:6" x14ac:dyDescent="0.3">
      <c r="A847" s="3">
        <v>46514</v>
      </c>
      <c r="B847" t="s">
        <v>12</v>
      </c>
      <c r="C847" t="s">
        <v>13</v>
      </c>
      <c r="D847" t="s">
        <v>11</v>
      </c>
      <c r="E847" s="5">
        <v>4240</v>
      </c>
      <c r="F847" t="s">
        <v>9</v>
      </c>
    </row>
    <row r="848" spans="1:6" x14ac:dyDescent="0.3">
      <c r="A848" s="3">
        <v>46515</v>
      </c>
      <c r="B848" t="s">
        <v>21</v>
      </c>
      <c r="C848" t="s">
        <v>19</v>
      </c>
      <c r="D848" t="s">
        <v>18</v>
      </c>
      <c r="E848" s="5">
        <v>44188</v>
      </c>
      <c r="F848" t="s">
        <v>20</v>
      </c>
    </row>
    <row r="849" spans="1:6" x14ac:dyDescent="0.3">
      <c r="A849" s="3">
        <v>46515</v>
      </c>
      <c r="B849" t="s">
        <v>19</v>
      </c>
      <c r="C849" t="s">
        <v>19</v>
      </c>
      <c r="D849" t="s">
        <v>18</v>
      </c>
      <c r="E849" s="5">
        <v>49652</v>
      </c>
      <c r="F849" t="s">
        <v>20</v>
      </c>
    </row>
    <row r="850" spans="1:6" x14ac:dyDescent="0.3">
      <c r="A850" s="3">
        <v>46517</v>
      </c>
      <c r="B850" t="s">
        <v>21</v>
      </c>
      <c r="C850" t="s">
        <v>19</v>
      </c>
      <c r="D850" t="s">
        <v>18</v>
      </c>
      <c r="E850" s="5">
        <v>58795</v>
      </c>
      <c r="F850" t="s">
        <v>20</v>
      </c>
    </row>
    <row r="851" spans="1:6" x14ac:dyDescent="0.3">
      <c r="A851" s="3">
        <v>46517</v>
      </c>
      <c r="B851" t="s">
        <v>17</v>
      </c>
      <c r="C851" t="s">
        <v>13</v>
      </c>
      <c r="D851" t="s">
        <v>10</v>
      </c>
      <c r="E851" s="5">
        <v>3046</v>
      </c>
      <c r="F851" t="s">
        <v>9</v>
      </c>
    </row>
    <row r="852" spans="1:6" x14ac:dyDescent="0.3">
      <c r="A852" s="3">
        <v>46518</v>
      </c>
      <c r="B852" t="s">
        <v>21</v>
      </c>
      <c r="C852" t="s">
        <v>19</v>
      </c>
      <c r="D852" t="s">
        <v>8</v>
      </c>
      <c r="E852" s="5">
        <v>40460</v>
      </c>
      <c r="F852" t="s">
        <v>20</v>
      </c>
    </row>
    <row r="853" spans="1:6" x14ac:dyDescent="0.3">
      <c r="A853" s="3">
        <v>46519</v>
      </c>
      <c r="B853" t="s">
        <v>21</v>
      </c>
      <c r="C853" t="s">
        <v>19</v>
      </c>
      <c r="D853" t="s">
        <v>8</v>
      </c>
      <c r="E853" s="5">
        <v>56017</v>
      </c>
      <c r="F853" t="s">
        <v>20</v>
      </c>
    </row>
    <row r="854" spans="1:6" x14ac:dyDescent="0.3">
      <c r="A854" s="3">
        <v>46520</v>
      </c>
      <c r="B854" t="s">
        <v>24</v>
      </c>
      <c r="C854" t="s">
        <v>7</v>
      </c>
      <c r="D854" t="s">
        <v>8</v>
      </c>
      <c r="E854" s="5">
        <v>3686</v>
      </c>
      <c r="F854" t="s">
        <v>9</v>
      </c>
    </row>
    <row r="855" spans="1:6" x14ac:dyDescent="0.3">
      <c r="A855" s="3">
        <v>46521</v>
      </c>
      <c r="B855" t="s">
        <v>24</v>
      </c>
      <c r="C855" t="s">
        <v>7</v>
      </c>
      <c r="D855" t="s">
        <v>8</v>
      </c>
      <c r="E855" s="5">
        <v>4897</v>
      </c>
      <c r="F855" t="s">
        <v>9</v>
      </c>
    </row>
    <row r="856" spans="1:6" x14ac:dyDescent="0.3">
      <c r="A856" s="3">
        <v>46523</v>
      </c>
      <c r="B856" t="s">
        <v>12</v>
      </c>
      <c r="C856" t="s">
        <v>13</v>
      </c>
      <c r="D856" t="s">
        <v>18</v>
      </c>
      <c r="E856" s="5">
        <v>2242</v>
      </c>
      <c r="F856" t="s">
        <v>9</v>
      </c>
    </row>
    <row r="857" spans="1:6" x14ac:dyDescent="0.3">
      <c r="A857" s="3">
        <v>46524</v>
      </c>
      <c r="B857" t="s">
        <v>17</v>
      </c>
      <c r="C857" t="s">
        <v>13</v>
      </c>
      <c r="D857" t="s">
        <v>18</v>
      </c>
      <c r="E857" s="5">
        <v>688</v>
      </c>
      <c r="F857" t="s">
        <v>9</v>
      </c>
    </row>
    <row r="858" spans="1:6" x14ac:dyDescent="0.3">
      <c r="A858" s="3">
        <v>46526</v>
      </c>
      <c r="B858" t="s">
        <v>6</v>
      </c>
      <c r="C858" t="s">
        <v>7</v>
      </c>
      <c r="D858" t="s">
        <v>11</v>
      </c>
      <c r="E858" s="5">
        <v>3216</v>
      </c>
      <c r="F858" t="s">
        <v>9</v>
      </c>
    </row>
    <row r="859" spans="1:6" x14ac:dyDescent="0.3">
      <c r="A859" s="3">
        <v>46527</v>
      </c>
      <c r="B859" t="s">
        <v>14</v>
      </c>
      <c r="C859" t="s">
        <v>15</v>
      </c>
      <c r="D859" t="s">
        <v>11</v>
      </c>
      <c r="E859" s="5">
        <v>3578</v>
      </c>
      <c r="F859" t="s">
        <v>9</v>
      </c>
    </row>
    <row r="860" spans="1:6" x14ac:dyDescent="0.3">
      <c r="A860" s="3">
        <v>46529</v>
      </c>
      <c r="B860" t="s">
        <v>6</v>
      </c>
      <c r="C860" t="s">
        <v>7</v>
      </c>
      <c r="D860" t="s">
        <v>16</v>
      </c>
      <c r="E860" s="5">
        <v>4451</v>
      </c>
      <c r="F860" t="s">
        <v>9</v>
      </c>
    </row>
    <row r="861" spans="1:6" x14ac:dyDescent="0.3">
      <c r="A861" s="3">
        <v>46529</v>
      </c>
      <c r="B861" t="s">
        <v>22</v>
      </c>
      <c r="C861" t="s">
        <v>23</v>
      </c>
      <c r="D861" t="s">
        <v>8</v>
      </c>
      <c r="E861" s="5">
        <v>2638</v>
      </c>
      <c r="F861" t="s">
        <v>9</v>
      </c>
    </row>
    <row r="862" spans="1:6" x14ac:dyDescent="0.3">
      <c r="A862" s="3">
        <v>46529</v>
      </c>
      <c r="B862" t="s">
        <v>24</v>
      </c>
      <c r="C862" t="s">
        <v>7</v>
      </c>
      <c r="D862" t="s">
        <v>8</v>
      </c>
      <c r="E862" s="5">
        <v>4835</v>
      </c>
      <c r="F862" t="s">
        <v>9</v>
      </c>
    </row>
    <row r="863" spans="1:6" x14ac:dyDescent="0.3">
      <c r="A863" s="3">
        <v>46530</v>
      </c>
      <c r="B863" t="s">
        <v>22</v>
      </c>
      <c r="C863" t="s">
        <v>23</v>
      </c>
      <c r="D863" t="s">
        <v>11</v>
      </c>
      <c r="E863" s="5">
        <v>2358</v>
      </c>
      <c r="F863" t="s">
        <v>9</v>
      </c>
    </row>
    <row r="864" spans="1:6" x14ac:dyDescent="0.3">
      <c r="A864" s="3">
        <v>46531</v>
      </c>
      <c r="B864" t="s">
        <v>21</v>
      </c>
      <c r="C864" t="s">
        <v>19</v>
      </c>
      <c r="D864" t="s">
        <v>18</v>
      </c>
      <c r="E864" s="5">
        <v>34252</v>
      </c>
      <c r="F864" t="s">
        <v>20</v>
      </c>
    </row>
    <row r="865" spans="1:6" x14ac:dyDescent="0.3">
      <c r="A865" s="3">
        <v>46532</v>
      </c>
      <c r="B865" t="s">
        <v>19</v>
      </c>
      <c r="C865" t="s">
        <v>19</v>
      </c>
      <c r="D865" t="s">
        <v>10</v>
      </c>
      <c r="E865" s="5">
        <v>46529</v>
      </c>
      <c r="F865" t="s">
        <v>20</v>
      </c>
    </row>
    <row r="866" spans="1:6" x14ac:dyDescent="0.3">
      <c r="A866" s="3">
        <v>46534</v>
      </c>
      <c r="B866" t="s">
        <v>25</v>
      </c>
      <c r="C866" t="s">
        <v>26</v>
      </c>
      <c r="D866" t="s">
        <v>18</v>
      </c>
      <c r="E866" s="5">
        <v>914</v>
      </c>
      <c r="F866" t="s">
        <v>9</v>
      </c>
    </row>
    <row r="867" spans="1:6" x14ac:dyDescent="0.3">
      <c r="A867" s="3">
        <v>46536</v>
      </c>
      <c r="B867" t="s">
        <v>6</v>
      </c>
      <c r="C867" t="s">
        <v>7</v>
      </c>
      <c r="D867" t="s">
        <v>11</v>
      </c>
      <c r="E867" s="5">
        <v>1671</v>
      </c>
      <c r="F867" t="s">
        <v>9</v>
      </c>
    </row>
    <row r="868" spans="1:6" x14ac:dyDescent="0.3">
      <c r="A868" s="3">
        <v>46537</v>
      </c>
      <c r="B868" t="s">
        <v>17</v>
      </c>
      <c r="C868" t="s">
        <v>13</v>
      </c>
      <c r="D868" t="s">
        <v>8</v>
      </c>
      <c r="E868" s="5">
        <v>4988</v>
      </c>
      <c r="F868" t="s">
        <v>9</v>
      </c>
    </row>
    <row r="869" spans="1:6" x14ac:dyDescent="0.3">
      <c r="A869" s="3">
        <v>46537</v>
      </c>
      <c r="B869" t="s">
        <v>6</v>
      </c>
      <c r="C869" t="s">
        <v>7</v>
      </c>
      <c r="D869" t="s">
        <v>8</v>
      </c>
      <c r="E869" s="5">
        <v>886</v>
      </c>
      <c r="F869" t="s">
        <v>9</v>
      </c>
    </row>
    <row r="870" spans="1:6" x14ac:dyDescent="0.3">
      <c r="A870" s="3">
        <v>46538</v>
      </c>
      <c r="B870" t="s">
        <v>12</v>
      </c>
      <c r="C870" t="s">
        <v>13</v>
      </c>
      <c r="D870" t="s">
        <v>18</v>
      </c>
      <c r="E870" s="5">
        <v>2998</v>
      </c>
      <c r="F870" t="s">
        <v>9</v>
      </c>
    </row>
    <row r="871" spans="1:6" x14ac:dyDescent="0.3">
      <c r="A871" s="3">
        <v>46540</v>
      </c>
      <c r="B871" t="s">
        <v>14</v>
      </c>
      <c r="C871" t="s">
        <v>15</v>
      </c>
      <c r="D871" t="s">
        <v>8</v>
      </c>
      <c r="E871" s="5">
        <v>2614</v>
      </c>
      <c r="F871" t="s">
        <v>9</v>
      </c>
    </row>
    <row r="872" spans="1:6" x14ac:dyDescent="0.3">
      <c r="A872" s="3">
        <v>46542</v>
      </c>
      <c r="B872" t="s">
        <v>14</v>
      </c>
      <c r="C872" t="s">
        <v>15</v>
      </c>
      <c r="D872" t="s">
        <v>11</v>
      </c>
      <c r="E872" s="5">
        <v>2869</v>
      </c>
      <c r="F872" t="s">
        <v>9</v>
      </c>
    </row>
    <row r="873" spans="1:6" x14ac:dyDescent="0.3">
      <c r="A873" s="3">
        <v>46544</v>
      </c>
      <c r="B873" t="s">
        <v>25</v>
      </c>
      <c r="C873" t="s">
        <v>26</v>
      </c>
      <c r="D873" t="s">
        <v>16</v>
      </c>
      <c r="E873" s="5">
        <v>1773</v>
      </c>
      <c r="F873" t="s">
        <v>9</v>
      </c>
    </row>
    <row r="874" spans="1:6" x14ac:dyDescent="0.3">
      <c r="A874" s="3">
        <v>46544</v>
      </c>
      <c r="B874" t="s">
        <v>24</v>
      </c>
      <c r="C874" t="s">
        <v>7</v>
      </c>
      <c r="D874" t="s">
        <v>18</v>
      </c>
      <c r="E874" s="5">
        <v>1978</v>
      </c>
      <c r="F874" t="s">
        <v>9</v>
      </c>
    </row>
    <row r="875" spans="1:6" x14ac:dyDescent="0.3">
      <c r="A875" s="3">
        <v>46545</v>
      </c>
      <c r="B875" t="s">
        <v>22</v>
      </c>
      <c r="C875" t="s">
        <v>23</v>
      </c>
      <c r="D875" t="s">
        <v>18</v>
      </c>
      <c r="E875" s="5">
        <v>4507</v>
      </c>
      <c r="F875" t="s">
        <v>9</v>
      </c>
    </row>
    <row r="876" spans="1:6" x14ac:dyDescent="0.3">
      <c r="A876" s="3">
        <v>46546</v>
      </c>
      <c r="B876" t="s">
        <v>24</v>
      </c>
      <c r="C876" t="s">
        <v>7</v>
      </c>
      <c r="D876" t="s">
        <v>18</v>
      </c>
      <c r="E876" s="5">
        <v>737</v>
      </c>
      <c r="F876" t="s">
        <v>9</v>
      </c>
    </row>
    <row r="877" spans="1:6" x14ac:dyDescent="0.3">
      <c r="A877" s="3">
        <v>46548</v>
      </c>
      <c r="B877" t="s">
        <v>24</v>
      </c>
      <c r="C877" t="s">
        <v>7</v>
      </c>
      <c r="D877" t="s">
        <v>11</v>
      </c>
      <c r="E877" s="5">
        <v>2386</v>
      </c>
      <c r="F877" t="s">
        <v>9</v>
      </c>
    </row>
    <row r="878" spans="1:6" x14ac:dyDescent="0.3">
      <c r="A878" s="3">
        <v>46548</v>
      </c>
      <c r="B878" t="s">
        <v>17</v>
      </c>
      <c r="C878" t="s">
        <v>13</v>
      </c>
      <c r="D878" t="s">
        <v>11</v>
      </c>
      <c r="E878" s="5">
        <v>3220</v>
      </c>
      <c r="F878" t="s">
        <v>9</v>
      </c>
    </row>
    <row r="879" spans="1:6" x14ac:dyDescent="0.3">
      <c r="A879" s="3">
        <v>46548</v>
      </c>
      <c r="B879" t="s">
        <v>19</v>
      </c>
      <c r="C879" t="s">
        <v>19</v>
      </c>
      <c r="D879" t="s">
        <v>11</v>
      </c>
      <c r="E879" s="5">
        <v>48540</v>
      </c>
      <c r="F879" t="s">
        <v>20</v>
      </c>
    </row>
    <row r="880" spans="1:6" x14ac:dyDescent="0.3">
      <c r="A880" s="3">
        <v>46548</v>
      </c>
      <c r="B880" t="s">
        <v>14</v>
      </c>
      <c r="C880" t="s">
        <v>15</v>
      </c>
      <c r="D880" t="s">
        <v>16</v>
      </c>
      <c r="E880" s="5">
        <v>1285</v>
      </c>
      <c r="F880" t="s">
        <v>9</v>
      </c>
    </row>
    <row r="881" spans="1:6" x14ac:dyDescent="0.3">
      <c r="A881" s="3">
        <v>46550</v>
      </c>
      <c r="B881" t="s">
        <v>21</v>
      </c>
      <c r="C881" t="s">
        <v>19</v>
      </c>
      <c r="D881" t="s">
        <v>8</v>
      </c>
      <c r="E881" s="5">
        <v>38469</v>
      </c>
      <c r="F881" t="s">
        <v>20</v>
      </c>
    </row>
    <row r="882" spans="1:6" x14ac:dyDescent="0.3">
      <c r="A882" s="3">
        <v>46550</v>
      </c>
      <c r="B882" t="s">
        <v>17</v>
      </c>
      <c r="C882" t="s">
        <v>13</v>
      </c>
      <c r="D882" t="s">
        <v>10</v>
      </c>
      <c r="E882" s="5">
        <v>1158</v>
      </c>
      <c r="F882" t="s">
        <v>9</v>
      </c>
    </row>
    <row r="883" spans="1:6" x14ac:dyDescent="0.3">
      <c r="A883" s="3">
        <v>46550</v>
      </c>
      <c r="B883" t="s">
        <v>19</v>
      </c>
      <c r="C883" t="s">
        <v>19</v>
      </c>
      <c r="D883" t="s">
        <v>10</v>
      </c>
      <c r="E883" s="5">
        <v>53021</v>
      </c>
      <c r="F883" t="s">
        <v>20</v>
      </c>
    </row>
    <row r="884" spans="1:6" x14ac:dyDescent="0.3">
      <c r="A884" s="3">
        <v>46552</v>
      </c>
      <c r="B884" t="s">
        <v>22</v>
      </c>
      <c r="C884" t="s">
        <v>23</v>
      </c>
      <c r="D884" t="s">
        <v>16</v>
      </c>
      <c r="E884" s="5">
        <v>3529</v>
      </c>
      <c r="F884" t="s">
        <v>9</v>
      </c>
    </row>
    <row r="885" spans="1:6" x14ac:dyDescent="0.3">
      <c r="A885" s="3">
        <v>46554</v>
      </c>
      <c r="B885" t="s">
        <v>14</v>
      </c>
      <c r="C885" t="s">
        <v>15</v>
      </c>
      <c r="D885" t="s">
        <v>10</v>
      </c>
      <c r="E885" s="5">
        <v>2317</v>
      </c>
      <c r="F885" t="s">
        <v>9</v>
      </c>
    </row>
    <row r="886" spans="1:6" x14ac:dyDescent="0.3">
      <c r="A886" s="3">
        <v>46556</v>
      </c>
      <c r="B886" t="s">
        <v>14</v>
      </c>
      <c r="C886" t="s">
        <v>15</v>
      </c>
      <c r="D886" t="s">
        <v>11</v>
      </c>
      <c r="E886" s="5">
        <v>1241</v>
      </c>
      <c r="F886" t="s">
        <v>9</v>
      </c>
    </row>
    <row r="887" spans="1:6" x14ac:dyDescent="0.3">
      <c r="A887" s="3">
        <v>46557</v>
      </c>
      <c r="B887" t="s">
        <v>25</v>
      </c>
      <c r="C887" t="s">
        <v>26</v>
      </c>
      <c r="D887" t="s">
        <v>18</v>
      </c>
      <c r="E887" s="5">
        <v>3246</v>
      </c>
      <c r="F887" t="s">
        <v>9</v>
      </c>
    </row>
    <row r="888" spans="1:6" x14ac:dyDescent="0.3">
      <c r="A888" s="3">
        <v>46559</v>
      </c>
      <c r="B888" t="s">
        <v>25</v>
      </c>
      <c r="C888" t="s">
        <v>26</v>
      </c>
      <c r="D888" t="s">
        <v>16</v>
      </c>
      <c r="E888" s="5">
        <v>1717</v>
      </c>
      <c r="F888" t="s">
        <v>9</v>
      </c>
    </row>
    <row r="889" spans="1:6" x14ac:dyDescent="0.3">
      <c r="A889" s="3">
        <v>46559</v>
      </c>
      <c r="B889" t="s">
        <v>21</v>
      </c>
      <c r="C889" t="s">
        <v>19</v>
      </c>
      <c r="D889" t="s">
        <v>10</v>
      </c>
      <c r="E889" s="5">
        <v>41223</v>
      </c>
      <c r="F889" t="s">
        <v>20</v>
      </c>
    </row>
    <row r="890" spans="1:6" x14ac:dyDescent="0.3">
      <c r="A890" s="3">
        <v>46560</v>
      </c>
      <c r="B890" t="s">
        <v>21</v>
      </c>
      <c r="C890" t="s">
        <v>19</v>
      </c>
      <c r="D890" t="s">
        <v>10</v>
      </c>
      <c r="E890" s="5">
        <v>50763</v>
      </c>
      <c r="F890" t="s">
        <v>20</v>
      </c>
    </row>
    <row r="891" spans="1:6" x14ac:dyDescent="0.3">
      <c r="A891" s="3">
        <v>46560</v>
      </c>
      <c r="B891" t="s">
        <v>12</v>
      </c>
      <c r="C891" t="s">
        <v>13</v>
      </c>
      <c r="D891" t="s">
        <v>18</v>
      </c>
      <c r="E891" s="5">
        <v>3447</v>
      </c>
      <c r="F891" t="s">
        <v>9</v>
      </c>
    </row>
    <row r="892" spans="1:6" x14ac:dyDescent="0.3">
      <c r="A892" s="3">
        <v>46561</v>
      </c>
      <c r="B892" t="s">
        <v>21</v>
      </c>
      <c r="C892" t="s">
        <v>19</v>
      </c>
      <c r="D892" t="s">
        <v>8</v>
      </c>
      <c r="E892" s="5">
        <v>44569</v>
      </c>
      <c r="F892" t="s">
        <v>20</v>
      </c>
    </row>
    <row r="893" spans="1:6" x14ac:dyDescent="0.3">
      <c r="A893" s="3">
        <v>46562</v>
      </c>
      <c r="B893" t="s">
        <v>24</v>
      </c>
      <c r="C893" t="s">
        <v>7</v>
      </c>
      <c r="D893" t="s">
        <v>18</v>
      </c>
      <c r="E893" s="5">
        <v>1326</v>
      </c>
      <c r="F893" t="s">
        <v>9</v>
      </c>
    </row>
    <row r="894" spans="1:6" x14ac:dyDescent="0.3">
      <c r="A894" s="3">
        <v>46562</v>
      </c>
      <c r="B894" t="s">
        <v>14</v>
      </c>
      <c r="C894" t="s">
        <v>15</v>
      </c>
      <c r="D894" t="s">
        <v>10</v>
      </c>
      <c r="E894" s="5">
        <v>3882</v>
      </c>
      <c r="F894" t="s">
        <v>9</v>
      </c>
    </row>
    <row r="895" spans="1:6" x14ac:dyDescent="0.3">
      <c r="A895" s="3">
        <v>46563</v>
      </c>
      <c r="B895" t="s">
        <v>19</v>
      </c>
      <c r="C895" t="s">
        <v>19</v>
      </c>
      <c r="D895" t="s">
        <v>18</v>
      </c>
      <c r="E895" s="5">
        <v>50327</v>
      </c>
      <c r="F895" t="s">
        <v>20</v>
      </c>
    </row>
    <row r="896" spans="1:6" x14ac:dyDescent="0.3">
      <c r="A896" s="3">
        <v>46564</v>
      </c>
      <c r="B896" t="s">
        <v>12</v>
      </c>
      <c r="C896" t="s">
        <v>13</v>
      </c>
      <c r="D896" t="s">
        <v>18</v>
      </c>
      <c r="E896" s="5">
        <v>2134</v>
      </c>
      <c r="F896" t="s">
        <v>9</v>
      </c>
    </row>
    <row r="897" spans="1:6" x14ac:dyDescent="0.3">
      <c r="A897" s="3">
        <v>46566</v>
      </c>
      <c r="B897" t="s">
        <v>19</v>
      </c>
      <c r="C897" t="s">
        <v>19</v>
      </c>
      <c r="D897" t="s">
        <v>11</v>
      </c>
      <c r="E897" s="5">
        <v>31381</v>
      </c>
      <c r="F897" t="s">
        <v>20</v>
      </c>
    </row>
    <row r="898" spans="1:6" x14ac:dyDescent="0.3">
      <c r="A898" s="3">
        <v>46566</v>
      </c>
      <c r="B898" t="s">
        <v>24</v>
      </c>
      <c r="C898" t="s">
        <v>7</v>
      </c>
      <c r="D898" t="s">
        <v>16</v>
      </c>
      <c r="E898" s="5">
        <v>2839</v>
      </c>
      <c r="F898" t="s">
        <v>9</v>
      </c>
    </row>
    <row r="899" spans="1:6" x14ac:dyDescent="0.3">
      <c r="A899" s="3">
        <v>46568</v>
      </c>
      <c r="B899" t="s">
        <v>17</v>
      </c>
      <c r="C899" t="s">
        <v>13</v>
      </c>
      <c r="D899" t="s">
        <v>16</v>
      </c>
      <c r="E899" s="5">
        <v>4343</v>
      </c>
      <c r="F899" t="s">
        <v>9</v>
      </c>
    </row>
    <row r="900" spans="1:6" x14ac:dyDescent="0.3">
      <c r="A900" s="3">
        <v>46568</v>
      </c>
      <c r="B900" t="s">
        <v>22</v>
      </c>
      <c r="C900" t="s">
        <v>23</v>
      </c>
      <c r="D900" t="s">
        <v>11</v>
      </c>
      <c r="E900" s="5">
        <v>3013</v>
      </c>
      <c r="F900" t="s">
        <v>9</v>
      </c>
    </row>
    <row r="901" spans="1:6" x14ac:dyDescent="0.3">
      <c r="A901" s="3">
        <v>46569</v>
      </c>
      <c r="B901" t="s">
        <v>6</v>
      </c>
      <c r="C901" t="s">
        <v>7</v>
      </c>
      <c r="D901" t="s">
        <v>16</v>
      </c>
      <c r="E901" s="5">
        <v>3299</v>
      </c>
      <c r="F901" t="s">
        <v>9</v>
      </c>
    </row>
    <row r="902" spans="1:6" x14ac:dyDescent="0.3">
      <c r="A902" s="3">
        <v>46569</v>
      </c>
      <c r="B902" t="s">
        <v>17</v>
      </c>
      <c r="C902" t="s">
        <v>13</v>
      </c>
      <c r="D902" t="s">
        <v>11</v>
      </c>
      <c r="E902" s="5">
        <v>2769</v>
      </c>
      <c r="F902" t="s">
        <v>9</v>
      </c>
    </row>
    <row r="903" spans="1:6" x14ac:dyDescent="0.3">
      <c r="A903" s="3">
        <v>46571</v>
      </c>
      <c r="B903" t="s">
        <v>19</v>
      </c>
      <c r="C903" t="s">
        <v>19</v>
      </c>
      <c r="D903" t="s">
        <v>16</v>
      </c>
      <c r="E903" s="5">
        <v>48382</v>
      </c>
      <c r="F903" t="s">
        <v>20</v>
      </c>
    </row>
    <row r="904" spans="1:6" x14ac:dyDescent="0.3">
      <c r="A904" s="3">
        <v>46573</v>
      </c>
      <c r="B904" t="s">
        <v>6</v>
      </c>
      <c r="C904" t="s">
        <v>7</v>
      </c>
      <c r="D904" t="s">
        <v>10</v>
      </c>
      <c r="E904" s="5">
        <v>1636</v>
      </c>
      <c r="F904" t="s">
        <v>9</v>
      </c>
    </row>
    <row r="905" spans="1:6" x14ac:dyDescent="0.3">
      <c r="A905" s="3">
        <v>46574</v>
      </c>
      <c r="B905" t="s">
        <v>14</v>
      </c>
      <c r="C905" t="s">
        <v>15</v>
      </c>
      <c r="D905" t="s">
        <v>16</v>
      </c>
      <c r="E905" s="5">
        <v>1325</v>
      </c>
      <c r="F905" t="s">
        <v>9</v>
      </c>
    </row>
    <row r="906" spans="1:6" x14ac:dyDescent="0.3">
      <c r="A906" s="3">
        <v>46576</v>
      </c>
      <c r="B906" t="s">
        <v>12</v>
      </c>
      <c r="C906" t="s">
        <v>13</v>
      </c>
      <c r="D906" t="s">
        <v>8</v>
      </c>
      <c r="E906" s="5">
        <v>1693</v>
      </c>
      <c r="F906" t="s">
        <v>9</v>
      </c>
    </row>
    <row r="907" spans="1:6" x14ac:dyDescent="0.3">
      <c r="A907" s="3">
        <v>46578</v>
      </c>
      <c r="B907" t="s">
        <v>19</v>
      </c>
      <c r="C907" t="s">
        <v>19</v>
      </c>
      <c r="D907" t="s">
        <v>8</v>
      </c>
      <c r="E907" s="5">
        <v>37961</v>
      </c>
      <c r="F907" t="s">
        <v>20</v>
      </c>
    </row>
    <row r="908" spans="1:6" x14ac:dyDescent="0.3">
      <c r="A908" s="3">
        <v>46578</v>
      </c>
      <c r="B908" t="s">
        <v>14</v>
      </c>
      <c r="C908" t="s">
        <v>15</v>
      </c>
      <c r="D908" t="s">
        <v>16</v>
      </c>
      <c r="E908" s="5">
        <v>2897</v>
      </c>
      <c r="F908" t="s">
        <v>9</v>
      </c>
    </row>
    <row r="909" spans="1:6" x14ac:dyDescent="0.3">
      <c r="A909" s="3">
        <v>46580</v>
      </c>
      <c r="B909" t="s">
        <v>6</v>
      </c>
      <c r="C909" t="s">
        <v>7</v>
      </c>
      <c r="D909" t="s">
        <v>10</v>
      </c>
      <c r="E909" s="5">
        <v>3752</v>
      </c>
      <c r="F909" t="s">
        <v>9</v>
      </c>
    </row>
    <row r="910" spans="1:6" x14ac:dyDescent="0.3">
      <c r="A910" s="3">
        <v>46580</v>
      </c>
      <c r="B910" t="s">
        <v>12</v>
      </c>
      <c r="C910" t="s">
        <v>13</v>
      </c>
      <c r="D910" t="s">
        <v>11</v>
      </c>
      <c r="E910" s="5">
        <v>4562</v>
      </c>
      <c r="F910" t="s">
        <v>9</v>
      </c>
    </row>
    <row r="911" spans="1:6" x14ac:dyDescent="0.3">
      <c r="A911" s="3">
        <v>46580</v>
      </c>
      <c r="B911" t="s">
        <v>17</v>
      </c>
      <c r="C911" t="s">
        <v>13</v>
      </c>
      <c r="D911" t="s">
        <v>10</v>
      </c>
      <c r="E911" s="5">
        <v>3674</v>
      </c>
      <c r="F911" t="s">
        <v>9</v>
      </c>
    </row>
    <row r="912" spans="1:6" x14ac:dyDescent="0.3">
      <c r="A912" s="3">
        <v>46582</v>
      </c>
      <c r="B912" t="s">
        <v>19</v>
      </c>
      <c r="C912" t="s">
        <v>19</v>
      </c>
      <c r="D912" t="s">
        <v>18</v>
      </c>
      <c r="E912" s="5">
        <v>32929</v>
      </c>
      <c r="F912" t="s">
        <v>20</v>
      </c>
    </row>
    <row r="913" spans="1:6" x14ac:dyDescent="0.3">
      <c r="A913" s="3">
        <v>46583</v>
      </c>
      <c r="B913" t="s">
        <v>12</v>
      </c>
      <c r="C913" t="s">
        <v>13</v>
      </c>
      <c r="D913" t="s">
        <v>10</v>
      </c>
      <c r="E913" s="5">
        <v>1950</v>
      </c>
      <c r="F913" t="s">
        <v>9</v>
      </c>
    </row>
    <row r="914" spans="1:6" x14ac:dyDescent="0.3">
      <c r="A914" s="3">
        <v>46585</v>
      </c>
      <c r="B914" t="s">
        <v>25</v>
      </c>
      <c r="C914" t="s">
        <v>26</v>
      </c>
      <c r="D914" t="s">
        <v>16</v>
      </c>
      <c r="E914" s="5">
        <v>109</v>
      </c>
      <c r="F914" t="s">
        <v>9</v>
      </c>
    </row>
    <row r="915" spans="1:6" x14ac:dyDescent="0.3">
      <c r="A915" s="3">
        <v>46585</v>
      </c>
      <c r="B915" t="s">
        <v>6</v>
      </c>
      <c r="C915" t="s">
        <v>7</v>
      </c>
      <c r="D915" t="s">
        <v>8</v>
      </c>
      <c r="E915" s="5">
        <v>1754</v>
      </c>
      <c r="F915" t="s">
        <v>9</v>
      </c>
    </row>
    <row r="916" spans="1:6" x14ac:dyDescent="0.3">
      <c r="A916" s="3">
        <v>46587</v>
      </c>
      <c r="B916" t="s">
        <v>14</v>
      </c>
      <c r="C916" t="s">
        <v>15</v>
      </c>
      <c r="D916" t="s">
        <v>8</v>
      </c>
      <c r="E916" s="5">
        <v>3997</v>
      </c>
      <c r="F916" t="s">
        <v>9</v>
      </c>
    </row>
    <row r="917" spans="1:6" x14ac:dyDescent="0.3">
      <c r="A917" s="3">
        <v>46587</v>
      </c>
      <c r="B917" t="s">
        <v>24</v>
      </c>
      <c r="C917" t="s">
        <v>7</v>
      </c>
      <c r="D917" t="s">
        <v>11</v>
      </c>
      <c r="E917" s="5">
        <v>4480</v>
      </c>
      <c r="F917" t="s">
        <v>9</v>
      </c>
    </row>
    <row r="918" spans="1:6" x14ac:dyDescent="0.3">
      <c r="A918" s="3">
        <v>46588</v>
      </c>
      <c r="B918" t="s">
        <v>21</v>
      </c>
      <c r="C918" t="s">
        <v>19</v>
      </c>
      <c r="D918" t="s">
        <v>18</v>
      </c>
      <c r="E918" s="5">
        <v>55384</v>
      </c>
      <c r="F918" t="s">
        <v>20</v>
      </c>
    </row>
    <row r="919" spans="1:6" x14ac:dyDescent="0.3">
      <c r="A919" s="3">
        <v>46588</v>
      </c>
      <c r="B919" t="s">
        <v>21</v>
      </c>
      <c r="C919" t="s">
        <v>19</v>
      </c>
      <c r="D919" t="s">
        <v>8</v>
      </c>
      <c r="E919" s="5">
        <v>59321</v>
      </c>
      <c r="F919" t="s">
        <v>20</v>
      </c>
    </row>
    <row r="920" spans="1:6" x14ac:dyDescent="0.3">
      <c r="A920" s="3">
        <v>46589</v>
      </c>
      <c r="B920" t="s">
        <v>6</v>
      </c>
      <c r="C920" t="s">
        <v>7</v>
      </c>
      <c r="D920" t="s">
        <v>8</v>
      </c>
      <c r="E920" s="5">
        <v>693</v>
      </c>
      <c r="F920" t="s">
        <v>9</v>
      </c>
    </row>
    <row r="921" spans="1:6" x14ac:dyDescent="0.3">
      <c r="A921" s="3">
        <v>46591</v>
      </c>
      <c r="B921" t="s">
        <v>14</v>
      </c>
      <c r="C921" t="s">
        <v>15</v>
      </c>
      <c r="D921" t="s">
        <v>11</v>
      </c>
      <c r="E921" s="5">
        <v>2581</v>
      </c>
      <c r="F921" t="s">
        <v>9</v>
      </c>
    </row>
    <row r="922" spans="1:6" x14ac:dyDescent="0.3">
      <c r="A922" s="3">
        <v>46593</v>
      </c>
      <c r="B922" t="s">
        <v>22</v>
      </c>
      <c r="C922" t="s">
        <v>23</v>
      </c>
      <c r="D922" t="s">
        <v>11</v>
      </c>
      <c r="E922" s="5">
        <v>4466</v>
      </c>
      <c r="F922" t="s">
        <v>9</v>
      </c>
    </row>
    <row r="923" spans="1:6" x14ac:dyDescent="0.3">
      <c r="A923" s="3">
        <v>46595</v>
      </c>
      <c r="B923" t="s">
        <v>25</v>
      </c>
      <c r="C923" t="s">
        <v>26</v>
      </c>
      <c r="D923" t="s">
        <v>18</v>
      </c>
      <c r="E923" s="5">
        <v>1715</v>
      </c>
      <c r="F923" t="s">
        <v>9</v>
      </c>
    </row>
    <row r="924" spans="1:6" x14ac:dyDescent="0.3">
      <c r="A924" s="3">
        <v>46596</v>
      </c>
      <c r="B924" t="s">
        <v>21</v>
      </c>
      <c r="C924" t="s">
        <v>19</v>
      </c>
      <c r="D924" t="s">
        <v>18</v>
      </c>
      <c r="E924" s="5">
        <v>46450</v>
      </c>
      <c r="F924" t="s">
        <v>20</v>
      </c>
    </row>
    <row r="925" spans="1:6" x14ac:dyDescent="0.3">
      <c r="A925" s="3">
        <v>46597</v>
      </c>
      <c r="B925" t="s">
        <v>12</v>
      </c>
      <c r="C925" t="s">
        <v>13</v>
      </c>
      <c r="D925" t="s">
        <v>11</v>
      </c>
      <c r="E925" s="5">
        <v>312</v>
      </c>
      <c r="F925" t="s">
        <v>9</v>
      </c>
    </row>
    <row r="926" spans="1:6" x14ac:dyDescent="0.3">
      <c r="A926" s="3">
        <v>46597</v>
      </c>
      <c r="B926" t="s">
        <v>21</v>
      </c>
      <c r="C926" t="s">
        <v>19</v>
      </c>
      <c r="D926" t="s">
        <v>11</v>
      </c>
      <c r="E926" s="5">
        <v>35605</v>
      </c>
      <c r="F926" t="s">
        <v>20</v>
      </c>
    </row>
    <row r="927" spans="1:6" x14ac:dyDescent="0.3">
      <c r="A927" s="3">
        <v>46597</v>
      </c>
      <c r="B927" t="s">
        <v>12</v>
      </c>
      <c r="C927" t="s">
        <v>13</v>
      </c>
      <c r="D927" t="s">
        <v>11</v>
      </c>
      <c r="E927" s="5">
        <v>1509</v>
      </c>
      <c r="F927" t="s">
        <v>9</v>
      </c>
    </row>
    <row r="928" spans="1:6" x14ac:dyDescent="0.3">
      <c r="A928" s="3">
        <v>46597</v>
      </c>
      <c r="B928" t="s">
        <v>25</v>
      </c>
      <c r="C928" t="s">
        <v>26</v>
      </c>
      <c r="D928" t="s">
        <v>11</v>
      </c>
      <c r="E928" s="5">
        <v>2626</v>
      </c>
      <c r="F928" t="s">
        <v>9</v>
      </c>
    </row>
    <row r="929" spans="1:6" x14ac:dyDescent="0.3">
      <c r="A929" s="3">
        <v>46599</v>
      </c>
      <c r="B929" t="s">
        <v>6</v>
      </c>
      <c r="C929" t="s">
        <v>7</v>
      </c>
      <c r="D929" t="s">
        <v>8</v>
      </c>
      <c r="E929" s="5">
        <v>3865</v>
      </c>
      <c r="F929" t="s">
        <v>9</v>
      </c>
    </row>
    <row r="930" spans="1:6" x14ac:dyDescent="0.3">
      <c r="A930" s="3">
        <v>46600</v>
      </c>
      <c r="B930" t="s">
        <v>12</v>
      </c>
      <c r="C930" t="s">
        <v>13</v>
      </c>
      <c r="D930" t="s">
        <v>8</v>
      </c>
      <c r="E930" s="5">
        <v>453</v>
      </c>
      <c r="F930" t="s">
        <v>9</v>
      </c>
    </row>
    <row r="931" spans="1:6" x14ac:dyDescent="0.3">
      <c r="A931" s="3">
        <v>46602</v>
      </c>
      <c r="B931" t="s">
        <v>24</v>
      </c>
      <c r="C931" t="s">
        <v>7</v>
      </c>
      <c r="D931" t="s">
        <v>8</v>
      </c>
      <c r="E931" s="5">
        <v>3055</v>
      </c>
      <c r="F931" t="s">
        <v>9</v>
      </c>
    </row>
    <row r="932" spans="1:6" x14ac:dyDescent="0.3">
      <c r="A932" s="3">
        <v>46602</v>
      </c>
      <c r="B932" t="s">
        <v>22</v>
      </c>
      <c r="C932" t="s">
        <v>23</v>
      </c>
      <c r="D932" t="s">
        <v>16</v>
      </c>
      <c r="E932" s="5">
        <v>3614</v>
      </c>
      <c r="F932" t="s">
        <v>9</v>
      </c>
    </row>
    <row r="933" spans="1:6" x14ac:dyDescent="0.3">
      <c r="A933" s="3">
        <v>46603</v>
      </c>
      <c r="B933" t="s">
        <v>12</v>
      </c>
      <c r="C933" t="s">
        <v>13</v>
      </c>
      <c r="D933" t="s">
        <v>10</v>
      </c>
      <c r="E933" s="5">
        <v>743</v>
      </c>
      <c r="F933" t="s">
        <v>9</v>
      </c>
    </row>
    <row r="934" spans="1:6" x14ac:dyDescent="0.3">
      <c r="A934" s="3">
        <v>46604</v>
      </c>
      <c r="B934" t="s">
        <v>24</v>
      </c>
      <c r="C934" t="s">
        <v>7</v>
      </c>
      <c r="D934" t="s">
        <v>10</v>
      </c>
      <c r="E934" s="5">
        <v>1534</v>
      </c>
      <c r="F934" t="s">
        <v>9</v>
      </c>
    </row>
    <row r="935" spans="1:6" x14ac:dyDescent="0.3">
      <c r="A935" s="3">
        <v>46605</v>
      </c>
      <c r="B935" t="s">
        <v>6</v>
      </c>
      <c r="C935" t="s">
        <v>7</v>
      </c>
      <c r="D935" t="s">
        <v>16</v>
      </c>
      <c r="E935" s="5">
        <v>517</v>
      </c>
      <c r="F935" t="s">
        <v>9</v>
      </c>
    </row>
    <row r="936" spans="1:6" x14ac:dyDescent="0.3">
      <c r="A936" s="3">
        <v>46606</v>
      </c>
      <c r="B936" t="s">
        <v>19</v>
      </c>
      <c r="C936" t="s">
        <v>19</v>
      </c>
      <c r="D936" t="s">
        <v>11</v>
      </c>
      <c r="E936" s="5">
        <v>32173</v>
      </c>
      <c r="F936" t="s">
        <v>20</v>
      </c>
    </row>
    <row r="937" spans="1:6" x14ac:dyDescent="0.3">
      <c r="A937" s="3">
        <v>46607</v>
      </c>
      <c r="B937" t="s">
        <v>24</v>
      </c>
      <c r="C937" t="s">
        <v>7</v>
      </c>
      <c r="D937" t="s">
        <v>8</v>
      </c>
      <c r="E937" s="5">
        <v>3351</v>
      </c>
      <c r="F937" t="s">
        <v>9</v>
      </c>
    </row>
    <row r="938" spans="1:6" x14ac:dyDescent="0.3">
      <c r="A938" s="3">
        <v>46607</v>
      </c>
      <c r="B938" t="s">
        <v>14</v>
      </c>
      <c r="C938" t="s">
        <v>15</v>
      </c>
      <c r="D938" t="s">
        <v>8</v>
      </c>
      <c r="E938" s="5">
        <v>2968</v>
      </c>
      <c r="F938" t="s">
        <v>9</v>
      </c>
    </row>
    <row r="939" spans="1:6" x14ac:dyDescent="0.3">
      <c r="A939" s="3">
        <v>46609</v>
      </c>
      <c r="B939" t="s">
        <v>12</v>
      </c>
      <c r="C939" t="s">
        <v>13</v>
      </c>
      <c r="D939" t="s">
        <v>8</v>
      </c>
      <c r="E939" s="5">
        <v>1398</v>
      </c>
      <c r="F939" t="s">
        <v>9</v>
      </c>
    </row>
    <row r="940" spans="1:6" x14ac:dyDescent="0.3">
      <c r="A940" s="3">
        <v>46610</v>
      </c>
      <c r="B940" t="s">
        <v>25</v>
      </c>
      <c r="C940" t="s">
        <v>26</v>
      </c>
      <c r="D940" t="s">
        <v>18</v>
      </c>
      <c r="E940" s="5">
        <v>3957</v>
      </c>
      <c r="F940" t="s">
        <v>9</v>
      </c>
    </row>
    <row r="941" spans="1:6" x14ac:dyDescent="0.3">
      <c r="A941" s="3">
        <v>46610</v>
      </c>
      <c r="B941" t="s">
        <v>21</v>
      </c>
      <c r="C941" t="s">
        <v>19</v>
      </c>
      <c r="D941" t="s">
        <v>18</v>
      </c>
      <c r="E941" s="5">
        <v>43105</v>
      </c>
      <c r="F941" t="s">
        <v>20</v>
      </c>
    </row>
    <row r="942" spans="1:6" x14ac:dyDescent="0.3">
      <c r="A942" s="3">
        <v>46611</v>
      </c>
      <c r="B942" t="s">
        <v>14</v>
      </c>
      <c r="C942" t="s">
        <v>15</v>
      </c>
      <c r="D942" t="s">
        <v>10</v>
      </c>
      <c r="E942" s="5">
        <v>4245</v>
      </c>
      <c r="F942" t="s">
        <v>9</v>
      </c>
    </row>
    <row r="943" spans="1:6" x14ac:dyDescent="0.3">
      <c r="A943" s="3">
        <v>46611</v>
      </c>
      <c r="B943" t="s">
        <v>14</v>
      </c>
      <c r="C943" t="s">
        <v>15</v>
      </c>
      <c r="D943" t="s">
        <v>16</v>
      </c>
      <c r="E943" s="5">
        <v>1843</v>
      </c>
      <c r="F943" t="s">
        <v>9</v>
      </c>
    </row>
    <row r="944" spans="1:6" x14ac:dyDescent="0.3">
      <c r="A944" s="3">
        <v>46611</v>
      </c>
      <c r="B944" t="s">
        <v>17</v>
      </c>
      <c r="C944" t="s">
        <v>13</v>
      </c>
      <c r="D944" t="s">
        <v>16</v>
      </c>
      <c r="E944" s="5">
        <v>312</v>
      </c>
      <c r="F944" t="s">
        <v>9</v>
      </c>
    </row>
    <row r="945" spans="1:6" x14ac:dyDescent="0.3">
      <c r="A945" s="3">
        <v>46612</v>
      </c>
      <c r="B945" t="s">
        <v>22</v>
      </c>
      <c r="C945" t="s">
        <v>23</v>
      </c>
      <c r="D945" t="s">
        <v>8</v>
      </c>
      <c r="E945" s="5">
        <v>1963</v>
      </c>
      <c r="F945" t="s">
        <v>9</v>
      </c>
    </row>
    <row r="946" spans="1:6" x14ac:dyDescent="0.3">
      <c r="A946" s="3">
        <v>46614</v>
      </c>
      <c r="B946" t="s">
        <v>25</v>
      </c>
      <c r="C946" t="s">
        <v>26</v>
      </c>
      <c r="D946" t="s">
        <v>11</v>
      </c>
      <c r="E946" s="5">
        <v>3253</v>
      </c>
      <c r="F946" t="s">
        <v>9</v>
      </c>
    </row>
    <row r="947" spans="1:6" x14ac:dyDescent="0.3">
      <c r="A947" s="3">
        <v>46614</v>
      </c>
      <c r="B947" t="s">
        <v>19</v>
      </c>
      <c r="C947" t="s">
        <v>19</v>
      </c>
      <c r="D947" t="s">
        <v>11</v>
      </c>
      <c r="E947" s="5">
        <v>32034</v>
      </c>
      <c r="F947" t="s">
        <v>20</v>
      </c>
    </row>
    <row r="948" spans="1:6" x14ac:dyDescent="0.3">
      <c r="A948" s="3">
        <v>46614</v>
      </c>
      <c r="B948" t="s">
        <v>19</v>
      </c>
      <c r="C948" t="s">
        <v>19</v>
      </c>
      <c r="D948" t="s">
        <v>11</v>
      </c>
      <c r="E948" s="5">
        <v>36501</v>
      </c>
      <c r="F948" t="s">
        <v>20</v>
      </c>
    </row>
    <row r="949" spans="1:6" x14ac:dyDescent="0.3">
      <c r="A949" s="3">
        <v>46614</v>
      </c>
      <c r="B949" t="s">
        <v>25</v>
      </c>
      <c r="C949" t="s">
        <v>26</v>
      </c>
      <c r="D949" t="s">
        <v>16</v>
      </c>
      <c r="E949" s="5">
        <v>2450</v>
      </c>
      <c r="F949" t="s">
        <v>9</v>
      </c>
    </row>
    <row r="950" spans="1:6" x14ac:dyDescent="0.3">
      <c r="A950" s="3">
        <v>46615</v>
      </c>
      <c r="B950" t="s">
        <v>6</v>
      </c>
      <c r="C950" t="s">
        <v>7</v>
      </c>
      <c r="D950" t="s">
        <v>11</v>
      </c>
      <c r="E950" s="5">
        <v>186</v>
      </c>
      <c r="F950" t="s">
        <v>9</v>
      </c>
    </row>
    <row r="951" spans="1:6" x14ac:dyDescent="0.3">
      <c r="A951" s="3">
        <v>46617</v>
      </c>
      <c r="B951" t="s">
        <v>25</v>
      </c>
      <c r="C951" t="s">
        <v>26</v>
      </c>
      <c r="D951" t="s">
        <v>18</v>
      </c>
      <c r="E951" s="5">
        <v>4796</v>
      </c>
      <c r="F951" t="s">
        <v>9</v>
      </c>
    </row>
    <row r="952" spans="1:6" x14ac:dyDescent="0.3">
      <c r="A952" s="3">
        <v>46617</v>
      </c>
      <c r="B952" t="s">
        <v>24</v>
      </c>
      <c r="C952" t="s">
        <v>7</v>
      </c>
      <c r="D952" t="s">
        <v>10</v>
      </c>
      <c r="E952" s="5">
        <v>666</v>
      </c>
      <c r="F952" t="s">
        <v>9</v>
      </c>
    </row>
    <row r="953" spans="1:6" x14ac:dyDescent="0.3">
      <c r="A953" s="3">
        <v>46617</v>
      </c>
      <c r="B953" t="s">
        <v>12</v>
      </c>
      <c r="C953" t="s">
        <v>13</v>
      </c>
      <c r="D953" t="s">
        <v>10</v>
      </c>
      <c r="E953" s="5">
        <v>1403</v>
      </c>
      <c r="F953" t="s">
        <v>9</v>
      </c>
    </row>
    <row r="954" spans="1:6" x14ac:dyDescent="0.3">
      <c r="A954" s="3">
        <v>46618</v>
      </c>
      <c r="B954" t="s">
        <v>24</v>
      </c>
      <c r="C954" t="s">
        <v>7</v>
      </c>
      <c r="D954" t="s">
        <v>8</v>
      </c>
      <c r="E954" s="5">
        <v>4459</v>
      </c>
      <c r="F954" t="s">
        <v>9</v>
      </c>
    </row>
    <row r="955" spans="1:6" x14ac:dyDescent="0.3">
      <c r="A955" s="3">
        <v>46620</v>
      </c>
      <c r="B955" t="s">
        <v>12</v>
      </c>
      <c r="C955" t="s">
        <v>13</v>
      </c>
      <c r="D955" t="s">
        <v>10</v>
      </c>
      <c r="E955" s="5">
        <v>3535</v>
      </c>
      <c r="F955" t="s">
        <v>9</v>
      </c>
    </row>
    <row r="956" spans="1:6" x14ac:dyDescent="0.3">
      <c r="A956" s="3">
        <v>46621</v>
      </c>
      <c r="B956" t="s">
        <v>22</v>
      </c>
      <c r="C956" t="s">
        <v>23</v>
      </c>
      <c r="D956" t="s">
        <v>10</v>
      </c>
      <c r="E956" s="5">
        <v>1934</v>
      </c>
      <c r="F956" t="s">
        <v>9</v>
      </c>
    </row>
    <row r="957" spans="1:6" x14ac:dyDescent="0.3">
      <c r="A957" s="3">
        <v>46622</v>
      </c>
      <c r="B957" t="s">
        <v>12</v>
      </c>
      <c r="C957" t="s">
        <v>13</v>
      </c>
      <c r="D957" t="s">
        <v>10</v>
      </c>
      <c r="E957" s="5">
        <v>1472</v>
      </c>
      <c r="F957" t="s">
        <v>9</v>
      </c>
    </row>
    <row r="958" spans="1:6" x14ac:dyDescent="0.3">
      <c r="A958" s="3">
        <v>46622</v>
      </c>
      <c r="B958" t="s">
        <v>22</v>
      </c>
      <c r="C958" t="s">
        <v>23</v>
      </c>
      <c r="D958" t="s">
        <v>10</v>
      </c>
      <c r="E958" s="5">
        <v>4974</v>
      </c>
      <c r="F958" t="s">
        <v>9</v>
      </c>
    </row>
    <row r="959" spans="1:6" x14ac:dyDescent="0.3">
      <c r="A959" s="3">
        <v>46622</v>
      </c>
      <c r="B959" t="s">
        <v>6</v>
      </c>
      <c r="C959" t="s">
        <v>7</v>
      </c>
      <c r="D959" t="s">
        <v>8</v>
      </c>
      <c r="E959" s="5">
        <v>4459</v>
      </c>
      <c r="F959" t="s">
        <v>9</v>
      </c>
    </row>
    <row r="960" spans="1:6" x14ac:dyDescent="0.3">
      <c r="A960" s="3">
        <v>46623</v>
      </c>
      <c r="B960" t="s">
        <v>17</v>
      </c>
      <c r="C960" t="s">
        <v>13</v>
      </c>
      <c r="D960" t="s">
        <v>11</v>
      </c>
      <c r="E960" s="5">
        <v>3711</v>
      </c>
      <c r="F960" t="s">
        <v>9</v>
      </c>
    </row>
    <row r="961" spans="1:6" x14ac:dyDescent="0.3">
      <c r="A961" s="3">
        <v>46624</v>
      </c>
      <c r="B961" t="s">
        <v>24</v>
      </c>
      <c r="C961" t="s">
        <v>7</v>
      </c>
      <c r="D961" t="s">
        <v>18</v>
      </c>
      <c r="E961" s="5">
        <v>165</v>
      </c>
      <c r="F961" t="s">
        <v>9</v>
      </c>
    </row>
    <row r="962" spans="1:6" x14ac:dyDescent="0.3">
      <c r="A962" s="3">
        <v>46626</v>
      </c>
      <c r="B962" t="s">
        <v>25</v>
      </c>
      <c r="C962" t="s">
        <v>26</v>
      </c>
      <c r="D962" t="s">
        <v>10</v>
      </c>
      <c r="E962" s="5">
        <v>4035</v>
      </c>
      <c r="F962" t="s">
        <v>9</v>
      </c>
    </row>
    <row r="963" spans="1:6" x14ac:dyDescent="0.3">
      <c r="A963" s="3">
        <v>46628</v>
      </c>
      <c r="B963" t="s">
        <v>17</v>
      </c>
      <c r="C963" t="s">
        <v>13</v>
      </c>
      <c r="D963" t="s">
        <v>11</v>
      </c>
      <c r="E963" s="5">
        <v>2054</v>
      </c>
      <c r="F963" t="s">
        <v>9</v>
      </c>
    </row>
    <row r="964" spans="1:6" x14ac:dyDescent="0.3">
      <c r="A964" s="3">
        <v>46628</v>
      </c>
      <c r="B964" t="s">
        <v>6</v>
      </c>
      <c r="C964" t="s">
        <v>7</v>
      </c>
      <c r="D964" t="s">
        <v>16</v>
      </c>
      <c r="E964" s="5">
        <v>3591</v>
      </c>
      <c r="F964" t="s">
        <v>9</v>
      </c>
    </row>
    <row r="965" spans="1:6" x14ac:dyDescent="0.3">
      <c r="A965" s="3">
        <v>46630</v>
      </c>
      <c r="B965" t="s">
        <v>17</v>
      </c>
      <c r="C965" t="s">
        <v>13</v>
      </c>
      <c r="D965" t="s">
        <v>18</v>
      </c>
      <c r="E965" s="5">
        <v>1885</v>
      </c>
      <c r="F965" t="s">
        <v>9</v>
      </c>
    </row>
    <row r="966" spans="1:6" x14ac:dyDescent="0.3">
      <c r="A966" s="3">
        <v>46630</v>
      </c>
      <c r="B966" t="s">
        <v>17</v>
      </c>
      <c r="C966" t="s">
        <v>13</v>
      </c>
      <c r="D966" t="s">
        <v>11</v>
      </c>
      <c r="E966" s="5">
        <v>2138</v>
      </c>
      <c r="F966" t="s">
        <v>9</v>
      </c>
    </row>
    <row r="967" spans="1:6" x14ac:dyDescent="0.3">
      <c r="A967" s="3">
        <v>46631</v>
      </c>
      <c r="B967" t="s">
        <v>19</v>
      </c>
      <c r="C967" t="s">
        <v>19</v>
      </c>
      <c r="D967" t="s">
        <v>8</v>
      </c>
      <c r="E967" s="5">
        <v>58924</v>
      </c>
      <c r="F967" t="s">
        <v>20</v>
      </c>
    </row>
    <row r="968" spans="1:6" x14ac:dyDescent="0.3">
      <c r="A968" s="3">
        <v>46632</v>
      </c>
      <c r="B968" t="s">
        <v>24</v>
      </c>
      <c r="C968" t="s">
        <v>7</v>
      </c>
      <c r="D968" t="s">
        <v>18</v>
      </c>
      <c r="E968" s="5">
        <v>3777</v>
      </c>
      <c r="F968" t="s">
        <v>9</v>
      </c>
    </row>
    <row r="969" spans="1:6" x14ac:dyDescent="0.3">
      <c r="A969" s="3">
        <v>46632</v>
      </c>
      <c r="B969" t="s">
        <v>6</v>
      </c>
      <c r="C969" t="s">
        <v>7</v>
      </c>
      <c r="D969" t="s">
        <v>8</v>
      </c>
      <c r="E969" s="5">
        <v>2728</v>
      </c>
      <c r="F969" t="s">
        <v>9</v>
      </c>
    </row>
    <row r="970" spans="1:6" x14ac:dyDescent="0.3">
      <c r="A970" s="3">
        <v>46634</v>
      </c>
      <c r="B970" t="s">
        <v>19</v>
      </c>
      <c r="C970" t="s">
        <v>19</v>
      </c>
      <c r="D970" t="s">
        <v>16</v>
      </c>
      <c r="E970" s="5">
        <v>35128</v>
      </c>
      <c r="F970" t="s">
        <v>20</v>
      </c>
    </row>
    <row r="971" spans="1:6" x14ac:dyDescent="0.3">
      <c r="A971" s="3">
        <v>46636</v>
      </c>
      <c r="B971" t="s">
        <v>22</v>
      </c>
      <c r="C971" t="s">
        <v>23</v>
      </c>
      <c r="D971" t="s">
        <v>11</v>
      </c>
      <c r="E971" s="5">
        <v>2596</v>
      </c>
      <c r="F971" t="s">
        <v>9</v>
      </c>
    </row>
    <row r="972" spans="1:6" x14ac:dyDescent="0.3">
      <c r="A972" s="3">
        <v>46637</v>
      </c>
      <c r="B972" t="s">
        <v>14</v>
      </c>
      <c r="C972" t="s">
        <v>15</v>
      </c>
      <c r="D972" t="s">
        <v>10</v>
      </c>
      <c r="E972" s="5">
        <v>4532</v>
      </c>
      <c r="F972" t="s">
        <v>9</v>
      </c>
    </row>
    <row r="973" spans="1:6" x14ac:dyDescent="0.3">
      <c r="A973" s="3">
        <v>46638</v>
      </c>
      <c r="B973" t="s">
        <v>17</v>
      </c>
      <c r="C973" t="s">
        <v>13</v>
      </c>
      <c r="D973" t="s">
        <v>18</v>
      </c>
      <c r="E973" s="5">
        <v>4729</v>
      </c>
      <c r="F973" t="s">
        <v>9</v>
      </c>
    </row>
    <row r="974" spans="1:6" x14ac:dyDescent="0.3">
      <c r="A974" s="3">
        <v>46640</v>
      </c>
      <c r="B974" t="s">
        <v>24</v>
      </c>
      <c r="C974" t="s">
        <v>7</v>
      </c>
      <c r="D974" t="s">
        <v>10</v>
      </c>
      <c r="E974" s="5">
        <v>2700</v>
      </c>
      <c r="F974" t="s">
        <v>9</v>
      </c>
    </row>
    <row r="975" spans="1:6" x14ac:dyDescent="0.3">
      <c r="A975" s="3">
        <v>46641</v>
      </c>
      <c r="B975" t="s">
        <v>19</v>
      </c>
      <c r="C975" t="s">
        <v>19</v>
      </c>
      <c r="D975" t="s">
        <v>18</v>
      </c>
      <c r="E975" s="5">
        <v>56189</v>
      </c>
      <c r="F975" t="s">
        <v>20</v>
      </c>
    </row>
    <row r="976" spans="1:6" x14ac:dyDescent="0.3">
      <c r="A976" s="3">
        <v>46643</v>
      </c>
      <c r="B976" t="s">
        <v>17</v>
      </c>
      <c r="C976" t="s">
        <v>13</v>
      </c>
      <c r="D976" t="s">
        <v>8</v>
      </c>
      <c r="E976" s="5">
        <v>2183</v>
      </c>
      <c r="F976" t="s">
        <v>9</v>
      </c>
    </row>
    <row r="977" spans="1:6" x14ac:dyDescent="0.3">
      <c r="A977" s="3">
        <v>46643</v>
      </c>
      <c r="B977" t="s">
        <v>14</v>
      </c>
      <c r="C977" t="s">
        <v>15</v>
      </c>
      <c r="D977" t="s">
        <v>18</v>
      </c>
      <c r="E977" s="5">
        <v>482</v>
      </c>
      <c r="F977" t="s">
        <v>9</v>
      </c>
    </row>
    <row r="978" spans="1:6" x14ac:dyDescent="0.3">
      <c r="A978" s="3">
        <v>46644</v>
      </c>
      <c r="B978" t="s">
        <v>14</v>
      </c>
      <c r="C978" t="s">
        <v>15</v>
      </c>
      <c r="D978" t="s">
        <v>8</v>
      </c>
      <c r="E978" s="5">
        <v>4619</v>
      </c>
      <c r="F978" t="s">
        <v>9</v>
      </c>
    </row>
    <row r="979" spans="1:6" x14ac:dyDescent="0.3">
      <c r="A979" s="3">
        <v>46644</v>
      </c>
      <c r="B979" t="s">
        <v>6</v>
      </c>
      <c r="C979" t="s">
        <v>7</v>
      </c>
      <c r="D979" t="s">
        <v>18</v>
      </c>
      <c r="E979" s="5">
        <v>4475</v>
      </c>
      <c r="F979" t="s">
        <v>9</v>
      </c>
    </row>
    <row r="980" spans="1:6" x14ac:dyDescent="0.3">
      <c r="A980" s="3">
        <v>46644</v>
      </c>
      <c r="B980" t="s">
        <v>14</v>
      </c>
      <c r="C980" t="s">
        <v>15</v>
      </c>
      <c r="D980" t="s">
        <v>11</v>
      </c>
      <c r="E980" s="5">
        <v>1962</v>
      </c>
      <c r="F980" t="s">
        <v>9</v>
      </c>
    </row>
    <row r="981" spans="1:6" x14ac:dyDescent="0.3">
      <c r="A981" s="3">
        <v>46646</v>
      </c>
      <c r="B981" t="s">
        <v>12</v>
      </c>
      <c r="C981" t="s">
        <v>13</v>
      </c>
      <c r="D981" t="s">
        <v>8</v>
      </c>
      <c r="E981" s="5">
        <v>3216</v>
      </c>
      <c r="F981" t="s">
        <v>9</v>
      </c>
    </row>
    <row r="982" spans="1:6" x14ac:dyDescent="0.3">
      <c r="A982" s="3">
        <v>46648</v>
      </c>
      <c r="B982" t="s">
        <v>24</v>
      </c>
      <c r="C982" t="s">
        <v>7</v>
      </c>
      <c r="D982" t="s">
        <v>10</v>
      </c>
      <c r="E982" s="5">
        <v>474</v>
      </c>
      <c r="F982" t="s">
        <v>9</v>
      </c>
    </row>
    <row r="983" spans="1:6" x14ac:dyDescent="0.3">
      <c r="A983" s="3">
        <v>46648</v>
      </c>
      <c r="B983" t="s">
        <v>6</v>
      </c>
      <c r="C983" t="s">
        <v>7</v>
      </c>
      <c r="D983" t="s">
        <v>8</v>
      </c>
      <c r="E983" s="5">
        <v>1482</v>
      </c>
      <c r="F983" t="s">
        <v>9</v>
      </c>
    </row>
    <row r="984" spans="1:6" x14ac:dyDescent="0.3">
      <c r="A984" s="3">
        <v>46649</v>
      </c>
      <c r="B984" t="s">
        <v>17</v>
      </c>
      <c r="C984" t="s">
        <v>13</v>
      </c>
      <c r="D984" t="s">
        <v>10</v>
      </c>
      <c r="E984" s="5">
        <v>4056</v>
      </c>
      <c r="F984" t="s">
        <v>9</v>
      </c>
    </row>
    <row r="985" spans="1:6" x14ac:dyDescent="0.3">
      <c r="A985" s="3">
        <v>46649</v>
      </c>
      <c r="B985" t="s">
        <v>19</v>
      </c>
      <c r="C985" t="s">
        <v>19</v>
      </c>
      <c r="D985" t="s">
        <v>11</v>
      </c>
      <c r="E985" s="5">
        <v>37667</v>
      </c>
      <c r="F985" t="s">
        <v>20</v>
      </c>
    </row>
    <row r="986" spans="1:6" x14ac:dyDescent="0.3">
      <c r="A986" s="3">
        <v>46651</v>
      </c>
      <c r="B986" t="s">
        <v>12</v>
      </c>
      <c r="C986" t="s">
        <v>13</v>
      </c>
      <c r="D986" t="s">
        <v>16</v>
      </c>
      <c r="E986" s="5">
        <v>876</v>
      </c>
      <c r="F986" t="s">
        <v>9</v>
      </c>
    </row>
    <row r="987" spans="1:6" x14ac:dyDescent="0.3">
      <c r="A987" s="3">
        <v>46652</v>
      </c>
      <c r="B987" t="s">
        <v>17</v>
      </c>
      <c r="C987" t="s">
        <v>13</v>
      </c>
      <c r="D987" t="s">
        <v>18</v>
      </c>
      <c r="E987" s="5">
        <v>2913</v>
      </c>
      <c r="F987" t="s">
        <v>9</v>
      </c>
    </row>
    <row r="988" spans="1:6" x14ac:dyDescent="0.3">
      <c r="A988" s="3">
        <v>46654</v>
      </c>
      <c r="B988" t="s">
        <v>14</v>
      </c>
      <c r="C988" t="s">
        <v>15</v>
      </c>
      <c r="D988" t="s">
        <v>11</v>
      </c>
      <c r="E988" s="5">
        <v>797</v>
      </c>
      <c r="F988" t="s">
        <v>9</v>
      </c>
    </row>
    <row r="989" spans="1:6" x14ac:dyDescent="0.3">
      <c r="A989" s="3">
        <v>46655</v>
      </c>
      <c r="B989" t="s">
        <v>17</v>
      </c>
      <c r="C989" t="s">
        <v>13</v>
      </c>
      <c r="D989" t="s">
        <v>8</v>
      </c>
      <c r="E989" s="5">
        <v>2546</v>
      </c>
      <c r="F989" t="s">
        <v>9</v>
      </c>
    </row>
    <row r="990" spans="1:6" x14ac:dyDescent="0.3">
      <c r="A990" s="3">
        <v>46655</v>
      </c>
      <c r="B990" t="s">
        <v>24</v>
      </c>
      <c r="C990" t="s">
        <v>7</v>
      </c>
      <c r="D990" t="s">
        <v>8</v>
      </c>
      <c r="E990" s="5">
        <v>4915</v>
      </c>
      <c r="F990" t="s">
        <v>9</v>
      </c>
    </row>
    <row r="991" spans="1:6" x14ac:dyDescent="0.3">
      <c r="A991" s="3">
        <v>46656</v>
      </c>
      <c r="B991" t="s">
        <v>22</v>
      </c>
      <c r="C991" t="s">
        <v>23</v>
      </c>
      <c r="D991" t="s">
        <v>8</v>
      </c>
      <c r="E991" s="5">
        <v>481</v>
      </c>
      <c r="F991" t="s">
        <v>9</v>
      </c>
    </row>
    <row r="992" spans="1:6" x14ac:dyDescent="0.3">
      <c r="A992" s="3">
        <v>46658</v>
      </c>
      <c r="B992" t="s">
        <v>19</v>
      </c>
      <c r="C992" t="s">
        <v>19</v>
      </c>
      <c r="D992" t="s">
        <v>11</v>
      </c>
      <c r="E992" s="5">
        <v>55784</v>
      </c>
      <c r="F992" t="s">
        <v>20</v>
      </c>
    </row>
    <row r="993" spans="1:6" x14ac:dyDescent="0.3">
      <c r="A993" s="3">
        <v>46660</v>
      </c>
      <c r="B993" t="s">
        <v>24</v>
      </c>
      <c r="C993" t="s">
        <v>7</v>
      </c>
      <c r="D993" t="s">
        <v>11</v>
      </c>
      <c r="E993" s="5">
        <v>4635</v>
      </c>
      <c r="F993" t="s">
        <v>9</v>
      </c>
    </row>
    <row r="994" spans="1:6" x14ac:dyDescent="0.3">
      <c r="A994" s="3">
        <v>46661</v>
      </c>
      <c r="B994" t="s">
        <v>17</v>
      </c>
      <c r="C994" t="s">
        <v>13</v>
      </c>
      <c r="D994" t="s">
        <v>18</v>
      </c>
      <c r="E994" s="5">
        <v>3321</v>
      </c>
      <c r="F994" t="s">
        <v>9</v>
      </c>
    </row>
    <row r="995" spans="1:6" x14ac:dyDescent="0.3">
      <c r="A995" s="3">
        <v>46663</v>
      </c>
      <c r="B995" t="s">
        <v>25</v>
      </c>
      <c r="C995" t="s">
        <v>26</v>
      </c>
      <c r="D995" t="s">
        <v>8</v>
      </c>
      <c r="E995" s="5">
        <v>2588</v>
      </c>
      <c r="F995" t="s">
        <v>9</v>
      </c>
    </row>
    <row r="996" spans="1:6" x14ac:dyDescent="0.3">
      <c r="A996" s="3">
        <v>46664</v>
      </c>
      <c r="B996" t="s">
        <v>6</v>
      </c>
      <c r="C996" t="s">
        <v>7</v>
      </c>
      <c r="D996" t="s">
        <v>18</v>
      </c>
      <c r="E996" s="5">
        <v>1894</v>
      </c>
      <c r="F996" t="s">
        <v>9</v>
      </c>
    </row>
    <row r="997" spans="1:6" x14ac:dyDescent="0.3">
      <c r="A997" s="3">
        <v>46666</v>
      </c>
      <c r="B997" t="s">
        <v>19</v>
      </c>
      <c r="C997" t="s">
        <v>19</v>
      </c>
      <c r="D997" t="s">
        <v>11</v>
      </c>
      <c r="E997" s="5">
        <v>58343</v>
      </c>
      <c r="F997" t="s">
        <v>20</v>
      </c>
    </row>
    <row r="998" spans="1:6" x14ac:dyDescent="0.3">
      <c r="A998" s="3">
        <v>46667</v>
      </c>
      <c r="B998" t="s">
        <v>17</v>
      </c>
      <c r="C998" t="s">
        <v>13</v>
      </c>
      <c r="D998" t="s">
        <v>8</v>
      </c>
      <c r="E998" s="5">
        <v>3304</v>
      </c>
      <c r="F998" t="s">
        <v>9</v>
      </c>
    </row>
    <row r="999" spans="1:6" x14ac:dyDescent="0.3">
      <c r="A999" s="3">
        <v>46668</v>
      </c>
      <c r="B999" t="s">
        <v>12</v>
      </c>
      <c r="C999" t="s">
        <v>13</v>
      </c>
      <c r="D999" t="s">
        <v>8</v>
      </c>
      <c r="E999" s="5">
        <v>4620</v>
      </c>
      <c r="F999" t="s">
        <v>9</v>
      </c>
    </row>
    <row r="1000" spans="1:6" x14ac:dyDescent="0.3">
      <c r="A1000" s="3">
        <v>46670</v>
      </c>
      <c r="B1000" t="s">
        <v>24</v>
      </c>
      <c r="C1000" t="s">
        <v>7</v>
      </c>
      <c r="D1000" t="s">
        <v>18</v>
      </c>
      <c r="E1000" s="5">
        <v>4221</v>
      </c>
      <c r="F1000" t="s">
        <v>9</v>
      </c>
    </row>
    <row r="1001" spans="1:6" x14ac:dyDescent="0.3">
      <c r="A1001" s="3">
        <v>46671</v>
      </c>
      <c r="B1001" t="s">
        <v>21</v>
      </c>
      <c r="C1001" t="s">
        <v>19</v>
      </c>
      <c r="D1001" t="s">
        <v>18</v>
      </c>
      <c r="E1001" s="5">
        <v>48953</v>
      </c>
      <c r="F1001" t="s">
        <v>20</v>
      </c>
    </row>
    <row r="1002" spans="1:6" x14ac:dyDescent="0.3">
      <c r="A1002" s="3" t="s">
        <v>55</v>
      </c>
      <c r="E1002" s="5">
        <f>SUBTOTAL(109,tblTransactions[Amount])</f>
        <v>11647968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Calculations</vt:lpstr>
      <vt:lpstr>Lookup</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SHABEEB NS</cp:lastModifiedBy>
  <dcterms:created xsi:type="dcterms:W3CDTF">2026-08-03T00:29:47Z</dcterms:created>
  <dcterms:modified xsi:type="dcterms:W3CDTF">2026-08-04T19:53:35Z</dcterms:modified>
</cp:coreProperties>
</file>